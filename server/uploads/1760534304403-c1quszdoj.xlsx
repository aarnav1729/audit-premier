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dhaf\Downloads\"/>
    </mc:Choice>
  </mc:AlternateContent>
  <xr:revisionPtr revIDLastSave="0" documentId="13_ncr:1_{426C8D08-6632-4315-9215-1EB77FD85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apshot_details" sheetId="1" r:id="rId1"/>
    <sheet name="Filters" sheetId="2" r:id="rId2"/>
  </sheets>
  <definedNames>
    <definedName name="_xlnm._FilterDatabase" localSheetId="0" hidden="1">Snapshot_details!$A$1:$P$1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8" i="1" l="1"/>
  <c r="P93" i="1"/>
  <c r="P87" i="1"/>
  <c r="P83" i="1"/>
  <c r="P67" i="1"/>
  <c r="P40" i="1"/>
  <c r="P39" i="1"/>
  <c r="P34" i="1"/>
  <c r="P30" i="1"/>
  <c r="P29" i="1"/>
  <c r="P28" i="1"/>
  <c r="P25" i="1"/>
  <c r="P23" i="1"/>
  <c r="P22" i="1"/>
  <c r="P21" i="1"/>
  <c r="P20" i="1"/>
  <c r="P19" i="1"/>
  <c r="P17" i="1"/>
  <c r="P13" i="1"/>
  <c r="P3" i="1"/>
  <c r="P4" i="1"/>
  <c r="P5" i="1"/>
  <c r="P6" i="1"/>
  <c r="P7" i="1"/>
  <c r="P8" i="1"/>
  <c r="P9" i="1"/>
  <c r="P10" i="1"/>
  <c r="P11" i="1"/>
  <c r="P12" i="1"/>
  <c r="P14" i="1"/>
  <c r="P15" i="1"/>
  <c r="P16" i="1"/>
  <c r="P18" i="1"/>
  <c r="P24" i="1"/>
  <c r="P26" i="1"/>
  <c r="P27" i="1"/>
  <c r="P31" i="1"/>
  <c r="P32" i="1"/>
  <c r="P33" i="1"/>
  <c r="P35" i="1"/>
  <c r="P36" i="1"/>
  <c r="P37" i="1"/>
  <c r="P38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2" i="1"/>
</calcChain>
</file>

<file path=xl/sharedStrings.xml><?xml version="1.0" encoding="utf-8"?>
<sst xmlns="http://schemas.openxmlformats.org/spreadsheetml/2006/main" count="845" uniqueCount="290">
  <si>
    <t>Employee Code</t>
  </si>
  <si>
    <t>Full name</t>
  </si>
  <si>
    <t>Gender</t>
  </si>
  <si>
    <t>Employment status</t>
  </si>
  <si>
    <t>Business Unit</t>
  </si>
  <si>
    <t>Department</t>
  </si>
  <si>
    <t>Designation</t>
  </si>
  <si>
    <t>Branch</t>
  </si>
  <si>
    <t>Sub branch</t>
  </si>
  <si>
    <t>Male</t>
  </si>
  <si>
    <t>Premier Energies Photovoltaic Private Limited</t>
  </si>
  <si>
    <t>Telangana</t>
  </si>
  <si>
    <t>Fabcity</t>
  </si>
  <si>
    <t>PEIPL0002</t>
  </si>
  <si>
    <t>Kumar Barla</t>
  </si>
  <si>
    <t>Premier Energies International Private Limited</t>
  </si>
  <si>
    <t>Procurement</t>
  </si>
  <si>
    <t>Assistant Manager - Procurement</t>
  </si>
  <si>
    <t>Corporate Office</t>
  </si>
  <si>
    <t>Premier Energies Global Environment Private Limited</t>
  </si>
  <si>
    <t>Female</t>
  </si>
  <si>
    <t>Senior Technician</t>
  </si>
  <si>
    <t>PEPPL0005</t>
  </si>
  <si>
    <t>Shaik Khaja</t>
  </si>
  <si>
    <t>Civil</t>
  </si>
  <si>
    <t>Project Manager</t>
  </si>
  <si>
    <t>P0381</t>
  </si>
  <si>
    <t>Papa Venkat Reddy</t>
  </si>
  <si>
    <t>Executive</t>
  </si>
  <si>
    <t>Engineer</t>
  </si>
  <si>
    <t>PEIPL0011</t>
  </si>
  <si>
    <t>Pavan Kumar Reddy Karra</t>
  </si>
  <si>
    <t>Projects</t>
  </si>
  <si>
    <t>Assistant Manager - Projects</t>
  </si>
  <si>
    <t>P0142</t>
  </si>
  <si>
    <t>Junior Technician</t>
  </si>
  <si>
    <t>PEIPL0017</t>
  </si>
  <si>
    <t>Kusumba Shankar</t>
  </si>
  <si>
    <t>Deputy Manager - Projects</t>
  </si>
  <si>
    <t>Assistant Manager</t>
  </si>
  <si>
    <t>Manager - Procurement</t>
  </si>
  <si>
    <t>Site Engineer</t>
  </si>
  <si>
    <t>Assistant Engineer</t>
  </si>
  <si>
    <t>Premier Energies Limited</t>
  </si>
  <si>
    <t>City Office</t>
  </si>
  <si>
    <t>Technician</t>
  </si>
  <si>
    <t>Junior Engineer</t>
  </si>
  <si>
    <t>PEGEPL0092</t>
  </si>
  <si>
    <t>Doddigarla Ravikumar</t>
  </si>
  <si>
    <t>Senior Manager - MEP</t>
  </si>
  <si>
    <t>Premier Solar Powertech Private Limited</t>
  </si>
  <si>
    <t>PEGEPL0125</t>
  </si>
  <si>
    <t>Mulla Syed Mohammed Iliyas</t>
  </si>
  <si>
    <t>Civil Engineer</t>
  </si>
  <si>
    <t>Sitarampur</t>
  </si>
  <si>
    <t>P0170</t>
  </si>
  <si>
    <t>Rajashekar Reddy P</t>
  </si>
  <si>
    <t>P0128</t>
  </si>
  <si>
    <t>Rajashekar Reddy Narra</t>
  </si>
  <si>
    <t>Senior Manager - Projects</t>
  </si>
  <si>
    <t>PEGEPL0138</t>
  </si>
  <si>
    <t>Punuguti  Venkat Narapareddy</t>
  </si>
  <si>
    <t>PEGEPL0139</t>
  </si>
  <si>
    <t>Gadi Kiran</t>
  </si>
  <si>
    <t>Senior Executive -  Procurement</t>
  </si>
  <si>
    <t>Shekhar Kumar</t>
  </si>
  <si>
    <t>PEIPL0142</t>
  </si>
  <si>
    <t>Pediredla Praveen Kumar</t>
  </si>
  <si>
    <t>Deputy Manager - Procurement</t>
  </si>
  <si>
    <t>PEGEPL0144</t>
  </si>
  <si>
    <t>Gangapuram Uday Kiran Reddy</t>
  </si>
  <si>
    <t>PEGEPL0166</t>
  </si>
  <si>
    <t>PEGEPL0145</t>
  </si>
  <si>
    <t>Ravi Venkata Subba rao</t>
  </si>
  <si>
    <t>PEGEPL0147</t>
  </si>
  <si>
    <t>Yarramsetty Pavan Venkata Siva Kumar</t>
  </si>
  <si>
    <t>Senior Executive - Procurement</t>
  </si>
  <si>
    <t>PEIPL0477</t>
  </si>
  <si>
    <t>PEGEPL0148</t>
  </si>
  <si>
    <t>Duggempudi Siva Reddy</t>
  </si>
  <si>
    <t>Senior Engineer - Projects</t>
  </si>
  <si>
    <t>PEGEPL0149</t>
  </si>
  <si>
    <t>Avadutha Rajashekar</t>
  </si>
  <si>
    <t>PEGEPL0153</t>
  </si>
  <si>
    <t>Sanya Katyal</t>
  </si>
  <si>
    <t>Senior Manager -  Strategic Projects</t>
  </si>
  <si>
    <t>PEGEPL0154</t>
  </si>
  <si>
    <t>Mukul Gajanan Wadhekar</t>
  </si>
  <si>
    <t>PEGEPL0157</t>
  </si>
  <si>
    <t>Ramolla Naga Seshu</t>
  </si>
  <si>
    <t>Assistant Manager - Civil</t>
  </si>
  <si>
    <t>PEGEPL0162</t>
  </si>
  <si>
    <t>V Mohith</t>
  </si>
  <si>
    <t>PEGEPL0163</t>
  </si>
  <si>
    <t>Gajula Gopi Chand</t>
  </si>
  <si>
    <t>PEGEPL0165</t>
  </si>
  <si>
    <t>Beedila Mohammed Sharif</t>
  </si>
  <si>
    <t>Syed Hafeezuddin</t>
  </si>
  <si>
    <t>Assistant Vice President - Projects</t>
  </si>
  <si>
    <t>PEGEPL0168</t>
  </si>
  <si>
    <t>Karra Niranjan Reddy</t>
  </si>
  <si>
    <t>Project Engineer</t>
  </si>
  <si>
    <t>PEGEPL0169</t>
  </si>
  <si>
    <t>Mohmmed Abdullah Wasi</t>
  </si>
  <si>
    <t>Junior Officer - Procurement</t>
  </si>
  <si>
    <t>General Manager - Projects</t>
  </si>
  <si>
    <t>PEGEPL0171</t>
  </si>
  <si>
    <t>Gangu Vamsi Reddy</t>
  </si>
  <si>
    <t>PEGEPL0174</t>
  </si>
  <si>
    <t>Guduru Vineeth Raj</t>
  </si>
  <si>
    <t>PEGEPL0175</t>
  </si>
  <si>
    <t>Navath Sajan Kumar</t>
  </si>
  <si>
    <t>PEGEPL0176</t>
  </si>
  <si>
    <t>Annapurna Verupula</t>
  </si>
  <si>
    <t>PEIPL0177</t>
  </si>
  <si>
    <t>Venkata Satya R K Kunchapudi</t>
  </si>
  <si>
    <t>PEGEPL0177</t>
  </si>
  <si>
    <t>Esampally Sai Lakshmi</t>
  </si>
  <si>
    <t>Junior Executive -  Procurement</t>
  </si>
  <si>
    <t>PEGEPL0193</t>
  </si>
  <si>
    <t>M Nagapanendharrao</t>
  </si>
  <si>
    <t>Manager - Projects</t>
  </si>
  <si>
    <t>PSS0200</t>
  </si>
  <si>
    <t>SUDHA MADHAVI</t>
  </si>
  <si>
    <t>Deputy General Manager - Projects</t>
  </si>
  <si>
    <t>PEGEPL0201</t>
  </si>
  <si>
    <t>Teppala Vamsi Krishna</t>
  </si>
  <si>
    <t>Design</t>
  </si>
  <si>
    <t>P0454</t>
  </si>
  <si>
    <t>PEGEPL0202</t>
  </si>
  <si>
    <t>Sujata Dodamani</t>
  </si>
  <si>
    <t>Procurement - Projects</t>
  </si>
  <si>
    <t>Senior Executive</t>
  </si>
  <si>
    <t>PEGEPL0217</t>
  </si>
  <si>
    <t>Maddela Babyrani</t>
  </si>
  <si>
    <t>Assistant Manager -  Procurement</t>
  </si>
  <si>
    <t>P0422</t>
  </si>
  <si>
    <t>Gouti Narsing Avinash</t>
  </si>
  <si>
    <t>PEGEPL0218</t>
  </si>
  <si>
    <t>Eppakayala Santosh Kumar</t>
  </si>
  <si>
    <t>PEGEPL0234</t>
  </si>
  <si>
    <t>Jayanth Andra</t>
  </si>
  <si>
    <t>PEGEPL0236</t>
  </si>
  <si>
    <t>Madhusudan G S</t>
  </si>
  <si>
    <t>Vice President - Projects</t>
  </si>
  <si>
    <t>PEGEPL0247</t>
  </si>
  <si>
    <t>Basireddy Kiran Kumar Reddy</t>
  </si>
  <si>
    <t>PEGEPL0248</t>
  </si>
  <si>
    <t>Nithin Koyithatta Meethaleveed</t>
  </si>
  <si>
    <t>P0324</t>
  </si>
  <si>
    <t>Boodati Surya Chandra</t>
  </si>
  <si>
    <t>Assistant General Manager - Projects</t>
  </si>
  <si>
    <t>P0420</t>
  </si>
  <si>
    <t>S Rajavardhan Reddy</t>
  </si>
  <si>
    <t>P0424</t>
  </si>
  <si>
    <t>Gugulothu Naga Raju</t>
  </si>
  <si>
    <t>Md Younus Ali</t>
  </si>
  <si>
    <t>Deputy Manager - Design</t>
  </si>
  <si>
    <t>P0458</t>
  </si>
  <si>
    <t>Mallikarjuna Reddy Duggempudi</t>
  </si>
  <si>
    <t>P0459</t>
  </si>
  <si>
    <t>Mulla Syed Muneer</t>
  </si>
  <si>
    <t>P0461</t>
  </si>
  <si>
    <t>Ramu Duba</t>
  </si>
  <si>
    <t>Bellam Dhanush Reddy</t>
  </si>
  <si>
    <t>Associate Manager - Procurement</t>
  </si>
  <si>
    <t>PEIPL0515</t>
  </si>
  <si>
    <t>Thammi Setti Hanumanth Rao</t>
  </si>
  <si>
    <t>PEPPL0533</t>
  </si>
  <si>
    <t>Ollala Harikrishna</t>
  </si>
  <si>
    <t>PEPPL0534</t>
  </si>
  <si>
    <t>Bandapalli Parvathalu</t>
  </si>
  <si>
    <t>PEPPL0535</t>
  </si>
  <si>
    <t>Oddi Vijay Kumar</t>
  </si>
  <si>
    <t>PEPPL0569</t>
  </si>
  <si>
    <t>Salman Raju Kakumanu</t>
  </si>
  <si>
    <t>PEIPL0616</t>
  </si>
  <si>
    <t>Barjendra Rai</t>
  </si>
  <si>
    <t>PEPPL0630</t>
  </si>
  <si>
    <t>Madaramoni Srikanth</t>
  </si>
  <si>
    <t>PEIPL0649</t>
  </si>
  <si>
    <t>Manchala Prem Kumar</t>
  </si>
  <si>
    <t>PEIPL0650</t>
  </si>
  <si>
    <t>Nisar Ahmed</t>
  </si>
  <si>
    <t>PEPPL0717</t>
  </si>
  <si>
    <t>Vanga Abhinav Raj</t>
  </si>
  <si>
    <t>PEIPL0737</t>
  </si>
  <si>
    <t>Valmiki Santhi</t>
  </si>
  <si>
    <t>Senior Executive - Projects</t>
  </si>
  <si>
    <t>PEPPL0811</t>
  </si>
  <si>
    <t>ladhar Hembram</t>
  </si>
  <si>
    <t>PSS1406</t>
  </si>
  <si>
    <t>Guguloth Vivek</t>
  </si>
  <si>
    <t>Assistant Manager - Data Analysis</t>
  </si>
  <si>
    <t>Filter</t>
  </si>
  <si>
    <t>Value</t>
  </si>
  <si>
    <t>Brightstone Developers Private Limited, Premier Energies Global Environment Private Limited, Premier Energies International Private Limited, Premier Energies Limited, Premier Energies Photovoltaic Private Limited, Premier Solar Powertech Private Limited</t>
  </si>
  <si>
    <t>Confirmed, Probation, Resigned</t>
  </si>
  <si>
    <t>Report was run at 05-05-2025 14:09 IST</t>
  </si>
  <si>
    <t>Cost centre</t>
  </si>
  <si>
    <t>PEGEPL</t>
  </si>
  <si>
    <t>PEPPL</t>
  </si>
  <si>
    <t>PEIPL</t>
  </si>
  <si>
    <t>Group</t>
  </si>
  <si>
    <t>PSPT</t>
  </si>
  <si>
    <t>1GW TopCon</t>
  </si>
  <si>
    <t>4GW Seetharampur</t>
  </si>
  <si>
    <t>4GW Naidupeta</t>
  </si>
  <si>
    <t>HSTL</t>
  </si>
  <si>
    <t>1GW Module Line</t>
  </si>
  <si>
    <t>500MW PERC Line</t>
  </si>
  <si>
    <t>PEGEPL0249</t>
  </si>
  <si>
    <t>PEGEPL0250</t>
  </si>
  <si>
    <t>PEGEPL0273</t>
  </si>
  <si>
    <t>PEGEPL0281</t>
  </si>
  <si>
    <t>PEGEPL0287</t>
  </si>
  <si>
    <t>PEGEPL0289</t>
  </si>
  <si>
    <t>PEGEPL0300</t>
  </si>
  <si>
    <t>PEGEPL0301</t>
  </si>
  <si>
    <t>PEGEPL0305</t>
  </si>
  <si>
    <t>PEGEPL0306</t>
  </si>
  <si>
    <t>PEGEPL0307</t>
  </si>
  <si>
    <t>PEGEPL0310</t>
  </si>
  <si>
    <t>PEGEPL0314</t>
  </si>
  <si>
    <t>PEGEPL0320</t>
  </si>
  <si>
    <t>PEGEPL0322</t>
  </si>
  <si>
    <t>PEGEPL0323</t>
  </si>
  <si>
    <t>PEGEPL0326</t>
  </si>
  <si>
    <t>PEGEPL0327</t>
  </si>
  <si>
    <t>PEGEPL0328</t>
  </si>
  <si>
    <t>PEGEPL0333</t>
  </si>
  <si>
    <t>PEGEPL0337</t>
  </si>
  <si>
    <t>PEGEPL0342</t>
  </si>
  <si>
    <t>PEGEPL0343</t>
  </si>
  <si>
    <t>PEGEPL0348</t>
  </si>
  <si>
    <t>PEGEPL0349</t>
  </si>
  <si>
    <t>PEGEPL0351</t>
  </si>
  <si>
    <t>PEGEPL0352</t>
  </si>
  <si>
    <t>PEGEPL0353</t>
  </si>
  <si>
    <t>PEGEPL0357</t>
  </si>
  <si>
    <t>PEGEPL0378</t>
  </si>
  <si>
    <t>PEGEPL0385</t>
  </si>
  <si>
    <t>PEGEPL0387</t>
  </si>
  <si>
    <t>PEGEPL0388</t>
  </si>
  <si>
    <t>Chittela Mallikarjuna Reddy</t>
  </si>
  <si>
    <t>Tankala Mahesh</t>
  </si>
  <si>
    <t>Ashutosh Kumar</t>
  </si>
  <si>
    <t>Kallem Anand</t>
  </si>
  <si>
    <t>Yata Masthan</t>
  </si>
  <si>
    <t>Yeruva Venkata Sirisha</t>
  </si>
  <si>
    <t>Mukul Prabhat Banka</t>
  </si>
  <si>
    <t>Sudharman Arun Kumar</t>
  </si>
  <si>
    <t>Brijesh Yadav</t>
  </si>
  <si>
    <t>Suraj Rajbhar</t>
  </si>
  <si>
    <t>Sayyad Jilani</t>
  </si>
  <si>
    <t>Rambhatla Aman</t>
  </si>
  <si>
    <t>K Swathi</t>
  </si>
  <si>
    <t>Mewalal</t>
  </si>
  <si>
    <t>Akuthota Nagendra Kumar</t>
  </si>
  <si>
    <t>Maddila Naga Venkata Siva Siddartha</t>
  </si>
  <si>
    <t>Mangamaddela Sundaraiah</t>
  </si>
  <si>
    <t>E S K Sastry</t>
  </si>
  <si>
    <t>Koppula Akshith</t>
  </si>
  <si>
    <t>Geddada Venkata Tulasiramana</t>
  </si>
  <si>
    <t>Kinjarapu Bhanu Teja</t>
  </si>
  <si>
    <t>Shaik Vaseem Basha</t>
  </si>
  <si>
    <t>Mohd Younus</t>
  </si>
  <si>
    <t>J Santhosh Reddy</t>
  </si>
  <si>
    <t>Male Sreekanth</t>
  </si>
  <si>
    <t>Bandra Mallesh</t>
  </si>
  <si>
    <t>Vanacharla Rama Krishna</t>
  </si>
  <si>
    <t>Seepana Venkata Narayanamurty</t>
  </si>
  <si>
    <t>Gavireddy Rajesh</t>
  </si>
  <si>
    <t>Mohammed Basheer UI Hassan</t>
  </si>
  <si>
    <t>Kota Raju</t>
  </si>
  <si>
    <t>Roshan M V</t>
  </si>
  <si>
    <t>Ansari Abdul Aleem</t>
  </si>
  <si>
    <t>Trainee</t>
  </si>
  <si>
    <t>Junior Officer</t>
  </si>
  <si>
    <t>Graduate Engineer Trainee</t>
  </si>
  <si>
    <t>Fork Lift Driver</t>
  </si>
  <si>
    <t>Deputy Engineer</t>
  </si>
  <si>
    <t>Executive - Procurement</t>
  </si>
  <si>
    <t>Senior Executive - Finance &amp; Accounts</t>
  </si>
  <si>
    <t>Graduate Engineer Trainee - Electrical</t>
  </si>
  <si>
    <t>Consultant</t>
  </si>
  <si>
    <t>Senior Engineer - Civil</t>
  </si>
  <si>
    <t>Senior Engineer</t>
  </si>
  <si>
    <t>Associate Manager</t>
  </si>
  <si>
    <t>Nayudupeta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</si>
</sst>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2" borderId="1" xfId="0" applyFont="1" applyFill="1" applyBorder="1"/>
    <xf numFmtId="0" fontId="2" fillId="0" borderId="0" xfId="0" applyFont="1" applyAlignment="1">
      <alignment horizontal="left" vertical="center"/>
    </xf>
    <xf numFmtId="0" fontId="1" fillId="2" borderId="2" xfId="0" applyFont="1" applyFill="1" applyBorder="1"/>
    <xf numFmtId="9" fontId="0" fillId="0" borderId="0" xfId="0" applyNumberFormat="1"/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pane xSplit="2" ySplit="2" topLeftCell="D36" activePane="bottomRight" state="frozen"/>
      <selection pane="topRight" activeCell="C1" sqref="C1"/>
      <selection pane="bottomLeft" activeCell="A3" sqref="A3"/>
      <selection pane="bottomRight" sqref="A1:XFD1"/>
    </sheetView>
  </sheetViews>
  <sheetFormatPr defaultRowHeight="14.4" x14ac:dyDescent="0.3"/>
  <cols>
    <col min="1" max="1" width="16.109375" customWidth="1"/>
    <col min="2" max="2" width="37.5546875" bestFit="1" customWidth="1"/>
    <col min="3" max="3" width="9.109375" customWidth="1"/>
    <col min="4" max="4" width="44.6640625" bestFit="1" customWidth="1"/>
    <col min="5" max="5" width="24.109375" bestFit="1" customWidth="1"/>
    <col min="6" max="6" width="45" bestFit="1" customWidth="1"/>
    <col min="7" max="7" width="16" bestFit="1" customWidth="1"/>
    <col min="8" max="8" width="17.88671875" bestFit="1" customWidth="1"/>
    <col min="9" max="9" width="13.44140625" bestFit="1" customWidth="1"/>
    <col min="10" max="10" width="16" customWidth="1"/>
    <col min="11" max="11" width="16.44140625" bestFit="1" customWidth="1"/>
    <col min="12" max="12" width="17.44140625" bestFit="1" customWidth="1"/>
    <col min="13" max="13" width="18.44140625" bestFit="1" customWidth="1"/>
    <col min="14" max="14" width="14.77734375" bestFit="1" customWidth="1"/>
    <col min="16" max="16" width="17.6640625" bestFit="1" customWidth="1"/>
  </cols>
  <sheetData>
    <row r="1" spans="1:16" x14ac:dyDescent="0.3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8" t="s">
        <v>199</v>
      </c>
      <c r="J1" s="8" t="s">
        <v>205</v>
      </c>
      <c r="K1" s="8" t="s">
        <v>209</v>
      </c>
      <c r="L1" s="8" t="s">
        <v>210</v>
      </c>
      <c r="M1" s="8" t="s">
        <v>206</v>
      </c>
      <c r="N1" s="8" t="s">
        <v>207</v>
      </c>
      <c r="O1" s="8" t="s">
        <v>208</v>
      </c>
      <c r="P1" s="8"/>
    </row>
    <row r="2" spans="1:16" x14ac:dyDescent="0.3">
      <c r="A2" s="7" t="s">
        <v>13</v>
      </c>
      <c r="B2" s="7" t="s">
        <v>14</v>
      </c>
      <c r="C2" s="7" t="s">
        <v>9</v>
      </c>
      <c r="D2" s="7" t="s">
        <v>15</v>
      </c>
      <c r="E2" s="7" t="s">
        <v>16</v>
      </c>
      <c r="F2" s="7" t="s">
        <v>17</v>
      </c>
      <c r="G2" s="7" t="s">
        <v>11</v>
      </c>
      <c r="H2" s="7" t="s">
        <v>18</v>
      </c>
      <c r="I2" t="s">
        <v>202</v>
      </c>
      <c r="J2" s="9"/>
      <c r="K2" s="9"/>
      <c r="L2" s="9">
        <v>0.5</v>
      </c>
      <c r="M2" s="9">
        <v>0.25</v>
      </c>
      <c r="N2" s="9">
        <v>0.25</v>
      </c>
      <c r="O2" s="9"/>
      <c r="P2" s="9">
        <f>SUM(J2:O2)</f>
        <v>1</v>
      </c>
    </row>
    <row r="3" spans="1:16" x14ac:dyDescent="0.3">
      <c r="A3" s="7" t="s">
        <v>22</v>
      </c>
      <c r="B3" s="7" t="s">
        <v>23</v>
      </c>
      <c r="C3" s="7" t="s">
        <v>9</v>
      </c>
      <c r="D3" s="7" t="s">
        <v>10</v>
      </c>
      <c r="E3" s="7" t="s">
        <v>24</v>
      </c>
      <c r="F3" s="7" t="s">
        <v>25</v>
      </c>
      <c r="G3" s="7" t="s">
        <v>11</v>
      </c>
      <c r="H3" s="7" t="s">
        <v>12</v>
      </c>
      <c r="I3" t="s">
        <v>201</v>
      </c>
      <c r="J3" s="9">
        <v>1</v>
      </c>
      <c r="P3" s="9">
        <f t="shared" ref="P3:P67" si="0">SUM(J3:O3)</f>
        <v>1</v>
      </c>
    </row>
    <row r="4" spans="1:16" x14ac:dyDescent="0.3">
      <c r="A4" s="7" t="s">
        <v>30</v>
      </c>
      <c r="B4" s="7" t="s">
        <v>31</v>
      </c>
      <c r="C4" s="7" t="s">
        <v>9</v>
      </c>
      <c r="D4" s="7" t="s">
        <v>15</v>
      </c>
      <c r="E4" s="7" t="s">
        <v>32</v>
      </c>
      <c r="F4" s="7" t="s">
        <v>33</v>
      </c>
      <c r="G4" s="7" t="s">
        <v>11</v>
      </c>
      <c r="H4" s="7" t="s">
        <v>12</v>
      </c>
      <c r="I4" t="s">
        <v>202</v>
      </c>
      <c r="J4" s="9">
        <v>1</v>
      </c>
      <c r="P4" s="9">
        <f t="shared" si="0"/>
        <v>1</v>
      </c>
    </row>
    <row r="5" spans="1:16" x14ac:dyDescent="0.3">
      <c r="A5" s="7" t="s">
        <v>36</v>
      </c>
      <c r="B5" s="7" t="s">
        <v>37</v>
      </c>
      <c r="C5" s="7" t="s">
        <v>9</v>
      </c>
      <c r="D5" s="7" t="s">
        <v>15</v>
      </c>
      <c r="E5" s="7" t="s">
        <v>32</v>
      </c>
      <c r="F5" s="7" t="s">
        <v>38</v>
      </c>
      <c r="G5" s="7" t="s">
        <v>11</v>
      </c>
      <c r="H5" s="7" t="s">
        <v>12</v>
      </c>
      <c r="I5" t="s">
        <v>202</v>
      </c>
      <c r="J5" s="9">
        <v>0.5</v>
      </c>
      <c r="K5" s="9">
        <v>0.5</v>
      </c>
      <c r="P5" s="9">
        <f t="shared" si="0"/>
        <v>1</v>
      </c>
    </row>
    <row r="6" spans="1:16" x14ac:dyDescent="0.3">
      <c r="A6" s="7" t="s">
        <v>47</v>
      </c>
      <c r="B6" s="7" t="s">
        <v>48</v>
      </c>
      <c r="C6" s="7" t="s">
        <v>9</v>
      </c>
      <c r="D6" s="7" t="s">
        <v>19</v>
      </c>
      <c r="E6" s="7" t="s">
        <v>32</v>
      </c>
      <c r="F6" s="7" t="s">
        <v>49</v>
      </c>
      <c r="G6" s="7" t="s">
        <v>11</v>
      </c>
      <c r="H6" s="7" t="s">
        <v>18</v>
      </c>
      <c r="I6" t="s">
        <v>203</v>
      </c>
      <c r="J6" s="9"/>
      <c r="K6" s="9"/>
      <c r="L6" s="9">
        <v>0.5</v>
      </c>
      <c r="M6" s="9">
        <v>0.5</v>
      </c>
      <c r="P6" s="9">
        <f t="shared" si="0"/>
        <v>1</v>
      </c>
    </row>
    <row r="7" spans="1:16" x14ac:dyDescent="0.3">
      <c r="A7" s="7" t="s">
        <v>51</v>
      </c>
      <c r="B7" s="7" t="s">
        <v>52</v>
      </c>
      <c r="C7" s="7" t="s">
        <v>9</v>
      </c>
      <c r="D7" s="7" t="s">
        <v>19</v>
      </c>
      <c r="E7" s="7" t="s">
        <v>32</v>
      </c>
      <c r="F7" s="7" t="s">
        <v>53</v>
      </c>
      <c r="G7" s="7" t="s">
        <v>11</v>
      </c>
      <c r="H7" s="7" t="s">
        <v>54</v>
      </c>
      <c r="I7" t="s">
        <v>200</v>
      </c>
      <c r="K7" s="9">
        <v>1</v>
      </c>
      <c r="P7" s="9">
        <f t="shared" si="0"/>
        <v>1</v>
      </c>
    </row>
    <row r="8" spans="1:16" x14ac:dyDescent="0.3">
      <c r="A8" s="7" t="s">
        <v>57</v>
      </c>
      <c r="B8" s="7" t="s">
        <v>58</v>
      </c>
      <c r="C8" s="7" t="s">
        <v>9</v>
      </c>
      <c r="D8" s="7" t="s">
        <v>50</v>
      </c>
      <c r="E8" s="7" t="s">
        <v>32</v>
      </c>
      <c r="F8" s="7" t="s">
        <v>59</v>
      </c>
      <c r="G8" s="7" t="s">
        <v>11</v>
      </c>
      <c r="H8" s="7" t="s">
        <v>12</v>
      </c>
      <c r="I8" t="s">
        <v>201</v>
      </c>
      <c r="J8" s="9">
        <v>0.5</v>
      </c>
      <c r="K8" s="9"/>
      <c r="L8" s="9">
        <v>0.5</v>
      </c>
      <c r="P8" s="9">
        <f t="shared" si="0"/>
        <v>1</v>
      </c>
    </row>
    <row r="9" spans="1:16" x14ac:dyDescent="0.3">
      <c r="A9" s="7" t="s">
        <v>60</v>
      </c>
      <c r="B9" s="10" t="s">
        <v>61</v>
      </c>
      <c r="C9" s="7" t="s">
        <v>9</v>
      </c>
      <c r="D9" s="7" t="s">
        <v>19</v>
      </c>
      <c r="E9" s="7" t="s">
        <v>16</v>
      </c>
      <c r="F9" s="7" t="s">
        <v>40</v>
      </c>
      <c r="G9" s="7" t="s">
        <v>11</v>
      </c>
      <c r="H9" s="7" t="s">
        <v>12</v>
      </c>
      <c r="I9" t="s">
        <v>200</v>
      </c>
      <c r="P9" s="9">
        <f t="shared" si="0"/>
        <v>0</v>
      </c>
    </row>
    <row r="10" spans="1:16" x14ac:dyDescent="0.3">
      <c r="A10" s="7" t="s">
        <v>62</v>
      </c>
      <c r="B10" s="7" t="s">
        <v>63</v>
      </c>
      <c r="C10" s="7" t="s">
        <v>9</v>
      </c>
      <c r="D10" s="7" t="s">
        <v>19</v>
      </c>
      <c r="E10" s="7" t="s">
        <v>16</v>
      </c>
      <c r="F10" s="7" t="s">
        <v>64</v>
      </c>
      <c r="G10" s="7" t="s">
        <v>11</v>
      </c>
      <c r="H10" s="7" t="s">
        <v>18</v>
      </c>
      <c r="I10" t="s">
        <v>200</v>
      </c>
      <c r="J10" s="9">
        <v>1</v>
      </c>
      <c r="K10" s="9"/>
      <c r="P10" s="9">
        <f t="shared" si="0"/>
        <v>1</v>
      </c>
    </row>
    <row r="11" spans="1:16" x14ac:dyDescent="0.3">
      <c r="A11" s="7" t="s">
        <v>34</v>
      </c>
      <c r="B11" s="7" t="s">
        <v>65</v>
      </c>
      <c r="C11" s="7" t="s">
        <v>9</v>
      </c>
      <c r="D11" s="7" t="s">
        <v>50</v>
      </c>
      <c r="E11" s="7" t="s">
        <v>32</v>
      </c>
      <c r="F11" s="7" t="s">
        <v>25</v>
      </c>
      <c r="G11" s="7" t="s">
        <v>11</v>
      </c>
      <c r="H11" s="7" t="s">
        <v>12</v>
      </c>
      <c r="I11" t="s">
        <v>201</v>
      </c>
      <c r="J11" s="9">
        <v>0.5</v>
      </c>
      <c r="L11" s="9">
        <v>0.5</v>
      </c>
      <c r="P11" s="9">
        <f t="shared" si="0"/>
        <v>1</v>
      </c>
    </row>
    <row r="12" spans="1:16" x14ac:dyDescent="0.3">
      <c r="A12" s="7" t="s">
        <v>66</v>
      </c>
      <c r="B12" s="7" t="s">
        <v>67</v>
      </c>
      <c r="C12" s="7" t="s">
        <v>9</v>
      </c>
      <c r="D12" s="7" t="s">
        <v>15</v>
      </c>
      <c r="E12" s="7" t="s">
        <v>16</v>
      </c>
      <c r="F12" s="7" t="s">
        <v>68</v>
      </c>
      <c r="G12" s="7" t="s">
        <v>11</v>
      </c>
      <c r="H12" s="7" t="s">
        <v>18</v>
      </c>
      <c r="I12" t="s">
        <v>202</v>
      </c>
      <c r="J12" s="9"/>
      <c r="K12" s="9"/>
      <c r="L12" s="9">
        <v>0.5</v>
      </c>
      <c r="M12" s="9">
        <v>0.5</v>
      </c>
      <c r="N12" s="9"/>
      <c r="P12" s="9">
        <f t="shared" si="0"/>
        <v>1</v>
      </c>
    </row>
    <row r="13" spans="1:16" x14ac:dyDescent="0.3">
      <c r="A13" s="7" t="s">
        <v>69</v>
      </c>
      <c r="B13" s="7" t="s">
        <v>70</v>
      </c>
      <c r="C13" s="7" t="s">
        <v>9</v>
      </c>
      <c r="D13" s="7" t="s">
        <v>19</v>
      </c>
      <c r="E13" s="7" t="s">
        <v>32</v>
      </c>
      <c r="F13" s="7" t="s">
        <v>33</v>
      </c>
      <c r="G13" s="7" t="s">
        <v>11</v>
      </c>
      <c r="H13" s="7" t="s">
        <v>54</v>
      </c>
      <c r="I13" t="s">
        <v>200</v>
      </c>
      <c r="O13" s="9">
        <v>1</v>
      </c>
      <c r="P13" s="9">
        <f t="shared" si="0"/>
        <v>1</v>
      </c>
    </row>
    <row r="14" spans="1:16" x14ac:dyDescent="0.3">
      <c r="A14" s="7" t="s">
        <v>72</v>
      </c>
      <c r="B14" s="7" t="s">
        <v>73</v>
      </c>
      <c r="C14" s="7" t="s">
        <v>9</v>
      </c>
      <c r="D14" s="7" t="s">
        <v>19</v>
      </c>
      <c r="E14" s="7" t="s">
        <v>32</v>
      </c>
      <c r="F14" s="7" t="s">
        <v>42</v>
      </c>
      <c r="G14" s="7" t="s">
        <v>11</v>
      </c>
      <c r="H14" s="7" t="s">
        <v>289</v>
      </c>
      <c r="I14" t="s">
        <v>200</v>
      </c>
      <c r="K14" s="9"/>
      <c r="N14" s="9">
        <v>1</v>
      </c>
      <c r="P14" s="9">
        <f t="shared" si="0"/>
        <v>1</v>
      </c>
    </row>
    <row r="15" spans="1:16" x14ac:dyDescent="0.3">
      <c r="A15" s="7" t="s">
        <v>74</v>
      </c>
      <c r="B15" s="10" t="s">
        <v>75</v>
      </c>
      <c r="C15" s="7" t="s">
        <v>9</v>
      </c>
      <c r="D15" s="7" t="s">
        <v>19</v>
      </c>
      <c r="E15" s="7" t="s">
        <v>16</v>
      </c>
      <c r="F15" s="7" t="s">
        <v>76</v>
      </c>
      <c r="G15" s="7" t="s">
        <v>11</v>
      </c>
      <c r="H15" s="7" t="s">
        <v>12</v>
      </c>
      <c r="I15" t="s">
        <v>200</v>
      </c>
      <c r="P15" s="9">
        <f t="shared" si="0"/>
        <v>0</v>
      </c>
    </row>
    <row r="16" spans="1:16" x14ac:dyDescent="0.3">
      <c r="A16" s="7" t="s">
        <v>78</v>
      </c>
      <c r="B16" s="7" t="s">
        <v>79</v>
      </c>
      <c r="C16" s="7" t="s">
        <v>9</v>
      </c>
      <c r="D16" s="7" t="s">
        <v>19</v>
      </c>
      <c r="E16" s="7" t="s">
        <v>32</v>
      </c>
      <c r="F16" s="7" t="s">
        <v>80</v>
      </c>
      <c r="G16" s="7" t="s">
        <v>11</v>
      </c>
      <c r="H16" s="7" t="s">
        <v>12</v>
      </c>
      <c r="I16" t="s">
        <v>200</v>
      </c>
      <c r="J16" s="9"/>
      <c r="P16" s="9">
        <f t="shared" si="0"/>
        <v>0</v>
      </c>
    </row>
    <row r="17" spans="1:16" x14ac:dyDescent="0.3">
      <c r="A17" s="7" t="s">
        <v>81</v>
      </c>
      <c r="B17" s="7" t="s">
        <v>82</v>
      </c>
      <c r="C17" s="7" t="s">
        <v>9</v>
      </c>
      <c r="D17" s="7" t="s">
        <v>19</v>
      </c>
      <c r="E17" s="7" t="s">
        <v>32</v>
      </c>
      <c r="F17" s="7" t="s">
        <v>46</v>
      </c>
      <c r="G17" s="7" t="s">
        <v>11</v>
      </c>
      <c r="H17" s="7" t="s">
        <v>54</v>
      </c>
      <c r="I17" t="s">
        <v>200</v>
      </c>
      <c r="K17" s="9">
        <v>1</v>
      </c>
      <c r="P17" s="9">
        <f t="shared" si="0"/>
        <v>1</v>
      </c>
    </row>
    <row r="18" spans="1:16" x14ac:dyDescent="0.3">
      <c r="A18" s="7" t="s">
        <v>83</v>
      </c>
      <c r="B18" s="7" t="s">
        <v>84</v>
      </c>
      <c r="C18" s="7" t="s">
        <v>20</v>
      </c>
      <c r="D18" s="7" t="s">
        <v>19</v>
      </c>
      <c r="E18" s="7" t="s">
        <v>32</v>
      </c>
      <c r="F18" s="7" t="s">
        <v>85</v>
      </c>
      <c r="G18" s="7" t="s">
        <v>11</v>
      </c>
      <c r="H18" s="7" t="s">
        <v>18</v>
      </c>
      <c r="I18" t="s">
        <v>203</v>
      </c>
      <c r="O18" s="9"/>
      <c r="P18" s="9">
        <f t="shared" si="0"/>
        <v>0</v>
      </c>
    </row>
    <row r="19" spans="1:16" x14ac:dyDescent="0.3">
      <c r="A19" s="7" t="s">
        <v>86</v>
      </c>
      <c r="B19" s="10" t="s">
        <v>87</v>
      </c>
      <c r="C19" s="7" t="s">
        <v>9</v>
      </c>
      <c r="D19" s="7" t="s">
        <v>19</v>
      </c>
      <c r="E19" s="7" t="s">
        <v>32</v>
      </c>
      <c r="F19" s="7" t="s">
        <v>29</v>
      </c>
      <c r="G19" s="7" t="s">
        <v>11</v>
      </c>
      <c r="H19" s="7" t="s">
        <v>54</v>
      </c>
      <c r="I19" t="s">
        <v>200</v>
      </c>
      <c r="P19" s="9">
        <f t="shared" si="0"/>
        <v>0</v>
      </c>
    </row>
    <row r="20" spans="1:16" x14ac:dyDescent="0.3">
      <c r="A20" s="7" t="s">
        <v>88</v>
      </c>
      <c r="B20" s="7" t="s">
        <v>89</v>
      </c>
      <c r="C20" s="7" t="s">
        <v>9</v>
      </c>
      <c r="D20" s="7" t="s">
        <v>19</v>
      </c>
      <c r="E20" s="7" t="s">
        <v>24</v>
      </c>
      <c r="F20" s="7" t="s">
        <v>90</v>
      </c>
      <c r="G20" s="7" t="s">
        <v>11</v>
      </c>
      <c r="H20" s="7" t="s">
        <v>289</v>
      </c>
      <c r="I20" t="s">
        <v>200</v>
      </c>
      <c r="J20" s="9"/>
      <c r="N20" s="9">
        <v>1</v>
      </c>
      <c r="O20" s="9"/>
      <c r="P20" s="9">
        <f t="shared" si="0"/>
        <v>1</v>
      </c>
    </row>
    <row r="21" spans="1:16" x14ac:dyDescent="0.3">
      <c r="A21" s="7" t="s">
        <v>91</v>
      </c>
      <c r="B21" s="7" t="s">
        <v>92</v>
      </c>
      <c r="C21" s="7" t="s">
        <v>9</v>
      </c>
      <c r="D21" s="7" t="s">
        <v>19</v>
      </c>
      <c r="E21" s="7" t="s">
        <v>32</v>
      </c>
      <c r="F21" s="7" t="s">
        <v>42</v>
      </c>
      <c r="G21" s="7" t="s">
        <v>11</v>
      </c>
      <c r="H21" s="7" t="s">
        <v>54</v>
      </c>
      <c r="I21" t="s">
        <v>200</v>
      </c>
      <c r="J21" s="9">
        <v>1</v>
      </c>
      <c r="P21" s="9">
        <f t="shared" si="0"/>
        <v>1</v>
      </c>
    </row>
    <row r="22" spans="1:16" x14ac:dyDescent="0.3">
      <c r="A22" s="7" t="s">
        <v>93</v>
      </c>
      <c r="B22" s="7" t="s">
        <v>94</v>
      </c>
      <c r="C22" s="7" t="s">
        <v>9</v>
      </c>
      <c r="D22" s="7" t="s">
        <v>19</v>
      </c>
      <c r="E22" s="7" t="s">
        <v>32</v>
      </c>
      <c r="F22" s="7" t="s">
        <v>46</v>
      </c>
      <c r="G22" s="7" t="s">
        <v>11</v>
      </c>
      <c r="H22" s="7" t="s">
        <v>54</v>
      </c>
      <c r="I22" t="s">
        <v>200</v>
      </c>
      <c r="J22" s="9">
        <v>1</v>
      </c>
      <c r="P22" s="9">
        <f t="shared" si="0"/>
        <v>1</v>
      </c>
    </row>
    <row r="23" spans="1:16" x14ac:dyDescent="0.3">
      <c r="A23" s="7" t="s">
        <v>95</v>
      </c>
      <c r="B23" s="7" t="s">
        <v>96</v>
      </c>
      <c r="C23" s="7" t="s">
        <v>9</v>
      </c>
      <c r="D23" s="7" t="s">
        <v>19</v>
      </c>
      <c r="E23" s="7" t="s">
        <v>24</v>
      </c>
      <c r="F23" s="7" t="s">
        <v>38</v>
      </c>
      <c r="G23" s="7" t="s">
        <v>11</v>
      </c>
      <c r="H23" s="7" t="s">
        <v>289</v>
      </c>
      <c r="I23" t="s">
        <v>200</v>
      </c>
      <c r="J23" s="9"/>
      <c r="N23" s="9">
        <v>1</v>
      </c>
      <c r="P23" s="9">
        <f t="shared" si="0"/>
        <v>1</v>
      </c>
    </row>
    <row r="24" spans="1:16" x14ac:dyDescent="0.3">
      <c r="A24" s="7" t="s">
        <v>71</v>
      </c>
      <c r="B24" s="7" t="s">
        <v>97</v>
      </c>
      <c r="C24" s="7" t="s">
        <v>9</v>
      </c>
      <c r="D24" s="7" t="s">
        <v>19</v>
      </c>
      <c r="E24" s="7" t="s">
        <v>32</v>
      </c>
      <c r="F24" s="7" t="s">
        <v>98</v>
      </c>
      <c r="G24" s="7" t="s">
        <v>11</v>
      </c>
      <c r="H24" s="7" t="s">
        <v>18</v>
      </c>
      <c r="I24" t="s">
        <v>200</v>
      </c>
      <c r="J24" s="9"/>
      <c r="K24" s="9"/>
      <c r="L24" s="9">
        <v>0.2</v>
      </c>
      <c r="M24" s="9">
        <v>0.4</v>
      </c>
      <c r="N24" s="9">
        <v>0.4</v>
      </c>
      <c r="O24" s="9"/>
      <c r="P24" s="9">
        <f t="shared" si="0"/>
        <v>1</v>
      </c>
    </row>
    <row r="25" spans="1:16" x14ac:dyDescent="0.3">
      <c r="A25" s="7" t="s">
        <v>99</v>
      </c>
      <c r="B25" s="7" t="s">
        <v>100</v>
      </c>
      <c r="C25" s="7" t="s">
        <v>9</v>
      </c>
      <c r="D25" s="7" t="s">
        <v>19</v>
      </c>
      <c r="E25" s="7" t="s">
        <v>32</v>
      </c>
      <c r="F25" s="7" t="s">
        <v>101</v>
      </c>
      <c r="G25" s="7" t="s">
        <v>11</v>
      </c>
      <c r="H25" s="7" t="s">
        <v>54</v>
      </c>
      <c r="I25" t="s">
        <v>200</v>
      </c>
      <c r="N25" s="9">
        <v>1</v>
      </c>
      <c r="P25" s="9">
        <f t="shared" si="0"/>
        <v>1</v>
      </c>
    </row>
    <row r="26" spans="1:16" x14ac:dyDescent="0.3">
      <c r="A26" s="7" t="s">
        <v>102</v>
      </c>
      <c r="B26" s="10" t="s">
        <v>103</v>
      </c>
      <c r="C26" s="7" t="s">
        <v>9</v>
      </c>
      <c r="D26" s="7" t="s">
        <v>19</v>
      </c>
      <c r="E26" s="7" t="s">
        <v>16</v>
      </c>
      <c r="F26" s="7" t="s">
        <v>104</v>
      </c>
      <c r="G26" s="7" t="s">
        <v>11</v>
      </c>
      <c r="H26" s="7" t="s">
        <v>12</v>
      </c>
      <c r="I26" t="s">
        <v>200</v>
      </c>
      <c r="P26" s="9">
        <f t="shared" si="0"/>
        <v>0</v>
      </c>
    </row>
    <row r="27" spans="1:16" x14ac:dyDescent="0.3">
      <c r="A27" s="7" t="s">
        <v>55</v>
      </c>
      <c r="B27" s="7" t="s">
        <v>56</v>
      </c>
      <c r="C27" s="7" t="s">
        <v>9</v>
      </c>
      <c r="D27" s="7" t="s">
        <v>50</v>
      </c>
      <c r="E27" s="7" t="s">
        <v>32</v>
      </c>
      <c r="F27" s="7" t="s">
        <v>105</v>
      </c>
      <c r="G27" s="7" t="s">
        <v>11</v>
      </c>
      <c r="H27" s="7" t="s">
        <v>18</v>
      </c>
      <c r="I27" t="s">
        <v>201</v>
      </c>
      <c r="M27" s="9">
        <v>0.5</v>
      </c>
      <c r="N27" s="9">
        <v>0.5</v>
      </c>
      <c r="P27" s="9">
        <f t="shared" si="0"/>
        <v>1</v>
      </c>
    </row>
    <row r="28" spans="1:16" x14ac:dyDescent="0.3">
      <c r="A28" s="7" t="s">
        <v>106</v>
      </c>
      <c r="B28" s="7" t="s">
        <v>107</v>
      </c>
      <c r="C28" s="7" t="s">
        <v>9</v>
      </c>
      <c r="D28" s="7" t="s">
        <v>19</v>
      </c>
      <c r="E28" s="7" t="s">
        <v>24</v>
      </c>
      <c r="F28" s="7" t="s">
        <v>42</v>
      </c>
      <c r="G28" s="7" t="s">
        <v>11</v>
      </c>
      <c r="H28" s="7" t="s">
        <v>54</v>
      </c>
      <c r="I28" t="s">
        <v>200</v>
      </c>
      <c r="J28" s="9"/>
      <c r="K28" s="9">
        <v>1</v>
      </c>
      <c r="O28" s="9"/>
      <c r="P28" s="9">
        <f t="shared" si="0"/>
        <v>1</v>
      </c>
    </row>
    <row r="29" spans="1:16" x14ac:dyDescent="0.3">
      <c r="A29" s="7" t="s">
        <v>108</v>
      </c>
      <c r="B29" s="7" t="s">
        <v>109</v>
      </c>
      <c r="C29" s="7" t="s">
        <v>9</v>
      </c>
      <c r="D29" s="7" t="s">
        <v>19</v>
      </c>
      <c r="E29" s="7" t="s">
        <v>24</v>
      </c>
      <c r="F29" s="7" t="s">
        <v>80</v>
      </c>
      <c r="G29" s="7" t="s">
        <v>11</v>
      </c>
      <c r="H29" s="7" t="s">
        <v>54</v>
      </c>
      <c r="I29" t="s">
        <v>200</v>
      </c>
      <c r="M29" s="9">
        <v>1</v>
      </c>
      <c r="P29" s="9">
        <f t="shared" si="0"/>
        <v>1</v>
      </c>
    </row>
    <row r="30" spans="1:16" x14ac:dyDescent="0.3">
      <c r="A30" s="7" t="s">
        <v>110</v>
      </c>
      <c r="B30" s="7" t="s">
        <v>111</v>
      </c>
      <c r="C30" s="7" t="s">
        <v>9</v>
      </c>
      <c r="D30" s="7" t="s">
        <v>19</v>
      </c>
      <c r="E30" s="7" t="s">
        <v>24</v>
      </c>
      <c r="F30" s="7" t="s">
        <v>90</v>
      </c>
      <c r="G30" s="7" t="s">
        <v>11</v>
      </c>
      <c r="H30" s="7" t="s">
        <v>54</v>
      </c>
      <c r="I30" t="s">
        <v>200</v>
      </c>
      <c r="J30" s="9">
        <v>1</v>
      </c>
      <c r="P30" s="9">
        <f t="shared" si="0"/>
        <v>1</v>
      </c>
    </row>
    <row r="31" spans="1:16" x14ac:dyDescent="0.3">
      <c r="A31" s="7" t="s">
        <v>112</v>
      </c>
      <c r="B31" s="10" t="s">
        <v>113</v>
      </c>
      <c r="C31" s="7" t="s">
        <v>20</v>
      </c>
      <c r="D31" s="7" t="s">
        <v>19</v>
      </c>
      <c r="E31" s="7" t="s">
        <v>32</v>
      </c>
      <c r="F31" s="7" t="s">
        <v>38</v>
      </c>
      <c r="G31" s="7" t="s">
        <v>11</v>
      </c>
      <c r="H31" s="7" t="s">
        <v>18</v>
      </c>
      <c r="I31" t="s">
        <v>200</v>
      </c>
      <c r="P31" s="9">
        <f t="shared" si="0"/>
        <v>0</v>
      </c>
    </row>
    <row r="32" spans="1:16" x14ac:dyDescent="0.3">
      <c r="A32" s="7" t="s">
        <v>114</v>
      </c>
      <c r="B32" s="7" t="s">
        <v>115</v>
      </c>
      <c r="C32" s="7" t="s">
        <v>9</v>
      </c>
      <c r="D32" s="7" t="s">
        <v>15</v>
      </c>
      <c r="E32" s="7" t="s">
        <v>32</v>
      </c>
      <c r="F32" s="7" t="s">
        <v>39</v>
      </c>
      <c r="G32" s="7" t="s">
        <v>11</v>
      </c>
      <c r="H32" s="7" t="s">
        <v>18</v>
      </c>
      <c r="I32" t="s">
        <v>202</v>
      </c>
      <c r="J32" s="9"/>
      <c r="K32" s="9"/>
      <c r="L32" s="9">
        <v>0.2</v>
      </c>
      <c r="M32" s="9">
        <v>0.3</v>
      </c>
      <c r="N32" s="9">
        <v>0.3</v>
      </c>
      <c r="O32" s="9">
        <v>0.2</v>
      </c>
      <c r="P32" s="9">
        <f t="shared" si="0"/>
        <v>1</v>
      </c>
    </row>
    <row r="33" spans="1:16" x14ac:dyDescent="0.3">
      <c r="A33" s="7" t="s">
        <v>116</v>
      </c>
      <c r="B33" s="7" t="s">
        <v>117</v>
      </c>
      <c r="C33" s="7" t="s">
        <v>9</v>
      </c>
      <c r="D33" s="7" t="s">
        <v>19</v>
      </c>
      <c r="E33" s="7" t="s">
        <v>16</v>
      </c>
      <c r="F33" s="7" t="s">
        <v>118</v>
      </c>
      <c r="G33" s="7" t="s">
        <v>11</v>
      </c>
      <c r="H33" s="7" t="s">
        <v>18</v>
      </c>
      <c r="I33" t="s">
        <v>200</v>
      </c>
      <c r="J33" s="9"/>
      <c r="L33" s="9">
        <v>1</v>
      </c>
      <c r="P33" s="9">
        <f t="shared" si="0"/>
        <v>1</v>
      </c>
    </row>
    <row r="34" spans="1:16" x14ac:dyDescent="0.3">
      <c r="A34" s="7" t="s">
        <v>119</v>
      </c>
      <c r="B34" s="7" t="s">
        <v>120</v>
      </c>
      <c r="C34" s="7" t="s">
        <v>9</v>
      </c>
      <c r="D34" s="7" t="s">
        <v>19</v>
      </c>
      <c r="E34" s="7" t="s">
        <v>32</v>
      </c>
      <c r="F34" s="7" t="s">
        <v>121</v>
      </c>
      <c r="G34" s="7" t="s">
        <v>11</v>
      </c>
      <c r="H34" s="7" t="s">
        <v>289</v>
      </c>
      <c r="I34" t="s">
        <v>200</v>
      </c>
      <c r="N34" s="9">
        <v>1</v>
      </c>
      <c r="P34" s="9">
        <f t="shared" si="0"/>
        <v>1</v>
      </c>
    </row>
    <row r="35" spans="1:16" x14ac:dyDescent="0.3">
      <c r="A35" s="7" t="s">
        <v>122</v>
      </c>
      <c r="B35" s="10" t="s">
        <v>123</v>
      </c>
      <c r="C35" s="7" t="s">
        <v>20</v>
      </c>
      <c r="D35" s="7" t="s">
        <v>43</v>
      </c>
      <c r="E35" s="7" t="s">
        <v>32</v>
      </c>
      <c r="F35" s="7" t="s">
        <v>124</v>
      </c>
      <c r="G35" s="7" t="s">
        <v>11</v>
      </c>
      <c r="H35" s="7" t="s">
        <v>18</v>
      </c>
      <c r="I35" t="s">
        <v>203</v>
      </c>
      <c r="P35" s="9">
        <f t="shared" si="0"/>
        <v>0</v>
      </c>
    </row>
    <row r="36" spans="1:16" x14ac:dyDescent="0.3">
      <c r="A36" s="7" t="s">
        <v>125</v>
      </c>
      <c r="B36" s="7" t="s">
        <v>126</v>
      </c>
      <c r="C36" s="7" t="s">
        <v>9</v>
      </c>
      <c r="D36" s="7" t="s">
        <v>19</v>
      </c>
      <c r="E36" s="7" t="s">
        <v>127</v>
      </c>
      <c r="F36" s="7" t="s">
        <v>33</v>
      </c>
      <c r="G36" s="7" t="s">
        <v>11</v>
      </c>
      <c r="H36" s="7" t="s">
        <v>44</v>
      </c>
      <c r="I36" t="s">
        <v>200</v>
      </c>
      <c r="J36" s="9"/>
      <c r="L36" s="9">
        <v>0.5</v>
      </c>
      <c r="M36" s="9">
        <v>0.5</v>
      </c>
      <c r="O36" s="9"/>
      <c r="P36" s="9">
        <f t="shared" si="0"/>
        <v>1</v>
      </c>
    </row>
    <row r="37" spans="1:16" x14ac:dyDescent="0.3">
      <c r="A37" s="7" t="s">
        <v>129</v>
      </c>
      <c r="B37" s="7" t="s">
        <v>130</v>
      </c>
      <c r="C37" s="7" t="s">
        <v>20</v>
      </c>
      <c r="D37" s="7" t="s">
        <v>19</v>
      </c>
      <c r="E37" s="7" t="s">
        <v>131</v>
      </c>
      <c r="F37" s="7" t="s">
        <v>33</v>
      </c>
      <c r="G37" s="7" t="s">
        <v>11</v>
      </c>
      <c r="H37" s="7" t="s">
        <v>18</v>
      </c>
      <c r="I37" t="s">
        <v>200</v>
      </c>
      <c r="J37" s="9"/>
      <c r="L37" s="9">
        <v>0.5</v>
      </c>
      <c r="M37" s="9">
        <v>0.5</v>
      </c>
      <c r="P37" s="9">
        <f t="shared" si="0"/>
        <v>1</v>
      </c>
    </row>
    <row r="38" spans="1:16" x14ac:dyDescent="0.3">
      <c r="A38" s="7" t="s">
        <v>133</v>
      </c>
      <c r="B38" s="7" t="s">
        <v>134</v>
      </c>
      <c r="C38" s="7" t="s">
        <v>20</v>
      </c>
      <c r="D38" s="7" t="s">
        <v>19</v>
      </c>
      <c r="E38" s="7" t="s">
        <v>131</v>
      </c>
      <c r="F38" s="7" t="s">
        <v>135</v>
      </c>
      <c r="G38" s="7" t="s">
        <v>11</v>
      </c>
      <c r="H38" s="7" t="s">
        <v>18</v>
      </c>
      <c r="I38" t="s">
        <v>200</v>
      </c>
      <c r="J38" s="9"/>
      <c r="L38" s="9">
        <v>0.5</v>
      </c>
      <c r="M38" s="9">
        <v>0.5</v>
      </c>
      <c r="P38" s="9">
        <f t="shared" si="0"/>
        <v>1</v>
      </c>
    </row>
    <row r="39" spans="1:16" x14ac:dyDescent="0.3">
      <c r="A39" s="7" t="s">
        <v>138</v>
      </c>
      <c r="B39" s="7" t="s">
        <v>139</v>
      </c>
      <c r="C39" s="7" t="s">
        <v>9</v>
      </c>
      <c r="D39" s="7" t="s">
        <v>19</v>
      </c>
      <c r="E39" s="7" t="s">
        <v>32</v>
      </c>
      <c r="F39" s="7" t="s">
        <v>101</v>
      </c>
      <c r="G39" s="7" t="s">
        <v>11</v>
      </c>
      <c r="H39" s="7" t="s">
        <v>54</v>
      </c>
      <c r="I39" t="s">
        <v>200</v>
      </c>
      <c r="M39" s="9">
        <v>1</v>
      </c>
      <c r="P39" s="9">
        <f t="shared" si="0"/>
        <v>1</v>
      </c>
    </row>
    <row r="40" spans="1:16" x14ac:dyDescent="0.3">
      <c r="A40" s="7" t="s">
        <v>140</v>
      </c>
      <c r="B40" s="7" t="s">
        <v>141</v>
      </c>
      <c r="C40" s="7" t="s">
        <v>9</v>
      </c>
      <c r="D40" s="7" t="s">
        <v>19</v>
      </c>
      <c r="E40" s="7" t="s">
        <v>24</v>
      </c>
      <c r="F40" s="7" t="s">
        <v>46</v>
      </c>
      <c r="G40" s="7" t="s">
        <v>11</v>
      </c>
      <c r="H40" s="7" t="s">
        <v>289</v>
      </c>
      <c r="I40" t="s">
        <v>200</v>
      </c>
      <c r="J40" s="9">
        <v>1</v>
      </c>
      <c r="P40" s="9">
        <f t="shared" si="0"/>
        <v>1</v>
      </c>
    </row>
    <row r="41" spans="1:16" x14ac:dyDescent="0.3">
      <c r="A41" s="7" t="s">
        <v>142</v>
      </c>
      <c r="B41" s="7" t="s">
        <v>143</v>
      </c>
      <c r="C41" s="7" t="s">
        <v>9</v>
      </c>
      <c r="D41" s="7" t="s">
        <v>19</v>
      </c>
      <c r="E41" s="7" t="s">
        <v>32</v>
      </c>
      <c r="F41" s="7" t="s">
        <v>144</v>
      </c>
      <c r="G41" s="7" t="s">
        <v>11</v>
      </c>
      <c r="H41" s="7" t="s">
        <v>18</v>
      </c>
      <c r="I41" t="s">
        <v>200</v>
      </c>
      <c r="M41" s="9">
        <v>0.5</v>
      </c>
      <c r="N41" s="9">
        <v>0.5</v>
      </c>
      <c r="P41" s="9">
        <f t="shared" si="0"/>
        <v>1</v>
      </c>
    </row>
    <row r="42" spans="1:16" x14ac:dyDescent="0.3">
      <c r="A42" s="7" t="s">
        <v>145</v>
      </c>
      <c r="B42" s="7" t="s">
        <v>146</v>
      </c>
      <c r="C42" s="7" t="s">
        <v>9</v>
      </c>
      <c r="D42" s="7" t="s">
        <v>19</v>
      </c>
      <c r="E42" s="7" t="s">
        <v>131</v>
      </c>
      <c r="F42" s="7" t="s">
        <v>135</v>
      </c>
      <c r="G42" s="7" t="s">
        <v>11</v>
      </c>
      <c r="H42" s="7" t="s">
        <v>18</v>
      </c>
      <c r="I42" t="s">
        <v>200</v>
      </c>
      <c r="J42" s="9">
        <v>1</v>
      </c>
      <c r="P42" s="9">
        <f t="shared" si="0"/>
        <v>1</v>
      </c>
    </row>
    <row r="43" spans="1:16" x14ac:dyDescent="0.3">
      <c r="A43" s="7" t="s">
        <v>147</v>
      </c>
      <c r="B43" s="7" t="s">
        <v>148</v>
      </c>
      <c r="C43" s="7" t="s">
        <v>9</v>
      </c>
      <c r="D43" s="7" t="s">
        <v>19</v>
      </c>
      <c r="E43" s="7" t="s">
        <v>32</v>
      </c>
      <c r="F43" s="7" t="s">
        <v>124</v>
      </c>
      <c r="G43" s="7" t="s">
        <v>11</v>
      </c>
      <c r="H43" s="7" t="s">
        <v>12</v>
      </c>
      <c r="I43" t="s">
        <v>200</v>
      </c>
      <c r="J43" s="9">
        <v>1</v>
      </c>
      <c r="M43" s="9"/>
      <c r="N43" s="9"/>
      <c r="P43" s="9">
        <f t="shared" si="0"/>
        <v>1</v>
      </c>
    </row>
    <row r="44" spans="1:16" x14ac:dyDescent="0.3">
      <c r="A44" s="7" t="s">
        <v>149</v>
      </c>
      <c r="B44" s="7" t="s">
        <v>150</v>
      </c>
      <c r="C44" s="7" t="s">
        <v>9</v>
      </c>
      <c r="D44" s="7" t="s">
        <v>50</v>
      </c>
      <c r="E44" s="7" t="s">
        <v>32</v>
      </c>
      <c r="F44" s="7" t="s">
        <v>29</v>
      </c>
      <c r="G44" s="7" t="s">
        <v>11</v>
      </c>
      <c r="H44" s="7" t="s">
        <v>12</v>
      </c>
      <c r="I44" t="s">
        <v>204</v>
      </c>
      <c r="J44" s="9"/>
      <c r="L44" s="9">
        <v>1</v>
      </c>
      <c r="P44" s="9">
        <f t="shared" si="0"/>
        <v>1</v>
      </c>
    </row>
    <row r="45" spans="1:16" x14ac:dyDescent="0.3">
      <c r="A45" s="7" t="s">
        <v>26</v>
      </c>
      <c r="B45" s="7" t="s">
        <v>27</v>
      </c>
      <c r="C45" s="7" t="s">
        <v>9</v>
      </c>
      <c r="D45" s="7" t="s">
        <v>50</v>
      </c>
      <c r="E45" s="7" t="s">
        <v>32</v>
      </c>
      <c r="F45" s="7" t="s">
        <v>151</v>
      </c>
      <c r="G45" s="7" t="s">
        <v>11</v>
      </c>
      <c r="H45" s="7" t="s">
        <v>12</v>
      </c>
      <c r="I45" t="s">
        <v>200</v>
      </c>
      <c r="L45" s="9">
        <v>1</v>
      </c>
      <c r="P45" s="9">
        <f>SUM(K45:O45)</f>
        <v>1</v>
      </c>
    </row>
    <row r="46" spans="1:16" x14ac:dyDescent="0.3">
      <c r="A46" s="7" t="s">
        <v>152</v>
      </c>
      <c r="B46" s="7" t="s">
        <v>153</v>
      </c>
      <c r="C46" s="7" t="s">
        <v>9</v>
      </c>
      <c r="D46" s="7" t="s">
        <v>50</v>
      </c>
      <c r="E46" s="7" t="s">
        <v>32</v>
      </c>
      <c r="F46" s="7" t="s">
        <v>29</v>
      </c>
      <c r="G46" s="7" t="s">
        <v>11</v>
      </c>
      <c r="H46" s="7" t="s">
        <v>54</v>
      </c>
      <c r="I46" t="s">
        <v>201</v>
      </c>
      <c r="K46" s="9">
        <v>1</v>
      </c>
      <c r="P46" s="9">
        <f t="shared" si="0"/>
        <v>1</v>
      </c>
    </row>
    <row r="47" spans="1:16" x14ac:dyDescent="0.3">
      <c r="A47" s="7" t="s">
        <v>136</v>
      </c>
      <c r="B47" s="7" t="s">
        <v>137</v>
      </c>
      <c r="C47" s="7" t="s">
        <v>9</v>
      </c>
      <c r="D47" s="7" t="s">
        <v>50</v>
      </c>
      <c r="E47" s="7" t="s">
        <v>16</v>
      </c>
      <c r="F47" s="7" t="s">
        <v>68</v>
      </c>
      <c r="G47" s="7" t="s">
        <v>11</v>
      </c>
      <c r="H47" s="7" t="s">
        <v>18</v>
      </c>
      <c r="I47" t="s">
        <v>201</v>
      </c>
      <c r="J47" s="9"/>
      <c r="L47" s="9">
        <v>0.5</v>
      </c>
      <c r="M47" s="9">
        <v>0.25</v>
      </c>
      <c r="N47" s="9">
        <v>0.25</v>
      </c>
      <c r="P47" s="9">
        <f t="shared" si="0"/>
        <v>1</v>
      </c>
    </row>
    <row r="48" spans="1:16" x14ac:dyDescent="0.3">
      <c r="A48" s="7" t="s">
        <v>154</v>
      </c>
      <c r="B48" s="7" t="s">
        <v>155</v>
      </c>
      <c r="C48" s="7" t="s">
        <v>9</v>
      </c>
      <c r="D48" s="7" t="s">
        <v>50</v>
      </c>
      <c r="E48" s="7" t="s">
        <v>32</v>
      </c>
      <c r="F48" s="7" t="s">
        <v>80</v>
      </c>
      <c r="G48" s="7" t="s">
        <v>11</v>
      </c>
      <c r="H48" s="7" t="s">
        <v>54</v>
      </c>
      <c r="I48" t="s">
        <v>201</v>
      </c>
      <c r="J48" s="9">
        <v>1</v>
      </c>
      <c r="P48" s="9">
        <f t="shared" si="0"/>
        <v>1</v>
      </c>
    </row>
    <row r="49" spans="1:16" x14ac:dyDescent="0.3">
      <c r="A49" s="7" t="s">
        <v>128</v>
      </c>
      <c r="B49" s="7" t="s">
        <v>156</v>
      </c>
      <c r="C49" s="7" t="s">
        <v>9</v>
      </c>
      <c r="D49" s="7" t="s">
        <v>50</v>
      </c>
      <c r="E49" s="7" t="s">
        <v>127</v>
      </c>
      <c r="F49" s="7" t="s">
        <v>157</v>
      </c>
      <c r="G49" s="7" t="s">
        <v>11</v>
      </c>
      <c r="H49" s="7" t="s">
        <v>18</v>
      </c>
      <c r="I49" t="s">
        <v>200</v>
      </c>
      <c r="M49" s="9">
        <v>0.5</v>
      </c>
      <c r="N49" s="9">
        <v>0.5</v>
      </c>
      <c r="P49" s="9">
        <f t="shared" si="0"/>
        <v>1</v>
      </c>
    </row>
    <row r="50" spans="1:16" x14ac:dyDescent="0.3">
      <c r="A50" s="7" t="s">
        <v>158</v>
      </c>
      <c r="B50" s="7" t="s">
        <v>159</v>
      </c>
      <c r="C50" s="7" t="s">
        <v>9</v>
      </c>
      <c r="D50" s="7" t="s">
        <v>50</v>
      </c>
      <c r="E50" s="7" t="s">
        <v>24</v>
      </c>
      <c r="F50" s="7" t="s">
        <v>29</v>
      </c>
      <c r="G50" s="7" t="s">
        <v>11</v>
      </c>
      <c r="H50" s="7" t="s">
        <v>12</v>
      </c>
      <c r="I50" t="s">
        <v>204</v>
      </c>
      <c r="O50" s="9">
        <v>1</v>
      </c>
      <c r="P50" s="9">
        <f t="shared" si="0"/>
        <v>1</v>
      </c>
    </row>
    <row r="51" spans="1:16" x14ac:dyDescent="0.3">
      <c r="A51" s="7" t="s">
        <v>160</v>
      </c>
      <c r="B51" s="7" t="s">
        <v>161</v>
      </c>
      <c r="C51" s="7" t="s">
        <v>9</v>
      </c>
      <c r="D51" s="7" t="s">
        <v>50</v>
      </c>
      <c r="E51" s="7" t="s">
        <v>32</v>
      </c>
      <c r="F51" s="7" t="s">
        <v>29</v>
      </c>
      <c r="G51" s="7" t="s">
        <v>11</v>
      </c>
      <c r="H51" s="7" t="s">
        <v>18</v>
      </c>
      <c r="I51" t="s">
        <v>200</v>
      </c>
      <c r="K51" s="9"/>
      <c r="N51" s="9">
        <v>1</v>
      </c>
      <c r="P51" s="9">
        <f t="shared" si="0"/>
        <v>1</v>
      </c>
    </row>
    <row r="52" spans="1:16" x14ac:dyDescent="0.3">
      <c r="A52" s="7" t="s">
        <v>162</v>
      </c>
      <c r="B52" s="7" t="s">
        <v>163</v>
      </c>
      <c r="C52" s="7" t="s">
        <v>9</v>
      </c>
      <c r="D52" s="7" t="s">
        <v>50</v>
      </c>
      <c r="E52" s="7" t="s">
        <v>24</v>
      </c>
      <c r="F52" s="7" t="s">
        <v>41</v>
      </c>
      <c r="G52" s="7" t="s">
        <v>11</v>
      </c>
      <c r="H52" s="7" t="s">
        <v>12</v>
      </c>
      <c r="I52" t="s">
        <v>201</v>
      </c>
      <c r="J52" s="9">
        <v>1</v>
      </c>
      <c r="P52" s="9">
        <f t="shared" si="0"/>
        <v>1</v>
      </c>
    </row>
    <row r="53" spans="1:16" x14ac:dyDescent="0.3">
      <c r="A53" s="7" t="s">
        <v>77</v>
      </c>
      <c r="B53" s="10" t="s">
        <v>164</v>
      </c>
      <c r="C53" s="7" t="s">
        <v>9</v>
      </c>
      <c r="D53" s="7" t="s">
        <v>15</v>
      </c>
      <c r="E53" s="7" t="s">
        <v>16</v>
      </c>
      <c r="F53" s="7" t="s">
        <v>165</v>
      </c>
      <c r="G53" s="7" t="s">
        <v>11</v>
      </c>
      <c r="H53" s="7" t="s">
        <v>12</v>
      </c>
      <c r="I53" t="s">
        <v>202</v>
      </c>
      <c r="P53" s="9">
        <f t="shared" si="0"/>
        <v>0</v>
      </c>
    </row>
    <row r="54" spans="1:16" x14ac:dyDescent="0.3">
      <c r="A54" s="7" t="s">
        <v>166</v>
      </c>
      <c r="B54" s="7" t="s">
        <v>167</v>
      </c>
      <c r="C54" s="7" t="s">
        <v>9</v>
      </c>
      <c r="D54" s="7" t="s">
        <v>15</v>
      </c>
      <c r="E54" s="7" t="s">
        <v>32</v>
      </c>
      <c r="F54" s="7" t="s">
        <v>29</v>
      </c>
      <c r="G54" s="7" t="s">
        <v>11</v>
      </c>
      <c r="H54" s="7" t="s">
        <v>12</v>
      </c>
      <c r="I54" t="s">
        <v>202</v>
      </c>
      <c r="J54" s="9">
        <v>1</v>
      </c>
      <c r="K54" s="9"/>
      <c r="P54" s="9">
        <f t="shared" si="0"/>
        <v>1</v>
      </c>
    </row>
    <row r="55" spans="1:16" x14ac:dyDescent="0.3">
      <c r="A55" s="7" t="s">
        <v>168</v>
      </c>
      <c r="B55" s="7" t="s">
        <v>169</v>
      </c>
      <c r="C55" s="7" t="s">
        <v>9</v>
      </c>
      <c r="D55" s="7" t="s">
        <v>10</v>
      </c>
      <c r="E55" s="7" t="s">
        <v>32</v>
      </c>
      <c r="F55" s="7" t="s">
        <v>45</v>
      </c>
      <c r="G55" s="7" t="s">
        <v>11</v>
      </c>
      <c r="H55" s="7" t="s">
        <v>12</v>
      </c>
      <c r="I55" t="s">
        <v>201</v>
      </c>
      <c r="J55" s="9">
        <v>1</v>
      </c>
      <c r="P55" s="9">
        <f t="shared" si="0"/>
        <v>1</v>
      </c>
    </row>
    <row r="56" spans="1:16" x14ac:dyDescent="0.3">
      <c r="A56" s="7" t="s">
        <v>170</v>
      </c>
      <c r="B56" s="7" t="s">
        <v>171</v>
      </c>
      <c r="C56" s="7" t="s">
        <v>9</v>
      </c>
      <c r="D56" s="7" t="s">
        <v>10</v>
      </c>
      <c r="E56" s="7" t="s">
        <v>32</v>
      </c>
      <c r="F56" s="7" t="s">
        <v>21</v>
      </c>
      <c r="G56" s="7" t="s">
        <v>11</v>
      </c>
      <c r="H56" s="7" t="s">
        <v>12</v>
      </c>
      <c r="I56" t="s">
        <v>201</v>
      </c>
      <c r="J56" s="9">
        <v>1</v>
      </c>
      <c r="P56" s="9">
        <f t="shared" si="0"/>
        <v>1</v>
      </c>
    </row>
    <row r="57" spans="1:16" x14ac:dyDescent="0.3">
      <c r="A57" s="7" t="s">
        <v>172</v>
      </c>
      <c r="B57" s="7" t="s">
        <v>173</v>
      </c>
      <c r="C57" s="7" t="s">
        <v>9</v>
      </c>
      <c r="D57" s="7" t="s">
        <v>10</v>
      </c>
      <c r="E57" s="7" t="s">
        <v>32</v>
      </c>
      <c r="F57" s="7" t="s">
        <v>45</v>
      </c>
      <c r="G57" s="7" t="s">
        <v>11</v>
      </c>
      <c r="H57" s="7" t="s">
        <v>12</v>
      </c>
      <c r="I57" t="s">
        <v>201</v>
      </c>
      <c r="J57" s="9">
        <v>1</v>
      </c>
      <c r="P57" s="9">
        <f t="shared" si="0"/>
        <v>1</v>
      </c>
    </row>
    <row r="58" spans="1:16" x14ac:dyDescent="0.3">
      <c r="A58" s="7" t="s">
        <v>174</v>
      </c>
      <c r="B58" s="7" t="s">
        <v>175</v>
      </c>
      <c r="C58" s="7" t="s">
        <v>9</v>
      </c>
      <c r="D58" s="7" t="s">
        <v>10</v>
      </c>
      <c r="E58" s="7" t="s">
        <v>16</v>
      </c>
      <c r="F58" s="7" t="s">
        <v>76</v>
      </c>
      <c r="G58" s="7" t="s">
        <v>11</v>
      </c>
      <c r="H58" s="7" t="s">
        <v>18</v>
      </c>
      <c r="I58" t="s">
        <v>201</v>
      </c>
      <c r="M58" s="9">
        <v>0.5</v>
      </c>
      <c r="N58" s="9">
        <v>0.5</v>
      </c>
      <c r="P58" s="9">
        <f t="shared" si="0"/>
        <v>1</v>
      </c>
    </row>
    <row r="59" spans="1:16" x14ac:dyDescent="0.3">
      <c r="A59" s="7" t="s">
        <v>176</v>
      </c>
      <c r="B59" s="10" t="s">
        <v>177</v>
      </c>
      <c r="C59" s="7" t="s">
        <v>9</v>
      </c>
      <c r="D59" s="7" t="s">
        <v>15</v>
      </c>
      <c r="E59" s="7" t="s">
        <v>16</v>
      </c>
      <c r="F59" s="7" t="s">
        <v>132</v>
      </c>
      <c r="G59" s="7" t="s">
        <v>11</v>
      </c>
      <c r="H59" s="7" t="s">
        <v>12</v>
      </c>
      <c r="I59" t="s">
        <v>202</v>
      </c>
      <c r="P59" s="9">
        <f t="shared" si="0"/>
        <v>0</v>
      </c>
    </row>
    <row r="60" spans="1:16" x14ac:dyDescent="0.3">
      <c r="A60" s="7" t="s">
        <v>178</v>
      </c>
      <c r="B60" s="10" t="s">
        <v>179</v>
      </c>
      <c r="C60" s="7" t="s">
        <v>9</v>
      </c>
      <c r="D60" s="7" t="s">
        <v>10</v>
      </c>
      <c r="E60" s="7" t="s">
        <v>32</v>
      </c>
      <c r="F60" s="7" t="s">
        <v>35</v>
      </c>
      <c r="G60" s="7" t="s">
        <v>11</v>
      </c>
      <c r="H60" s="7" t="s">
        <v>12</v>
      </c>
      <c r="I60" t="s">
        <v>201</v>
      </c>
      <c r="J60" s="9">
        <v>1</v>
      </c>
      <c r="P60" s="9">
        <f t="shared" si="0"/>
        <v>1</v>
      </c>
    </row>
    <row r="61" spans="1:16" x14ac:dyDescent="0.3">
      <c r="A61" s="7" t="s">
        <v>180</v>
      </c>
      <c r="B61" s="7" t="s">
        <v>181</v>
      </c>
      <c r="C61" s="7" t="s">
        <v>9</v>
      </c>
      <c r="D61" s="7" t="s">
        <v>15</v>
      </c>
      <c r="E61" s="7" t="s">
        <v>32</v>
      </c>
      <c r="F61" s="7" t="s">
        <v>28</v>
      </c>
      <c r="G61" s="7" t="s">
        <v>11</v>
      </c>
      <c r="H61" s="7" t="s">
        <v>12</v>
      </c>
      <c r="I61" t="s">
        <v>202</v>
      </c>
      <c r="J61" s="9">
        <v>1</v>
      </c>
      <c r="P61" s="9">
        <f t="shared" si="0"/>
        <v>1</v>
      </c>
    </row>
    <row r="62" spans="1:16" x14ac:dyDescent="0.3">
      <c r="A62" s="7" t="s">
        <v>182</v>
      </c>
      <c r="B62" s="7" t="s">
        <v>183</v>
      </c>
      <c r="C62" s="7" t="s">
        <v>9</v>
      </c>
      <c r="D62" s="7" t="s">
        <v>15</v>
      </c>
      <c r="E62" s="7" t="s">
        <v>32</v>
      </c>
      <c r="F62" s="7" t="s">
        <v>28</v>
      </c>
      <c r="G62" s="7" t="s">
        <v>11</v>
      </c>
      <c r="H62" s="7" t="s">
        <v>54</v>
      </c>
      <c r="I62" t="s">
        <v>202</v>
      </c>
      <c r="J62" s="9"/>
      <c r="M62" s="9">
        <v>1</v>
      </c>
      <c r="P62" s="9">
        <f t="shared" si="0"/>
        <v>1</v>
      </c>
    </row>
    <row r="63" spans="1:16" x14ac:dyDescent="0.3">
      <c r="A63" s="7" t="s">
        <v>184</v>
      </c>
      <c r="B63" s="7" t="s">
        <v>185</v>
      </c>
      <c r="C63" s="7" t="s">
        <v>9</v>
      </c>
      <c r="D63" s="7" t="s">
        <v>10</v>
      </c>
      <c r="E63" s="7" t="s">
        <v>32</v>
      </c>
      <c r="F63" s="7" t="s">
        <v>80</v>
      </c>
      <c r="G63" s="7" t="s">
        <v>11</v>
      </c>
      <c r="H63" s="7" t="s">
        <v>12</v>
      </c>
      <c r="I63" t="s">
        <v>201</v>
      </c>
      <c r="L63" s="9">
        <v>1</v>
      </c>
      <c r="P63" s="9">
        <f>SUM(K63:O63)</f>
        <v>1</v>
      </c>
    </row>
    <row r="64" spans="1:16" x14ac:dyDescent="0.3">
      <c r="A64" s="7" t="s">
        <v>186</v>
      </c>
      <c r="B64" s="7" t="s">
        <v>187</v>
      </c>
      <c r="C64" s="7" t="s">
        <v>20</v>
      </c>
      <c r="D64" s="7" t="s">
        <v>15</v>
      </c>
      <c r="E64" s="7" t="s">
        <v>32</v>
      </c>
      <c r="F64" s="7" t="s">
        <v>188</v>
      </c>
      <c r="G64" s="7" t="s">
        <v>11</v>
      </c>
      <c r="H64" s="7" t="s">
        <v>18</v>
      </c>
      <c r="I64" t="s">
        <v>202</v>
      </c>
      <c r="J64" s="9"/>
      <c r="L64" s="9">
        <v>1</v>
      </c>
      <c r="P64" s="9">
        <f t="shared" si="0"/>
        <v>1</v>
      </c>
    </row>
    <row r="65" spans="1:16" x14ac:dyDescent="0.3">
      <c r="A65" s="7" t="s">
        <v>189</v>
      </c>
      <c r="B65" s="10" t="s">
        <v>190</v>
      </c>
      <c r="C65" s="7" t="s">
        <v>9</v>
      </c>
      <c r="D65" s="7" t="s">
        <v>10</v>
      </c>
      <c r="E65" s="7" t="s">
        <v>32</v>
      </c>
      <c r="F65" s="7" t="s">
        <v>45</v>
      </c>
      <c r="G65" s="7" t="s">
        <v>11</v>
      </c>
      <c r="H65" s="7" t="s">
        <v>12</v>
      </c>
      <c r="I65" t="s">
        <v>201</v>
      </c>
      <c r="J65" s="9">
        <v>1</v>
      </c>
      <c r="P65" s="9">
        <f t="shared" si="0"/>
        <v>1</v>
      </c>
    </row>
    <row r="66" spans="1:16" x14ac:dyDescent="0.3">
      <c r="A66" s="7" t="s">
        <v>191</v>
      </c>
      <c r="B66" s="7" t="s">
        <v>192</v>
      </c>
      <c r="C66" s="7" t="s">
        <v>9</v>
      </c>
      <c r="D66" s="7" t="s">
        <v>43</v>
      </c>
      <c r="E66" s="7" t="s">
        <v>32</v>
      </c>
      <c r="F66" s="7" t="s">
        <v>193</v>
      </c>
      <c r="G66" s="7" t="s">
        <v>11</v>
      </c>
      <c r="H66" s="7" t="s">
        <v>18</v>
      </c>
      <c r="I66" t="s">
        <v>203</v>
      </c>
      <c r="L66" s="9">
        <v>0.1</v>
      </c>
      <c r="M66" s="9">
        <v>0.4</v>
      </c>
      <c r="N66" s="9">
        <v>0.5</v>
      </c>
      <c r="P66" s="9">
        <f t="shared" si="0"/>
        <v>1</v>
      </c>
    </row>
    <row r="67" spans="1:16" x14ac:dyDescent="0.3">
      <c r="A67" s="11" t="s">
        <v>138</v>
      </c>
      <c r="B67" s="11" t="s">
        <v>139</v>
      </c>
      <c r="C67" s="7" t="s">
        <v>9</v>
      </c>
      <c r="D67" s="11" t="s">
        <v>19</v>
      </c>
      <c r="E67" s="11" t="s">
        <v>32</v>
      </c>
      <c r="F67" s="11" t="s">
        <v>101</v>
      </c>
      <c r="H67" s="11" t="s">
        <v>54</v>
      </c>
      <c r="M67" s="9">
        <v>1</v>
      </c>
      <c r="P67" s="9">
        <f t="shared" si="0"/>
        <v>1</v>
      </c>
    </row>
    <row r="68" spans="1:16" x14ac:dyDescent="0.3">
      <c r="A68" s="11" t="s">
        <v>211</v>
      </c>
      <c r="B68" s="11" t="s">
        <v>244</v>
      </c>
      <c r="C68" s="7" t="s">
        <v>9</v>
      </c>
      <c r="D68" s="11" t="s">
        <v>19</v>
      </c>
      <c r="E68" s="11" t="s">
        <v>32</v>
      </c>
      <c r="F68" s="11" t="s">
        <v>101</v>
      </c>
      <c r="H68" s="11" t="s">
        <v>289</v>
      </c>
    </row>
    <row r="69" spans="1:16" x14ac:dyDescent="0.3">
      <c r="A69" s="11" t="s">
        <v>212</v>
      </c>
      <c r="B69" s="11" t="s">
        <v>245</v>
      </c>
      <c r="C69" s="7" t="s">
        <v>9</v>
      </c>
      <c r="D69" s="11" t="s">
        <v>19</v>
      </c>
      <c r="E69" s="11" t="s">
        <v>32</v>
      </c>
      <c r="F69" s="11" t="s">
        <v>277</v>
      </c>
      <c r="H69" s="11" t="s">
        <v>289</v>
      </c>
      <c r="N69" s="9">
        <v>1</v>
      </c>
    </row>
    <row r="70" spans="1:16" x14ac:dyDescent="0.3">
      <c r="A70" s="11" t="s">
        <v>213</v>
      </c>
      <c r="B70" s="11" t="s">
        <v>246</v>
      </c>
      <c r="C70" s="7" t="s">
        <v>9</v>
      </c>
      <c r="D70" s="11" t="s">
        <v>19</v>
      </c>
      <c r="E70" s="11" t="s">
        <v>32</v>
      </c>
      <c r="F70" s="11" t="s">
        <v>278</v>
      </c>
      <c r="H70" s="11" t="s">
        <v>289</v>
      </c>
      <c r="N70" s="9">
        <v>1</v>
      </c>
    </row>
    <row r="71" spans="1:16" x14ac:dyDescent="0.3">
      <c r="A71" s="11" t="s">
        <v>214</v>
      </c>
      <c r="B71" s="11" t="s">
        <v>247</v>
      </c>
      <c r="C71" s="7" t="s">
        <v>9</v>
      </c>
      <c r="D71" s="11" t="s">
        <v>19</v>
      </c>
      <c r="E71" s="11" t="s">
        <v>32</v>
      </c>
      <c r="F71" s="11" t="s">
        <v>28</v>
      </c>
      <c r="H71" s="11" t="s">
        <v>12</v>
      </c>
      <c r="L71" s="9">
        <v>1</v>
      </c>
    </row>
    <row r="72" spans="1:16" x14ac:dyDescent="0.3">
      <c r="A72" s="11" t="s">
        <v>215</v>
      </c>
      <c r="B72" s="11" t="s">
        <v>248</v>
      </c>
      <c r="C72" s="7" t="s">
        <v>9</v>
      </c>
      <c r="D72" s="11" t="s">
        <v>19</v>
      </c>
      <c r="E72" s="11" t="s">
        <v>32</v>
      </c>
      <c r="F72" s="11" t="s">
        <v>278</v>
      </c>
      <c r="H72" s="11" t="s">
        <v>18</v>
      </c>
    </row>
    <row r="73" spans="1:16" x14ac:dyDescent="0.3">
      <c r="A73" s="11" t="s">
        <v>216</v>
      </c>
      <c r="B73" s="11" t="s">
        <v>249</v>
      </c>
      <c r="C73" s="7" t="s">
        <v>9</v>
      </c>
      <c r="D73" s="11" t="s">
        <v>19</v>
      </c>
      <c r="E73" s="11" t="s">
        <v>32</v>
      </c>
      <c r="F73" s="11" t="s">
        <v>279</v>
      </c>
      <c r="H73" s="11" t="s">
        <v>18</v>
      </c>
    </row>
    <row r="74" spans="1:16" x14ac:dyDescent="0.3">
      <c r="A74" s="11" t="s">
        <v>217</v>
      </c>
      <c r="B74" s="11" t="s">
        <v>250</v>
      </c>
      <c r="C74" s="7" t="s">
        <v>9</v>
      </c>
      <c r="D74" s="11" t="s">
        <v>19</v>
      </c>
      <c r="E74" s="11" t="s">
        <v>32</v>
      </c>
      <c r="F74" s="11" t="s">
        <v>151</v>
      </c>
      <c r="H74" s="11" t="s">
        <v>18</v>
      </c>
    </row>
    <row r="75" spans="1:16" x14ac:dyDescent="0.3">
      <c r="A75" s="11" t="s">
        <v>218</v>
      </c>
      <c r="B75" s="11" t="s">
        <v>251</v>
      </c>
      <c r="C75" s="7" t="s">
        <v>9</v>
      </c>
      <c r="D75" s="11" t="s">
        <v>19</v>
      </c>
      <c r="E75" s="11" t="s">
        <v>32</v>
      </c>
      <c r="F75" s="11" t="s">
        <v>33</v>
      </c>
      <c r="H75" s="11" t="s">
        <v>18</v>
      </c>
      <c r="L75" s="9">
        <v>1</v>
      </c>
    </row>
    <row r="76" spans="1:16" x14ac:dyDescent="0.3">
      <c r="A76" s="11" t="s">
        <v>219</v>
      </c>
      <c r="B76" s="11" t="s">
        <v>252</v>
      </c>
      <c r="C76" s="7" t="s">
        <v>9</v>
      </c>
      <c r="D76" s="11" t="s">
        <v>19</v>
      </c>
      <c r="E76" s="11" t="s">
        <v>32</v>
      </c>
      <c r="F76" s="11" t="s">
        <v>280</v>
      </c>
      <c r="H76" s="11" t="s">
        <v>12</v>
      </c>
      <c r="J76" s="9">
        <v>1</v>
      </c>
    </row>
    <row r="77" spans="1:16" x14ac:dyDescent="0.3">
      <c r="A77" s="11" t="s">
        <v>220</v>
      </c>
      <c r="B77" s="11" t="s">
        <v>253</v>
      </c>
      <c r="C77" s="7" t="s">
        <v>9</v>
      </c>
      <c r="D77" s="11" t="s">
        <v>19</v>
      </c>
      <c r="E77" s="11" t="s">
        <v>32</v>
      </c>
      <c r="F77" s="11" t="s">
        <v>280</v>
      </c>
      <c r="H77" s="11" t="s">
        <v>12</v>
      </c>
      <c r="J77" s="9">
        <v>1</v>
      </c>
    </row>
    <row r="78" spans="1:16" x14ac:dyDescent="0.3">
      <c r="A78" s="11" t="s">
        <v>221</v>
      </c>
      <c r="B78" s="11" t="s">
        <v>254</v>
      </c>
      <c r="C78" s="7" t="s">
        <v>9</v>
      </c>
      <c r="D78" s="11" t="s">
        <v>19</v>
      </c>
      <c r="E78" s="11" t="s">
        <v>32</v>
      </c>
      <c r="F78" s="11" t="s">
        <v>281</v>
      </c>
      <c r="H78" s="11" t="s">
        <v>289</v>
      </c>
      <c r="J78" s="9">
        <v>1</v>
      </c>
      <c r="N78" s="9"/>
    </row>
    <row r="79" spans="1:16" x14ac:dyDescent="0.3">
      <c r="A79" s="11" t="s">
        <v>222</v>
      </c>
      <c r="B79" s="11" t="s">
        <v>255</v>
      </c>
      <c r="C79" s="7" t="s">
        <v>9</v>
      </c>
      <c r="D79" s="11" t="s">
        <v>19</v>
      </c>
      <c r="E79" s="11" t="s">
        <v>131</v>
      </c>
      <c r="F79" s="11" t="s">
        <v>282</v>
      </c>
      <c r="H79" s="11" t="s">
        <v>18</v>
      </c>
      <c r="L79" s="9">
        <v>1</v>
      </c>
    </row>
    <row r="80" spans="1:16" x14ac:dyDescent="0.3">
      <c r="A80" s="11" t="s">
        <v>223</v>
      </c>
      <c r="B80" s="11" t="s">
        <v>256</v>
      </c>
      <c r="C80" s="7" t="s">
        <v>20</v>
      </c>
      <c r="D80" s="11" t="s">
        <v>19</v>
      </c>
      <c r="E80" s="11" t="s">
        <v>32</v>
      </c>
      <c r="F80" s="11" t="s">
        <v>121</v>
      </c>
      <c r="H80" s="11" t="s">
        <v>18</v>
      </c>
      <c r="L80" s="9">
        <v>0.5</v>
      </c>
      <c r="M80" s="9">
        <v>0.5</v>
      </c>
    </row>
    <row r="81" spans="1:16" x14ac:dyDescent="0.3">
      <c r="A81" s="11" t="s">
        <v>224</v>
      </c>
      <c r="B81" s="11" t="s">
        <v>257</v>
      </c>
      <c r="C81" s="7" t="s">
        <v>9</v>
      </c>
      <c r="D81" s="11" t="s">
        <v>19</v>
      </c>
      <c r="E81" s="11" t="s">
        <v>32</v>
      </c>
      <c r="F81" s="11" t="s">
        <v>280</v>
      </c>
      <c r="H81" s="11" t="s">
        <v>12</v>
      </c>
      <c r="J81" s="9">
        <v>1</v>
      </c>
    </row>
    <row r="82" spans="1:16" x14ac:dyDescent="0.3">
      <c r="A82" s="11" t="s">
        <v>225</v>
      </c>
      <c r="B82" s="11" t="s">
        <v>258</v>
      </c>
      <c r="C82" s="7" t="s">
        <v>9</v>
      </c>
      <c r="D82" s="11" t="s">
        <v>19</v>
      </c>
      <c r="E82" s="11" t="s">
        <v>32</v>
      </c>
      <c r="F82" s="11" t="s">
        <v>283</v>
      </c>
      <c r="H82" s="11" t="s">
        <v>18</v>
      </c>
    </row>
    <row r="83" spans="1:16" x14ac:dyDescent="0.3">
      <c r="A83" s="11" t="s">
        <v>226</v>
      </c>
      <c r="B83" s="11" t="s">
        <v>259</v>
      </c>
      <c r="C83" s="7" t="s">
        <v>9</v>
      </c>
      <c r="D83" s="11" t="s">
        <v>19</v>
      </c>
      <c r="E83" s="11" t="s">
        <v>32</v>
      </c>
      <c r="F83" s="11" t="s">
        <v>284</v>
      </c>
      <c r="H83" s="11" t="s">
        <v>54</v>
      </c>
      <c r="M83" s="9">
        <v>1</v>
      </c>
      <c r="P83" s="9">
        <f t="shared" ref="P83" si="1">SUM(J83:O83)</f>
        <v>1</v>
      </c>
    </row>
    <row r="84" spans="1:16" x14ac:dyDescent="0.3">
      <c r="A84" s="11" t="s">
        <v>227</v>
      </c>
      <c r="B84" s="11" t="s">
        <v>260</v>
      </c>
      <c r="C84" s="7" t="s">
        <v>9</v>
      </c>
      <c r="D84" s="11" t="s">
        <v>19</v>
      </c>
      <c r="E84" s="11" t="s">
        <v>32</v>
      </c>
      <c r="F84" s="11" t="s">
        <v>21</v>
      </c>
      <c r="H84" s="11" t="s">
        <v>289</v>
      </c>
      <c r="N84" s="9">
        <v>1</v>
      </c>
    </row>
    <row r="85" spans="1:16" x14ac:dyDescent="0.3">
      <c r="A85" s="11" t="s">
        <v>228</v>
      </c>
      <c r="B85" s="11" t="s">
        <v>261</v>
      </c>
      <c r="C85" s="7" t="s">
        <v>9</v>
      </c>
      <c r="D85" s="11" t="s">
        <v>19</v>
      </c>
      <c r="E85" s="11" t="s">
        <v>32</v>
      </c>
      <c r="F85" s="11" t="s">
        <v>285</v>
      </c>
      <c r="H85" s="11" t="s">
        <v>18</v>
      </c>
      <c r="N85" s="9">
        <v>1</v>
      </c>
    </row>
    <row r="86" spans="1:16" x14ac:dyDescent="0.3">
      <c r="A86" s="11" t="s">
        <v>229</v>
      </c>
      <c r="B86" s="11" t="s">
        <v>262</v>
      </c>
      <c r="C86" s="7" t="s">
        <v>9</v>
      </c>
      <c r="D86" s="11" t="s">
        <v>19</v>
      </c>
      <c r="E86" s="11" t="s">
        <v>32</v>
      </c>
      <c r="F86" s="11" t="s">
        <v>33</v>
      </c>
      <c r="H86" s="11" t="s">
        <v>18</v>
      </c>
      <c r="J86" s="9">
        <v>1</v>
      </c>
    </row>
    <row r="87" spans="1:16" x14ac:dyDescent="0.3">
      <c r="A87" s="11" t="s">
        <v>230</v>
      </c>
      <c r="B87" s="11" t="s">
        <v>263</v>
      </c>
      <c r="C87" s="7" t="s">
        <v>9</v>
      </c>
      <c r="D87" s="11" t="s">
        <v>19</v>
      </c>
      <c r="E87" s="11" t="s">
        <v>32</v>
      </c>
      <c r="F87" s="11" t="s">
        <v>21</v>
      </c>
      <c r="H87" s="11" t="s">
        <v>54</v>
      </c>
      <c r="M87" s="9">
        <v>1</v>
      </c>
      <c r="P87" s="9">
        <f t="shared" ref="P87" si="2">SUM(J87:O87)</f>
        <v>1</v>
      </c>
    </row>
    <row r="88" spans="1:16" x14ac:dyDescent="0.3">
      <c r="A88" s="11" t="s">
        <v>231</v>
      </c>
      <c r="B88" s="11" t="s">
        <v>264</v>
      </c>
      <c r="C88" s="7" t="s">
        <v>9</v>
      </c>
      <c r="D88" s="11" t="s">
        <v>19</v>
      </c>
      <c r="E88" s="11" t="s">
        <v>32</v>
      </c>
      <c r="F88" s="11" t="s">
        <v>121</v>
      </c>
      <c r="H88" s="11" t="s">
        <v>18</v>
      </c>
      <c r="N88" s="9">
        <v>0.5</v>
      </c>
      <c r="O88" s="9">
        <v>0.5</v>
      </c>
    </row>
    <row r="89" spans="1:16" x14ac:dyDescent="0.3">
      <c r="A89" s="11" t="s">
        <v>232</v>
      </c>
      <c r="B89" s="11" t="s">
        <v>265</v>
      </c>
      <c r="C89" s="7" t="s">
        <v>9</v>
      </c>
      <c r="D89" s="11" t="s">
        <v>19</v>
      </c>
      <c r="E89" s="11" t="s">
        <v>32</v>
      </c>
      <c r="F89" s="11" t="s">
        <v>80</v>
      </c>
      <c r="H89" s="11" t="s">
        <v>289</v>
      </c>
      <c r="N89" s="9">
        <v>1</v>
      </c>
    </row>
    <row r="90" spans="1:16" x14ac:dyDescent="0.3">
      <c r="A90" s="11" t="s">
        <v>233</v>
      </c>
      <c r="B90" s="11" t="s">
        <v>266</v>
      </c>
      <c r="C90" s="7" t="s">
        <v>9</v>
      </c>
      <c r="D90" s="11" t="s">
        <v>19</v>
      </c>
      <c r="E90" s="11" t="s">
        <v>32</v>
      </c>
      <c r="F90" s="11" t="s">
        <v>29</v>
      </c>
      <c r="H90" s="11" t="s">
        <v>12</v>
      </c>
      <c r="L90" s="9">
        <v>1</v>
      </c>
    </row>
    <row r="91" spans="1:16" x14ac:dyDescent="0.3">
      <c r="A91" s="11" t="s">
        <v>234</v>
      </c>
      <c r="B91" s="11" t="s">
        <v>267</v>
      </c>
      <c r="C91" s="7" t="s">
        <v>9</v>
      </c>
      <c r="D91" s="11" t="s">
        <v>19</v>
      </c>
      <c r="E91" s="11" t="s">
        <v>32</v>
      </c>
      <c r="F91" s="11" t="s">
        <v>279</v>
      </c>
      <c r="H91" s="11" t="s">
        <v>54</v>
      </c>
      <c r="M91" s="9">
        <v>1</v>
      </c>
    </row>
    <row r="92" spans="1:16" x14ac:dyDescent="0.3">
      <c r="A92" s="11" t="s">
        <v>235</v>
      </c>
      <c r="B92" s="11" t="s">
        <v>268</v>
      </c>
      <c r="C92" s="7" t="s">
        <v>9</v>
      </c>
      <c r="D92" s="11" t="s">
        <v>19</v>
      </c>
      <c r="E92" s="11" t="s">
        <v>32</v>
      </c>
      <c r="F92" s="11" t="s">
        <v>286</v>
      </c>
      <c r="H92" s="11" t="s">
        <v>289</v>
      </c>
      <c r="M92" s="9">
        <v>1</v>
      </c>
      <c r="N92" s="9"/>
    </row>
    <row r="93" spans="1:16" x14ac:dyDescent="0.3">
      <c r="A93" s="11" t="s">
        <v>236</v>
      </c>
      <c r="B93" s="11" t="s">
        <v>269</v>
      </c>
      <c r="C93" s="7" t="s">
        <v>9</v>
      </c>
      <c r="D93" s="11" t="s">
        <v>19</v>
      </c>
      <c r="E93" s="11" t="s">
        <v>32</v>
      </c>
      <c r="F93" s="11" t="s">
        <v>45</v>
      </c>
      <c r="H93" s="11" t="s">
        <v>54</v>
      </c>
      <c r="M93" s="9">
        <v>1</v>
      </c>
      <c r="P93" s="9">
        <f t="shared" ref="P93" si="3">SUM(J93:O93)</f>
        <v>1</v>
      </c>
    </row>
    <row r="94" spans="1:16" x14ac:dyDescent="0.3">
      <c r="A94" s="11" t="s">
        <v>237</v>
      </c>
      <c r="B94" s="11" t="s">
        <v>270</v>
      </c>
      <c r="C94" s="7" t="s">
        <v>9</v>
      </c>
      <c r="D94" s="11" t="s">
        <v>19</v>
      </c>
      <c r="E94" s="11" t="s">
        <v>32</v>
      </c>
      <c r="F94" s="11" t="s">
        <v>121</v>
      </c>
      <c r="H94" s="11" t="s">
        <v>18</v>
      </c>
      <c r="M94" s="9">
        <v>1</v>
      </c>
    </row>
    <row r="95" spans="1:16" x14ac:dyDescent="0.3">
      <c r="A95" s="11" t="s">
        <v>238</v>
      </c>
      <c r="B95" s="11" t="s">
        <v>271</v>
      </c>
      <c r="C95" s="7" t="s">
        <v>9</v>
      </c>
      <c r="D95" s="11" t="s">
        <v>19</v>
      </c>
      <c r="E95" s="11" t="s">
        <v>32</v>
      </c>
      <c r="F95" s="11" t="s">
        <v>285</v>
      </c>
      <c r="H95" s="11" t="s">
        <v>18</v>
      </c>
      <c r="L95" s="9">
        <v>0.5</v>
      </c>
      <c r="M95" s="9">
        <v>0.5</v>
      </c>
    </row>
    <row r="96" spans="1:16" x14ac:dyDescent="0.3">
      <c r="A96" s="11" t="s">
        <v>239</v>
      </c>
      <c r="B96" s="11" t="s">
        <v>272</v>
      </c>
      <c r="C96" s="7" t="s">
        <v>9</v>
      </c>
      <c r="D96" s="11" t="s">
        <v>19</v>
      </c>
      <c r="E96" s="11" t="s">
        <v>32</v>
      </c>
      <c r="F96" s="11" t="s">
        <v>283</v>
      </c>
      <c r="H96" s="11" t="s">
        <v>18</v>
      </c>
    </row>
    <row r="97" spans="1:16" x14ac:dyDescent="0.3">
      <c r="A97" s="11" t="s">
        <v>240</v>
      </c>
      <c r="B97" s="11" t="s">
        <v>273</v>
      </c>
      <c r="C97" s="7" t="s">
        <v>9</v>
      </c>
      <c r="D97" s="11" t="s">
        <v>19</v>
      </c>
      <c r="E97" s="11" t="s">
        <v>32</v>
      </c>
      <c r="F97" s="11" t="s">
        <v>287</v>
      </c>
      <c r="H97" s="11" t="s">
        <v>12</v>
      </c>
      <c r="L97" s="9">
        <v>1</v>
      </c>
    </row>
    <row r="98" spans="1:16" x14ac:dyDescent="0.3">
      <c r="A98" s="11" t="s">
        <v>241</v>
      </c>
      <c r="B98" s="11" t="s">
        <v>274</v>
      </c>
      <c r="C98" s="7" t="s">
        <v>9</v>
      </c>
      <c r="D98" s="11" t="s">
        <v>19</v>
      </c>
      <c r="E98" s="11" t="s">
        <v>32</v>
      </c>
      <c r="F98" s="11" t="s">
        <v>21</v>
      </c>
      <c r="H98" s="11" t="s">
        <v>54</v>
      </c>
      <c r="M98" s="9">
        <v>1</v>
      </c>
      <c r="P98" s="9">
        <f t="shared" ref="P98" si="4">SUM(J98:O98)</f>
        <v>1</v>
      </c>
    </row>
    <row r="99" spans="1:16" x14ac:dyDescent="0.3">
      <c r="A99" s="11" t="s">
        <v>242</v>
      </c>
      <c r="B99" s="11" t="s">
        <v>275</v>
      </c>
      <c r="C99" s="7" t="s">
        <v>9</v>
      </c>
      <c r="D99" s="11" t="s">
        <v>19</v>
      </c>
      <c r="E99" s="11" t="s">
        <v>32</v>
      </c>
      <c r="F99" s="11" t="s">
        <v>33</v>
      </c>
      <c r="H99" s="11" t="s">
        <v>18</v>
      </c>
      <c r="J99" s="9">
        <v>1</v>
      </c>
    </row>
    <row r="100" spans="1:16" x14ac:dyDescent="0.3">
      <c r="A100" s="11" t="s">
        <v>243</v>
      </c>
      <c r="B100" s="11" t="s">
        <v>276</v>
      </c>
      <c r="C100" s="7" t="s">
        <v>9</v>
      </c>
      <c r="D100" s="11" t="s">
        <v>19</v>
      </c>
      <c r="E100" s="11" t="s">
        <v>32</v>
      </c>
      <c r="F100" s="11" t="s">
        <v>288</v>
      </c>
      <c r="H100" s="11" t="s">
        <v>12</v>
      </c>
      <c r="L100" s="9">
        <v>1</v>
      </c>
    </row>
  </sheetData>
  <autoFilter ref="A1:P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36.5546875" customWidth="1"/>
    <col min="2" max="2" width="150" style="3" customWidth="1"/>
  </cols>
  <sheetData>
    <row r="1" spans="1:2" s="1" customFormat="1" x14ac:dyDescent="0.3">
      <c r="A1" s="2" t="s">
        <v>194</v>
      </c>
      <c r="B1" s="4" t="s">
        <v>195</v>
      </c>
    </row>
    <row r="2" spans="1:2" ht="28.8" x14ac:dyDescent="0.3">
      <c r="A2" t="s">
        <v>4</v>
      </c>
      <c r="B2" s="3" t="s">
        <v>196</v>
      </c>
    </row>
    <row r="3" spans="1:2" x14ac:dyDescent="0.3">
      <c r="A3" t="s">
        <v>3</v>
      </c>
      <c r="B3" s="3" t="s">
        <v>197</v>
      </c>
    </row>
    <row r="4" spans="1:2" s="1" customFormat="1" x14ac:dyDescent="0.3">
      <c r="A4" s="1" t="s">
        <v>198</v>
      </c>
      <c r="B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Snapshot_details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Hafeezuddin</dc:creator>
  <cp:lastModifiedBy>Syed Hafeezuddin</cp:lastModifiedBy>
  <dcterms:created xsi:type="dcterms:W3CDTF">2025-05-13T03:51:44Z</dcterms:created>
  <dcterms:modified xsi:type="dcterms:W3CDTF">2025-09-02T09:17:47Z</dcterms:modified>
</cp:coreProperties>
</file>