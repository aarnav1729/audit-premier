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/>
  <mc:AlternateContent xmlns:mc="http://schemas.openxmlformats.org/markup-compatibility/2006">
    <mc:Choice Requires="x15">
      <x15ac:absPath xmlns:x15ac="http://schemas.microsoft.com/office/spreadsheetml/2010/11/ac" url="D:\OneDrive - PREMIER ENERGIES LIMITED\Desktop\PEGEPL\PEGEPL Asset working list\TGIIC Module workings\"/>
    </mc:Choice>
  </mc:AlternateContent>
  <xr:revisionPtr revIDLastSave="0" documentId="8_{6C5EA54E-E5F7-485D-9B7C-FD94FA63B20B}" xr6:coauthVersionLast="47" xr6:coauthVersionMax="47" xr10:uidLastSave="{00000000-0000-0000-0000-000000000000}"/>
  <bookViews>
    <workbookView xWindow="-108" yWindow="-108" windowWidth="23256" windowHeight="12456" firstSheet="1" activeTab="1" xr2:uid="{6B21D177-E2B9-458D-8971-7C7B61B59C27}"/>
  </bookViews>
  <sheets>
    <sheet name="Employee Cost" sheetId="1" state="hidden" r:id="rId1"/>
    <sheet name="PEPPL Topcon salaries" sheetId="2" r:id="rId2"/>
    <sheet name="Sheet2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2" l="1"/>
  <c r="E45" i="2"/>
  <c r="E9" i="2"/>
  <c r="E42" i="2"/>
  <c r="E33" i="2"/>
  <c r="E25" i="2"/>
  <c r="E17" i="2"/>
  <c r="D41" i="1"/>
  <c r="D33" i="1"/>
  <c r="J35" i="1"/>
  <c r="I35" i="1"/>
  <c r="H35" i="1"/>
  <c r="G35" i="1"/>
  <c r="F35" i="1"/>
  <c r="D35" i="1"/>
  <c r="E41" i="1"/>
  <c r="F41" i="1" s="1"/>
  <c r="F133" i="1"/>
  <c r="E133" i="1"/>
  <c r="D133" i="1"/>
  <c r="G133" i="1" s="1"/>
  <c r="F132" i="1"/>
  <c r="E132" i="1"/>
  <c r="D132" i="1"/>
  <c r="G132" i="1" s="1"/>
  <c r="F118" i="1"/>
  <c r="E118" i="1"/>
  <c r="D118" i="1"/>
  <c r="G118" i="1" s="1"/>
  <c r="E117" i="1"/>
  <c r="F117" i="1"/>
  <c r="E103" i="1"/>
  <c r="E102" i="1"/>
  <c r="F102" i="1" s="1"/>
  <c r="D117" i="1"/>
  <c r="D103" i="1"/>
  <c r="D102" i="1"/>
  <c r="D88" i="1"/>
  <c r="G88" i="1" s="1"/>
  <c r="E87" i="1"/>
  <c r="G87" i="1" s="1"/>
  <c r="D73" i="1"/>
  <c r="D72" i="1"/>
  <c r="G68" i="1"/>
  <c r="G67" i="1"/>
  <c r="G66" i="1"/>
  <c r="G65" i="1"/>
  <c r="G64" i="1"/>
  <c r="G63" i="1"/>
  <c r="G62" i="1"/>
  <c r="G61" i="1"/>
  <c r="G60" i="1"/>
  <c r="G59" i="1"/>
  <c r="G57" i="1"/>
  <c r="F58" i="1"/>
  <c r="E58" i="1"/>
  <c r="D58" i="1"/>
  <c r="G58" i="1" s="1"/>
  <c r="E42" i="1"/>
  <c r="D42" i="1"/>
  <c r="F42" i="1" s="1"/>
  <c r="I33" i="1"/>
  <c r="H33" i="1"/>
  <c r="G33" i="1"/>
  <c r="F33" i="1"/>
  <c r="E33" i="1"/>
  <c r="E35" i="1" s="1"/>
  <c r="F103" i="1" l="1"/>
  <c r="G117" i="1"/>
  <c r="J33" i="1"/>
</calcChain>
</file>

<file path=xl/sharedStrings.xml><?xml version="1.0" encoding="utf-8"?>
<sst xmlns="http://schemas.openxmlformats.org/spreadsheetml/2006/main" count="453" uniqueCount="225">
  <si>
    <t>FY 2024-25</t>
  </si>
  <si>
    <t>Business Unit</t>
  </si>
  <si>
    <t>1GW TopCon2</t>
  </si>
  <si>
    <t>1GW Module Line2</t>
  </si>
  <si>
    <t>500MW PERC Line2</t>
  </si>
  <si>
    <t>4GW Seetharampur2</t>
  </si>
  <si>
    <t>4GW Naidupeta2</t>
  </si>
  <si>
    <t>HSTL2</t>
  </si>
  <si>
    <t>Total</t>
  </si>
  <si>
    <t>Premier Energies Global Environment Private Limited</t>
  </si>
  <si>
    <t>                       22,16,059</t>
  </si>
  <si>
    <t>                                18,75,289</t>
  </si>
  <si>
    <t>                                               -  </t>
  </si>
  <si>
    <t>                                      3,26,814</t>
  </si>
  <si>
    <t>                               4,48,211</t>
  </si>
  <si>
    <t>          9,94,153</t>
  </si>
  <si>
    <t>     58,60,526</t>
  </si>
  <si>
    <t> Premier Energies International Private Limited</t>
  </si>
  <si>
    <t>                       31,16,583</t>
  </si>
  <si>
    <t>                                14,73,529</t>
  </si>
  <si>
    <t>                                      1,62,879</t>
  </si>
  <si>
    <t>                               4,98,357</t>
  </si>
  <si>
    <t>          1,58,021</t>
  </si>
  <si>
    <t>     54,09,369</t>
  </si>
  <si>
    <t> Premier Energies Limited</t>
  </si>
  <si>
    <t>                                      -  </t>
  </si>
  <si>
    <t>                                   1,12,565</t>
  </si>
  <si>
    <t>                                                  -  </t>
  </si>
  <si>
    <t>                             10,13,086</t>
  </si>
  <si>
    <t>                      -  </t>
  </si>
  <si>
    <t>     11,25,651</t>
  </si>
  <si>
    <t> Premier Energies Photovoltaic Private Limited</t>
  </si>
  <si>
    <t>                       30,99,557</t>
  </si>
  <si>
    <t>                                      3,79,397</t>
  </si>
  <si>
    <t>                               3,79,397</t>
  </si>
  <si>
    <t>     38,58,351</t>
  </si>
  <si>
    <t> Premier Solar Powertech Private Limited</t>
  </si>
  <si>
    <t>                       47,64,147</t>
  </si>
  <si>
    <t>                                13,58,249</t>
  </si>
  <si>
    <t>                                   2,03,961</t>
  </si>
  <si>
    <t>                                    13,90,691</t>
  </si>
  <si>
    <t>                             14,92,671</t>
  </si>
  <si>
    <t>          5,70,547</t>
  </si>
  <si>
    <t>     97,80,266</t>
  </si>
  <si>
    <t> Grand Total</t>
  </si>
  <si>
    <t> 13196346</t>
  </si>
  <si>
    <t>                                47,07,067</t>
  </si>
  <si>
    <t>                                   3,16,526</t>
  </si>
  <si>
    <t>                                   22,59,781</t>
  </si>
  <si>
    <t>                            38,31,722</t>
  </si>
  <si>
    <t>       17,22,721</t>
  </si>
  <si>
    <t> 2,60,34,163</t>
  </si>
  <si>
    <t>Apr'25</t>
  </si>
  <si>
    <t>                                                   -  </t>
  </si>
  <si>
    <t>Premier Energies International Private Limited</t>
  </si>
  <si>
    <t>Premier Energies Limited</t>
  </si>
  <si>
    <t>                                      -  </t>
  </si>
  <si>
    <t>                                           -  </t>
  </si>
  <si>
    <t>Premier Energies Photovoltaic Private Limited</t>
  </si>
  <si>
    <t>Premier Solar Powertech Private Limited</t>
  </si>
  <si>
    <t>Grand Total</t>
  </si>
  <si>
    <t>                                   6,25,549</t>
  </si>
  <si>
    <t>                                           26,528</t>
  </si>
  <si>
    <t>                                   4,08,242</t>
  </si>
  <si>
    <t>                                      6,62,613</t>
  </si>
  <si>
    <t>                               3,15,650</t>
  </si>
  <si>
    <t>Row Labels</t>
  </si>
  <si>
    <t>Sum of 1GW TopCon2</t>
  </si>
  <si>
    <t>Sum of 1GW Module Line2</t>
  </si>
  <si>
    <t>Sum of 500MW PERC Line2</t>
  </si>
  <si>
    <t>Sum of 4GW Seetharampur2</t>
  </si>
  <si>
    <t>Sum of 4GW Naidupeta2</t>
  </si>
  <si>
    <t>Sum of HSTL2</t>
  </si>
  <si>
    <t>Description</t>
  </si>
  <si>
    <t>PEPPL Topcon</t>
  </si>
  <si>
    <t>TGIIC Module</t>
  </si>
  <si>
    <t xml:space="preserve">PEPPL-400MW Cell Line </t>
  </si>
  <si>
    <t xml:space="preserve">PEGEPL-4GW Cell Line </t>
  </si>
  <si>
    <t>PEGEPL-4GW Cell Line</t>
  </si>
  <si>
    <t>HSTL Project</t>
  </si>
  <si>
    <t>Empolyee Cost Capitalized as per HR Sheet</t>
  </si>
  <si>
    <t>As per KOB1</t>
  </si>
  <si>
    <t>Need to Capitalised</t>
  </si>
  <si>
    <t>PEGEPL  Employee Cost cross Charge</t>
  </si>
  <si>
    <t xml:space="preserve">HSTL </t>
  </si>
  <si>
    <t>May'25</t>
  </si>
  <si>
    <t>June'25</t>
  </si>
  <si>
    <t>July'25</t>
  </si>
  <si>
    <t>Aug'25</t>
  </si>
  <si>
    <t>Sep'25</t>
  </si>
  <si>
    <t>Oct'25</t>
  </si>
  <si>
    <t>Nov'25</t>
  </si>
  <si>
    <t>Dec'25</t>
  </si>
  <si>
    <t>Jan'26</t>
  </si>
  <si>
    <t>Feb'26</t>
  </si>
  <si>
    <t>Mar'26</t>
  </si>
  <si>
    <t>PEGEPL Employee Cost routed through IO</t>
  </si>
  <si>
    <t>TGIIC 1GW</t>
  </si>
  <si>
    <t>Seetarampur</t>
  </si>
  <si>
    <t>Naidupeta</t>
  </si>
  <si>
    <t>PEPPL  Employee Cost cross Charge</t>
  </si>
  <si>
    <t>PEGEPL</t>
  </si>
  <si>
    <t>PEPPL Employee Cost routed through IO</t>
  </si>
  <si>
    <t>Topcon</t>
  </si>
  <si>
    <t>400MW  Cell line</t>
  </si>
  <si>
    <t>350MW Module line</t>
  </si>
  <si>
    <t xml:space="preserve">Total </t>
  </si>
  <si>
    <t>PEL  Employee Cost cross Charge</t>
  </si>
  <si>
    <t>PEPPL</t>
  </si>
  <si>
    <t>PEIPL  Employee Cost cross Charge</t>
  </si>
  <si>
    <t>PEPPL(Topcon)</t>
  </si>
  <si>
    <t>HSTL</t>
  </si>
  <si>
    <t>PSPT  Employee Cost cross Charge</t>
  </si>
  <si>
    <t xml:space="preserve">                                   1,06,744 </t>
  </si>
  <si>
    <t xml:space="preserve">                                   2,41,056 </t>
  </si>
  <si>
    <t xml:space="preserve">                                      4,69,697 </t>
  </si>
  <si>
    <t xml:space="preserve">                               5,99,104 </t>
  </si>
  <si>
    <t xml:space="preserve">             73,697 </t>
  </si>
  <si>
    <t xml:space="preserve">                                      31,874 </t>
  </si>
  <si>
    <t xml:space="preserve">                                   1,21,830 </t>
  </si>
  <si>
    <t xml:space="preserve">                                      1,15,423 </t>
  </si>
  <si>
    <t xml:space="preserve">                                  31,672 </t>
  </si>
  <si>
    <t xml:space="preserve">             10,786 </t>
  </si>
  <si>
    <t xml:space="preserve">                                               -   </t>
  </si>
  <si>
    <t xml:space="preserve">                                         9,723 </t>
  </si>
  <si>
    <t xml:space="preserve">                                         38,894 </t>
  </si>
  <si>
    <t xml:space="preserve">                                  48,617 </t>
  </si>
  <si>
    <t xml:space="preserve">                      -   </t>
  </si>
  <si>
    <t xml:space="preserve">                                       49,467 </t>
  </si>
  <si>
    <t xml:space="preserve">                                         41,566 </t>
  </si>
  <si>
    <t xml:space="preserve">                                  41,566 </t>
  </si>
  <si>
    <t xml:space="preserve">                                      44,498 </t>
  </si>
  <si>
    <t xml:space="preserve">                                   2,23,564 </t>
  </si>
  <si>
    <t xml:space="preserve">                                      1,18,297 </t>
  </si>
  <si>
    <t xml:space="preserve">                               1,69,227 </t>
  </si>
  <si>
    <t xml:space="preserve">             45,742 </t>
  </si>
  <si>
    <t xml:space="preserve">                                  1,83,116 </t>
  </si>
  <si>
    <t xml:space="preserve">                                   6,45,640 </t>
  </si>
  <si>
    <t xml:space="preserve">                                      7,83,876 </t>
  </si>
  <si>
    <t xml:space="preserve">                              8,90,185 </t>
  </si>
  <si>
    <t xml:space="preserve">         1,30,225 </t>
  </si>
  <si>
    <t xml:space="preserve">Sum of 1GW TopCon2 </t>
  </si>
  <si>
    <t xml:space="preserve"> Sum of 1GW Module Line2 </t>
  </si>
  <si>
    <t xml:space="preserve"> Sum of 500MW PERC Line2 </t>
  </si>
  <si>
    <t xml:space="preserve"> Sum of 4GW Seetharampur2 </t>
  </si>
  <si>
    <t xml:space="preserve"> Sum of 4GW Naidupeta2 </t>
  </si>
  <si>
    <t xml:space="preserve"> Sum of HSTL2 </t>
  </si>
  <si>
    <t xml:space="preserve">                                   1,07,528 </t>
  </si>
  <si>
    <t xml:space="preserve">                                   2,75,445 </t>
  </si>
  <si>
    <t xml:space="preserve">                                      5,68,012 </t>
  </si>
  <si>
    <t xml:space="preserve">                               7,48,238 </t>
  </si>
  <si>
    <t xml:space="preserve">                                      32,939 </t>
  </si>
  <si>
    <t xml:space="preserve">                                   1,24,990 </t>
  </si>
  <si>
    <t xml:space="preserve">                                      1,16,864 </t>
  </si>
  <si>
    <t xml:space="preserve">                                  33,252 </t>
  </si>
  <si>
    <t xml:space="preserve">                                         31,520 </t>
  </si>
  <si>
    <t xml:space="preserve">                                  31,520 </t>
  </si>
  <si>
    <t xml:space="preserve">                                   2,44,183 </t>
  </si>
  <si>
    <t xml:space="preserve">             48,085 </t>
  </si>
  <si>
    <t xml:space="preserve">                                  1,84,965 </t>
  </si>
  <si>
    <t xml:space="preserve">                                   7,03,808 </t>
  </si>
  <si>
    <t xml:space="preserve">                                      8,73,586 </t>
  </si>
  <si>
    <t xml:space="preserve">                            10,30,854 </t>
  </si>
  <si>
    <t xml:space="preserve">         1,32,568 </t>
  </si>
  <si>
    <t xml:space="preserve">                                   1,06,124 </t>
  </si>
  <si>
    <t xml:space="preserve">                                   3,41,370 </t>
  </si>
  <si>
    <t xml:space="preserve">                                      5,88,442 </t>
  </si>
  <si>
    <t xml:space="preserve">                               7,48,114 </t>
  </si>
  <si>
    <t xml:space="preserve">                                      44,739 </t>
  </si>
  <si>
    <t xml:space="preserve">                                   1,64,553 </t>
  </si>
  <si>
    <t xml:space="preserve">                                      1,41,162 </t>
  </si>
  <si>
    <t xml:space="preserve">                                  47,509 </t>
  </si>
  <si>
    <t xml:space="preserve">             16,890 </t>
  </si>
  <si>
    <t xml:space="preserve">                                       13,173 </t>
  </si>
  <si>
    <t xml:space="preserve">                                         52,694 </t>
  </si>
  <si>
    <t xml:space="preserve">                                  65,867 </t>
  </si>
  <si>
    <t xml:space="preserve">                                   1,19,718 </t>
  </si>
  <si>
    <t xml:space="preserve">                                         40,110 </t>
  </si>
  <si>
    <t xml:space="preserve">                                  40,110 </t>
  </si>
  <si>
    <t xml:space="preserve">                                      56,594 </t>
  </si>
  <si>
    <t xml:space="preserve">                                   3,18,676 </t>
  </si>
  <si>
    <t xml:space="preserve">                                      1,44,239 </t>
  </si>
  <si>
    <t xml:space="preserve">                               2,46,391 </t>
  </si>
  <si>
    <t xml:space="preserve">          1,02,772 </t>
  </si>
  <si>
    <t xml:space="preserve">                                  2,07,457 </t>
  </si>
  <si>
    <t xml:space="preserve">                                   9,57,489 </t>
  </si>
  <si>
    <t xml:space="preserve">                                      9,66,647 </t>
  </si>
  <si>
    <t xml:space="preserve">                            11,47,991 </t>
  </si>
  <si>
    <t xml:space="preserve">         1,93,359 </t>
  </si>
  <si>
    <t xml:space="preserve">                                   1,05,762 </t>
  </si>
  <si>
    <t xml:space="preserve">                                   4,60,267 </t>
  </si>
  <si>
    <t xml:space="preserve">                                      7,37,538 </t>
  </si>
  <si>
    <t xml:space="preserve">                             10,98,518 </t>
  </si>
  <si>
    <t xml:space="preserve">          1,18,868 </t>
  </si>
  <si>
    <t xml:space="preserve">                                      36,916 </t>
  </si>
  <si>
    <t xml:space="preserve">                                   1,28,647 </t>
  </si>
  <si>
    <t xml:space="preserve">                                      1,13,861 </t>
  </si>
  <si>
    <t xml:space="preserve">                                  37,153 </t>
  </si>
  <si>
    <t xml:space="preserve">             12,604 </t>
  </si>
  <si>
    <t xml:space="preserve">                                       10,873 </t>
  </si>
  <si>
    <t xml:space="preserve">                                         43,494 </t>
  </si>
  <si>
    <t xml:space="preserve">                                  54,367 </t>
  </si>
  <si>
    <t xml:space="preserve">                                       72,884 </t>
  </si>
  <si>
    <t xml:space="preserve">                                         42,337 </t>
  </si>
  <si>
    <t xml:space="preserve">                                  42,337 </t>
  </si>
  <si>
    <t xml:space="preserve">                                      48,530 </t>
  </si>
  <si>
    <t xml:space="preserve">                                   2,60,229 </t>
  </si>
  <si>
    <t xml:space="preserve">                                      1,26,650 </t>
  </si>
  <si>
    <t xml:space="preserve">                               1,94,654 </t>
  </si>
  <si>
    <t xml:space="preserve">             64,752 </t>
  </si>
  <si>
    <t xml:space="preserve">                                  1,91,208 </t>
  </si>
  <si>
    <t xml:space="preserve">                                   9,32,901 </t>
  </si>
  <si>
    <t xml:space="preserve">                                   10,63,878 </t>
  </si>
  <si>
    <t xml:space="preserve">                            14,27,028 </t>
  </si>
  <si>
    <t xml:space="preserve">         1,96,224 </t>
  </si>
  <si>
    <t>Dep on 28 Days</t>
  </si>
  <si>
    <t>Total Need to Capitalised</t>
  </si>
  <si>
    <t>GL Code</t>
  </si>
  <si>
    <t>Dr/Cr</t>
  </si>
  <si>
    <t>Amount</t>
  </si>
  <si>
    <t>IO/Cost center</t>
  </si>
  <si>
    <t>Payroll Expense - Sa</t>
  </si>
  <si>
    <t>DR</t>
  </si>
  <si>
    <t>Cr</t>
  </si>
  <si>
    <t>Being Project salaries capitalized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</si>
</sst>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0_ ;_ * \-#,##0.00_ ;_ * &quot;-&quot;??_ ;_ @_ 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242424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242424"/>
      <name val="Inherit"/>
    </font>
    <font>
      <b/>
      <sz val="11"/>
      <color theme="1"/>
      <name val="Aptos"/>
      <family val="2"/>
    </font>
    <font>
      <sz val="8"/>
      <name val="Aptos Narrow"/>
      <family val="2"/>
      <scheme val="minor"/>
    </font>
    <font>
      <sz val="10"/>
      <color theme="1"/>
      <name val="Times New Roman"/>
      <family val="1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theme="3" tint="0.49998474074526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0">
    <xf numFmtId="0" fontId="0" fillId="0" borderId="0" xfId="0"/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horizontal="right" vertical="center" wrapText="1"/>
    </xf>
    <xf numFmtId="0" fontId="5" fillId="0" borderId="3" xfId="0" applyFont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0" borderId="0" xfId="0" applyFont="1"/>
    <xf numFmtId="0" fontId="5" fillId="0" borderId="4" xfId="0" applyFont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6" fillId="4" borderId="3" xfId="0" applyFont="1" applyFill="1" applyBorder="1" applyAlignment="1">
      <alignment vertical="center"/>
    </xf>
    <xf numFmtId="0" fontId="6" fillId="4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right" vertical="center"/>
    </xf>
    <xf numFmtId="0" fontId="3" fillId="3" borderId="4" xfId="0" applyFont="1" applyFill="1" applyBorder="1" applyAlignment="1">
      <alignment horizontal="right" vertical="center"/>
    </xf>
    <xf numFmtId="164" fontId="2" fillId="0" borderId="0" xfId="0" applyNumberFormat="1" applyFont="1"/>
    <xf numFmtId="17" fontId="8" fillId="0" borderId="0" xfId="0" applyNumberFormat="1" applyFont="1" applyAlignment="1">
      <alignment horizontal="left"/>
    </xf>
    <xf numFmtId="0" fontId="0" fillId="0" borderId="0" xfId="0" applyAlignment="1">
      <alignment horizontal="right"/>
    </xf>
    <xf numFmtId="0" fontId="0" fillId="0" borderId="7" xfId="0" applyBorder="1"/>
    <xf numFmtId="164" fontId="0" fillId="0" borderId="0" xfId="1" applyFont="1" applyBorder="1"/>
    <xf numFmtId="164" fontId="0" fillId="0" borderId="8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4" xfId="0" applyBorder="1"/>
    <xf numFmtId="164" fontId="0" fillId="0" borderId="0" xfId="1" applyFont="1" applyBorder="1" applyAlignment="1">
      <alignment horizontal="center"/>
    </xf>
    <xf numFmtId="0" fontId="0" fillId="0" borderId="0" xfId="0" applyAlignment="1">
      <alignment horizontal="center"/>
    </xf>
    <xf numFmtId="164" fontId="2" fillId="0" borderId="8" xfId="0" applyNumberFormat="1" applyFont="1" applyBorder="1" applyAlignment="1">
      <alignment horizontal="right" vertical="center"/>
    </xf>
    <xf numFmtId="164" fontId="2" fillId="0" borderId="8" xfId="0" applyNumberFormat="1" applyFont="1" applyBorder="1"/>
    <xf numFmtId="164" fontId="0" fillId="0" borderId="0" xfId="0" applyNumberFormat="1"/>
    <xf numFmtId="164" fontId="2" fillId="0" borderId="4" xfId="0" applyNumberFormat="1" applyFont="1" applyBorder="1"/>
    <xf numFmtId="164" fontId="2" fillId="0" borderId="8" xfId="1" applyFont="1" applyBorder="1"/>
    <xf numFmtId="164" fontId="0" fillId="0" borderId="8" xfId="1" applyFont="1" applyBorder="1"/>
    <xf numFmtId="0" fontId="2" fillId="5" borderId="11" xfId="0" applyFont="1" applyFill="1" applyBorder="1" applyAlignment="1">
      <alignment wrapText="1"/>
    </xf>
    <xf numFmtId="0" fontId="2" fillId="5" borderId="12" xfId="0" applyFont="1" applyFill="1" applyBorder="1" applyAlignment="1">
      <alignment horizontal="right"/>
    </xf>
    <xf numFmtId="0" fontId="2" fillId="5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right"/>
    </xf>
    <xf numFmtId="0" fontId="2" fillId="5" borderId="5" xfId="0" applyFont="1" applyFill="1" applyBorder="1" applyAlignment="1">
      <alignment wrapText="1"/>
    </xf>
    <xf numFmtId="0" fontId="2" fillId="5" borderId="6" xfId="0" applyFont="1" applyFill="1" applyBorder="1" applyAlignment="1">
      <alignment horizontal="right"/>
    </xf>
    <xf numFmtId="0" fontId="0" fillId="5" borderId="12" xfId="0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3" xfId="0" applyBorder="1"/>
    <xf numFmtId="164" fontId="0" fillId="0" borderId="13" xfId="1" applyFont="1" applyBorder="1"/>
    <xf numFmtId="0" fontId="0" fillId="0" borderId="13" xfId="0" applyBorder="1" applyAlignment="1">
      <alignment horizontal="center"/>
    </xf>
    <xf numFmtId="164" fontId="0" fillId="0" borderId="13" xfId="1" applyFont="1" applyBorder="1" applyAlignment="1">
      <alignment horizontal="center"/>
    </xf>
    <xf numFmtId="164" fontId="2" fillId="0" borderId="13" xfId="0" applyNumberFormat="1" applyFont="1" applyBorder="1"/>
    <xf numFmtId="0" fontId="5" fillId="0" borderId="3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164" fontId="3" fillId="3" borderId="4" xfId="1" applyFont="1" applyFill="1" applyBorder="1" applyAlignment="1">
      <alignment horizontal="right" vertical="center"/>
    </xf>
    <xf numFmtId="43" fontId="0" fillId="0" borderId="0" xfId="0" applyNumberFormat="1"/>
    <xf numFmtId="164" fontId="5" fillId="0" borderId="0" xfId="1" applyFont="1" applyBorder="1" applyAlignment="1">
      <alignment vertical="center"/>
    </xf>
    <xf numFmtId="0" fontId="2" fillId="0" borderId="13" xfId="0" applyFont="1" applyBorder="1"/>
    <xf numFmtId="16" fontId="11" fillId="0" borderId="1" xfId="0" applyNumberFormat="1" applyFont="1" applyBorder="1" applyAlignment="1">
      <alignment horizontal="right" vertical="center"/>
    </xf>
    <xf numFmtId="0" fontId="11" fillId="0" borderId="2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16" fontId="11" fillId="0" borderId="3" xfId="0" applyNumberFormat="1" applyFont="1" applyBorder="1" applyAlignment="1">
      <alignment horizontal="right" vertical="center"/>
    </xf>
    <xf numFmtId="0" fontId="10" fillId="0" borderId="0" xfId="0" applyFont="1"/>
    <xf numFmtId="164" fontId="11" fillId="0" borderId="4" xfId="0" applyNumberFormat="1" applyFont="1" applyBorder="1" applyAlignment="1">
      <alignment vertical="center"/>
    </xf>
    <xf numFmtId="164" fontId="5" fillId="0" borderId="4" xfId="1" applyFont="1" applyBorder="1" applyAlignment="1">
      <alignment vertical="center"/>
    </xf>
    <xf numFmtId="164" fontId="11" fillId="0" borderId="4" xfId="1" applyFont="1" applyBorder="1" applyAlignment="1">
      <alignment vertical="center"/>
    </xf>
    <xf numFmtId="43" fontId="2" fillId="0" borderId="0" xfId="0" applyNumberFormat="1" applyFont="1"/>
    <xf numFmtId="0" fontId="2" fillId="0" borderId="13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49BFF-0A39-44C3-8214-3820DA00FA41}">
  <dimension ref="C2:J144"/>
  <sheetViews>
    <sheetView topLeftCell="D1" workbookViewId="0">
      <selection activeCell="C2" sqref="C2:J9"/>
    </sheetView>
  </sheetViews>
  <sheetFormatPr defaultRowHeight="14.45"/>
  <cols>
    <col min="3" max="3" width="44.42578125" bestFit="1" customWidth="1"/>
    <col min="4" max="4" width="19.7109375" bestFit="1" customWidth="1"/>
    <col min="5" max="5" width="23.7109375" bestFit="1" customWidth="1"/>
    <col min="6" max="6" width="26" bestFit="1" customWidth="1"/>
    <col min="7" max="7" width="25.28515625" bestFit="1" customWidth="1"/>
    <col min="8" max="8" width="25.140625" bestFit="1" customWidth="1"/>
    <col min="9" max="9" width="22" bestFit="1" customWidth="1"/>
    <col min="10" max="10" width="14" bestFit="1" customWidth="1"/>
  </cols>
  <sheetData>
    <row r="2" spans="3:10" ht="15" thickBot="1">
      <c r="C2" s="9" t="s">
        <v>0</v>
      </c>
    </row>
    <row r="3" spans="3:10" ht="15" thickBot="1">
      <c r="C3" s="1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</row>
    <row r="4" spans="3:10" ht="15" thickBot="1">
      <c r="C4" s="6" t="s">
        <v>9</v>
      </c>
      <c r="D4" s="10" t="s">
        <v>10</v>
      </c>
      <c r="E4" s="10" t="s">
        <v>11</v>
      </c>
      <c r="F4" s="10" t="s">
        <v>12</v>
      </c>
      <c r="G4" s="10" t="s">
        <v>13</v>
      </c>
      <c r="H4" s="10" t="s">
        <v>14</v>
      </c>
      <c r="I4" s="10" t="s">
        <v>15</v>
      </c>
      <c r="J4" s="11" t="s">
        <v>16</v>
      </c>
    </row>
    <row r="5" spans="3:10" ht="15" thickBot="1">
      <c r="C5" s="6" t="s">
        <v>17</v>
      </c>
      <c r="D5" s="10" t="s">
        <v>18</v>
      </c>
      <c r="E5" s="10" t="s">
        <v>19</v>
      </c>
      <c r="F5" s="10" t="s">
        <v>12</v>
      </c>
      <c r="G5" s="10" t="s">
        <v>20</v>
      </c>
      <c r="H5" s="10" t="s">
        <v>21</v>
      </c>
      <c r="I5" s="10" t="s">
        <v>22</v>
      </c>
      <c r="J5" s="11" t="s">
        <v>23</v>
      </c>
    </row>
    <row r="6" spans="3:10" ht="15" thickBot="1">
      <c r="C6" s="6" t="s">
        <v>24</v>
      </c>
      <c r="D6" s="10" t="s">
        <v>25</v>
      </c>
      <c r="E6" s="10" t="s">
        <v>12</v>
      </c>
      <c r="F6" s="10" t="s">
        <v>26</v>
      </c>
      <c r="G6" s="10" t="s">
        <v>27</v>
      </c>
      <c r="H6" s="10" t="s">
        <v>28</v>
      </c>
      <c r="I6" s="10" t="s">
        <v>29</v>
      </c>
      <c r="J6" s="11" t="s">
        <v>30</v>
      </c>
    </row>
    <row r="7" spans="3:10" ht="15" thickBot="1">
      <c r="C7" s="6" t="s">
        <v>31</v>
      </c>
      <c r="D7" s="10" t="s">
        <v>32</v>
      </c>
      <c r="E7" s="10" t="s">
        <v>12</v>
      </c>
      <c r="F7" s="10" t="s">
        <v>12</v>
      </c>
      <c r="G7" s="10" t="s">
        <v>33</v>
      </c>
      <c r="H7" s="10" t="s">
        <v>34</v>
      </c>
      <c r="I7" s="10" t="s">
        <v>29</v>
      </c>
      <c r="J7" s="11" t="s">
        <v>35</v>
      </c>
    </row>
    <row r="8" spans="3:10" ht="15" thickBot="1">
      <c r="C8" s="6" t="s">
        <v>36</v>
      </c>
      <c r="D8" s="10" t="s">
        <v>37</v>
      </c>
      <c r="E8" s="10" t="s">
        <v>38</v>
      </c>
      <c r="F8" s="10" t="s">
        <v>39</v>
      </c>
      <c r="G8" s="10" t="s">
        <v>40</v>
      </c>
      <c r="H8" s="10" t="s">
        <v>41</v>
      </c>
      <c r="I8" s="10" t="s">
        <v>42</v>
      </c>
      <c r="J8" s="11" t="s">
        <v>43</v>
      </c>
    </row>
    <row r="9" spans="3:10" ht="15" thickBot="1">
      <c r="C9" s="4" t="s">
        <v>44</v>
      </c>
      <c r="D9" s="17" t="s">
        <v>45</v>
      </c>
      <c r="E9" s="7" t="s">
        <v>46</v>
      </c>
      <c r="F9" s="7" t="s">
        <v>47</v>
      </c>
      <c r="G9" s="7" t="s">
        <v>48</v>
      </c>
      <c r="H9" s="7" t="s">
        <v>49</v>
      </c>
      <c r="I9" s="7" t="s">
        <v>50</v>
      </c>
      <c r="J9" s="7" t="s">
        <v>51</v>
      </c>
    </row>
    <row r="10" spans="3:10">
      <c r="C10" s="8"/>
    </row>
    <row r="11" spans="3:10" ht="15" thickBot="1">
      <c r="C11" s="9" t="s">
        <v>52</v>
      </c>
    </row>
    <row r="12" spans="3:10" ht="15" thickBot="1">
      <c r="C12" s="1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</row>
    <row r="13" spans="3:10" ht="15" thickBot="1">
      <c r="C13" s="12" t="s">
        <v>9</v>
      </c>
      <c r="D13" s="13">
        <v>911388</v>
      </c>
      <c r="E13" s="13">
        <v>392954</v>
      </c>
      <c r="F13" s="13" t="s">
        <v>53</v>
      </c>
      <c r="G13" s="13">
        <v>239176</v>
      </c>
      <c r="H13" s="13">
        <v>368810</v>
      </c>
      <c r="I13" s="13">
        <v>257513</v>
      </c>
    </row>
    <row r="14" spans="3:10" ht="15" thickBot="1">
      <c r="C14" s="12" t="s">
        <v>54</v>
      </c>
      <c r="D14" s="13">
        <v>286848</v>
      </c>
      <c r="E14" s="13">
        <v>122860</v>
      </c>
      <c r="F14" s="13" t="s">
        <v>53</v>
      </c>
      <c r="G14" s="13">
        <v>13404</v>
      </c>
      <c r="H14" s="13">
        <v>42228</v>
      </c>
      <c r="I14" s="13">
        <v>12395</v>
      </c>
    </row>
    <row r="15" spans="3:10" ht="15" thickBot="1">
      <c r="C15" s="12" t="s">
        <v>55</v>
      </c>
      <c r="D15" s="13" t="s">
        <v>56</v>
      </c>
      <c r="E15" s="13" t="s">
        <v>12</v>
      </c>
      <c r="F15" s="13">
        <v>9723</v>
      </c>
      <c r="G15" s="13" t="s">
        <v>12</v>
      </c>
      <c r="H15" s="13">
        <v>87511</v>
      </c>
      <c r="I15" s="13" t="s">
        <v>57</v>
      </c>
    </row>
    <row r="16" spans="3:10" ht="15" thickBot="1">
      <c r="C16" s="12" t="s">
        <v>58</v>
      </c>
      <c r="D16" s="13">
        <v>260729</v>
      </c>
      <c r="E16" s="13" t="s">
        <v>12</v>
      </c>
      <c r="F16" s="13" t="s">
        <v>53</v>
      </c>
      <c r="G16" s="13">
        <v>41566</v>
      </c>
      <c r="H16" s="13">
        <v>41566</v>
      </c>
      <c r="I16" s="13" t="s">
        <v>57</v>
      </c>
    </row>
    <row r="17" spans="3:9" ht="15" thickBot="1">
      <c r="C17" s="12" t="s">
        <v>59</v>
      </c>
      <c r="D17" s="13">
        <v>376937</v>
      </c>
      <c r="E17" s="13">
        <v>109735</v>
      </c>
      <c r="F17" s="13">
        <v>16805</v>
      </c>
      <c r="G17" s="13">
        <v>114096</v>
      </c>
      <c r="H17" s="13">
        <v>122498</v>
      </c>
      <c r="I17" s="13">
        <v>45742</v>
      </c>
    </row>
    <row r="18" spans="3:9" ht="15" thickBot="1">
      <c r="C18" s="14" t="s">
        <v>60</v>
      </c>
      <c r="D18" s="15">
        <v>1835902</v>
      </c>
      <c r="E18" s="15" t="s">
        <v>61</v>
      </c>
      <c r="F18" s="15" t="s">
        <v>62</v>
      </c>
      <c r="G18" s="15" t="s">
        <v>63</v>
      </c>
      <c r="H18" s="15" t="s">
        <v>64</v>
      </c>
      <c r="I18" s="15" t="s">
        <v>65</v>
      </c>
    </row>
    <row r="20" spans="3:9">
      <c r="C20" s="19">
        <v>45778</v>
      </c>
    </row>
    <row r="21" spans="3:9" ht="15" thickBot="1"/>
    <row r="22" spans="3:9" ht="15" thickBot="1">
      <c r="C22" s="1" t="s">
        <v>66</v>
      </c>
      <c r="D22" s="2" t="s">
        <v>67</v>
      </c>
      <c r="E22" s="2" t="s">
        <v>68</v>
      </c>
      <c r="F22" s="2" t="s">
        <v>69</v>
      </c>
      <c r="G22" s="2" t="s">
        <v>70</v>
      </c>
      <c r="H22" s="2" t="s">
        <v>71</v>
      </c>
      <c r="I22" s="2" t="s">
        <v>72</v>
      </c>
    </row>
    <row r="23" spans="3:9" ht="15" thickBot="1">
      <c r="C23" s="12" t="s">
        <v>9</v>
      </c>
      <c r="D23" s="16">
        <v>786389</v>
      </c>
      <c r="E23" s="16">
        <v>397096</v>
      </c>
      <c r="F23" s="3">
        <v>0</v>
      </c>
      <c r="G23" s="3">
        <v>456278</v>
      </c>
      <c r="H23" s="3">
        <v>492046</v>
      </c>
      <c r="I23" s="3">
        <v>264987</v>
      </c>
    </row>
    <row r="24" spans="3:9" ht="15" thickBot="1">
      <c r="C24" s="12" t="s">
        <v>54</v>
      </c>
      <c r="D24" s="16">
        <v>290431</v>
      </c>
      <c r="E24" s="16">
        <v>125277</v>
      </c>
      <c r="F24" s="3">
        <v>0</v>
      </c>
      <c r="G24" s="3">
        <v>14036</v>
      </c>
      <c r="H24" s="3">
        <v>42860</v>
      </c>
      <c r="I24" s="3">
        <v>13659</v>
      </c>
    </row>
    <row r="25" spans="3:9" ht="15" thickBot="1">
      <c r="C25" s="12" t="s">
        <v>55</v>
      </c>
      <c r="D25" s="16">
        <v>0</v>
      </c>
      <c r="E25" s="16">
        <v>0</v>
      </c>
      <c r="F25" s="3">
        <v>9723</v>
      </c>
      <c r="G25" s="3">
        <v>0</v>
      </c>
      <c r="H25" s="3">
        <v>87511</v>
      </c>
      <c r="I25" s="3">
        <v>0</v>
      </c>
    </row>
    <row r="26" spans="3:9" ht="15" thickBot="1">
      <c r="C26" s="12" t="s">
        <v>58</v>
      </c>
      <c r="D26" s="16">
        <v>218128</v>
      </c>
      <c r="E26" s="16">
        <v>0</v>
      </c>
      <c r="F26" s="3">
        <v>0</v>
      </c>
      <c r="G26" s="3">
        <v>31520</v>
      </c>
      <c r="H26" s="3">
        <v>31520</v>
      </c>
      <c r="I26" s="3">
        <v>0</v>
      </c>
    </row>
    <row r="27" spans="3:9" ht="15" thickBot="1">
      <c r="C27" s="12" t="s">
        <v>59</v>
      </c>
      <c r="D27" s="16">
        <v>411714</v>
      </c>
      <c r="E27" s="16">
        <v>109735</v>
      </c>
      <c r="F27" s="3">
        <v>16805</v>
      </c>
      <c r="G27" s="3">
        <v>114096</v>
      </c>
      <c r="H27" s="3">
        <v>122498</v>
      </c>
      <c r="I27" s="3">
        <v>48085</v>
      </c>
    </row>
    <row r="28" spans="3:9" ht="15" thickBot="1">
      <c r="C28" s="4" t="s">
        <v>60</v>
      </c>
      <c r="D28" s="17">
        <v>1706662</v>
      </c>
      <c r="E28" s="5">
        <v>632108</v>
      </c>
      <c r="F28" s="5">
        <v>26528</v>
      </c>
      <c r="G28" s="5">
        <v>615930</v>
      </c>
      <c r="H28" s="5">
        <v>776435</v>
      </c>
      <c r="I28" s="5">
        <v>326731</v>
      </c>
    </row>
    <row r="32" spans="3:9">
      <c r="C32" s="43" t="s">
        <v>73</v>
      </c>
      <c r="D32" s="43" t="s">
        <v>74</v>
      </c>
      <c r="E32" s="43" t="s">
        <v>75</v>
      </c>
      <c r="F32" s="43" t="s">
        <v>76</v>
      </c>
      <c r="G32" s="43" t="s">
        <v>77</v>
      </c>
      <c r="H32" s="43" t="s">
        <v>78</v>
      </c>
      <c r="I32" s="43" t="s">
        <v>79</v>
      </c>
    </row>
    <row r="33" spans="3:10">
      <c r="C33" s="44" t="s">
        <v>80</v>
      </c>
      <c r="D33" s="45">
        <f>1835902+13196346+1706662</f>
        <v>16738910</v>
      </c>
      <c r="E33" s="45">
        <f>625549+4707067+632108</f>
        <v>5964724</v>
      </c>
      <c r="F33" s="45">
        <f>26528+316526+26528</f>
        <v>369582</v>
      </c>
      <c r="G33" s="45">
        <f>408242+2259721+615930</f>
        <v>3283893</v>
      </c>
      <c r="H33" s="45">
        <f>662613+3831722+776435</f>
        <v>5270770</v>
      </c>
      <c r="I33" s="45">
        <f>315650+1722721+326731</f>
        <v>2365102</v>
      </c>
      <c r="J33" s="18">
        <f>SUM(D33:I33)</f>
        <v>33992981</v>
      </c>
    </row>
    <row r="34" spans="3:10">
      <c r="C34" s="44" t="s">
        <v>81</v>
      </c>
      <c r="D34" s="46">
        <v>0</v>
      </c>
      <c r="E34" s="47">
        <v>158092</v>
      </c>
      <c r="F34" s="46">
        <v>0</v>
      </c>
      <c r="G34" s="46">
        <v>0</v>
      </c>
      <c r="H34" s="46">
        <v>0</v>
      </c>
      <c r="I34" s="46">
        <v>0</v>
      </c>
    </row>
    <row r="35" spans="3:10">
      <c r="C35" s="44" t="s">
        <v>82</v>
      </c>
      <c r="D35" s="48">
        <f t="shared" ref="D35:J35" si="0">+D33-D34</f>
        <v>16738910</v>
      </c>
      <c r="E35" s="48">
        <f t="shared" si="0"/>
        <v>5806632</v>
      </c>
      <c r="F35" s="48">
        <f t="shared" si="0"/>
        <v>369582</v>
      </c>
      <c r="G35" s="48">
        <f t="shared" si="0"/>
        <v>3283893</v>
      </c>
      <c r="H35" s="48">
        <f t="shared" si="0"/>
        <v>5270770</v>
      </c>
      <c r="I35" s="48">
        <f t="shared" si="0"/>
        <v>2365102</v>
      </c>
      <c r="J35" s="18">
        <f t="shared" si="0"/>
        <v>33992981</v>
      </c>
    </row>
    <row r="39" spans="3:10" ht="15" thickBot="1">
      <c r="D39" s="20"/>
      <c r="E39" s="20"/>
    </row>
    <row r="40" spans="3:10" ht="15" thickBot="1">
      <c r="C40" s="36" t="s">
        <v>83</v>
      </c>
      <c r="D40" s="37" t="s">
        <v>74</v>
      </c>
      <c r="E40" s="37" t="s">
        <v>84</v>
      </c>
      <c r="F40" s="39" t="s">
        <v>8</v>
      </c>
    </row>
    <row r="41" spans="3:10">
      <c r="C41" s="21" t="s">
        <v>52</v>
      </c>
      <c r="D41" s="22">
        <f>+D13</f>
        <v>911388</v>
      </c>
      <c r="E41" s="22">
        <f>+I13</f>
        <v>257513</v>
      </c>
      <c r="F41" s="23">
        <f>D41+E41</f>
        <v>1168901</v>
      </c>
    </row>
    <row r="42" spans="3:10">
      <c r="C42" s="21" t="s">
        <v>85</v>
      </c>
      <c r="D42" s="22">
        <f>+D23</f>
        <v>786389</v>
      </c>
      <c r="E42" s="22">
        <f>+I23</f>
        <v>264987</v>
      </c>
      <c r="F42" s="23">
        <f>D42+E42</f>
        <v>1051376</v>
      </c>
    </row>
    <row r="43" spans="3:10">
      <c r="C43" s="21" t="s">
        <v>86</v>
      </c>
      <c r="F43" s="24"/>
    </row>
    <row r="44" spans="3:10">
      <c r="C44" s="21" t="s">
        <v>87</v>
      </c>
      <c r="F44" s="24"/>
    </row>
    <row r="45" spans="3:10">
      <c r="C45" s="21" t="s">
        <v>88</v>
      </c>
      <c r="F45" s="24"/>
    </row>
    <row r="46" spans="3:10">
      <c r="C46" s="21" t="s">
        <v>89</v>
      </c>
      <c r="F46" s="24"/>
    </row>
    <row r="47" spans="3:10">
      <c r="C47" s="21" t="s">
        <v>90</v>
      </c>
      <c r="F47" s="24"/>
    </row>
    <row r="48" spans="3:10">
      <c r="C48" s="21" t="s">
        <v>91</v>
      </c>
      <c r="F48" s="24"/>
    </row>
    <row r="49" spans="3:7">
      <c r="C49" s="21" t="s">
        <v>92</v>
      </c>
      <c r="F49" s="24"/>
    </row>
    <row r="50" spans="3:7">
      <c r="C50" s="21" t="s">
        <v>93</v>
      </c>
      <c r="F50" s="24"/>
    </row>
    <row r="51" spans="3:7">
      <c r="C51" s="21" t="s">
        <v>94</v>
      </c>
      <c r="F51" s="24"/>
    </row>
    <row r="52" spans="3:7" ht="15" thickBot="1">
      <c r="C52" s="25" t="s">
        <v>95</v>
      </c>
      <c r="D52" s="26"/>
      <c r="E52" s="26"/>
      <c r="F52" s="27"/>
    </row>
    <row r="55" spans="3:7" ht="15" thickBot="1"/>
    <row r="56" spans="3:7" ht="15" thickBot="1">
      <c r="C56" s="36" t="s">
        <v>96</v>
      </c>
      <c r="D56" s="42" t="s">
        <v>97</v>
      </c>
      <c r="E56" s="42" t="s">
        <v>98</v>
      </c>
      <c r="F56" s="42" t="s">
        <v>99</v>
      </c>
      <c r="G56" s="38" t="s">
        <v>8</v>
      </c>
    </row>
    <row r="57" spans="3:7">
      <c r="C57" s="21" t="s">
        <v>52</v>
      </c>
      <c r="D57" s="28">
        <v>392954</v>
      </c>
      <c r="E57" s="29">
        <v>239176</v>
      </c>
      <c r="F57" s="29">
        <v>368810</v>
      </c>
      <c r="G57" s="30">
        <f>D57+E57+F57</f>
        <v>1000940</v>
      </c>
    </row>
    <row r="58" spans="3:7">
      <c r="C58" s="21" t="s">
        <v>85</v>
      </c>
      <c r="D58" s="28">
        <f>+E23</f>
        <v>397096</v>
      </c>
      <c r="E58" s="29">
        <f>+G23</f>
        <v>456278</v>
      </c>
      <c r="F58" s="29">
        <f>+H23</f>
        <v>492046</v>
      </c>
      <c r="G58" s="30">
        <f>D58+E58+F58</f>
        <v>1345420</v>
      </c>
    </row>
    <row r="59" spans="3:7">
      <c r="C59" s="21" t="s">
        <v>86</v>
      </c>
      <c r="G59" s="31">
        <f t="shared" ref="G59:G68" si="1">D59+E59+F59</f>
        <v>0</v>
      </c>
    </row>
    <row r="60" spans="3:7">
      <c r="C60" s="21" t="s">
        <v>87</v>
      </c>
      <c r="D60" s="32"/>
      <c r="G60" s="31">
        <f t="shared" si="1"/>
        <v>0</v>
      </c>
    </row>
    <row r="61" spans="3:7">
      <c r="C61" s="21" t="s">
        <v>88</v>
      </c>
      <c r="G61" s="31">
        <f t="shared" si="1"/>
        <v>0</v>
      </c>
    </row>
    <row r="62" spans="3:7">
      <c r="C62" s="21" t="s">
        <v>89</v>
      </c>
      <c r="G62" s="31">
        <f t="shared" si="1"/>
        <v>0</v>
      </c>
    </row>
    <row r="63" spans="3:7">
      <c r="C63" s="21" t="s">
        <v>90</v>
      </c>
      <c r="G63" s="31">
        <f t="shared" si="1"/>
        <v>0</v>
      </c>
    </row>
    <row r="64" spans="3:7">
      <c r="C64" s="21" t="s">
        <v>91</v>
      </c>
      <c r="G64" s="31">
        <f t="shared" si="1"/>
        <v>0</v>
      </c>
    </row>
    <row r="65" spans="3:7">
      <c r="C65" s="21" t="s">
        <v>92</v>
      </c>
      <c r="G65" s="31">
        <f t="shared" si="1"/>
        <v>0</v>
      </c>
    </row>
    <row r="66" spans="3:7">
      <c r="C66" s="21" t="s">
        <v>93</v>
      </c>
      <c r="G66" s="31">
        <f t="shared" si="1"/>
        <v>0</v>
      </c>
    </row>
    <row r="67" spans="3:7">
      <c r="C67" s="21" t="s">
        <v>94</v>
      </c>
      <c r="G67" s="31">
        <f t="shared" si="1"/>
        <v>0</v>
      </c>
    </row>
    <row r="68" spans="3:7" ht="15" thickBot="1">
      <c r="C68" s="25" t="s">
        <v>95</v>
      </c>
      <c r="D68" s="26"/>
      <c r="E68" s="26"/>
      <c r="F68" s="26"/>
      <c r="G68" s="33">
        <f t="shared" si="1"/>
        <v>0</v>
      </c>
    </row>
    <row r="69" spans="3:7">
      <c r="G69" s="18"/>
    </row>
    <row r="70" spans="3:7" ht="15" thickBot="1"/>
    <row r="71" spans="3:7">
      <c r="C71" s="40" t="s">
        <v>100</v>
      </c>
      <c r="D71" s="41" t="s">
        <v>101</v>
      </c>
    </row>
    <row r="72" spans="3:7">
      <c r="C72" s="21" t="s">
        <v>52</v>
      </c>
      <c r="D72" s="35">
        <f>41566*2</f>
        <v>83132</v>
      </c>
    </row>
    <row r="73" spans="3:7">
      <c r="C73" s="21" t="s">
        <v>85</v>
      </c>
      <c r="D73" s="35">
        <f>+H26+G26</f>
        <v>63040</v>
      </c>
    </row>
    <row r="74" spans="3:7">
      <c r="C74" s="21" t="s">
        <v>86</v>
      </c>
      <c r="D74" s="24"/>
    </row>
    <row r="75" spans="3:7">
      <c r="C75" s="21" t="s">
        <v>87</v>
      </c>
      <c r="D75" s="24"/>
    </row>
    <row r="76" spans="3:7">
      <c r="C76" s="21" t="s">
        <v>88</v>
      </c>
      <c r="D76" s="24"/>
    </row>
    <row r="77" spans="3:7">
      <c r="C77" s="21" t="s">
        <v>89</v>
      </c>
      <c r="D77" s="24"/>
    </row>
    <row r="78" spans="3:7">
      <c r="C78" s="21" t="s">
        <v>90</v>
      </c>
      <c r="D78" s="24"/>
    </row>
    <row r="79" spans="3:7">
      <c r="C79" s="21" t="s">
        <v>91</v>
      </c>
      <c r="D79" s="24"/>
    </row>
    <row r="80" spans="3:7">
      <c r="C80" s="21" t="s">
        <v>92</v>
      </c>
      <c r="D80" s="24"/>
    </row>
    <row r="81" spans="3:7">
      <c r="C81" s="21" t="s">
        <v>93</v>
      </c>
      <c r="D81" s="24"/>
    </row>
    <row r="82" spans="3:7">
      <c r="C82" s="21" t="s">
        <v>94</v>
      </c>
      <c r="D82" s="24"/>
    </row>
    <row r="83" spans="3:7" ht="15" thickBot="1">
      <c r="C83" s="25" t="s">
        <v>95</v>
      </c>
      <c r="D83" s="27"/>
    </row>
    <row r="85" spans="3:7" ht="15" thickBot="1"/>
    <row r="86" spans="3:7" ht="15" thickBot="1">
      <c r="C86" s="36" t="s">
        <v>102</v>
      </c>
      <c r="D86" s="37" t="s">
        <v>103</v>
      </c>
      <c r="E86" s="37" t="s">
        <v>104</v>
      </c>
      <c r="F86" s="37" t="s">
        <v>105</v>
      </c>
      <c r="G86" s="39" t="s">
        <v>106</v>
      </c>
    </row>
    <row r="87" spans="3:7">
      <c r="C87" s="21" t="s">
        <v>52</v>
      </c>
      <c r="D87" s="22">
        <v>260729</v>
      </c>
      <c r="E87" s="22" t="str">
        <f>+F16</f>
        <v>                                                   -  </v>
      </c>
      <c r="F87" s="22">
        <v>0</v>
      </c>
      <c r="G87" s="34">
        <f>SUM(D87:F87)</f>
        <v>260729</v>
      </c>
    </row>
    <row r="88" spans="3:7">
      <c r="C88" s="21" t="s">
        <v>85</v>
      </c>
      <c r="D88" s="22">
        <f>+D26</f>
        <v>218128</v>
      </c>
      <c r="E88" s="22">
        <v>0</v>
      </c>
      <c r="F88" s="22">
        <v>0</v>
      </c>
      <c r="G88" s="34">
        <f>SUM(D88:F88)</f>
        <v>218128</v>
      </c>
    </row>
    <row r="89" spans="3:7">
      <c r="C89" s="21" t="s">
        <v>86</v>
      </c>
      <c r="G89" s="24"/>
    </row>
    <row r="90" spans="3:7">
      <c r="C90" s="21" t="s">
        <v>87</v>
      </c>
      <c r="G90" s="24"/>
    </row>
    <row r="91" spans="3:7">
      <c r="C91" s="21" t="s">
        <v>88</v>
      </c>
      <c r="G91" s="24"/>
    </row>
    <row r="92" spans="3:7">
      <c r="C92" s="21" t="s">
        <v>89</v>
      </c>
      <c r="G92" s="24"/>
    </row>
    <row r="93" spans="3:7">
      <c r="C93" s="21" t="s">
        <v>90</v>
      </c>
      <c r="G93" s="24"/>
    </row>
    <row r="94" spans="3:7">
      <c r="C94" s="21" t="s">
        <v>91</v>
      </c>
      <c r="G94" s="24"/>
    </row>
    <row r="95" spans="3:7">
      <c r="C95" s="21" t="s">
        <v>92</v>
      </c>
      <c r="G95" s="24"/>
    </row>
    <row r="96" spans="3:7">
      <c r="C96" s="21" t="s">
        <v>93</v>
      </c>
      <c r="G96" s="24"/>
    </row>
    <row r="97" spans="3:7">
      <c r="C97" s="21" t="s">
        <v>94</v>
      </c>
      <c r="G97" s="24"/>
    </row>
    <row r="98" spans="3:7" ht="15" thickBot="1">
      <c r="C98" s="25" t="s">
        <v>95</v>
      </c>
      <c r="D98" s="26"/>
      <c r="E98" s="26"/>
      <c r="F98" s="26"/>
      <c r="G98" s="27"/>
    </row>
    <row r="100" spans="3:7" ht="15" thickBot="1"/>
    <row r="101" spans="3:7" ht="15" thickBot="1">
      <c r="C101" s="36" t="s">
        <v>107</v>
      </c>
      <c r="D101" s="37" t="s">
        <v>108</v>
      </c>
      <c r="E101" s="37" t="s">
        <v>101</v>
      </c>
      <c r="F101" s="39" t="s">
        <v>8</v>
      </c>
    </row>
    <row r="102" spans="3:7">
      <c r="C102" s="21" t="s">
        <v>52</v>
      </c>
      <c r="D102" s="22">
        <f>+F15</f>
        <v>9723</v>
      </c>
      <c r="E102" s="22">
        <f>+H15</f>
        <v>87511</v>
      </c>
      <c r="F102" s="34">
        <f>D102+E102</f>
        <v>97234</v>
      </c>
    </row>
    <row r="103" spans="3:7">
      <c r="C103" s="21" t="s">
        <v>85</v>
      </c>
      <c r="D103" s="22">
        <f>+F25</f>
        <v>9723</v>
      </c>
      <c r="E103" s="22">
        <f>+H25</f>
        <v>87511</v>
      </c>
      <c r="F103" s="34">
        <f>D103+E103</f>
        <v>97234</v>
      </c>
    </row>
    <row r="104" spans="3:7">
      <c r="C104" s="21" t="s">
        <v>86</v>
      </c>
      <c r="F104" s="24"/>
    </row>
    <row r="105" spans="3:7">
      <c r="C105" s="21" t="s">
        <v>87</v>
      </c>
      <c r="F105" s="24"/>
    </row>
    <row r="106" spans="3:7">
      <c r="C106" s="21" t="s">
        <v>88</v>
      </c>
      <c r="F106" s="24"/>
    </row>
    <row r="107" spans="3:7">
      <c r="C107" s="21" t="s">
        <v>89</v>
      </c>
      <c r="F107" s="24"/>
    </row>
    <row r="108" spans="3:7">
      <c r="C108" s="21" t="s">
        <v>90</v>
      </c>
      <c r="F108" s="24"/>
    </row>
    <row r="109" spans="3:7">
      <c r="C109" s="21" t="s">
        <v>91</v>
      </c>
      <c r="F109" s="24"/>
    </row>
    <row r="110" spans="3:7">
      <c r="C110" s="21" t="s">
        <v>92</v>
      </c>
      <c r="F110" s="24"/>
    </row>
    <row r="111" spans="3:7">
      <c r="C111" s="21" t="s">
        <v>93</v>
      </c>
      <c r="F111" s="24"/>
    </row>
    <row r="112" spans="3:7">
      <c r="C112" s="21" t="s">
        <v>94</v>
      </c>
      <c r="F112" s="24"/>
    </row>
    <row r="113" spans="3:7" ht="15" thickBot="1">
      <c r="C113" s="25" t="s">
        <v>95</v>
      </c>
      <c r="D113" s="26"/>
      <c r="E113" s="26"/>
      <c r="F113" s="27"/>
    </row>
    <row r="115" spans="3:7" ht="15" thickBot="1"/>
    <row r="116" spans="3:7" ht="15" thickBot="1">
      <c r="C116" s="36" t="s">
        <v>109</v>
      </c>
      <c r="D116" s="37" t="s">
        <v>110</v>
      </c>
      <c r="E116" s="37" t="s">
        <v>101</v>
      </c>
      <c r="F116" s="37" t="s">
        <v>111</v>
      </c>
      <c r="G116" s="38" t="s">
        <v>8</v>
      </c>
    </row>
    <row r="117" spans="3:7">
      <c r="C117" s="21" t="s">
        <v>52</v>
      </c>
      <c r="D117" s="22">
        <f>+D14</f>
        <v>286848</v>
      </c>
      <c r="E117" s="22">
        <f>+E14+G14+H14</f>
        <v>178492</v>
      </c>
      <c r="F117" s="22">
        <f>+I14</f>
        <v>12395</v>
      </c>
      <c r="G117" s="35">
        <f>SUM(D117:F117)</f>
        <v>477735</v>
      </c>
    </row>
    <row r="118" spans="3:7">
      <c r="C118" s="21" t="s">
        <v>85</v>
      </c>
      <c r="D118" s="22">
        <f>+D24</f>
        <v>290431</v>
      </c>
      <c r="E118" s="22">
        <f>+E24+G24+H24</f>
        <v>182173</v>
      </c>
      <c r="F118" s="22">
        <f>+I24</f>
        <v>13659</v>
      </c>
      <c r="G118" s="35">
        <f>SUM(D118:F118)</f>
        <v>486263</v>
      </c>
    </row>
    <row r="119" spans="3:7">
      <c r="C119" s="21" t="s">
        <v>86</v>
      </c>
      <c r="G119" s="24"/>
    </row>
    <row r="120" spans="3:7">
      <c r="C120" s="21" t="s">
        <v>87</v>
      </c>
      <c r="G120" s="24"/>
    </row>
    <row r="121" spans="3:7">
      <c r="C121" s="21" t="s">
        <v>88</v>
      </c>
      <c r="G121" s="24"/>
    </row>
    <row r="122" spans="3:7">
      <c r="C122" s="21" t="s">
        <v>89</v>
      </c>
      <c r="G122" s="24"/>
    </row>
    <row r="123" spans="3:7">
      <c r="C123" s="21" t="s">
        <v>90</v>
      </c>
      <c r="G123" s="24"/>
    </row>
    <row r="124" spans="3:7">
      <c r="C124" s="21" t="s">
        <v>91</v>
      </c>
      <c r="G124" s="24"/>
    </row>
    <row r="125" spans="3:7">
      <c r="C125" s="21" t="s">
        <v>92</v>
      </c>
      <c r="G125" s="24"/>
    </row>
    <row r="126" spans="3:7">
      <c r="C126" s="21" t="s">
        <v>93</v>
      </c>
      <c r="G126" s="24"/>
    </row>
    <row r="127" spans="3:7">
      <c r="C127" s="21" t="s">
        <v>94</v>
      </c>
      <c r="G127" s="24"/>
    </row>
    <row r="128" spans="3:7">
      <c r="C128" s="21" t="s">
        <v>95</v>
      </c>
      <c r="G128" s="24"/>
    </row>
    <row r="129" spans="3:7" ht="15" thickBot="1">
      <c r="C129" s="25"/>
      <c r="D129" s="26"/>
      <c r="E129" s="26"/>
      <c r="F129" s="26"/>
      <c r="G129" s="27"/>
    </row>
    <row r="130" spans="3:7" ht="15" thickBot="1"/>
    <row r="131" spans="3:7" ht="15" thickBot="1">
      <c r="C131" s="36" t="s">
        <v>112</v>
      </c>
      <c r="D131" s="37" t="s">
        <v>108</v>
      </c>
      <c r="E131" s="37" t="s">
        <v>101</v>
      </c>
      <c r="F131" s="37" t="s">
        <v>111</v>
      </c>
      <c r="G131" s="38" t="s">
        <v>8</v>
      </c>
    </row>
    <row r="132" spans="3:7">
      <c r="C132" s="21" t="s">
        <v>52</v>
      </c>
      <c r="D132" s="22">
        <f>+D17+F17</f>
        <v>393742</v>
      </c>
      <c r="E132" s="22">
        <f>+E17+G17+H17</f>
        <v>346329</v>
      </c>
      <c r="F132" s="22">
        <f>+I17</f>
        <v>45742</v>
      </c>
      <c r="G132" s="35">
        <f>SUM(D132:F132)</f>
        <v>785813</v>
      </c>
    </row>
    <row r="133" spans="3:7">
      <c r="C133" s="21" t="s">
        <v>85</v>
      </c>
      <c r="D133" s="22">
        <f>+D27+F27</f>
        <v>428519</v>
      </c>
      <c r="E133" s="22">
        <f>+E27+G27+H27</f>
        <v>346329</v>
      </c>
      <c r="F133" s="22">
        <f>+I27</f>
        <v>48085</v>
      </c>
      <c r="G133" s="35">
        <f>SUM(D133:F133)</f>
        <v>822933</v>
      </c>
    </row>
    <row r="134" spans="3:7">
      <c r="C134" s="21" t="s">
        <v>86</v>
      </c>
      <c r="G134" s="24"/>
    </row>
    <row r="135" spans="3:7">
      <c r="C135" s="21" t="s">
        <v>87</v>
      </c>
      <c r="G135" s="24"/>
    </row>
    <row r="136" spans="3:7">
      <c r="C136" s="21" t="s">
        <v>88</v>
      </c>
      <c r="G136" s="24"/>
    </row>
    <row r="137" spans="3:7">
      <c r="C137" s="21" t="s">
        <v>89</v>
      </c>
      <c r="G137" s="24"/>
    </row>
    <row r="138" spans="3:7">
      <c r="C138" s="21" t="s">
        <v>90</v>
      </c>
      <c r="G138" s="24"/>
    </row>
    <row r="139" spans="3:7">
      <c r="C139" s="21" t="s">
        <v>91</v>
      </c>
      <c r="G139" s="24"/>
    </row>
    <row r="140" spans="3:7">
      <c r="C140" s="21" t="s">
        <v>92</v>
      </c>
      <c r="G140" s="24"/>
    </row>
    <row r="141" spans="3:7">
      <c r="C141" s="21" t="s">
        <v>93</v>
      </c>
      <c r="G141" s="24"/>
    </row>
    <row r="142" spans="3:7">
      <c r="C142" s="21" t="s">
        <v>94</v>
      </c>
      <c r="G142" s="24"/>
    </row>
    <row r="143" spans="3:7">
      <c r="C143" s="21" t="s">
        <v>95</v>
      </c>
      <c r="G143" s="24"/>
    </row>
    <row r="144" spans="3:7" ht="15" thickBot="1">
      <c r="C144" s="25"/>
      <c r="D144" s="26"/>
      <c r="E144" s="26"/>
      <c r="F144" s="26"/>
      <c r="G144" s="27"/>
    </row>
  </sheetData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B9FA3-7B22-4264-8CFE-BBA4926C4F0B}">
  <dimension ref="D1:K47"/>
  <sheetViews>
    <sheetView tabSelected="1" topLeftCell="C35" workbookViewId="0">
      <selection activeCell="E48" sqref="E48"/>
    </sheetView>
  </sheetViews>
  <sheetFormatPr defaultRowHeight="14.45"/>
  <cols>
    <col min="4" max="4" width="44.42578125" bestFit="1" customWidth="1"/>
    <col min="5" max="5" width="23.28515625" bestFit="1" customWidth="1"/>
    <col min="6" max="6" width="23.7109375" bestFit="1" customWidth="1"/>
    <col min="7" max="7" width="24.7109375" bestFit="1" customWidth="1"/>
    <col min="8" max="8" width="25.28515625" bestFit="1" customWidth="1"/>
    <col min="9" max="9" width="22.140625" bestFit="1" customWidth="1"/>
    <col min="10" max="10" width="13.42578125" bestFit="1" customWidth="1"/>
    <col min="11" max="11" width="11.140625" bestFit="1" customWidth="1"/>
  </cols>
  <sheetData>
    <row r="1" spans="4:11">
      <c r="D1" s="54"/>
      <c r="E1" s="57"/>
      <c r="F1" s="57"/>
      <c r="G1" s="57"/>
      <c r="H1" s="57"/>
      <c r="I1" s="57"/>
      <c r="J1" s="32"/>
    </row>
    <row r="2" spans="4:11" ht="15" thickBot="1">
      <c r="D2" s="9" t="s">
        <v>0</v>
      </c>
    </row>
    <row r="3" spans="4:11" ht="15" thickBot="1">
      <c r="D3" s="50" t="s">
        <v>1</v>
      </c>
      <c r="E3" s="51" t="s">
        <v>2</v>
      </c>
      <c r="F3" s="51" t="s">
        <v>3</v>
      </c>
      <c r="G3" s="51" t="s">
        <v>4</v>
      </c>
      <c r="H3" s="51" t="s">
        <v>5</v>
      </c>
      <c r="I3" s="51" t="s">
        <v>6</v>
      </c>
      <c r="J3" s="51" t="s">
        <v>7</v>
      </c>
      <c r="K3" s="51" t="s">
        <v>8</v>
      </c>
    </row>
    <row r="4" spans="4:11" ht="15" thickBot="1">
      <c r="D4" s="49" t="s">
        <v>9</v>
      </c>
      <c r="E4" s="66">
        <v>2216059</v>
      </c>
      <c r="F4" s="10" t="s">
        <v>11</v>
      </c>
      <c r="G4" s="10" t="s">
        <v>12</v>
      </c>
      <c r="H4" s="10" t="s">
        <v>13</v>
      </c>
      <c r="I4" s="10" t="s">
        <v>14</v>
      </c>
      <c r="J4" s="10" t="s">
        <v>15</v>
      </c>
      <c r="K4" s="11" t="s">
        <v>16</v>
      </c>
    </row>
    <row r="5" spans="4:11" ht="15" thickBot="1">
      <c r="D5" s="49" t="s">
        <v>17</v>
      </c>
      <c r="E5" s="66">
        <v>3116583</v>
      </c>
      <c r="F5" s="10" t="s">
        <v>19</v>
      </c>
      <c r="G5" s="10" t="s">
        <v>12</v>
      </c>
      <c r="H5" s="10" t="s">
        <v>20</v>
      </c>
      <c r="I5" s="10" t="s">
        <v>21</v>
      </c>
      <c r="J5" s="10" t="s">
        <v>22</v>
      </c>
      <c r="K5" s="11" t="s">
        <v>23</v>
      </c>
    </row>
    <row r="6" spans="4:11" ht="15" thickBot="1">
      <c r="D6" s="49" t="s">
        <v>24</v>
      </c>
      <c r="E6" s="66">
        <v>0</v>
      </c>
      <c r="F6" s="10" t="s">
        <v>12</v>
      </c>
      <c r="G6" s="10" t="s">
        <v>26</v>
      </c>
      <c r="H6" s="10" t="s">
        <v>27</v>
      </c>
      <c r="I6" s="10" t="s">
        <v>28</v>
      </c>
      <c r="J6" s="10" t="s">
        <v>29</v>
      </c>
      <c r="K6" s="11" t="s">
        <v>30</v>
      </c>
    </row>
    <row r="7" spans="4:11" ht="15" thickBot="1">
      <c r="D7" s="49" t="s">
        <v>31</v>
      </c>
      <c r="E7" s="66">
        <v>3099557</v>
      </c>
      <c r="F7" s="10" t="s">
        <v>12</v>
      </c>
      <c r="G7" s="10" t="s">
        <v>12</v>
      </c>
      <c r="H7" s="10" t="s">
        <v>33</v>
      </c>
      <c r="I7" s="10" t="s">
        <v>34</v>
      </c>
      <c r="J7" s="10" t="s">
        <v>29</v>
      </c>
      <c r="K7" s="11" t="s">
        <v>35</v>
      </c>
    </row>
    <row r="8" spans="4:11" ht="15" thickBot="1">
      <c r="D8" s="49" t="s">
        <v>36</v>
      </c>
      <c r="E8" s="66">
        <v>4764147</v>
      </c>
      <c r="F8" s="10" t="s">
        <v>38</v>
      </c>
      <c r="G8" s="10" t="s">
        <v>39</v>
      </c>
      <c r="H8" s="10" t="s">
        <v>40</v>
      </c>
      <c r="I8" s="10" t="s">
        <v>41</v>
      </c>
      <c r="J8" s="10" t="s">
        <v>42</v>
      </c>
      <c r="K8" s="11" t="s">
        <v>43</v>
      </c>
    </row>
    <row r="9" spans="4:11" ht="15" thickBot="1">
      <c r="D9" s="52" t="s">
        <v>44</v>
      </c>
      <c r="E9" s="55">
        <f>SUM(E4:E8)</f>
        <v>13196346</v>
      </c>
      <c r="F9" s="53" t="s">
        <v>46</v>
      </c>
      <c r="G9" s="53" t="s">
        <v>47</v>
      </c>
      <c r="H9" s="53" t="s">
        <v>48</v>
      </c>
      <c r="I9" s="53" t="s">
        <v>49</v>
      </c>
      <c r="J9" s="53" t="s">
        <v>50</v>
      </c>
      <c r="K9" s="53" t="s">
        <v>51</v>
      </c>
    </row>
    <row r="10" spans="4:11" ht="15" thickBot="1"/>
    <row r="11" spans="4:11" ht="15" thickBot="1">
      <c r="D11" s="59">
        <v>45772</v>
      </c>
      <c r="E11" s="60" t="s">
        <v>67</v>
      </c>
      <c r="F11" s="60" t="s">
        <v>68</v>
      </c>
      <c r="G11" s="60" t="s">
        <v>69</v>
      </c>
      <c r="H11" s="60" t="s">
        <v>70</v>
      </c>
      <c r="I11" s="60" t="s">
        <v>71</v>
      </c>
      <c r="J11" s="60" t="s">
        <v>72</v>
      </c>
    </row>
    <row r="12" spans="4:11" ht="15" thickBot="1">
      <c r="D12" s="49" t="s">
        <v>9</v>
      </c>
      <c r="E12" s="10">
        <v>442693</v>
      </c>
      <c r="F12" s="10" t="s">
        <v>113</v>
      </c>
      <c r="G12" s="10" t="s">
        <v>114</v>
      </c>
      <c r="H12" s="10" t="s">
        <v>115</v>
      </c>
      <c r="I12" s="10" t="s">
        <v>116</v>
      </c>
      <c r="J12" s="10" t="s">
        <v>117</v>
      </c>
    </row>
    <row r="13" spans="4:11" ht="15" thickBot="1">
      <c r="D13" s="49" t="s">
        <v>54</v>
      </c>
      <c r="E13" s="10">
        <v>166148</v>
      </c>
      <c r="F13" s="10" t="s">
        <v>118</v>
      </c>
      <c r="G13" s="10" t="s">
        <v>119</v>
      </c>
      <c r="H13" s="10" t="s">
        <v>120</v>
      </c>
      <c r="I13" s="10" t="s">
        <v>121</v>
      </c>
      <c r="J13" s="10" t="s">
        <v>122</v>
      </c>
    </row>
    <row r="14" spans="4:11" ht="15" thickBot="1">
      <c r="D14" s="49" t="s">
        <v>55</v>
      </c>
      <c r="E14" s="10">
        <v>0</v>
      </c>
      <c r="F14" s="10" t="s">
        <v>123</v>
      </c>
      <c r="G14" s="10" t="s">
        <v>124</v>
      </c>
      <c r="H14" s="10" t="s">
        <v>125</v>
      </c>
      <c r="I14" s="10" t="s">
        <v>126</v>
      </c>
      <c r="J14" s="10" t="s">
        <v>127</v>
      </c>
    </row>
    <row r="15" spans="4:11" ht="15" thickBot="1">
      <c r="D15" s="49" t="s">
        <v>58</v>
      </c>
      <c r="E15" s="10">
        <v>169297</v>
      </c>
      <c r="F15" s="10" t="s">
        <v>123</v>
      </c>
      <c r="G15" s="10" t="s">
        <v>128</v>
      </c>
      <c r="H15" s="10" t="s">
        <v>129</v>
      </c>
      <c r="I15" s="10" t="s">
        <v>130</v>
      </c>
      <c r="J15" s="10" t="s">
        <v>127</v>
      </c>
    </row>
    <row r="16" spans="4:11" ht="15" thickBot="1">
      <c r="D16" s="49" t="s">
        <v>59</v>
      </c>
      <c r="E16" s="10">
        <v>184485</v>
      </c>
      <c r="F16" s="10" t="s">
        <v>131</v>
      </c>
      <c r="G16" s="10" t="s">
        <v>132</v>
      </c>
      <c r="H16" s="10" t="s">
        <v>133</v>
      </c>
      <c r="I16" s="10" t="s">
        <v>134</v>
      </c>
      <c r="J16" s="10" t="s">
        <v>135</v>
      </c>
    </row>
    <row r="17" spans="4:10" ht="15" thickBot="1">
      <c r="D17" s="61" t="s">
        <v>60</v>
      </c>
      <c r="E17" s="65">
        <f>SUM(E12:E16)</f>
        <v>962623</v>
      </c>
      <c r="F17" s="62" t="s">
        <v>136</v>
      </c>
      <c r="G17" s="62" t="s">
        <v>137</v>
      </c>
      <c r="H17" s="62" t="s">
        <v>138</v>
      </c>
      <c r="I17" s="62" t="s">
        <v>139</v>
      </c>
      <c r="J17" s="62" t="s">
        <v>140</v>
      </c>
    </row>
    <row r="18" spans="4:10" ht="15" thickBot="1">
      <c r="D18" s="61"/>
      <c r="E18" s="62"/>
      <c r="F18" s="62"/>
      <c r="G18" s="62"/>
      <c r="H18" s="62"/>
      <c r="I18" s="62"/>
      <c r="J18" s="62"/>
    </row>
    <row r="19" spans="4:10" ht="15" thickBot="1">
      <c r="D19" s="63">
        <v>45802</v>
      </c>
      <c r="E19" s="62" t="s">
        <v>141</v>
      </c>
      <c r="F19" s="62" t="s">
        <v>142</v>
      </c>
      <c r="G19" s="62" t="s">
        <v>143</v>
      </c>
      <c r="H19" s="62" t="s">
        <v>144</v>
      </c>
      <c r="I19" s="62" t="s">
        <v>145</v>
      </c>
      <c r="J19" s="62" t="s">
        <v>146</v>
      </c>
    </row>
    <row r="20" spans="4:10" ht="15" thickBot="1">
      <c r="D20" s="49" t="s">
        <v>9</v>
      </c>
      <c r="E20" s="66">
        <v>512673</v>
      </c>
      <c r="F20" s="10" t="s">
        <v>147</v>
      </c>
      <c r="G20" s="10" t="s">
        <v>148</v>
      </c>
      <c r="H20" s="10" t="s">
        <v>149</v>
      </c>
      <c r="I20" s="10" t="s">
        <v>150</v>
      </c>
      <c r="J20" s="10" t="s">
        <v>117</v>
      </c>
    </row>
    <row r="21" spans="4:10" ht="15" thickBot="1">
      <c r="D21" s="49" t="s">
        <v>54</v>
      </c>
      <c r="E21" s="66">
        <v>167430</v>
      </c>
      <c r="F21" s="10" t="s">
        <v>151</v>
      </c>
      <c r="G21" s="10" t="s">
        <v>152</v>
      </c>
      <c r="H21" s="10" t="s">
        <v>153</v>
      </c>
      <c r="I21" s="10" t="s">
        <v>154</v>
      </c>
      <c r="J21" s="10" t="s">
        <v>122</v>
      </c>
    </row>
    <row r="22" spans="4:10" ht="15" thickBot="1">
      <c r="D22" s="49" t="s">
        <v>55</v>
      </c>
      <c r="E22" s="66">
        <v>0</v>
      </c>
      <c r="F22" s="10" t="s">
        <v>123</v>
      </c>
      <c r="G22" s="10" t="s">
        <v>124</v>
      </c>
      <c r="H22" s="10" t="s">
        <v>125</v>
      </c>
      <c r="I22" s="10" t="s">
        <v>126</v>
      </c>
      <c r="J22" s="10" t="s">
        <v>127</v>
      </c>
    </row>
    <row r="23" spans="4:10" ht="15" thickBot="1">
      <c r="D23" s="49" t="s">
        <v>58</v>
      </c>
      <c r="E23" s="66">
        <v>168661</v>
      </c>
      <c r="F23" s="10" t="s">
        <v>123</v>
      </c>
      <c r="G23" s="10" t="s">
        <v>128</v>
      </c>
      <c r="H23" s="10" t="s">
        <v>155</v>
      </c>
      <c r="I23" s="10" t="s">
        <v>156</v>
      </c>
      <c r="J23" s="10" t="s">
        <v>127</v>
      </c>
    </row>
    <row r="24" spans="4:10" ht="15" thickBot="1">
      <c r="D24" s="49" t="s">
        <v>59</v>
      </c>
      <c r="E24" s="66">
        <v>198643</v>
      </c>
      <c r="F24" s="10" t="s">
        <v>131</v>
      </c>
      <c r="G24" s="10" t="s">
        <v>157</v>
      </c>
      <c r="H24" s="10" t="s">
        <v>133</v>
      </c>
      <c r="I24" s="10" t="s">
        <v>134</v>
      </c>
      <c r="J24" s="10" t="s">
        <v>158</v>
      </c>
    </row>
    <row r="25" spans="4:10" ht="15" thickBot="1">
      <c r="D25" s="61" t="s">
        <v>60</v>
      </c>
      <c r="E25" s="67">
        <f>SUM(E20:E24)</f>
        <v>1047407</v>
      </c>
      <c r="F25" s="62" t="s">
        <v>159</v>
      </c>
      <c r="G25" s="62" t="s">
        <v>160</v>
      </c>
      <c r="H25" s="62" t="s">
        <v>161</v>
      </c>
      <c r="I25" s="62" t="s">
        <v>162</v>
      </c>
      <c r="J25" s="62" t="s">
        <v>163</v>
      </c>
    </row>
    <row r="26" spans="4:10" ht="15" thickBot="1">
      <c r="D26" s="64"/>
      <c r="E26" s="64"/>
      <c r="F26" s="64"/>
      <c r="G26" s="64"/>
      <c r="H26" s="64"/>
      <c r="I26" s="64"/>
      <c r="J26" s="64"/>
    </row>
    <row r="27" spans="4:10" ht="15" thickBot="1">
      <c r="D27" s="59">
        <v>45833</v>
      </c>
      <c r="E27" s="60" t="s">
        <v>141</v>
      </c>
      <c r="F27" s="60" t="s">
        <v>142</v>
      </c>
      <c r="G27" s="60" t="s">
        <v>143</v>
      </c>
      <c r="H27" s="60" t="s">
        <v>144</v>
      </c>
      <c r="I27" s="60" t="s">
        <v>145</v>
      </c>
      <c r="J27" s="60" t="s">
        <v>146</v>
      </c>
    </row>
    <row r="28" spans="4:10" ht="15" thickBot="1">
      <c r="D28" s="49" t="s">
        <v>9</v>
      </c>
      <c r="E28" s="66">
        <v>561003</v>
      </c>
      <c r="F28" s="10" t="s">
        <v>164</v>
      </c>
      <c r="G28" s="10" t="s">
        <v>165</v>
      </c>
      <c r="H28" s="10" t="s">
        <v>166</v>
      </c>
      <c r="I28" s="10" t="s">
        <v>167</v>
      </c>
      <c r="J28" s="10" t="s">
        <v>117</v>
      </c>
    </row>
    <row r="29" spans="4:10" ht="15" thickBot="1">
      <c r="D29" s="49" t="s">
        <v>54</v>
      </c>
      <c r="E29" s="66">
        <v>248252</v>
      </c>
      <c r="F29" s="10" t="s">
        <v>168</v>
      </c>
      <c r="G29" s="10" t="s">
        <v>169</v>
      </c>
      <c r="H29" s="10" t="s">
        <v>170</v>
      </c>
      <c r="I29" s="10" t="s">
        <v>171</v>
      </c>
      <c r="J29" s="10" t="s">
        <v>172</v>
      </c>
    </row>
    <row r="30" spans="4:10" ht="15" thickBot="1">
      <c r="D30" s="49" t="s">
        <v>55</v>
      </c>
      <c r="E30" s="66">
        <v>0</v>
      </c>
      <c r="F30" s="10" t="s">
        <v>123</v>
      </c>
      <c r="G30" s="10" t="s">
        <v>173</v>
      </c>
      <c r="H30" s="10" t="s">
        <v>174</v>
      </c>
      <c r="I30" s="10" t="s">
        <v>175</v>
      </c>
      <c r="J30" s="10" t="s">
        <v>127</v>
      </c>
    </row>
    <row r="31" spans="4:10" ht="15" thickBot="1">
      <c r="D31" s="49" t="s">
        <v>58</v>
      </c>
      <c r="E31" s="66">
        <v>210307</v>
      </c>
      <c r="F31" s="10" t="s">
        <v>123</v>
      </c>
      <c r="G31" s="10" t="s">
        <v>176</v>
      </c>
      <c r="H31" s="10" t="s">
        <v>177</v>
      </c>
      <c r="I31" s="10" t="s">
        <v>178</v>
      </c>
      <c r="J31" s="10" t="s">
        <v>127</v>
      </c>
    </row>
    <row r="32" spans="4:10" ht="15" thickBot="1">
      <c r="D32" s="49" t="s">
        <v>59</v>
      </c>
      <c r="E32" s="66">
        <v>263788</v>
      </c>
      <c r="F32" s="10" t="s">
        <v>179</v>
      </c>
      <c r="G32" s="10" t="s">
        <v>180</v>
      </c>
      <c r="H32" s="10" t="s">
        <v>181</v>
      </c>
      <c r="I32" s="10" t="s">
        <v>182</v>
      </c>
      <c r="J32" s="10" t="s">
        <v>183</v>
      </c>
    </row>
    <row r="33" spans="4:10" ht="15" thickBot="1">
      <c r="D33" s="61" t="s">
        <v>60</v>
      </c>
      <c r="E33" s="67">
        <f>SUM(E28:E32)</f>
        <v>1283350</v>
      </c>
      <c r="F33" s="62" t="s">
        <v>184</v>
      </c>
      <c r="G33" s="62" t="s">
        <v>185</v>
      </c>
      <c r="H33" s="62" t="s">
        <v>186</v>
      </c>
      <c r="I33" s="62" t="s">
        <v>187</v>
      </c>
      <c r="J33" s="62" t="s">
        <v>188</v>
      </c>
    </row>
    <row r="34" spans="4:10">
      <c r="D34" s="64"/>
      <c r="E34" s="64"/>
      <c r="F34" s="64"/>
      <c r="G34" s="64"/>
      <c r="H34" s="64"/>
      <c r="I34" s="64"/>
      <c r="J34" s="64"/>
    </row>
    <row r="35" spans="4:10" ht="15" thickBot="1">
      <c r="D35" s="64"/>
      <c r="E35" s="64"/>
      <c r="F35" s="64"/>
      <c r="G35" s="64"/>
      <c r="H35" s="64"/>
      <c r="I35" s="64"/>
      <c r="J35" s="64"/>
    </row>
    <row r="36" spans="4:10" ht="15" thickBot="1">
      <c r="D36" s="59">
        <v>45863</v>
      </c>
      <c r="E36" s="60" t="s">
        <v>141</v>
      </c>
      <c r="F36" s="60" t="s">
        <v>142</v>
      </c>
      <c r="G36" s="60" t="s">
        <v>143</v>
      </c>
      <c r="H36" s="60" t="s">
        <v>144</v>
      </c>
      <c r="I36" s="60" t="s">
        <v>145</v>
      </c>
      <c r="J36" s="60" t="s">
        <v>146</v>
      </c>
    </row>
    <row r="37" spans="4:10" ht="15" thickBot="1">
      <c r="D37" s="49" t="s">
        <v>9</v>
      </c>
      <c r="E37" s="66">
        <v>662261</v>
      </c>
      <c r="F37" s="10" t="s">
        <v>189</v>
      </c>
      <c r="G37" s="10" t="s">
        <v>190</v>
      </c>
      <c r="H37" s="10" t="s">
        <v>191</v>
      </c>
      <c r="I37" s="10" t="s">
        <v>192</v>
      </c>
      <c r="J37" s="10" t="s">
        <v>193</v>
      </c>
    </row>
    <row r="38" spans="4:10" ht="15" thickBot="1">
      <c r="D38" s="49" t="s">
        <v>54</v>
      </c>
      <c r="E38" s="66">
        <v>191283</v>
      </c>
      <c r="F38" s="10" t="s">
        <v>194</v>
      </c>
      <c r="G38" s="10" t="s">
        <v>195</v>
      </c>
      <c r="H38" s="10" t="s">
        <v>196</v>
      </c>
      <c r="I38" s="10" t="s">
        <v>197</v>
      </c>
      <c r="J38" s="10" t="s">
        <v>198</v>
      </c>
    </row>
    <row r="39" spans="4:10" ht="15" thickBot="1">
      <c r="D39" s="49" t="s">
        <v>55</v>
      </c>
      <c r="E39" s="66">
        <v>0</v>
      </c>
      <c r="F39" s="10" t="s">
        <v>123</v>
      </c>
      <c r="G39" s="10" t="s">
        <v>199</v>
      </c>
      <c r="H39" s="10" t="s">
        <v>200</v>
      </c>
      <c r="I39" s="10" t="s">
        <v>201</v>
      </c>
      <c r="J39" s="10" t="s">
        <v>127</v>
      </c>
    </row>
    <row r="40" spans="4:10" ht="15" thickBot="1">
      <c r="D40" s="49" t="s">
        <v>58</v>
      </c>
      <c r="E40" s="66">
        <v>178070</v>
      </c>
      <c r="F40" s="10" t="s">
        <v>123</v>
      </c>
      <c r="G40" s="10" t="s">
        <v>202</v>
      </c>
      <c r="H40" s="10" t="s">
        <v>203</v>
      </c>
      <c r="I40" s="10" t="s">
        <v>204</v>
      </c>
      <c r="J40" s="10" t="s">
        <v>127</v>
      </c>
    </row>
    <row r="41" spans="4:10" ht="15" thickBot="1">
      <c r="D41" s="49" t="s">
        <v>59</v>
      </c>
      <c r="E41" s="66">
        <v>210414</v>
      </c>
      <c r="F41" s="10" t="s">
        <v>205</v>
      </c>
      <c r="G41" s="10" t="s">
        <v>206</v>
      </c>
      <c r="H41" s="10" t="s">
        <v>207</v>
      </c>
      <c r="I41" s="10" t="s">
        <v>208</v>
      </c>
      <c r="J41" s="10" t="s">
        <v>209</v>
      </c>
    </row>
    <row r="42" spans="4:10" ht="15" thickBot="1">
      <c r="D42" s="61" t="s">
        <v>60</v>
      </c>
      <c r="E42" s="67">
        <f>SUM(E37:E41)</f>
        <v>1242028</v>
      </c>
      <c r="F42" s="62" t="s">
        <v>210</v>
      </c>
      <c r="G42" s="62" t="s">
        <v>211</v>
      </c>
      <c r="H42" s="62" t="s">
        <v>212</v>
      </c>
      <c r="I42" s="62" t="s">
        <v>213</v>
      </c>
      <c r="J42" s="62" t="s">
        <v>214</v>
      </c>
    </row>
    <row r="45" spans="4:10">
      <c r="D45" t="s">
        <v>215</v>
      </c>
      <c r="E45" s="56">
        <f>E42/30*28</f>
        <v>1159226.1333333333</v>
      </c>
    </row>
    <row r="47" spans="4:10">
      <c r="D47" s="9" t="s">
        <v>216</v>
      </c>
      <c r="E47" s="68">
        <f>E9+E17+E25+E33+E45</f>
        <v>17648952.133333333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197A8-CB41-4828-9FA0-8B66FB51F3BA}">
  <dimension ref="G7:K10"/>
  <sheetViews>
    <sheetView workbookViewId="0">
      <selection activeCell="L15" sqref="L15"/>
    </sheetView>
  </sheetViews>
  <sheetFormatPr defaultRowHeight="14.45"/>
  <cols>
    <col min="7" max="7" width="9" bestFit="1" customWidth="1"/>
    <col min="8" max="8" width="16.85546875" bestFit="1" customWidth="1"/>
    <col min="9" max="9" width="5.42578125" bestFit="1" customWidth="1"/>
    <col min="10" max="10" width="13.42578125" bestFit="1" customWidth="1"/>
    <col min="11" max="11" width="13.140625" bestFit="1" customWidth="1"/>
  </cols>
  <sheetData>
    <row r="7" spans="7:11">
      <c r="G7" s="58" t="s">
        <v>217</v>
      </c>
      <c r="H7" s="58" t="s">
        <v>73</v>
      </c>
      <c r="I7" s="58" t="s">
        <v>218</v>
      </c>
      <c r="J7" s="58" t="s">
        <v>219</v>
      </c>
      <c r="K7" s="58" t="s">
        <v>220</v>
      </c>
    </row>
    <row r="8" spans="7:11">
      <c r="G8" s="44">
        <v>61100024</v>
      </c>
      <c r="H8" s="44" t="s">
        <v>221</v>
      </c>
      <c r="I8" s="44" t="s">
        <v>222</v>
      </c>
      <c r="J8" s="45">
        <v>17648952.133333333</v>
      </c>
      <c r="K8" s="44">
        <v>1000103</v>
      </c>
    </row>
    <row r="9" spans="7:11">
      <c r="G9" s="44">
        <v>61100024</v>
      </c>
      <c r="H9" s="44" t="s">
        <v>221</v>
      </c>
      <c r="I9" s="44" t="s">
        <v>223</v>
      </c>
      <c r="J9" s="45">
        <v>17648952.133333333</v>
      </c>
      <c r="K9" s="44">
        <v>20001380</v>
      </c>
    </row>
    <row r="10" spans="7:11">
      <c r="G10" s="69" t="s">
        <v>224</v>
      </c>
      <c r="H10" s="69"/>
      <c r="I10" s="69"/>
      <c r="J10" s="69"/>
      <c r="K10" s="69"/>
    </row>
  </sheetData>
  <mergeCells count="1">
    <mergeCell ref="G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Account1</dc:creator>
  <cp:keywords/>
  <dc:description/>
  <cp:lastModifiedBy>Borra Prasanna (IND)</cp:lastModifiedBy>
  <cp:revision/>
  <dcterms:created xsi:type="dcterms:W3CDTF">2025-06-11T11:47:29Z</dcterms:created>
  <dcterms:modified xsi:type="dcterms:W3CDTF">2025-10-14T05:21:53Z</dcterms:modified>
  <cp:category/>
  <cp:contentStatus/>
</cp:coreProperties>
</file>