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8_{DC119D7C-B3EB-4FC0-AF16-BF137AB337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AR - PEPPL" sheetId="3" r:id="rId1"/>
    <sheet name="IAR - PEIPL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F5" i="6" s="1"/>
  <c r="G5" i="6" s="1"/>
  <c r="C36" i="3"/>
  <c r="C15" i="3"/>
  <c r="C10" i="3"/>
</calcChain>
</file>

<file path=xl/sharedStrings.xml><?xml version="1.0" encoding="utf-8"?>
<sst xmlns="http://schemas.openxmlformats.org/spreadsheetml/2006/main" count="70" uniqueCount="52">
  <si>
    <t>PEPPL</t>
  </si>
  <si>
    <t>SL.No.</t>
  </si>
  <si>
    <t>Docs recd</t>
  </si>
  <si>
    <t>Policy number</t>
  </si>
  <si>
    <t>From</t>
  </si>
  <si>
    <t>To</t>
  </si>
  <si>
    <t xml:space="preserve">Coverage description </t>
  </si>
  <si>
    <t>Erection All Risk - 25/10/2024 to
midnight of 24/10/2025</t>
  </si>
  <si>
    <t>Erection of 1 GW Solar TOPCON Cell Manufacturing Unit - Total sum insured</t>
  </si>
  <si>
    <t>669.4 Cr</t>
  </si>
  <si>
    <t>Annexure 1</t>
  </si>
  <si>
    <t xml:space="preserve">Start up Cost of 20 Cr and Contingency of 7.91 Cr are not part of EAR policy </t>
  </si>
  <si>
    <t>Total Insured Value</t>
  </si>
  <si>
    <t>Civil Works</t>
  </si>
  <si>
    <t>P&amp;M Insured</t>
  </si>
  <si>
    <t>Utilities</t>
  </si>
  <si>
    <t>HVAC</t>
  </si>
  <si>
    <t>CDA</t>
  </si>
  <si>
    <t>Exhaust</t>
  </si>
  <si>
    <t>PCW</t>
  </si>
  <si>
    <t>Plant &amp; Machinery</t>
  </si>
  <si>
    <t>Water Traetment Plan</t>
  </si>
  <si>
    <t>CDS</t>
  </si>
  <si>
    <t>GDS</t>
  </si>
  <si>
    <t>Fire Hydrant</t>
  </si>
  <si>
    <t>MES &amp; IT</t>
  </si>
  <si>
    <t>Electrical Works</t>
  </si>
  <si>
    <t>Design, Engineering &amp; Project Management</t>
  </si>
  <si>
    <t>Licenses and Approvals Cost</t>
  </si>
  <si>
    <t>Training</t>
  </si>
  <si>
    <t>Startup Cost</t>
  </si>
  <si>
    <t>Contingency @1.5%</t>
  </si>
  <si>
    <t>Loan Processing and Financing Cost</t>
  </si>
  <si>
    <t>Interest during Construction</t>
  </si>
  <si>
    <t>Working Capital Margin</t>
  </si>
  <si>
    <t xml:space="preserve">Total Project Cost </t>
  </si>
  <si>
    <t xml:space="preserve">Insured </t>
  </si>
  <si>
    <t xml:space="preserve">Insured Plant &amp; Machinery </t>
  </si>
  <si>
    <t>Uninsured</t>
  </si>
  <si>
    <t>Particulars</t>
  </si>
  <si>
    <t>580.21 Cr</t>
  </si>
  <si>
    <t>Sum insured value (INR)</t>
  </si>
  <si>
    <t>Project Cost (INR)</t>
  </si>
  <si>
    <t>Insurance coverage anaysis</t>
  </si>
  <si>
    <t>Curr. Bk.value</t>
  </si>
  <si>
    <t>Sum insured</t>
  </si>
  <si>
    <r>
      <t>Over/</t>
    </r>
    <r>
      <rPr>
        <b/>
        <sz val="11"/>
        <color rgb="FFFF0000"/>
        <rFont val="Calibri"/>
        <family val="2"/>
        <scheme val="minor"/>
      </rPr>
      <t>(under)</t>
    </r>
    <r>
      <rPr>
        <b/>
        <sz val="11"/>
        <rFont val="Calibri"/>
        <family val="2"/>
        <scheme val="minor"/>
      </rPr>
      <t xml:space="preserve"> insured</t>
    </r>
  </si>
  <si>
    <t>Rate of premium</t>
  </si>
  <si>
    <t>Excess premium paid</t>
  </si>
  <si>
    <t>PEIPL</t>
  </si>
  <si>
    <t>Vehicles</t>
  </si>
  <si>
    <t>Excess premium paid(with GST)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</si>
</sst>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5" fontId="4" fillId="3" borderId="3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164" fontId="0" fillId="0" borderId="1" xfId="1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2" fillId="5" borderId="1" xfId="0" applyFont="1" applyFill="1" applyBorder="1"/>
    <xf numFmtId="0" fontId="2" fillId="0" borderId="1" xfId="0" applyFont="1" applyBorder="1"/>
    <xf numFmtId="0" fontId="0" fillId="4" borderId="1" xfId="0" applyFill="1" applyBorder="1"/>
    <xf numFmtId="0" fontId="0" fillId="0" borderId="4" xfId="0" applyBorder="1"/>
    <xf numFmtId="0" fontId="0" fillId="4" borderId="4" xfId="0" applyFill="1" applyBorder="1"/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3" borderId="7" xfId="0" applyFont="1" applyFill="1" applyBorder="1"/>
    <xf numFmtId="0" fontId="5" fillId="3" borderId="8" xfId="0" applyFont="1" applyFill="1" applyBorder="1"/>
    <xf numFmtId="0" fontId="6" fillId="2" borderId="8" xfId="0" applyFont="1" applyFill="1" applyBorder="1"/>
    <xf numFmtId="0" fontId="5" fillId="4" borderId="8" xfId="0" applyFont="1" applyFill="1" applyBorder="1"/>
    <xf numFmtId="0" fontId="6" fillId="2" borderId="9" xfId="0" applyFont="1" applyFill="1" applyBorder="1"/>
    <xf numFmtId="0" fontId="2" fillId="6" borderId="10" xfId="0" applyFont="1" applyFill="1" applyBorder="1"/>
    <xf numFmtId="0" fontId="2" fillId="0" borderId="4" xfId="0" applyFont="1" applyBorder="1"/>
    <xf numFmtId="0" fontId="0" fillId="0" borderId="11" xfId="0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0" fontId="0" fillId="0" borderId="12" xfId="0" applyBorder="1"/>
    <xf numFmtId="164" fontId="0" fillId="0" borderId="13" xfId="0" applyNumberFormat="1" applyBorder="1"/>
    <xf numFmtId="0" fontId="6" fillId="2" borderId="14" xfId="0" applyFont="1" applyFill="1" applyBorder="1"/>
    <xf numFmtId="164" fontId="0" fillId="0" borderId="1" xfId="0" applyNumberFormat="1" applyBorder="1"/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169-DCD1-4515-8240-44C3523FA4A0}">
  <dimension ref="A2:J36"/>
  <sheetViews>
    <sheetView tabSelected="1" topLeftCell="A12" zoomScale="78" zoomScaleNormal="78" workbookViewId="0">
      <selection activeCell="B22" sqref="B22"/>
    </sheetView>
  </sheetViews>
  <sheetFormatPr defaultRowHeight="14.5" x14ac:dyDescent="0.35"/>
  <cols>
    <col min="1" max="1" width="12" customWidth="1"/>
    <col min="2" max="2" width="49.7265625" bestFit="1" customWidth="1"/>
    <col min="3" max="3" width="29.453125" customWidth="1"/>
    <col min="4" max="4" width="10.1796875" bestFit="1" customWidth="1"/>
    <col min="5" max="5" width="9.453125" bestFit="1" customWidth="1"/>
    <col min="6" max="6" width="45.1796875" customWidth="1"/>
    <col min="7" max="7" width="21.81640625" customWidth="1"/>
    <col min="8" max="8" width="21.1796875" customWidth="1"/>
    <col min="9" max="9" width="17.81640625" bestFit="1" customWidth="1"/>
  </cols>
  <sheetData>
    <row r="2" spans="1:10" ht="18.5" x14ac:dyDescent="0.45">
      <c r="A2" s="32" t="s">
        <v>0</v>
      </c>
      <c r="B2" s="33"/>
      <c r="C2" s="33"/>
      <c r="D2" s="33"/>
      <c r="E2" s="33"/>
      <c r="F2" s="33"/>
      <c r="G2" s="33"/>
      <c r="H2" s="34"/>
      <c r="I2" s="8"/>
    </row>
    <row r="3" spans="1:10" ht="15" thickBot="1" x14ac:dyDescent="0.4"/>
    <row r="4" spans="1:10" ht="26" x14ac:dyDescent="0.35">
      <c r="A4" s="2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3" t="s">
        <v>6</v>
      </c>
      <c r="G4" s="5" t="s">
        <v>41</v>
      </c>
      <c r="H4" s="5" t="s">
        <v>42</v>
      </c>
    </row>
    <row r="5" spans="1:10" ht="29" x14ac:dyDescent="0.35">
      <c r="A5" s="15">
        <v>1</v>
      </c>
      <c r="B5" s="15" t="s">
        <v>7</v>
      </c>
      <c r="C5" s="15">
        <v>5.5260044241E+17</v>
      </c>
      <c r="D5" s="16">
        <v>45590</v>
      </c>
      <c r="E5" s="16">
        <v>45954</v>
      </c>
      <c r="F5" s="17" t="s">
        <v>8</v>
      </c>
      <c r="G5" s="6" t="s">
        <v>40</v>
      </c>
      <c r="H5" s="7" t="s">
        <v>9</v>
      </c>
      <c r="I5" s="9" t="s">
        <v>10</v>
      </c>
      <c r="J5" s="9" t="s">
        <v>11</v>
      </c>
    </row>
    <row r="10" spans="1:10" x14ac:dyDescent="0.35">
      <c r="A10" t="s">
        <v>10</v>
      </c>
      <c r="B10" s="10" t="s">
        <v>12</v>
      </c>
      <c r="C10" s="10">
        <f>C11+C12</f>
        <v>580.21</v>
      </c>
    </row>
    <row r="11" spans="1:10" x14ac:dyDescent="0.35">
      <c r="B11" s="1" t="s">
        <v>13</v>
      </c>
      <c r="C11" s="11">
        <v>19.7</v>
      </c>
    </row>
    <row r="12" spans="1:10" x14ac:dyDescent="0.35">
      <c r="B12" s="1" t="s">
        <v>14</v>
      </c>
      <c r="C12" s="11">
        <v>560.51</v>
      </c>
    </row>
    <row r="15" spans="1:10" x14ac:dyDescent="0.35">
      <c r="B15" s="11" t="s">
        <v>37</v>
      </c>
      <c r="C15" s="11">
        <f>C16+SUM(C18:C28)</f>
        <v>560.51</v>
      </c>
    </row>
    <row r="16" spans="1:10" x14ac:dyDescent="0.35">
      <c r="B16" s="13" t="s">
        <v>20</v>
      </c>
      <c r="C16" s="14">
        <v>356.87</v>
      </c>
      <c r="D16" t="s">
        <v>36</v>
      </c>
    </row>
    <row r="17" spans="2:4" x14ac:dyDescent="0.35">
      <c r="B17" s="10" t="s">
        <v>15</v>
      </c>
      <c r="C17" s="10"/>
    </row>
    <row r="18" spans="2:4" x14ac:dyDescent="0.35">
      <c r="B18" s="1" t="s">
        <v>21</v>
      </c>
      <c r="C18" s="12">
        <v>42.72</v>
      </c>
      <c r="D18" t="s">
        <v>36</v>
      </c>
    </row>
    <row r="19" spans="2:4" x14ac:dyDescent="0.35">
      <c r="B19" s="1" t="s">
        <v>18</v>
      </c>
      <c r="C19" s="12">
        <v>9</v>
      </c>
      <c r="D19" t="s">
        <v>36</v>
      </c>
    </row>
    <row r="20" spans="2:4" x14ac:dyDescent="0.35">
      <c r="B20" s="1" t="s">
        <v>22</v>
      </c>
      <c r="C20" s="12">
        <v>20</v>
      </c>
      <c r="D20" t="s">
        <v>36</v>
      </c>
    </row>
    <row r="21" spans="2:4" x14ac:dyDescent="0.35">
      <c r="B21" s="1" t="s">
        <v>23</v>
      </c>
      <c r="C21" s="12">
        <v>20</v>
      </c>
      <c r="D21" t="s">
        <v>36</v>
      </c>
    </row>
    <row r="22" spans="2:4" x14ac:dyDescent="0.35">
      <c r="B22" s="1" t="s">
        <v>16</v>
      </c>
      <c r="C22" s="12">
        <v>40.39</v>
      </c>
      <c r="D22" t="s">
        <v>36</v>
      </c>
    </row>
    <row r="23" spans="2:4" x14ac:dyDescent="0.35">
      <c r="B23" s="1" t="s">
        <v>19</v>
      </c>
      <c r="C23" s="12">
        <v>8.85</v>
      </c>
      <c r="D23" t="s">
        <v>36</v>
      </c>
    </row>
    <row r="24" spans="2:4" x14ac:dyDescent="0.35">
      <c r="B24" s="1" t="s">
        <v>17</v>
      </c>
      <c r="C24" s="12">
        <v>4.45</v>
      </c>
      <c r="D24" t="s">
        <v>36</v>
      </c>
    </row>
    <row r="25" spans="2:4" x14ac:dyDescent="0.35">
      <c r="B25" s="1" t="s">
        <v>24</v>
      </c>
      <c r="C25" s="12">
        <v>2.1800000000000002</v>
      </c>
      <c r="D25" t="s">
        <v>36</v>
      </c>
    </row>
    <row r="26" spans="2:4" x14ac:dyDescent="0.35">
      <c r="B26" s="1" t="s">
        <v>25</v>
      </c>
      <c r="C26" s="12">
        <v>3.01</v>
      </c>
      <c r="D26" t="s">
        <v>36</v>
      </c>
    </row>
    <row r="27" spans="2:4" x14ac:dyDescent="0.35">
      <c r="B27" s="1" t="s">
        <v>26</v>
      </c>
      <c r="C27" s="12">
        <v>39.82</v>
      </c>
      <c r="D27" t="s">
        <v>36</v>
      </c>
    </row>
    <row r="28" spans="2:4" x14ac:dyDescent="0.35">
      <c r="B28" s="1" t="s">
        <v>27</v>
      </c>
      <c r="C28" s="12">
        <v>13.22</v>
      </c>
      <c r="D28" t="s">
        <v>36</v>
      </c>
    </row>
    <row r="29" spans="2:4" x14ac:dyDescent="0.35">
      <c r="B29" s="1" t="s">
        <v>28</v>
      </c>
      <c r="C29" s="1">
        <v>7</v>
      </c>
      <c r="D29" t="s">
        <v>38</v>
      </c>
    </row>
    <row r="30" spans="2:4" x14ac:dyDescent="0.35">
      <c r="B30" s="1" t="s">
        <v>29</v>
      </c>
      <c r="C30" s="1">
        <v>5</v>
      </c>
      <c r="D30" t="s">
        <v>38</v>
      </c>
    </row>
    <row r="31" spans="2:4" x14ac:dyDescent="0.35">
      <c r="B31" s="1" t="s">
        <v>30</v>
      </c>
      <c r="C31" s="1">
        <v>20</v>
      </c>
      <c r="D31" t="s">
        <v>38</v>
      </c>
    </row>
    <row r="32" spans="2:4" x14ac:dyDescent="0.35">
      <c r="B32" s="1" t="s">
        <v>31</v>
      </c>
      <c r="C32" s="1">
        <v>7.91</v>
      </c>
      <c r="D32" t="s">
        <v>38</v>
      </c>
    </row>
    <row r="33" spans="2:4" x14ac:dyDescent="0.35">
      <c r="B33" s="1" t="s">
        <v>32</v>
      </c>
      <c r="C33" s="1">
        <v>5.92</v>
      </c>
      <c r="D33" t="s">
        <v>38</v>
      </c>
    </row>
    <row r="34" spans="2:4" x14ac:dyDescent="0.35">
      <c r="B34" s="1" t="s">
        <v>33</v>
      </c>
      <c r="C34" s="1">
        <v>15.81</v>
      </c>
      <c r="D34" t="s">
        <v>38</v>
      </c>
    </row>
    <row r="35" spans="2:4" x14ac:dyDescent="0.35">
      <c r="B35" s="1" t="s">
        <v>34</v>
      </c>
      <c r="C35" s="1">
        <v>27.55</v>
      </c>
      <c r="D35" t="s">
        <v>38</v>
      </c>
    </row>
    <row r="36" spans="2:4" x14ac:dyDescent="0.35">
      <c r="B36" s="11" t="s">
        <v>35</v>
      </c>
      <c r="C36" s="11">
        <f>SUM(C16:C35)+C11</f>
        <v>669.4</v>
      </c>
    </row>
  </sheetData>
  <mergeCells count="1">
    <mergeCell ref="A2:H2"/>
  </mergeCells>
  <pageMargins left="0.7" right="0.7" top="0.75" bottom="0.75" header="0.3" footer="0.3"/>
  <ignoredErrors>
    <ignoredError sqref="C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EAB-5101-4EC8-BA66-30689122DE36}">
  <dimension ref="A1:G5"/>
  <sheetViews>
    <sheetView zoomScale="78" zoomScaleNormal="78" workbookViewId="0">
      <selection activeCell="G4" sqref="G4:G5"/>
    </sheetView>
  </sheetViews>
  <sheetFormatPr defaultRowHeight="14.5" x14ac:dyDescent="0.35"/>
  <cols>
    <col min="1" max="1" width="12" customWidth="1"/>
    <col min="2" max="2" width="14.54296875" customWidth="1"/>
    <col min="3" max="3" width="15" customWidth="1"/>
    <col min="4" max="4" width="18.81640625" bestFit="1" customWidth="1"/>
    <col min="5" max="5" width="15.1796875" bestFit="1" customWidth="1"/>
    <col min="6" max="6" width="20.54296875" customWidth="1"/>
    <col min="7" max="7" width="21.81640625" customWidth="1"/>
    <col min="8" max="8" width="21.1796875" customWidth="1"/>
    <col min="9" max="9" width="17.81640625" bestFit="1" customWidth="1"/>
  </cols>
  <sheetData>
    <row r="1" spans="1:7" ht="15" thickBot="1" x14ac:dyDescent="0.4"/>
    <row r="2" spans="1:7" ht="15" thickBot="1" x14ac:dyDescent="0.4">
      <c r="A2" s="35" t="s">
        <v>43</v>
      </c>
      <c r="B2" s="36"/>
      <c r="C2" s="36"/>
      <c r="D2" s="36"/>
      <c r="E2" s="36"/>
      <c r="F2" s="37"/>
    </row>
    <row r="3" spans="1:7" ht="15" thickBot="1" x14ac:dyDescent="0.4">
      <c r="A3" s="18" t="s">
        <v>39</v>
      </c>
      <c r="B3" s="19" t="s">
        <v>44</v>
      </c>
      <c r="C3" s="19" t="s">
        <v>45</v>
      </c>
      <c r="D3" s="20" t="s">
        <v>46</v>
      </c>
      <c r="E3" s="21" t="s">
        <v>47</v>
      </c>
      <c r="F3" s="22" t="s">
        <v>48</v>
      </c>
      <c r="G3" s="30" t="s">
        <v>51</v>
      </c>
    </row>
    <row r="4" spans="1:7" x14ac:dyDescent="0.35">
      <c r="A4" s="23" t="s">
        <v>49</v>
      </c>
      <c r="B4" s="24"/>
      <c r="C4" s="24"/>
      <c r="D4" s="13"/>
      <c r="E4" s="13"/>
      <c r="F4" s="28"/>
      <c r="G4" s="1"/>
    </row>
    <row r="5" spans="1:7" x14ac:dyDescent="0.35">
      <c r="A5" s="25" t="s">
        <v>50</v>
      </c>
      <c r="B5" s="26">
        <v>0</v>
      </c>
      <c r="C5" s="26">
        <v>12793351</v>
      </c>
      <c r="D5" s="26">
        <f>C5-B5</f>
        <v>12793351</v>
      </c>
      <c r="E5" s="27">
        <v>1.105</v>
      </c>
      <c r="F5" s="29">
        <f>D5*E5/1000</f>
        <v>14136.652855</v>
      </c>
      <c r="G5" s="31">
        <f>F5*118%</f>
        <v>16681.2503689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 - PEPPL</vt:lpstr>
      <vt:lpstr>IAR - PEIPL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Yaqoob Quadri (IND)</dc:creator>
  <cp:lastModifiedBy>Borra Prasanna (IND)</cp:lastModifiedBy>
  <dcterms:created xsi:type="dcterms:W3CDTF">2015-06-05T18:17:20Z</dcterms:created>
  <dcterms:modified xsi:type="dcterms:W3CDTF">2025-11-25T06:11:12Z</dcterms:modified>
</cp:coreProperties>
</file>