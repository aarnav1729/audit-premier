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FD63F526-7F52-4868-B568-D29CF94849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nexure A" sheetId="1" r:id="rId1"/>
    <sheet name="Annexure B" sheetId="3" r:id="rId2"/>
    <sheet name="Over-Under insurance-Details" sheetId="2" state="hidden" r:id="rId3"/>
  </sheets>
  <externalReferences>
    <externalReference r:id="rId4"/>
  </externalReferences>
  <definedNames>
    <definedName name="_xlnm._FilterDatabase" localSheetId="2" hidden="1">'Over-Under insurance-Details'!$A$4:$G$40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2" i="2"/>
  <c r="F31" i="2"/>
  <c r="F30" i="2"/>
  <c r="F29" i="2"/>
  <c r="F28" i="2"/>
  <c r="F26" i="2"/>
  <c r="F25" i="2"/>
  <c r="F24" i="2"/>
  <c r="F23" i="2"/>
  <c r="F22" i="2"/>
  <c r="F19" i="2"/>
  <c r="F18" i="2"/>
  <c r="F17" i="2"/>
  <c r="F14" i="2"/>
  <c r="F13" i="2"/>
  <c r="F12" i="2"/>
  <c r="F11" i="2"/>
  <c r="F10" i="2"/>
  <c r="F9" i="2"/>
  <c r="F8" i="2"/>
  <c r="F6" i="2"/>
  <c r="I27" i="3"/>
  <c r="I28" i="3" s="1"/>
  <c r="K26" i="3"/>
  <c r="F26" i="3"/>
  <c r="K25" i="3"/>
  <c r="F25" i="3"/>
  <c r="K24" i="3"/>
  <c r="F24" i="3"/>
  <c r="K23" i="3"/>
  <c r="K22" i="3"/>
  <c r="G22" i="3"/>
  <c r="I16" i="3"/>
  <c r="G16" i="3"/>
  <c r="I15" i="3"/>
  <c r="I14" i="3"/>
  <c r="I13" i="3"/>
  <c r="K13" i="3" s="1"/>
  <c r="I12" i="3"/>
  <c r="K12" i="3" s="1"/>
  <c r="G12" i="3"/>
  <c r="F12" i="3"/>
  <c r="I11" i="3"/>
  <c r="G11" i="3"/>
  <c r="K10" i="3"/>
  <c r="I10" i="3"/>
  <c r="G10" i="3"/>
  <c r="I9" i="3"/>
  <c r="K9" i="3" s="1"/>
  <c r="G9" i="3"/>
  <c r="F9" i="3"/>
  <c r="K8" i="3"/>
  <c r="H8" i="3"/>
  <c r="I8" i="3" s="1"/>
  <c r="F8" i="3"/>
  <c r="I7" i="3"/>
  <c r="K7" i="3" s="1"/>
  <c r="G7" i="3"/>
  <c r="G13" i="3" s="1"/>
  <c r="F7" i="3"/>
  <c r="F13" i="3" s="1"/>
  <c r="S6" i="3"/>
  <c r="J8" i="3" s="1"/>
  <c r="J17" i="3" s="1"/>
  <c r="Q6" i="3"/>
  <c r="I6" i="3"/>
  <c r="K6" i="3" s="1"/>
  <c r="F6" i="3"/>
  <c r="I5" i="3"/>
  <c r="I17" i="3" s="1"/>
  <c r="F5" i="3"/>
  <c r="F11" i="3" s="1"/>
  <c r="K27" i="3" l="1"/>
  <c r="K28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<sst xmlns="http://schemas.openxmlformats.org/spreadsheetml/2006/main" count="1062" uniqueCount="398">
  <si>
    <t xml:space="preserve">Company </t>
  </si>
  <si>
    <t>Asset</t>
  </si>
  <si>
    <t>Sub-number</t>
  </si>
  <si>
    <t>Capitalized On</t>
  </si>
  <si>
    <t>Asset Description</t>
  </si>
  <si>
    <t>Acquis.val.</t>
  </si>
  <si>
    <t>Accum.dep.</t>
  </si>
  <si>
    <t>Book val.</t>
  </si>
  <si>
    <t>1000 - PEL</t>
  </si>
  <si>
    <t>32000212</t>
  </si>
  <si>
    <t>0</t>
  </si>
  <si>
    <t>Laptop</t>
  </si>
  <si>
    <t>32000214</t>
  </si>
  <si>
    <t>32000220</t>
  </si>
  <si>
    <t>32000221</t>
  </si>
  <si>
    <t>Laptop-3 No's</t>
  </si>
  <si>
    <t>32000222</t>
  </si>
  <si>
    <t>Laptop-1 &amp; Scanner-1</t>
  </si>
  <si>
    <t>32000223</t>
  </si>
  <si>
    <t>32000227</t>
  </si>
  <si>
    <t>32000228</t>
  </si>
  <si>
    <t>DELL INSPIRON3501 LAPTOP HAVING INTEL CORE I-3-10T</t>
  </si>
  <si>
    <t>32000229</t>
  </si>
  <si>
    <t>HP LAPTOP MODEL 14S-C3006TU</t>
  </si>
  <si>
    <t>32000230</t>
  </si>
  <si>
    <t>Dell Laptop</t>
  </si>
  <si>
    <t>32000231</t>
  </si>
  <si>
    <t>DELL3510,INTEL CORE I-3-10TH GEN8 GB RAM (4GB+4GB</t>
  </si>
  <si>
    <t>32000233</t>
  </si>
  <si>
    <t>Laptop-1 Qty</t>
  </si>
  <si>
    <t>32000234</t>
  </si>
  <si>
    <t>Laptop-2 Qty</t>
  </si>
  <si>
    <t>32000235</t>
  </si>
  <si>
    <t>2-Laptops &amp; 1-Moniter</t>
  </si>
  <si>
    <t>32000236</t>
  </si>
  <si>
    <t>32000240</t>
  </si>
  <si>
    <t>1-Qty Laptop-Madhavi Madam</t>
  </si>
  <si>
    <t>32000241</t>
  </si>
  <si>
    <t>Dell Laptop 1</t>
  </si>
  <si>
    <t>32000243</t>
  </si>
  <si>
    <t>HP Laptop  Model 250 G8 I5 10th Gen/8GB/1TB-2No</t>
  </si>
  <si>
    <t>32000252</t>
  </si>
  <si>
    <t>32000253</t>
  </si>
  <si>
    <t>32000300</t>
  </si>
  <si>
    <t>1</t>
  </si>
  <si>
    <t>Lenovo Think book 15R-7 Laptop</t>
  </si>
  <si>
    <t>2</t>
  </si>
  <si>
    <t>3</t>
  </si>
  <si>
    <t>4</t>
  </si>
  <si>
    <t>5</t>
  </si>
  <si>
    <t>6</t>
  </si>
  <si>
    <t>7</t>
  </si>
  <si>
    <t>2000 - PEPPL</t>
  </si>
  <si>
    <t>32000000</t>
  </si>
  <si>
    <t>32000001</t>
  </si>
  <si>
    <t>32000003</t>
  </si>
  <si>
    <t>HP PAV-15 Laptop</t>
  </si>
  <si>
    <t>32000005</t>
  </si>
  <si>
    <t>HP Laptop - HP -250 G-7</t>
  </si>
  <si>
    <t>32000006</t>
  </si>
  <si>
    <t>HP Laptop - 14 DH1007TU</t>
  </si>
  <si>
    <t>32000007</t>
  </si>
  <si>
    <t>32000008</t>
  </si>
  <si>
    <t>lAPTOP FOR cHNADIGARH Employee</t>
  </si>
  <si>
    <t>32000009</t>
  </si>
  <si>
    <t>32000011</t>
  </si>
  <si>
    <t>laptops</t>
  </si>
  <si>
    <t>32000013</t>
  </si>
  <si>
    <t>Mac Book</t>
  </si>
  <si>
    <t>32000014</t>
  </si>
  <si>
    <t>32000015</t>
  </si>
  <si>
    <t>32000016</t>
  </si>
  <si>
    <t>Laptops</t>
  </si>
  <si>
    <t>32000017</t>
  </si>
  <si>
    <t>32000018</t>
  </si>
  <si>
    <t>32000019</t>
  </si>
  <si>
    <t>32000020</t>
  </si>
  <si>
    <t>32000021</t>
  </si>
  <si>
    <t>Acer Laptop</t>
  </si>
  <si>
    <t>32000023</t>
  </si>
  <si>
    <t>32000024</t>
  </si>
  <si>
    <t>32000025</t>
  </si>
  <si>
    <t>Lenovo laptop</t>
  </si>
  <si>
    <t>32000026</t>
  </si>
  <si>
    <t>32000028</t>
  </si>
  <si>
    <t>22 Desktops @ 28200</t>
  </si>
  <si>
    <t>32000030</t>
  </si>
  <si>
    <t>4 Desktops @ 33500</t>
  </si>
  <si>
    <t>32000031</t>
  </si>
  <si>
    <t>Computer Dell Laptop 52900</t>
  </si>
  <si>
    <t>32000032</t>
  </si>
  <si>
    <t>HP Laptop , HP carry Case , USB Adapter</t>
  </si>
  <si>
    <t>32000034</t>
  </si>
  <si>
    <t>HP Laptop</t>
  </si>
  <si>
    <t>32000035</t>
  </si>
  <si>
    <t>Dell laptop</t>
  </si>
  <si>
    <t>32000043</t>
  </si>
  <si>
    <t>Module Dell Laptop</t>
  </si>
  <si>
    <t>32000045</t>
  </si>
  <si>
    <t>Module HP Ink Tank AIO Printer</t>
  </si>
  <si>
    <t>32000071</t>
  </si>
  <si>
    <t>Head office HP Laptop I5</t>
  </si>
  <si>
    <t>32000072</t>
  </si>
  <si>
    <t>Head office Hp Laptop I3</t>
  </si>
  <si>
    <t>32000073</t>
  </si>
  <si>
    <t>Cell Dell Laptop</t>
  </si>
  <si>
    <t>32000074</t>
  </si>
  <si>
    <t>Cell Dell Laptop-I3</t>
  </si>
  <si>
    <t>32000075</t>
  </si>
  <si>
    <t>Cell Dell Laptop-I5</t>
  </si>
  <si>
    <t>32000076</t>
  </si>
  <si>
    <t>Module Dell Lap top</t>
  </si>
  <si>
    <t>32000078</t>
  </si>
  <si>
    <t>cell Lenovo Laptop</t>
  </si>
  <si>
    <t>32000081</t>
  </si>
  <si>
    <t>32000082</t>
  </si>
  <si>
    <t>Cell HP Laptop</t>
  </si>
  <si>
    <t>32000083</t>
  </si>
  <si>
    <t>32000084</t>
  </si>
  <si>
    <t>32000086</t>
  </si>
  <si>
    <t>32000089</t>
  </si>
  <si>
    <t>32000090</t>
  </si>
  <si>
    <t>Cell Dell Desktop</t>
  </si>
  <si>
    <t>32000092</t>
  </si>
  <si>
    <t>32000122</t>
  </si>
  <si>
    <t>DELL INSPIRON 3511 LAPTOP HAVING INTEL CORE I-5-</t>
  </si>
  <si>
    <t>32000123</t>
  </si>
  <si>
    <t>Laptop: i3/11th/4gb/256/Windows</t>
  </si>
  <si>
    <t>32000133</t>
  </si>
  <si>
    <t>Dell I5,8GBRAM512GBSSD + 21.5 LED for Quality</t>
  </si>
  <si>
    <t>32000134</t>
  </si>
  <si>
    <t>Dell I5,8GBRAM512GBSSD + 21.5 LED for Stores IG</t>
  </si>
  <si>
    <t>32000135</t>
  </si>
  <si>
    <t>Dell I5,8GBRAM512GBSSD + 21.5 LED for Module PPC</t>
  </si>
  <si>
    <t>32000136</t>
  </si>
  <si>
    <t>Dell I3,8GBRAM250GBSSD + 19.5 LED for IT Standby</t>
  </si>
  <si>
    <t>32000138</t>
  </si>
  <si>
    <t>Laptop-DELL LATITUDE 7490</t>
  </si>
  <si>
    <t>32000143</t>
  </si>
  <si>
    <t>Lenovo Laptop (Thinkpad E14_G4)_i5/8GB Ram/512GB S</t>
  </si>
  <si>
    <t>32000144</t>
  </si>
  <si>
    <t>32000145</t>
  </si>
  <si>
    <t>32000146</t>
  </si>
  <si>
    <t>32000147</t>
  </si>
  <si>
    <t>32000157</t>
  </si>
  <si>
    <t>Lenovo Laptop (Thinkpad E15_G4)_I5/8GB Ram/512GB S</t>
  </si>
  <si>
    <t>32000158</t>
  </si>
  <si>
    <t>32000159</t>
  </si>
  <si>
    <t>32000160</t>
  </si>
  <si>
    <t>Lenovo Laptop (Thinkpad E15_G4)_I7/16GB Ram/512GB</t>
  </si>
  <si>
    <t>32000161</t>
  </si>
  <si>
    <t>Lenovo Laptop (Thinkpad E15_G4)_I5/16GB Ram/512GB</t>
  </si>
  <si>
    <t>32000162</t>
  </si>
  <si>
    <t>Microtek Online UPS with Inbuilt Battery 69V IB</t>
  </si>
  <si>
    <t>32000163</t>
  </si>
  <si>
    <t>32000164</t>
  </si>
  <si>
    <t>Barcode Printer -TSC MB 340T</t>
  </si>
  <si>
    <t>32000165</t>
  </si>
  <si>
    <t>Wireless Barcode Scanner ZEBRA LI4278</t>
  </si>
  <si>
    <t>32000167</t>
  </si>
  <si>
    <t>Lenovo Laptop (Thinkpad E15_G4)_I5/32GB Ram/1TB SS</t>
  </si>
  <si>
    <t>32000168</t>
  </si>
  <si>
    <t>32000172</t>
  </si>
  <si>
    <t>Dell Latitude 5490_Laptop (Intel i5, 8th Gen, RAM-</t>
  </si>
  <si>
    <t>32000173</t>
  </si>
  <si>
    <t>Lenovo Laptop</t>
  </si>
  <si>
    <t>32000174</t>
  </si>
  <si>
    <t>32000175</t>
  </si>
  <si>
    <t>32000176</t>
  </si>
  <si>
    <t>32000177</t>
  </si>
  <si>
    <t>32000199</t>
  </si>
  <si>
    <t>Lenovo Laptop -E-14, G4-i7</t>
  </si>
  <si>
    <t>32000200</t>
  </si>
  <si>
    <t>Lenovo Laptop(Think Book) 15, G5, Ryzen R3-7330</t>
  </si>
  <si>
    <t>32000201</t>
  </si>
  <si>
    <t>32000202</t>
  </si>
  <si>
    <t>32000203</t>
  </si>
  <si>
    <t>Dell Desktop &amp; 22" LED Moniter</t>
  </si>
  <si>
    <t>32000204</t>
  </si>
  <si>
    <t>32000205</t>
  </si>
  <si>
    <t>LAPTOP DELL 3490 (i5-8Gen)</t>
  </si>
  <si>
    <t>32000206</t>
  </si>
  <si>
    <t>Mouse-Zebronics Zeb-Comfort Wired USB</t>
  </si>
  <si>
    <t>32000207</t>
  </si>
  <si>
    <t>Mouse-Logitech B 170 Wireless</t>
  </si>
  <si>
    <t>32000208</t>
  </si>
  <si>
    <t>Mouse-Dell</t>
  </si>
  <si>
    <t>32000209</t>
  </si>
  <si>
    <t>32000210</t>
  </si>
  <si>
    <t>32000211</t>
  </si>
  <si>
    <t>HP Scanjet Pro 3000 S4</t>
  </si>
  <si>
    <t>D Link 400MM Depth Loaded Rack</t>
  </si>
  <si>
    <t>32000213</t>
  </si>
  <si>
    <t>Cisco Switches CBS 350</t>
  </si>
  <si>
    <t>Cisco Access Points</t>
  </si>
  <si>
    <t>32000215</t>
  </si>
  <si>
    <t>SMPS</t>
  </si>
  <si>
    <t>32000216</t>
  </si>
  <si>
    <t>Lenovo Think Book-21JFA00QIN</t>
  </si>
  <si>
    <t>32000217</t>
  </si>
  <si>
    <t>32000218</t>
  </si>
  <si>
    <t>32000219</t>
  </si>
  <si>
    <t>32000224</t>
  </si>
  <si>
    <t>32000225</t>
  </si>
  <si>
    <t>32000226</t>
  </si>
  <si>
    <t>DELL OptiPlex 300 Desktop with 19.5" Monitor</t>
  </si>
  <si>
    <t>32000232</t>
  </si>
  <si>
    <t>Micro Soft Surface Laptop4-13in i5/8/256GB</t>
  </si>
  <si>
    <t>32000256</t>
  </si>
  <si>
    <t>Lenovo Laptop-I5-1235U</t>
  </si>
  <si>
    <t>32000257</t>
  </si>
  <si>
    <t>32000258</t>
  </si>
  <si>
    <t>LENOVO LAPTOP I3.512SSD. 8GBRAM</t>
  </si>
  <si>
    <t>32000259</t>
  </si>
  <si>
    <t>PRINTER-CANON IMAGE CLASS LBP6030B</t>
  </si>
  <si>
    <t>32000260</t>
  </si>
  <si>
    <t>Dell Work Station T3660 Intel Core i7 12Core</t>
  </si>
  <si>
    <t>PS -APC UPS 600 VA MODEL BACK-UPS</t>
  </si>
  <si>
    <t>32000261</t>
  </si>
  <si>
    <t>Wireless Barcode Scanner CR2278-SR</t>
  </si>
  <si>
    <t>32000262</t>
  </si>
  <si>
    <t>Barcode printer-Zebra ZT411, 300 dpi</t>
  </si>
  <si>
    <t>32000263</t>
  </si>
  <si>
    <t>Wireless Scanner Zebra DS-2278-SR USB Cradle Kit</t>
  </si>
  <si>
    <t>32000264</t>
  </si>
  <si>
    <t>LENOVO TB15 21JFAOOQIN R7 7730U/8GB/512GB</t>
  </si>
  <si>
    <t>32000265</t>
  </si>
  <si>
    <t>32000266</t>
  </si>
  <si>
    <t>32000267</t>
  </si>
  <si>
    <t>32000268</t>
  </si>
  <si>
    <t>32000269</t>
  </si>
  <si>
    <t>32000270</t>
  </si>
  <si>
    <t>32000271</t>
  </si>
  <si>
    <t>32000272</t>
  </si>
  <si>
    <t>32000273</t>
  </si>
  <si>
    <t>32000274</t>
  </si>
  <si>
    <t>32000275</t>
  </si>
  <si>
    <t>32000276</t>
  </si>
  <si>
    <t>32000279</t>
  </si>
  <si>
    <t>LENOVO Thinkbook15 G5- R7-7730U 16GB</t>
  </si>
  <si>
    <t>32000280</t>
  </si>
  <si>
    <t>32000281</t>
  </si>
  <si>
    <t>32000282</t>
  </si>
  <si>
    <t>32000283</t>
  </si>
  <si>
    <t>32000284</t>
  </si>
  <si>
    <t>32000285</t>
  </si>
  <si>
    <t>32000286</t>
  </si>
  <si>
    <t>32000287</t>
  </si>
  <si>
    <t>32000288</t>
  </si>
  <si>
    <t>32000289</t>
  </si>
  <si>
    <t>32000290</t>
  </si>
  <si>
    <t>DELL Desktop-Optiplex7010MT with 22" Monitor</t>
  </si>
  <si>
    <t>32000291</t>
  </si>
  <si>
    <t>32000292</t>
  </si>
  <si>
    <t>32000293</t>
  </si>
  <si>
    <t>32000294</t>
  </si>
  <si>
    <t>32000295</t>
  </si>
  <si>
    <t>32000296</t>
  </si>
  <si>
    <t>32000298</t>
  </si>
  <si>
    <t>LENOVO Thinkbook15 G3- R7-7730U 16GB</t>
  </si>
  <si>
    <t>32000299</t>
  </si>
  <si>
    <t>32000301</t>
  </si>
  <si>
    <t>32000302</t>
  </si>
  <si>
    <t>32000303</t>
  </si>
  <si>
    <t>32000304</t>
  </si>
  <si>
    <t>32000305</t>
  </si>
  <si>
    <t>32000306</t>
  </si>
  <si>
    <t>32000307</t>
  </si>
  <si>
    <t>32000310</t>
  </si>
  <si>
    <t>LENOVO Thinkbook15 G3- R7-7730U 8GB</t>
  </si>
  <si>
    <t>32000311</t>
  </si>
  <si>
    <t>32000312</t>
  </si>
  <si>
    <t>32000313</t>
  </si>
  <si>
    <t>32000314</t>
  </si>
  <si>
    <t>32000315</t>
  </si>
  <si>
    <t>Desktop INDOpti7010SFFN3-1</t>
  </si>
  <si>
    <t>4000-PEGEPL</t>
  </si>
  <si>
    <t>Dell  Laptops-3,Desktop-2</t>
  </si>
  <si>
    <t>5000 - PEIPL</t>
  </si>
  <si>
    <t>32000002</t>
  </si>
  <si>
    <t>Dell Laptop i5 8G</t>
  </si>
  <si>
    <t>Dell Latitude Laptop,Intel Core I5-8th S.No9XZW5Y2</t>
  </si>
  <si>
    <t>Refurbished Laptop</t>
  </si>
  <si>
    <t>DELL OPTIPLEX 3000 MT DESKTOP-I5</t>
  </si>
  <si>
    <t>32000029</t>
  </si>
  <si>
    <t>DELL OPTIPLEX 3000 MT</t>
  </si>
  <si>
    <t>32000033</t>
  </si>
  <si>
    <t>Laptop i5-16gb RAM-512gb SSD</t>
  </si>
  <si>
    <t>LAPTOP DELL</t>
  </si>
  <si>
    <t>32000044</t>
  </si>
  <si>
    <t>Lenovo N99 PMR 446Mhz</t>
  </si>
  <si>
    <t>32000048</t>
  </si>
  <si>
    <t>Desktop i3-12th-8gb-512SSD-19.5"</t>
  </si>
  <si>
    <t>32000049</t>
  </si>
  <si>
    <t>i5, 8gb ram, 500 GB SSD + 21.5 LED</t>
  </si>
  <si>
    <t>32000062</t>
  </si>
  <si>
    <t>Laptop i5/12th/8gb/512gbSSD/14"FHD</t>
  </si>
  <si>
    <t>32000063</t>
  </si>
  <si>
    <t>Laptop RYZEN R7-7730U-8gb RAM-512gbSSD</t>
  </si>
  <si>
    <t>32000064</t>
  </si>
  <si>
    <t>Lenovo ThinkBook 15 G5 AMD Ryzen  5</t>
  </si>
  <si>
    <t>32000068</t>
  </si>
  <si>
    <t>32000103</t>
  </si>
  <si>
    <t>32000107</t>
  </si>
  <si>
    <t>LENOVO Thinkbook15 G5- R7-7730U 16GB MP2FS4XW</t>
  </si>
  <si>
    <t>LENOVO Thinkbook15 G5- R7-7730U 16GB MP2FV3MJ</t>
  </si>
  <si>
    <t>LENOVO Thinkbook15 G5- R7-7730U 16GB MP2FV9XB</t>
  </si>
  <si>
    <t>LENOVO Thinkbook15 G5- R7-7730U 16GB MP2FVEL7</t>
  </si>
  <si>
    <t>LENOVO Thinkbook15 G5- R7-7730U 16GB MP2FTW2P</t>
  </si>
  <si>
    <t>LENOVO Thinkbook15 G5- R7-7730U 16GB MP2FV5ZY</t>
  </si>
  <si>
    <t>32000110</t>
  </si>
  <si>
    <t>Lenovo LapTop16gb 15.6 " 512HDD</t>
  </si>
  <si>
    <t>Grand Total</t>
  </si>
  <si>
    <t>Particulars</t>
  </si>
  <si>
    <t>Net book value</t>
  </si>
  <si>
    <t>Count of assets</t>
  </si>
  <si>
    <t>Insurance coverage anaysis</t>
  </si>
  <si>
    <t>Curr. Bk.value</t>
  </si>
  <si>
    <t>Sum insured</t>
  </si>
  <si>
    <t>Excess premium paid(under insurance)</t>
  </si>
  <si>
    <t>PEL (NBV)</t>
  </si>
  <si>
    <t>Building - Balanagar</t>
  </si>
  <si>
    <t>Building - Villa 253</t>
  </si>
  <si>
    <t>Building - Annaram</t>
  </si>
  <si>
    <t>Building - Jharkhand</t>
  </si>
  <si>
    <t>Building - Narsingi</t>
  </si>
  <si>
    <t>Building - Legend 4th floor</t>
  </si>
  <si>
    <t>P&amp;M</t>
  </si>
  <si>
    <t>Furnitures &amp; Fixtures</t>
  </si>
  <si>
    <t>Computers</t>
  </si>
  <si>
    <t xml:space="preserve">Others </t>
  </si>
  <si>
    <t>Total (A)</t>
  </si>
  <si>
    <t>Plant &amp; Equipment</t>
  </si>
  <si>
    <t>Furniture &amp; Fixtures</t>
  </si>
  <si>
    <t>Total (B)</t>
  </si>
  <si>
    <t>PEPPL (GBV)</t>
  </si>
  <si>
    <t>Building</t>
  </si>
  <si>
    <t>Total (C)</t>
  </si>
  <si>
    <t>PEGEPL (GBV)</t>
  </si>
  <si>
    <t>Total (D)</t>
  </si>
  <si>
    <t>PEIPL (GBV)</t>
  </si>
  <si>
    <t>Total (E)</t>
  </si>
  <si>
    <t>Total (A+B+C)</t>
  </si>
  <si>
    <t>Over/(under) insured</t>
  </si>
  <si>
    <t>Remarks IAU</t>
  </si>
  <si>
    <t>Entity</t>
  </si>
  <si>
    <t>Total</t>
  </si>
  <si>
    <t>Detailed</t>
  </si>
  <si>
    <t>Not insured</t>
  </si>
  <si>
    <t>Insured based on Valuation report</t>
  </si>
  <si>
    <t>Insured based on Sale deed</t>
  </si>
  <si>
    <t>To be discussed</t>
  </si>
  <si>
    <t>Under/over insurance %</t>
  </si>
  <si>
    <t>Exceeds the limit of Underinsurance clause.</t>
  </si>
  <si>
    <t>Underinsurance clause covers upto 15% of underinsurance. Refer screenshot annexed</t>
  </si>
  <si>
    <t>Over insured</t>
  </si>
  <si>
    <t>Ommisision to addition coverage is upto 5% only, however the underinsurance exceeds 5%. Refer screenshot.</t>
  </si>
  <si>
    <t>Nil remarks</t>
  </si>
  <si>
    <t>No clause noted with respect to ommission of additions coverage</t>
  </si>
  <si>
    <t>PEL(Burglary)</t>
  </si>
  <si>
    <t>PEL(Fire)</t>
  </si>
  <si>
    <t>Over insurance</t>
  </si>
  <si>
    <t>Under insurance</t>
  </si>
  <si>
    <t>Exceeds the limit of Underinsurance clause(15%).</t>
  </si>
  <si>
    <t>Ommisision to addition coverage is upto 5% only, however the underinsurance exceeds 5%.</t>
  </si>
  <si>
    <t>Insurance not obtained</t>
  </si>
  <si>
    <t>Under insurance after considering add-ons in policy</t>
  </si>
  <si>
    <t>Status of Under/Over insurance as on 31.03.2025</t>
  </si>
  <si>
    <t>Value considered for insurance</t>
  </si>
  <si>
    <t>Value as on 31st March 2025(A)</t>
  </si>
  <si>
    <t>Renewal date</t>
  </si>
  <si>
    <t>Value as on insurance renewal date as per email(B)</t>
  </si>
  <si>
    <t>Value as per books on renewal date</t>
  </si>
  <si>
    <t>Sum insured(C)</t>
  </si>
  <si>
    <t>NBV</t>
  </si>
  <si>
    <t>550300112410000138 - start date</t>
  </si>
  <si>
    <t>550300112410000095-end date</t>
  </si>
  <si>
    <t>Overlap period</t>
  </si>
  <si>
    <t>Proportionate Premium to building</t>
  </si>
  <si>
    <t>Excess premium</t>
  </si>
  <si>
    <t>Note 1</t>
  </si>
  <si>
    <t>Details</t>
  </si>
  <si>
    <t>Annaram P/M</t>
  </si>
  <si>
    <t>Valuation report</t>
  </si>
  <si>
    <t>Building - Annaram(S.no 53)</t>
  </si>
  <si>
    <t>NA</t>
  </si>
  <si>
    <t>2 policies taken for same building with overlapping period of 257 days(refer note 1)</t>
  </si>
  <si>
    <t>Jharkhand P/M</t>
  </si>
  <si>
    <t>Jharkhand Building</t>
  </si>
  <si>
    <t>Not mentioned</t>
  </si>
  <si>
    <t>PEGEPL(IAR)</t>
  </si>
  <si>
    <t>GBV</t>
  </si>
  <si>
    <t>Not re-computing burglary - over insurance</t>
  </si>
  <si>
    <t>PEPPL(IAR)</t>
  </si>
  <si>
    <t>PEIPL(IAR)</t>
  </si>
  <si>
    <t>PEL(IAR)</t>
  </si>
  <si>
    <t>Over insured as on 31st March 2025 [(C) - (A)]</t>
  </si>
  <si>
    <t>Under insured as on 31st March 2025 [(C) -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</si>
</sst>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0000_);_(* \(#,##0.000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i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3" borderId="1" xfId="0" applyFill="1" applyBorder="1" applyAlignment="1">
      <alignment vertical="top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1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0" fontId="2" fillId="4" borderId="2" xfId="0" applyFont="1" applyFill="1" applyBorder="1"/>
    <xf numFmtId="0" fontId="2" fillId="4" borderId="3" xfId="0" applyFont="1" applyFill="1" applyBorder="1"/>
    <xf numFmtId="0" fontId="4" fillId="2" borderId="3" xfId="0" applyFont="1" applyFill="1" applyBorder="1"/>
    <xf numFmtId="0" fontId="3" fillId="5" borderId="4" xfId="0" applyFont="1" applyFill="1" applyBorder="1"/>
    <xf numFmtId="0" fontId="3" fillId="0" borderId="5" xfId="0" applyFont="1" applyBorder="1"/>
    <xf numFmtId="0" fontId="0" fillId="0" borderId="5" xfId="0" applyBorder="1"/>
    <xf numFmtId="0" fontId="0" fillId="0" borderId="6" xfId="0" applyBorder="1"/>
    <xf numFmtId="165" fontId="0" fillId="0" borderId="0" xfId="1" applyNumberFormat="1" applyFont="1"/>
    <xf numFmtId="0" fontId="3" fillId="0" borderId="6" xfId="0" quotePrefix="1" applyFont="1" applyBorder="1"/>
    <xf numFmtId="165" fontId="3" fillId="0" borderId="1" xfId="0" applyNumberFormat="1" applyFont="1" applyBorder="1"/>
    <xf numFmtId="0" fontId="0" fillId="0" borderId="6" xfId="0" quotePrefix="1" applyBorder="1"/>
    <xf numFmtId="165" fontId="0" fillId="0" borderId="1" xfId="0" applyNumberFormat="1" applyBorder="1"/>
    <xf numFmtId="0" fontId="3" fillId="5" borderId="6" xfId="0" applyFont="1" applyFill="1" applyBorder="1"/>
    <xf numFmtId="165" fontId="0" fillId="0" borderId="1" xfId="1" applyNumberFormat="1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vertical="top" wrapText="1"/>
    </xf>
    <xf numFmtId="165" fontId="1" fillId="0" borderId="1" xfId="1" applyNumberFormat="1" applyFont="1" applyBorder="1"/>
    <xf numFmtId="165" fontId="0" fillId="0" borderId="7" xfId="1" applyNumberFormat="1" applyFont="1" applyBorder="1"/>
    <xf numFmtId="0" fontId="3" fillId="0" borderId="8" xfId="0" quotePrefix="1" applyFont="1" applyBorder="1"/>
    <xf numFmtId="0" fontId="0" fillId="0" borderId="9" xfId="0" applyBorder="1"/>
    <xf numFmtId="0" fontId="3" fillId="5" borderId="2" xfId="0" quotePrefix="1" applyFont="1" applyFill="1" applyBorder="1"/>
    <xf numFmtId="0" fontId="3" fillId="5" borderId="10" xfId="0" applyFont="1" applyFill="1" applyBorder="1"/>
    <xf numFmtId="0" fontId="4" fillId="2" borderId="14" xfId="0" applyFont="1" applyFill="1" applyBorder="1"/>
    <xf numFmtId="0" fontId="0" fillId="0" borderId="15" xfId="0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165" fontId="3" fillId="0" borderId="16" xfId="1" applyNumberFormat="1" applyFont="1" applyBorder="1"/>
    <xf numFmtId="165" fontId="1" fillId="0" borderId="16" xfId="1" applyNumberFormat="1" applyFont="1" applyBorder="1"/>
    <xf numFmtId="165" fontId="0" fillId="0" borderId="17" xfId="1" applyNumberFormat="1" applyFont="1" applyBorder="1"/>
    <xf numFmtId="165" fontId="3" fillId="0" borderId="17" xfId="1" applyNumberFormat="1" applyFont="1" applyBorder="1"/>
    <xf numFmtId="164" fontId="3" fillId="5" borderId="14" xfId="0" applyNumberFormat="1" applyFont="1" applyFill="1" applyBorder="1"/>
    <xf numFmtId="0" fontId="2" fillId="4" borderId="1" xfId="0" applyFont="1" applyFill="1" applyBorder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0" fontId="3" fillId="2" borderId="0" xfId="0" applyFont="1" applyFill="1" applyAlignment="1">
      <alignment horizontal="center"/>
    </xf>
    <xf numFmtId="164" fontId="3" fillId="5" borderId="18" xfId="0" applyNumberFormat="1" applyFont="1" applyFill="1" applyBorder="1"/>
    <xf numFmtId="10" fontId="0" fillId="0" borderId="15" xfId="2" applyNumberFormat="1" applyFont="1" applyBorder="1"/>
    <xf numFmtId="0" fontId="4" fillId="2" borderId="1" xfId="0" applyFont="1" applyFill="1" applyBorder="1" applyAlignment="1">
      <alignment wrapText="1"/>
    </xf>
    <xf numFmtId="10" fontId="3" fillId="0" borderId="15" xfId="2" applyNumberFormat="1" applyFont="1" applyBorder="1"/>
    <xf numFmtId="0" fontId="0" fillId="6" borderId="6" xfId="0" applyFill="1" applyBorder="1"/>
    <xf numFmtId="165" fontId="0" fillId="6" borderId="1" xfId="1" applyNumberFormat="1" applyFont="1" applyFill="1" applyBorder="1" applyAlignment="1">
      <alignment vertical="top" wrapText="1"/>
    </xf>
    <xf numFmtId="165" fontId="5" fillId="6" borderId="1" xfId="1" applyNumberFormat="1" applyFont="1" applyFill="1" applyBorder="1" applyAlignment="1">
      <alignment vertical="top" wrapText="1"/>
    </xf>
    <xf numFmtId="165" fontId="0" fillId="6" borderId="16" xfId="1" applyNumberFormat="1" applyFont="1" applyFill="1" applyBorder="1"/>
    <xf numFmtId="10" fontId="0" fillId="6" borderId="15" xfId="2" applyNumberFormat="1" applyFont="1" applyFill="1" applyBorder="1"/>
    <xf numFmtId="0" fontId="0" fillId="6" borderId="1" xfId="0" applyFill="1" applyBorder="1"/>
    <xf numFmtId="0" fontId="0" fillId="6" borderId="0" xfId="0" applyFill="1"/>
    <xf numFmtId="165" fontId="1" fillId="6" borderId="1" xfId="1" applyNumberFormat="1" applyFont="1" applyFill="1" applyBorder="1"/>
    <xf numFmtId="165" fontId="0" fillId="6" borderId="1" xfId="1" applyNumberFormat="1" applyFont="1" applyFill="1" applyBorder="1"/>
    <xf numFmtId="165" fontId="1" fillId="6" borderId="16" xfId="1" applyNumberFormat="1" applyFont="1" applyFill="1" applyBorder="1"/>
    <xf numFmtId="165" fontId="0" fillId="6" borderId="0" xfId="1" applyNumberFormat="1" applyFont="1" applyFill="1"/>
    <xf numFmtId="10" fontId="0" fillId="0" borderId="1" xfId="2" applyNumberFormat="1" applyFont="1" applyBorder="1"/>
    <xf numFmtId="0" fontId="0" fillId="0" borderId="1" xfId="0" quotePrefix="1" applyBorder="1"/>
    <xf numFmtId="165" fontId="1" fillId="0" borderId="1" xfId="1" applyNumberFormat="1" applyFont="1" applyFill="1" applyBorder="1"/>
    <xf numFmtId="165" fontId="0" fillId="0" borderId="1" xfId="1" applyNumberFormat="1" applyFont="1" applyFill="1" applyBorder="1"/>
    <xf numFmtId="10" fontId="0" fillId="0" borderId="1" xfId="2" applyNumberFormat="1" applyFont="1" applyFill="1" applyBorder="1"/>
    <xf numFmtId="0" fontId="6" fillId="0" borderId="0" xfId="0" applyFont="1"/>
    <xf numFmtId="0" fontId="2" fillId="4" borderId="1" xfId="0" applyFont="1" applyFill="1" applyBorder="1" applyAlignment="1">
      <alignment wrapText="1"/>
    </xf>
    <xf numFmtId="15" fontId="0" fillId="0" borderId="1" xfId="0" applyNumberFormat="1" applyBorder="1" applyAlignment="1">
      <alignment vertical="center"/>
    </xf>
    <xf numFmtId="3" fontId="0" fillId="0" borderId="1" xfId="0" applyNumberFormat="1" applyBorder="1"/>
    <xf numFmtId="3" fontId="0" fillId="0" borderId="1" xfId="1" applyNumberFormat="1" applyFont="1" applyBorder="1"/>
    <xf numFmtId="14" fontId="0" fillId="0" borderId="1" xfId="0" applyNumberFormat="1" applyBorder="1"/>
    <xf numFmtId="0" fontId="0" fillId="0" borderId="19" xfId="0" applyBorder="1"/>
    <xf numFmtId="14" fontId="0" fillId="0" borderId="0" xfId="0" applyNumberFormat="1"/>
    <xf numFmtId="15" fontId="0" fillId="0" borderId="7" xfId="0" applyNumberFormat="1" applyBorder="1" applyAlignment="1">
      <alignment vertical="center"/>
    </xf>
    <xf numFmtId="165" fontId="0" fillId="0" borderId="7" xfId="0" applyNumberFormat="1" applyBorder="1"/>
    <xf numFmtId="0" fontId="7" fillId="0" borderId="0" xfId="0" applyFont="1" applyAlignment="1">
      <alignment vertical="top"/>
    </xf>
    <xf numFmtId="0" fontId="2" fillId="4" borderId="19" xfId="0" applyFont="1" applyFill="1" applyBorder="1"/>
    <xf numFmtId="165" fontId="0" fillId="0" borderId="7" xfId="1" applyNumberFormat="1" applyFont="1" applyFill="1" applyBorder="1"/>
    <xf numFmtId="10" fontId="0" fillId="0" borderId="7" xfId="2" applyNumberFormat="1" applyFont="1" applyFill="1" applyBorder="1"/>
    <xf numFmtId="0" fontId="3" fillId="0" borderId="19" xfId="0" applyFont="1" applyBorder="1"/>
    <xf numFmtId="165" fontId="0" fillId="0" borderId="0" xfId="1" applyNumberFormat="1" applyFont="1" applyFill="1" applyBorder="1"/>
    <xf numFmtId="167" fontId="0" fillId="0" borderId="0" xfId="0" applyNumberFormat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sai_sowmya_protivitiglobal_in/Documents/Premier%202024-25/Fixed%20asset%20Management/2.0/Workings%20on%20insurance/Copy%20of%20Insurance%20Workings.xlsx" TargetMode="External"/><Relationship Id="rId1" Type="http://schemas.openxmlformats.org/officeDocument/2006/relationships/externalLinkPath" Target="https://protivitimf-my.sharepoint.com/personal/sai_sowmya_protivitiglobal_in/Documents/Premier%202024-25/Fixed%20asset%20Management/2.0/Workings%20on%20insurance/Copy%20of%20Insurance%20Wo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ries"/>
      <sheetName val="New Summary sheet-PEL"/>
      <sheetName val="Summary"/>
      <sheetName val="PELFAR"/>
      <sheetName val="PEPPL FAR"/>
      <sheetName val="Vehicle"/>
      <sheetName val="PEPPL Det FAR"/>
      <sheetName val="PEIPL det FAR"/>
      <sheetName val="PSPT det FAR"/>
      <sheetName val="PEGEPL Det FAR"/>
      <sheetName val="PEIPL FAR"/>
      <sheetName val="PEGEPLFAR"/>
      <sheetName val="PEL"/>
      <sheetName val="PEPPL"/>
      <sheetName val="PEGEPL"/>
      <sheetName val="PEIPL"/>
    </sheetNames>
    <sheetDataSet>
      <sheetData sheetId="0"/>
      <sheetData sheetId="1"/>
      <sheetData sheetId="2"/>
      <sheetData sheetId="3"/>
      <sheetData sheetId="4"/>
      <sheetData sheetId="5"/>
      <sheetData sheetId="6">
        <row r="1424">
          <cell r="E1424">
            <v>26500</v>
          </cell>
        </row>
        <row r="1425">
          <cell r="E1425">
            <v>41500</v>
          </cell>
        </row>
        <row r="1426">
          <cell r="E1426">
            <v>19068</v>
          </cell>
        </row>
        <row r="1427">
          <cell r="E1427">
            <v>62089</v>
          </cell>
        </row>
        <row r="1428">
          <cell r="E1428">
            <v>3899</v>
          </cell>
        </row>
        <row r="1429">
          <cell r="E1429">
            <v>53250</v>
          </cell>
        </row>
        <row r="1430">
          <cell r="E1430">
            <v>40254</v>
          </cell>
        </row>
        <row r="1431">
          <cell r="E1431">
            <v>17750</v>
          </cell>
        </row>
        <row r="1432">
          <cell r="E1432">
            <v>19500</v>
          </cell>
        </row>
        <row r="1433">
          <cell r="E1433">
            <v>71526</v>
          </cell>
        </row>
        <row r="1434">
          <cell r="E1434">
            <v>19492</v>
          </cell>
        </row>
        <row r="1435">
          <cell r="E1435">
            <v>43474</v>
          </cell>
        </row>
        <row r="1436">
          <cell r="E1436">
            <v>19492</v>
          </cell>
        </row>
        <row r="1437">
          <cell r="E1437">
            <v>160932</v>
          </cell>
        </row>
        <row r="1438">
          <cell r="E1438">
            <v>23000</v>
          </cell>
        </row>
        <row r="1439">
          <cell r="E1439">
            <v>31356</v>
          </cell>
        </row>
        <row r="1440">
          <cell r="E1440">
            <v>75975</v>
          </cell>
        </row>
        <row r="1441">
          <cell r="E1441">
            <v>52449</v>
          </cell>
        </row>
        <row r="1442">
          <cell r="E1442">
            <v>27119</v>
          </cell>
        </row>
        <row r="1443">
          <cell r="E1443">
            <v>27288</v>
          </cell>
        </row>
        <row r="1444">
          <cell r="E1444">
            <v>32119</v>
          </cell>
        </row>
        <row r="1445">
          <cell r="E1445">
            <v>21250</v>
          </cell>
        </row>
        <row r="1446">
          <cell r="E1446">
            <v>13178</v>
          </cell>
        </row>
        <row r="1447">
          <cell r="E1447">
            <v>54237</v>
          </cell>
        </row>
        <row r="1448">
          <cell r="E1448">
            <v>31102</v>
          </cell>
        </row>
        <row r="1449">
          <cell r="E1449">
            <v>35339</v>
          </cell>
        </row>
        <row r="1450">
          <cell r="E1450">
            <v>21250</v>
          </cell>
        </row>
        <row r="1451">
          <cell r="E1451">
            <v>17523</v>
          </cell>
        </row>
        <row r="1452">
          <cell r="E1452">
            <v>620400</v>
          </cell>
        </row>
        <row r="1453">
          <cell r="E1453">
            <v>10424</v>
          </cell>
        </row>
        <row r="1454">
          <cell r="E1454">
            <v>134000</v>
          </cell>
        </row>
        <row r="1455">
          <cell r="E1455">
            <v>61017</v>
          </cell>
        </row>
        <row r="1456">
          <cell r="E1456">
            <v>66900</v>
          </cell>
        </row>
        <row r="1457">
          <cell r="E1457">
            <v>23364</v>
          </cell>
        </row>
        <row r="1458">
          <cell r="E1458">
            <v>59000</v>
          </cell>
        </row>
        <row r="1459">
          <cell r="E1459">
            <v>34550</v>
          </cell>
        </row>
        <row r="1460">
          <cell r="E1460">
            <v>18644</v>
          </cell>
        </row>
        <row r="1461">
          <cell r="E1461">
            <v>76694</v>
          </cell>
        </row>
        <row r="1462">
          <cell r="E1462">
            <v>8400</v>
          </cell>
        </row>
        <row r="1463">
          <cell r="E1463">
            <v>49800</v>
          </cell>
        </row>
        <row r="1464">
          <cell r="E1464">
            <v>23610</v>
          </cell>
        </row>
        <row r="1465">
          <cell r="E1465">
            <v>700</v>
          </cell>
        </row>
        <row r="1466">
          <cell r="E1466">
            <v>82600</v>
          </cell>
        </row>
        <row r="1467">
          <cell r="E1467">
            <v>60600</v>
          </cell>
        </row>
        <row r="1468">
          <cell r="E1468">
            <v>9150</v>
          </cell>
        </row>
        <row r="1469">
          <cell r="E1469">
            <v>10450</v>
          </cell>
        </row>
        <row r="1470">
          <cell r="E1470">
            <v>590000</v>
          </cell>
        </row>
        <row r="1471">
          <cell r="E1471">
            <v>78000</v>
          </cell>
        </row>
        <row r="1472">
          <cell r="E1472">
            <v>105150</v>
          </cell>
        </row>
        <row r="1473">
          <cell r="E1473">
            <v>1150</v>
          </cell>
        </row>
        <row r="1474">
          <cell r="E1474">
            <v>89600</v>
          </cell>
        </row>
        <row r="1475">
          <cell r="E1475">
            <v>1050</v>
          </cell>
        </row>
        <row r="1476">
          <cell r="E1476">
            <v>1700</v>
          </cell>
        </row>
        <row r="1477">
          <cell r="E1477">
            <v>20339</v>
          </cell>
        </row>
        <row r="1478">
          <cell r="E1478">
            <v>1949</v>
          </cell>
        </row>
        <row r="1479">
          <cell r="E1479">
            <v>45800</v>
          </cell>
        </row>
        <row r="1480">
          <cell r="E1480">
            <v>12200</v>
          </cell>
        </row>
        <row r="1481">
          <cell r="E1481">
            <v>17100</v>
          </cell>
        </row>
        <row r="1482">
          <cell r="E1482">
            <v>9786</v>
          </cell>
        </row>
        <row r="1483">
          <cell r="E1483">
            <v>3165</v>
          </cell>
        </row>
        <row r="1484">
          <cell r="E1484">
            <v>17795</v>
          </cell>
        </row>
        <row r="1485">
          <cell r="E1485">
            <v>16034</v>
          </cell>
        </row>
        <row r="1486">
          <cell r="E1486">
            <v>1896</v>
          </cell>
        </row>
        <row r="1487">
          <cell r="E1487">
            <v>1314</v>
          </cell>
        </row>
        <row r="1488">
          <cell r="E1488">
            <v>3219</v>
          </cell>
        </row>
        <row r="1489">
          <cell r="E1489">
            <v>69500</v>
          </cell>
        </row>
        <row r="1490">
          <cell r="E1490">
            <v>4000</v>
          </cell>
        </row>
        <row r="1491">
          <cell r="E1491">
            <v>44800</v>
          </cell>
        </row>
        <row r="1492">
          <cell r="E1492">
            <v>87150</v>
          </cell>
        </row>
        <row r="1493">
          <cell r="E1493">
            <v>12450</v>
          </cell>
        </row>
        <row r="1494">
          <cell r="E1494">
            <v>26400</v>
          </cell>
        </row>
        <row r="1495">
          <cell r="E1495">
            <v>63000</v>
          </cell>
        </row>
        <row r="1496">
          <cell r="E1496">
            <v>325500</v>
          </cell>
        </row>
        <row r="1497">
          <cell r="E1497">
            <v>65100</v>
          </cell>
        </row>
        <row r="1498">
          <cell r="E1498">
            <v>45500</v>
          </cell>
        </row>
        <row r="1499">
          <cell r="E1499">
            <v>63200</v>
          </cell>
        </row>
        <row r="1500">
          <cell r="E1500">
            <v>44800</v>
          </cell>
        </row>
        <row r="1501">
          <cell r="E1501">
            <v>21000</v>
          </cell>
        </row>
        <row r="1502">
          <cell r="E1502">
            <v>31800</v>
          </cell>
        </row>
        <row r="1503">
          <cell r="E1503">
            <v>78729</v>
          </cell>
        </row>
        <row r="1504">
          <cell r="E1504">
            <v>381</v>
          </cell>
        </row>
        <row r="1505">
          <cell r="E1505">
            <v>75000</v>
          </cell>
        </row>
        <row r="1506">
          <cell r="E1506">
            <v>64750</v>
          </cell>
        </row>
        <row r="1507">
          <cell r="E1507">
            <v>48400</v>
          </cell>
        </row>
        <row r="1508">
          <cell r="E1508">
            <v>96200</v>
          </cell>
        </row>
        <row r="1509">
          <cell r="E1509">
            <v>17000</v>
          </cell>
        </row>
        <row r="1510">
          <cell r="E1510">
            <v>54800</v>
          </cell>
        </row>
        <row r="1511">
          <cell r="E1511">
            <v>194350</v>
          </cell>
        </row>
        <row r="1512">
          <cell r="E1512">
            <v>176180</v>
          </cell>
        </row>
        <row r="1513">
          <cell r="E1513">
            <v>59500</v>
          </cell>
        </row>
        <row r="1514">
          <cell r="E1514">
            <v>49600</v>
          </cell>
        </row>
        <row r="1515">
          <cell r="E1515">
            <v>26100</v>
          </cell>
        </row>
        <row r="1516">
          <cell r="E1516">
            <v>45600</v>
          </cell>
        </row>
        <row r="1517">
          <cell r="E1517">
            <v>2200</v>
          </cell>
        </row>
        <row r="1518">
          <cell r="E1518">
            <v>12500</v>
          </cell>
        </row>
        <row r="1519">
          <cell r="E1519">
            <v>104700</v>
          </cell>
        </row>
        <row r="1520">
          <cell r="E1520">
            <v>73440</v>
          </cell>
        </row>
        <row r="1521">
          <cell r="E1521">
            <v>16320</v>
          </cell>
        </row>
        <row r="1522">
          <cell r="E1522">
            <v>9250</v>
          </cell>
        </row>
        <row r="1523">
          <cell r="E1523">
            <v>3800</v>
          </cell>
        </row>
        <row r="1524">
          <cell r="E1524">
            <v>12300</v>
          </cell>
        </row>
        <row r="1525">
          <cell r="E1525">
            <v>4800</v>
          </cell>
        </row>
        <row r="1526">
          <cell r="E1526">
            <v>6092</v>
          </cell>
        </row>
        <row r="1527">
          <cell r="E1527">
            <v>12150</v>
          </cell>
        </row>
        <row r="1528">
          <cell r="E1528">
            <v>6750</v>
          </cell>
        </row>
        <row r="1529">
          <cell r="E1529">
            <v>1800</v>
          </cell>
        </row>
        <row r="1530">
          <cell r="E1530">
            <v>31850</v>
          </cell>
        </row>
        <row r="1531">
          <cell r="E1531">
            <v>58100</v>
          </cell>
        </row>
        <row r="1532">
          <cell r="E1532">
            <v>17600</v>
          </cell>
        </row>
        <row r="1533">
          <cell r="E1533">
            <v>13500</v>
          </cell>
        </row>
        <row r="1534">
          <cell r="E1534">
            <v>19900</v>
          </cell>
        </row>
        <row r="1535">
          <cell r="E1535">
            <v>31110</v>
          </cell>
        </row>
        <row r="1536">
          <cell r="E1536">
            <v>9450</v>
          </cell>
        </row>
        <row r="1537">
          <cell r="E1537">
            <v>543250</v>
          </cell>
        </row>
        <row r="1538">
          <cell r="E1538">
            <v>224000</v>
          </cell>
        </row>
        <row r="1539">
          <cell r="E1539">
            <v>3533</v>
          </cell>
        </row>
        <row r="1540">
          <cell r="E1540">
            <v>19120</v>
          </cell>
        </row>
        <row r="1541">
          <cell r="E1541">
            <v>60000</v>
          </cell>
        </row>
        <row r="1542">
          <cell r="E1542">
            <v>98100</v>
          </cell>
        </row>
        <row r="1543">
          <cell r="E1543">
            <v>13728.81</v>
          </cell>
        </row>
        <row r="1544">
          <cell r="E1544">
            <v>46500</v>
          </cell>
        </row>
        <row r="1545">
          <cell r="E1545">
            <v>36864.410000000003</v>
          </cell>
        </row>
        <row r="1546">
          <cell r="E1546">
            <v>25500</v>
          </cell>
        </row>
        <row r="1547">
          <cell r="E1547">
            <v>565057</v>
          </cell>
        </row>
        <row r="1548">
          <cell r="E1548">
            <v>71999.899999999994</v>
          </cell>
        </row>
        <row r="1549">
          <cell r="E1549">
            <v>28000</v>
          </cell>
        </row>
        <row r="1550">
          <cell r="E1550">
            <v>29900</v>
          </cell>
        </row>
        <row r="1551">
          <cell r="E1551">
            <v>5423.73</v>
          </cell>
        </row>
        <row r="1552">
          <cell r="E1552">
            <v>14400</v>
          </cell>
        </row>
        <row r="1553">
          <cell r="E1553">
            <v>36500</v>
          </cell>
        </row>
        <row r="1554">
          <cell r="E1554">
            <v>48000</v>
          </cell>
        </row>
        <row r="1555">
          <cell r="E1555">
            <v>48000</v>
          </cell>
        </row>
        <row r="1556">
          <cell r="E1556">
            <v>48000</v>
          </cell>
        </row>
        <row r="1557">
          <cell r="E1557">
            <v>48000</v>
          </cell>
        </row>
        <row r="1558">
          <cell r="E1558">
            <v>41000</v>
          </cell>
        </row>
        <row r="1559">
          <cell r="E1559">
            <v>0</v>
          </cell>
        </row>
        <row r="1560">
          <cell r="E1560">
            <v>91100.87</v>
          </cell>
        </row>
        <row r="1561">
          <cell r="E1561">
            <v>34800</v>
          </cell>
        </row>
        <row r="1562">
          <cell r="E1562">
            <v>34800</v>
          </cell>
        </row>
        <row r="1563">
          <cell r="E1563">
            <v>34800</v>
          </cell>
        </row>
        <row r="1564">
          <cell r="E1564">
            <v>56550</v>
          </cell>
        </row>
        <row r="1565">
          <cell r="E1565">
            <v>56550</v>
          </cell>
        </row>
        <row r="1566">
          <cell r="E1566">
            <v>56550</v>
          </cell>
        </row>
        <row r="1567">
          <cell r="E1567">
            <v>56550</v>
          </cell>
        </row>
        <row r="1568">
          <cell r="E1568">
            <v>56550</v>
          </cell>
        </row>
        <row r="1569">
          <cell r="E1569">
            <v>11700</v>
          </cell>
        </row>
        <row r="1570">
          <cell r="E1570">
            <v>11700</v>
          </cell>
        </row>
        <row r="1571">
          <cell r="E1571">
            <v>11700</v>
          </cell>
        </row>
        <row r="1572">
          <cell r="E1572">
            <v>11700</v>
          </cell>
        </row>
        <row r="1573">
          <cell r="E1573">
            <v>10400</v>
          </cell>
        </row>
        <row r="1574">
          <cell r="E1574">
            <v>10400</v>
          </cell>
        </row>
        <row r="1575">
          <cell r="E1575">
            <v>10400</v>
          </cell>
        </row>
        <row r="1576">
          <cell r="E1576">
            <v>10400</v>
          </cell>
        </row>
        <row r="1577">
          <cell r="E1577">
            <v>10400</v>
          </cell>
        </row>
        <row r="1578">
          <cell r="E1578">
            <v>57000</v>
          </cell>
        </row>
        <row r="1579">
          <cell r="E1579">
            <v>57000</v>
          </cell>
        </row>
        <row r="1580">
          <cell r="E1580">
            <v>57000</v>
          </cell>
        </row>
        <row r="1581">
          <cell r="E1581">
            <v>78690</v>
          </cell>
        </row>
        <row r="1582">
          <cell r="E1582">
            <v>55750</v>
          </cell>
        </row>
        <row r="1583">
          <cell r="E1583">
            <v>18000</v>
          </cell>
        </row>
        <row r="1584">
          <cell r="E1584">
            <v>18000</v>
          </cell>
        </row>
        <row r="1585">
          <cell r="E1585">
            <v>59000</v>
          </cell>
        </row>
        <row r="1586">
          <cell r="E1586">
            <v>21700</v>
          </cell>
        </row>
        <row r="1587">
          <cell r="E1587">
            <v>46000</v>
          </cell>
        </row>
        <row r="1588">
          <cell r="E1588">
            <v>124400</v>
          </cell>
        </row>
        <row r="1589">
          <cell r="E1589">
            <v>55550</v>
          </cell>
        </row>
        <row r="1590">
          <cell r="E1590">
            <v>172000</v>
          </cell>
        </row>
        <row r="1591">
          <cell r="E1591">
            <v>38000</v>
          </cell>
        </row>
        <row r="1592">
          <cell r="E1592">
            <v>36000</v>
          </cell>
        </row>
        <row r="1593">
          <cell r="E1593">
            <v>127500</v>
          </cell>
        </row>
        <row r="1594">
          <cell r="E1594">
            <v>59000</v>
          </cell>
        </row>
        <row r="1595">
          <cell r="E1595">
            <v>59000</v>
          </cell>
        </row>
        <row r="1596">
          <cell r="E1596">
            <v>59000</v>
          </cell>
        </row>
        <row r="1597">
          <cell r="E1597">
            <v>59000</v>
          </cell>
        </row>
        <row r="1598">
          <cell r="E1598">
            <v>59000</v>
          </cell>
        </row>
        <row r="1599">
          <cell r="E1599">
            <v>81425</v>
          </cell>
        </row>
        <row r="1600">
          <cell r="E1600">
            <v>81425</v>
          </cell>
        </row>
        <row r="1601">
          <cell r="E1601">
            <v>16150</v>
          </cell>
        </row>
        <row r="1602">
          <cell r="E1602">
            <v>16150</v>
          </cell>
        </row>
        <row r="1603">
          <cell r="E1603">
            <v>16150</v>
          </cell>
        </row>
        <row r="1604">
          <cell r="E1604">
            <v>16150</v>
          </cell>
        </row>
        <row r="1605">
          <cell r="E1605">
            <v>16150</v>
          </cell>
        </row>
        <row r="1606">
          <cell r="E1606">
            <v>56600</v>
          </cell>
        </row>
        <row r="1607">
          <cell r="E1607">
            <v>56600</v>
          </cell>
        </row>
        <row r="1608">
          <cell r="E1608">
            <v>10200</v>
          </cell>
        </row>
        <row r="1609">
          <cell r="E1609">
            <v>10200</v>
          </cell>
        </row>
        <row r="1610">
          <cell r="E1610">
            <v>10200</v>
          </cell>
        </row>
        <row r="1611">
          <cell r="E1611">
            <v>10200</v>
          </cell>
        </row>
        <row r="1612">
          <cell r="E1612">
            <v>104500</v>
          </cell>
        </row>
        <row r="1613">
          <cell r="E1613">
            <v>14400</v>
          </cell>
        </row>
        <row r="1614">
          <cell r="E1614">
            <v>72000</v>
          </cell>
        </row>
        <row r="1615">
          <cell r="E1615">
            <v>22000</v>
          </cell>
        </row>
        <row r="1616">
          <cell r="E1616">
            <v>29977.48</v>
          </cell>
        </row>
        <row r="1617">
          <cell r="E1617">
            <v>25800</v>
          </cell>
        </row>
        <row r="1618">
          <cell r="E1618">
            <v>15300</v>
          </cell>
        </row>
        <row r="1619">
          <cell r="E1619">
            <v>140600</v>
          </cell>
        </row>
        <row r="1620">
          <cell r="E1620">
            <v>84800</v>
          </cell>
        </row>
        <row r="1621">
          <cell r="E1621">
            <v>33950</v>
          </cell>
        </row>
        <row r="1622">
          <cell r="E1622">
            <v>33950</v>
          </cell>
        </row>
        <row r="1623">
          <cell r="E1623">
            <v>84800</v>
          </cell>
        </row>
        <row r="1624">
          <cell r="E1624">
            <v>47150</v>
          </cell>
        </row>
        <row r="1625">
          <cell r="E1625">
            <v>47150</v>
          </cell>
        </row>
        <row r="1626">
          <cell r="E1626">
            <v>144703.4</v>
          </cell>
        </row>
        <row r="1627">
          <cell r="E1627">
            <v>2890.62</v>
          </cell>
        </row>
        <row r="1628">
          <cell r="E1628">
            <v>3211.8</v>
          </cell>
        </row>
        <row r="1629">
          <cell r="E1629">
            <v>3944.6</v>
          </cell>
        </row>
        <row r="1630">
          <cell r="E1630">
            <v>28940.68</v>
          </cell>
        </row>
        <row r="1631">
          <cell r="E1631">
            <v>876.58</v>
          </cell>
        </row>
        <row r="1632">
          <cell r="E1632">
            <v>26949.15</v>
          </cell>
        </row>
        <row r="1633">
          <cell r="E1633">
            <v>6100</v>
          </cell>
        </row>
        <row r="1634">
          <cell r="E1634">
            <v>37000</v>
          </cell>
        </row>
        <row r="1635">
          <cell r="E1635">
            <v>112400</v>
          </cell>
        </row>
        <row r="1636">
          <cell r="E1636">
            <v>9514.98</v>
          </cell>
        </row>
        <row r="1637">
          <cell r="E1637">
            <v>44800</v>
          </cell>
        </row>
        <row r="1638">
          <cell r="E1638">
            <v>44800</v>
          </cell>
        </row>
        <row r="1639">
          <cell r="E1639">
            <v>44800</v>
          </cell>
        </row>
        <row r="1640">
          <cell r="E1640">
            <v>44800</v>
          </cell>
        </row>
        <row r="1641">
          <cell r="E1641">
            <v>44800</v>
          </cell>
        </row>
        <row r="1642">
          <cell r="E1642">
            <v>44800</v>
          </cell>
        </row>
        <row r="1643">
          <cell r="E1643">
            <v>44800</v>
          </cell>
        </row>
        <row r="1644">
          <cell r="E1644">
            <v>44800</v>
          </cell>
        </row>
        <row r="1645">
          <cell r="E1645">
            <v>44800</v>
          </cell>
        </row>
        <row r="1646">
          <cell r="E1646">
            <v>44800</v>
          </cell>
        </row>
        <row r="1647">
          <cell r="E1647">
            <v>44800</v>
          </cell>
        </row>
        <row r="1648">
          <cell r="E1648">
            <v>44800</v>
          </cell>
        </row>
        <row r="1649">
          <cell r="E1649">
            <v>32400</v>
          </cell>
        </row>
        <row r="1650">
          <cell r="E1650">
            <v>32400</v>
          </cell>
        </row>
        <row r="1651">
          <cell r="E1651">
            <v>32400</v>
          </cell>
        </row>
        <row r="1652">
          <cell r="E1652">
            <v>32400</v>
          </cell>
        </row>
        <row r="1653">
          <cell r="E1653">
            <v>32400</v>
          </cell>
        </row>
        <row r="1654">
          <cell r="E1654">
            <v>59617</v>
          </cell>
        </row>
        <row r="1655">
          <cell r="E1655">
            <v>10400</v>
          </cell>
        </row>
        <row r="1656">
          <cell r="E1656">
            <v>42000</v>
          </cell>
        </row>
        <row r="1657">
          <cell r="E1657">
            <v>25500</v>
          </cell>
        </row>
        <row r="1658">
          <cell r="E1658">
            <v>73000</v>
          </cell>
        </row>
        <row r="1659">
          <cell r="E1659">
            <v>32500</v>
          </cell>
        </row>
        <row r="1660">
          <cell r="E1660">
            <v>215400</v>
          </cell>
        </row>
        <row r="1661">
          <cell r="E1661">
            <v>215400</v>
          </cell>
        </row>
        <row r="1662">
          <cell r="E1662">
            <v>60900</v>
          </cell>
        </row>
        <row r="1663">
          <cell r="E1663">
            <v>42350</v>
          </cell>
        </row>
        <row r="1664">
          <cell r="E1664">
            <v>36000</v>
          </cell>
        </row>
        <row r="1665">
          <cell r="E1665">
            <v>35200</v>
          </cell>
        </row>
        <row r="1666">
          <cell r="E1666">
            <v>122140.33</v>
          </cell>
        </row>
        <row r="1667">
          <cell r="E1667">
            <v>33900</v>
          </cell>
        </row>
        <row r="1668">
          <cell r="E1668">
            <v>17000</v>
          </cell>
        </row>
      </sheetData>
      <sheetData sheetId="7"/>
      <sheetData sheetId="8"/>
      <sheetData sheetId="9">
        <row r="279">
          <cell r="E279">
            <v>800071</v>
          </cell>
        </row>
        <row r="280">
          <cell r="E280">
            <v>1</v>
          </cell>
        </row>
        <row r="281">
          <cell r="E281">
            <v>1</v>
          </cell>
        </row>
        <row r="282">
          <cell r="E282">
            <v>1</v>
          </cell>
        </row>
        <row r="283">
          <cell r="E283">
            <v>1</v>
          </cell>
        </row>
        <row r="284">
          <cell r="E284">
            <v>1</v>
          </cell>
        </row>
        <row r="285">
          <cell r="E285">
            <v>1</v>
          </cell>
        </row>
        <row r="286">
          <cell r="E286">
            <v>1</v>
          </cell>
        </row>
        <row r="287">
          <cell r="E287">
            <v>1</v>
          </cell>
        </row>
        <row r="288">
          <cell r="E288">
            <v>1</v>
          </cell>
        </row>
        <row r="289">
          <cell r="E289">
            <v>1</v>
          </cell>
        </row>
        <row r="290">
          <cell r="E290">
            <v>1</v>
          </cell>
        </row>
        <row r="291">
          <cell r="E291">
            <v>1</v>
          </cell>
        </row>
        <row r="292">
          <cell r="E292">
            <v>1</v>
          </cell>
        </row>
        <row r="293">
          <cell r="E293">
            <v>1</v>
          </cell>
        </row>
        <row r="294">
          <cell r="E294">
            <v>1</v>
          </cell>
        </row>
        <row r="295">
          <cell r="E295">
            <v>1</v>
          </cell>
        </row>
        <row r="296">
          <cell r="E296">
            <v>1</v>
          </cell>
        </row>
        <row r="297">
          <cell r="E297">
            <v>2668218</v>
          </cell>
        </row>
        <row r="298">
          <cell r="E298">
            <v>964760</v>
          </cell>
        </row>
        <row r="299">
          <cell r="E299">
            <v>622460</v>
          </cell>
        </row>
        <row r="300">
          <cell r="E300">
            <v>2581040</v>
          </cell>
        </row>
        <row r="301">
          <cell r="E301">
            <v>24500</v>
          </cell>
        </row>
        <row r="302">
          <cell r="E302">
            <v>153500</v>
          </cell>
        </row>
        <row r="303">
          <cell r="E303">
            <v>147000</v>
          </cell>
        </row>
        <row r="304">
          <cell r="E304">
            <v>1</v>
          </cell>
        </row>
        <row r="305">
          <cell r="E305">
            <v>1</v>
          </cell>
        </row>
        <row r="306">
          <cell r="E306">
            <v>653150</v>
          </cell>
        </row>
        <row r="307">
          <cell r="E307">
            <v>1</v>
          </cell>
        </row>
        <row r="308">
          <cell r="E308">
            <v>1</v>
          </cell>
        </row>
        <row r="309">
          <cell r="E309">
            <v>1</v>
          </cell>
        </row>
        <row r="310">
          <cell r="E310">
            <v>1</v>
          </cell>
        </row>
        <row r="311">
          <cell r="E311">
            <v>1</v>
          </cell>
        </row>
        <row r="312">
          <cell r="E312">
            <v>1</v>
          </cell>
        </row>
        <row r="313">
          <cell r="E313">
            <v>1</v>
          </cell>
        </row>
        <row r="314">
          <cell r="E314">
            <v>1</v>
          </cell>
        </row>
        <row r="315">
          <cell r="E315">
            <v>1</v>
          </cell>
        </row>
        <row r="316">
          <cell r="E316">
            <v>1</v>
          </cell>
        </row>
        <row r="317">
          <cell r="E317">
            <v>1</v>
          </cell>
        </row>
        <row r="318">
          <cell r="E318">
            <v>1</v>
          </cell>
        </row>
        <row r="319">
          <cell r="E319">
            <v>1</v>
          </cell>
        </row>
        <row r="320">
          <cell r="E320">
            <v>1</v>
          </cell>
        </row>
        <row r="321">
          <cell r="E321">
            <v>1</v>
          </cell>
        </row>
        <row r="322">
          <cell r="E322">
            <v>1</v>
          </cell>
        </row>
        <row r="323">
          <cell r="E323">
            <v>1</v>
          </cell>
        </row>
        <row r="324">
          <cell r="E324">
            <v>1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1</v>
          </cell>
        </row>
        <row r="328">
          <cell r="E328">
            <v>1</v>
          </cell>
        </row>
        <row r="329">
          <cell r="E329">
            <v>1</v>
          </cell>
        </row>
        <row r="330">
          <cell r="E330">
            <v>1</v>
          </cell>
        </row>
        <row r="331">
          <cell r="E331">
            <v>1</v>
          </cell>
        </row>
        <row r="332">
          <cell r="E332">
            <v>1</v>
          </cell>
        </row>
        <row r="333">
          <cell r="E333">
            <v>1</v>
          </cell>
        </row>
        <row r="334">
          <cell r="E334">
            <v>1</v>
          </cell>
        </row>
        <row r="335">
          <cell r="E335">
            <v>1</v>
          </cell>
        </row>
        <row r="336">
          <cell r="E336">
            <v>1</v>
          </cell>
        </row>
        <row r="337">
          <cell r="E337">
            <v>1</v>
          </cell>
        </row>
        <row r="338">
          <cell r="E338">
            <v>0</v>
          </cell>
        </row>
        <row r="339">
          <cell r="E339">
            <v>0</v>
          </cell>
        </row>
        <row r="340">
          <cell r="E340">
            <v>0</v>
          </cell>
        </row>
        <row r="341">
          <cell r="E341">
            <v>565000</v>
          </cell>
        </row>
        <row r="342">
          <cell r="E342">
            <v>500000</v>
          </cell>
        </row>
        <row r="343">
          <cell r="E343">
            <v>1364800</v>
          </cell>
        </row>
        <row r="344">
          <cell r="E344">
            <v>835750</v>
          </cell>
        </row>
        <row r="345">
          <cell r="E345">
            <v>1</v>
          </cell>
        </row>
        <row r="346">
          <cell r="E346">
            <v>1</v>
          </cell>
        </row>
        <row r="347">
          <cell r="E347">
            <v>1</v>
          </cell>
        </row>
        <row r="348">
          <cell r="E348">
            <v>1</v>
          </cell>
        </row>
        <row r="349">
          <cell r="E349">
            <v>1</v>
          </cell>
        </row>
        <row r="350">
          <cell r="E350">
            <v>1</v>
          </cell>
        </row>
        <row r="351">
          <cell r="E351">
            <v>1</v>
          </cell>
        </row>
        <row r="352">
          <cell r="E352">
            <v>1</v>
          </cell>
        </row>
        <row r="353">
          <cell r="E353">
            <v>1</v>
          </cell>
        </row>
        <row r="354">
          <cell r="E354">
            <v>1</v>
          </cell>
        </row>
        <row r="355">
          <cell r="E355">
            <v>1</v>
          </cell>
        </row>
        <row r="356">
          <cell r="E356">
            <v>1</v>
          </cell>
        </row>
        <row r="357">
          <cell r="E357">
            <v>1</v>
          </cell>
        </row>
        <row r="358">
          <cell r="E358">
            <v>1</v>
          </cell>
        </row>
        <row r="359">
          <cell r="E359">
            <v>1</v>
          </cell>
        </row>
        <row r="360">
          <cell r="E360">
            <v>1</v>
          </cell>
        </row>
        <row r="361">
          <cell r="E361">
            <v>1</v>
          </cell>
        </row>
        <row r="362">
          <cell r="E362">
            <v>1</v>
          </cell>
        </row>
        <row r="363">
          <cell r="E363">
            <v>1</v>
          </cell>
        </row>
        <row r="364">
          <cell r="E364">
            <v>1</v>
          </cell>
        </row>
        <row r="365">
          <cell r="E365">
            <v>1</v>
          </cell>
        </row>
        <row r="366">
          <cell r="E366">
            <v>1</v>
          </cell>
        </row>
        <row r="367">
          <cell r="E367">
            <v>1</v>
          </cell>
        </row>
        <row r="368">
          <cell r="E368">
            <v>1</v>
          </cell>
        </row>
        <row r="369">
          <cell r="E369">
            <v>1</v>
          </cell>
        </row>
        <row r="370">
          <cell r="E370">
            <v>1</v>
          </cell>
        </row>
        <row r="371">
          <cell r="E371">
            <v>1</v>
          </cell>
        </row>
        <row r="372">
          <cell r="E372">
            <v>1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1</v>
          </cell>
        </row>
        <row r="378">
          <cell r="E378">
            <v>1</v>
          </cell>
        </row>
        <row r="379">
          <cell r="E379">
            <v>1700000</v>
          </cell>
        </row>
        <row r="380">
          <cell r="E380">
            <v>100000</v>
          </cell>
        </row>
        <row r="381">
          <cell r="E381">
            <v>1</v>
          </cell>
        </row>
        <row r="382">
          <cell r="E382">
            <v>1</v>
          </cell>
        </row>
        <row r="383">
          <cell r="E383">
            <v>972000</v>
          </cell>
        </row>
        <row r="384">
          <cell r="E384">
            <v>1</v>
          </cell>
        </row>
        <row r="385">
          <cell r="E385">
            <v>1</v>
          </cell>
        </row>
        <row r="386">
          <cell r="E386">
            <v>1</v>
          </cell>
        </row>
        <row r="387">
          <cell r="E387">
            <v>1</v>
          </cell>
        </row>
        <row r="388">
          <cell r="E388">
            <v>1</v>
          </cell>
        </row>
        <row r="389">
          <cell r="E389">
            <v>1</v>
          </cell>
        </row>
        <row r="390">
          <cell r="E390">
            <v>1</v>
          </cell>
        </row>
        <row r="391">
          <cell r="E391">
            <v>1</v>
          </cell>
        </row>
        <row r="392">
          <cell r="E392">
            <v>1</v>
          </cell>
        </row>
        <row r="393">
          <cell r="E393">
            <v>1</v>
          </cell>
        </row>
        <row r="394">
          <cell r="E394">
            <v>1</v>
          </cell>
        </row>
        <row r="395">
          <cell r="E395">
            <v>1</v>
          </cell>
        </row>
        <row r="396">
          <cell r="E396">
            <v>1</v>
          </cell>
        </row>
        <row r="397">
          <cell r="E397">
            <v>1</v>
          </cell>
        </row>
        <row r="398">
          <cell r="E398">
            <v>1</v>
          </cell>
        </row>
        <row r="399">
          <cell r="E399">
            <v>1</v>
          </cell>
        </row>
        <row r="400">
          <cell r="E400">
            <v>1</v>
          </cell>
        </row>
        <row r="401">
          <cell r="E401">
            <v>1</v>
          </cell>
        </row>
        <row r="402">
          <cell r="E402">
            <v>148400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239200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1</v>
          </cell>
        </row>
        <row r="415">
          <cell r="E415">
            <v>1</v>
          </cell>
        </row>
        <row r="416">
          <cell r="E416">
            <v>1</v>
          </cell>
        </row>
        <row r="417">
          <cell r="E417">
            <v>1</v>
          </cell>
        </row>
        <row r="418">
          <cell r="E418">
            <v>1</v>
          </cell>
        </row>
        <row r="419">
          <cell r="E419">
            <v>1</v>
          </cell>
        </row>
        <row r="420">
          <cell r="E420">
            <v>1</v>
          </cell>
        </row>
        <row r="421">
          <cell r="E421">
            <v>1</v>
          </cell>
        </row>
        <row r="422">
          <cell r="E422">
            <v>1</v>
          </cell>
        </row>
        <row r="423">
          <cell r="E423">
            <v>1</v>
          </cell>
        </row>
        <row r="424">
          <cell r="E424">
            <v>1</v>
          </cell>
        </row>
        <row r="425">
          <cell r="E425">
            <v>1</v>
          </cell>
        </row>
        <row r="426">
          <cell r="E426">
            <v>1</v>
          </cell>
        </row>
        <row r="427">
          <cell r="E427">
            <v>1</v>
          </cell>
        </row>
        <row r="428">
          <cell r="E428">
            <v>1</v>
          </cell>
        </row>
        <row r="429">
          <cell r="E429">
            <v>1</v>
          </cell>
        </row>
        <row r="430">
          <cell r="E430">
            <v>1</v>
          </cell>
        </row>
        <row r="431">
          <cell r="E431">
            <v>1</v>
          </cell>
        </row>
        <row r="432">
          <cell r="E432">
            <v>439000</v>
          </cell>
        </row>
        <row r="433">
          <cell r="E433">
            <v>35000</v>
          </cell>
        </row>
        <row r="434">
          <cell r="E434">
            <v>1</v>
          </cell>
        </row>
        <row r="435">
          <cell r="E435">
            <v>1</v>
          </cell>
        </row>
        <row r="436">
          <cell r="E436">
            <v>1</v>
          </cell>
        </row>
        <row r="437">
          <cell r="E437">
            <v>1</v>
          </cell>
        </row>
        <row r="438">
          <cell r="E438">
            <v>1</v>
          </cell>
        </row>
        <row r="439">
          <cell r="E439">
            <v>1</v>
          </cell>
        </row>
        <row r="440">
          <cell r="E440">
            <v>1</v>
          </cell>
        </row>
        <row r="441">
          <cell r="E441">
            <v>1</v>
          </cell>
        </row>
        <row r="442">
          <cell r="E442">
            <v>1</v>
          </cell>
        </row>
        <row r="443">
          <cell r="E443">
            <v>1</v>
          </cell>
        </row>
        <row r="444">
          <cell r="E444">
            <v>1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4145190</v>
          </cell>
        </row>
        <row r="451">
          <cell r="E451">
            <v>433856</v>
          </cell>
        </row>
        <row r="452">
          <cell r="E452">
            <v>515370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1</v>
          </cell>
        </row>
        <row r="458">
          <cell r="E458">
            <v>1</v>
          </cell>
        </row>
        <row r="459">
          <cell r="E459">
            <v>1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1</v>
          </cell>
        </row>
        <row r="466">
          <cell r="E466">
            <v>1</v>
          </cell>
        </row>
        <row r="467">
          <cell r="E467">
            <v>1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1</v>
          </cell>
        </row>
        <row r="472">
          <cell r="E472">
            <v>1</v>
          </cell>
        </row>
        <row r="473">
          <cell r="E473">
            <v>1</v>
          </cell>
        </row>
        <row r="474">
          <cell r="E474">
            <v>1</v>
          </cell>
        </row>
        <row r="475">
          <cell r="E475">
            <v>1</v>
          </cell>
        </row>
        <row r="476">
          <cell r="E476">
            <v>1</v>
          </cell>
        </row>
        <row r="477">
          <cell r="E477">
            <v>1</v>
          </cell>
        </row>
        <row r="478">
          <cell r="E478">
            <v>554468</v>
          </cell>
        </row>
        <row r="479">
          <cell r="E479">
            <v>848556</v>
          </cell>
        </row>
        <row r="480">
          <cell r="E480">
            <v>98964</v>
          </cell>
        </row>
        <row r="481">
          <cell r="E481">
            <v>188892</v>
          </cell>
        </row>
        <row r="482">
          <cell r="E482">
            <v>55000</v>
          </cell>
        </row>
        <row r="483">
          <cell r="E483">
            <v>215400</v>
          </cell>
        </row>
        <row r="484">
          <cell r="E484">
            <v>60125</v>
          </cell>
        </row>
        <row r="485">
          <cell r="E485">
            <v>32550</v>
          </cell>
        </row>
        <row r="486">
          <cell r="E486">
            <v>142650</v>
          </cell>
        </row>
        <row r="487">
          <cell r="E487">
            <v>40500</v>
          </cell>
        </row>
        <row r="488">
          <cell r="E488">
            <v>97300</v>
          </cell>
        </row>
        <row r="489">
          <cell r="E489">
            <v>27000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workbookViewId="0">
      <selection activeCell="C4" sqref="C4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3" width="18.26953125" bestFit="1" customWidth="1"/>
    <col min="4" max="4" width="14" bestFit="1" customWidth="1"/>
    <col min="5" max="5" width="51.26953125" bestFit="1" customWidth="1"/>
    <col min="6" max="6" width="10.54296875" bestFit="1" customWidth="1"/>
    <col min="7" max="7" width="11.453125" bestFit="1" customWidth="1"/>
    <col min="8" max="8" width="10.1796875" bestFit="1" customWidth="1"/>
  </cols>
  <sheetData>
    <row r="1" spans="1:8" x14ac:dyDescent="0.35">
      <c r="A1" s="8" t="s">
        <v>313</v>
      </c>
      <c r="B1" s="8" t="s">
        <v>314</v>
      </c>
      <c r="C1" s="8" t="s">
        <v>315</v>
      </c>
    </row>
    <row r="2" spans="1:8" x14ac:dyDescent="0.35">
      <c r="A2" s="3" t="s">
        <v>8</v>
      </c>
      <c r="B2" s="7">
        <v>448865</v>
      </c>
      <c r="C2" s="3">
        <v>27</v>
      </c>
    </row>
    <row r="3" spans="1:8" x14ac:dyDescent="0.35">
      <c r="A3" s="3" t="s">
        <v>52</v>
      </c>
      <c r="B3" s="7">
        <v>3917730</v>
      </c>
      <c r="C3" s="3">
        <v>165</v>
      </c>
    </row>
    <row r="4" spans="1:8" x14ac:dyDescent="0.35">
      <c r="A4" s="3" t="s">
        <v>276</v>
      </c>
      <c r="B4" s="7">
        <v>82397</v>
      </c>
      <c r="C4" s="3">
        <v>1</v>
      </c>
    </row>
    <row r="5" spans="1:8" x14ac:dyDescent="0.35">
      <c r="A5" s="3" t="s">
        <v>278</v>
      </c>
      <c r="B5" s="7">
        <v>3027975</v>
      </c>
      <c r="C5" s="3">
        <v>23</v>
      </c>
    </row>
    <row r="6" spans="1:8" x14ac:dyDescent="0.35">
      <c r="A6" s="8" t="s">
        <v>312</v>
      </c>
      <c r="B6" s="9">
        <v>7476967</v>
      </c>
      <c r="C6" s="8">
        <v>216</v>
      </c>
    </row>
    <row r="8" spans="1:8" x14ac:dyDescent="0.35">
      <c r="A8" s="2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spans="1:8" x14ac:dyDescent="0.35">
      <c r="A9" s="3" t="s">
        <v>8</v>
      </c>
      <c r="B9" s="4" t="s">
        <v>9</v>
      </c>
      <c r="C9" s="4" t="s">
        <v>10</v>
      </c>
      <c r="D9" s="5">
        <v>44201</v>
      </c>
      <c r="E9" s="4" t="s">
        <v>11</v>
      </c>
      <c r="F9" s="6">
        <v>31101</v>
      </c>
      <c r="G9" s="6">
        <v>-29546</v>
      </c>
      <c r="H9" s="6">
        <v>1555</v>
      </c>
    </row>
    <row r="10" spans="1:8" x14ac:dyDescent="0.35">
      <c r="A10" s="3" t="s">
        <v>8</v>
      </c>
      <c r="B10" s="4" t="s">
        <v>12</v>
      </c>
      <c r="C10" s="4" t="s">
        <v>10</v>
      </c>
      <c r="D10" s="5">
        <v>44225</v>
      </c>
      <c r="E10" s="4" t="s">
        <v>11</v>
      </c>
      <c r="F10" s="6">
        <v>29407</v>
      </c>
      <c r="G10" s="6">
        <v>-27937</v>
      </c>
      <c r="H10" s="6">
        <v>1470</v>
      </c>
    </row>
    <row r="11" spans="1:8" x14ac:dyDescent="0.35">
      <c r="A11" s="3" t="s">
        <v>8</v>
      </c>
      <c r="B11" s="4" t="s">
        <v>13</v>
      </c>
      <c r="C11" s="4" t="s">
        <v>10</v>
      </c>
      <c r="D11" s="5">
        <v>44271</v>
      </c>
      <c r="E11" s="4" t="s">
        <v>11</v>
      </c>
      <c r="F11" s="6">
        <v>35000</v>
      </c>
      <c r="G11" s="6">
        <v>-33250</v>
      </c>
      <c r="H11" s="6">
        <v>1750</v>
      </c>
    </row>
    <row r="12" spans="1:8" x14ac:dyDescent="0.35">
      <c r="A12" s="3" t="s">
        <v>8</v>
      </c>
      <c r="B12" s="4" t="s">
        <v>14</v>
      </c>
      <c r="C12" s="4" t="s">
        <v>10</v>
      </c>
      <c r="D12" s="5">
        <v>44277</v>
      </c>
      <c r="E12" s="4" t="s">
        <v>15</v>
      </c>
      <c r="F12" s="6">
        <v>114015</v>
      </c>
      <c r="G12" s="6">
        <v>-108315</v>
      </c>
      <c r="H12" s="6">
        <v>5700</v>
      </c>
    </row>
    <row r="13" spans="1:8" x14ac:dyDescent="0.35">
      <c r="A13" s="3" t="s">
        <v>8</v>
      </c>
      <c r="B13" s="4" t="s">
        <v>16</v>
      </c>
      <c r="C13" s="4" t="s">
        <v>10</v>
      </c>
      <c r="D13" s="5">
        <v>44280</v>
      </c>
      <c r="E13" s="4" t="s">
        <v>17</v>
      </c>
      <c r="F13" s="6">
        <v>86150</v>
      </c>
      <c r="G13" s="6">
        <v>-81843</v>
      </c>
      <c r="H13" s="6">
        <v>4307</v>
      </c>
    </row>
    <row r="14" spans="1:8" x14ac:dyDescent="0.35">
      <c r="A14" s="3" t="s">
        <v>8</v>
      </c>
      <c r="B14" s="4" t="s">
        <v>18</v>
      </c>
      <c r="C14" s="4" t="s">
        <v>10</v>
      </c>
      <c r="D14" s="5">
        <v>44284</v>
      </c>
      <c r="E14" s="4" t="s">
        <v>11</v>
      </c>
      <c r="F14" s="6">
        <v>31271</v>
      </c>
      <c r="G14" s="6">
        <v>-29708</v>
      </c>
      <c r="H14" s="6">
        <v>1563</v>
      </c>
    </row>
    <row r="15" spans="1:8" x14ac:dyDescent="0.35">
      <c r="A15" s="3" t="s">
        <v>8</v>
      </c>
      <c r="B15" s="4" t="s">
        <v>19</v>
      </c>
      <c r="C15" s="4" t="s">
        <v>10</v>
      </c>
      <c r="D15" s="5">
        <v>44286</v>
      </c>
      <c r="E15" s="4" t="s">
        <v>11</v>
      </c>
      <c r="F15" s="6">
        <v>21603</v>
      </c>
      <c r="G15" s="6">
        <v>-20523</v>
      </c>
      <c r="H15" s="6">
        <v>1080</v>
      </c>
    </row>
    <row r="16" spans="1:8" x14ac:dyDescent="0.35">
      <c r="A16" s="3" t="s">
        <v>8</v>
      </c>
      <c r="B16" s="4" t="s">
        <v>20</v>
      </c>
      <c r="C16" s="4" t="s">
        <v>10</v>
      </c>
      <c r="D16" s="5">
        <v>44323</v>
      </c>
      <c r="E16" s="4" t="s">
        <v>21</v>
      </c>
      <c r="F16" s="6">
        <v>110593</v>
      </c>
      <c r="G16" s="6">
        <v>-105064</v>
      </c>
      <c r="H16" s="6">
        <v>5529</v>
      </c>
    </row>
    <row r="17" spans="1:8" x14ac:dyDescent="0.35">
      <c r="A17" s="3" t="s">
        <v>8</v>
      </c>
      <c r="B17" s="4" t="s">
        <v>22</v>
      </c>
      <c r="C17" s="4" t="s">
        <v>10</v>
      </c>
      <c r="D17" s="5">
        <v>44323</v>
      </c>
      <c r="E17" s="4" t="s">
        <v>23</v>
      </c>
      <c r="F17" s="6">
        <v>34576</v>
      </c>
      <c r="G17" s="6">
        <v>-32848</v>
      </c>
      <c r="H17" s="6">
        <v>1728</v>
      </c>
    </row>
    <row r="18" spans="1:8" x14ac:dyDescent="0.35">
      <c r="A18" s="3" t="s">
        <v>8</v>
      </c>
      <c r="B18" s="4" t="s">
        <v>24</v>
      </c>
      <c r="C18" s="4" t="s">
        <v>10</v>
      </c>
      <c r="D18" s="5">
        <v>44366</v>
      </c>
      <c r="E18" s="4" t="s">
        <v>25</v>
      </c>
      <c r="F18" s="6">
        <v>47450</v>
      </c>
      <c r="G18" s="6">
        <v>-45078</v>
      </c>
      <c r="H18" s="6">
        <v>2372</v>
      </c>
    </row>
    <row r="19" spans="1:8" x14ac:dyDescent="0.35">
      <c r="A19" s="3" t="s">
        <v>8</v>
      </c>
      <c r="B19" s="4" t="s">
        <v>26</v>
      </c>
      <c r="C19" s="4" t="s">
        <v>10</v>
      </c>
      <c r="D19" s="5">
        <v>44371</v>
      </c>
      <c r="E19" s="4" t="s">
        <v>27</v>
      </c>
      <c r="F19" s="6">
        <v>47950</v>
      </c>
      <c r="G19" s="6">
        <v>-45553</v>
      </c>
      <c r="H19" s="6">
        <v>2397</v>
      </c>
    </row>
    <row r="20" spans="1:8" x14ac:dyDescent="0.35">
      <c r="A20" s="3" t="s">
        <v>8</v>
      </c>
      <c r="B20" s="4" t="s">
        <v>28</v>
      </c>
      <c r="C20" s="4" t="s">
        <v>10</v>
      </c>
      <c r="D20" s="5">
        <v>44404</v>
      </c>
      <c r="E20" s="4" t="s">
        <v>29</v>
      </c>
      <c r="F20" s="6">
        <v>41500</v>
      </c>
      <c r="G20" s="6">
        <v>-39425</v>
      </c>
      <c r="H20" s="6">
        <v>2075</v>
      </c>
    </row>
    <row r="21" spans="1:8" x14ac:dyDescent="0.35">
      <c r="A21" s="3" t="s">
        <v>8</v>
      </c>
      <c r="B21" s="4" t="s">
        <v>30</v>
      </c>
      <c r="C21" s="4" t="s">
        <v>10</v>
      </c>
      <c r="D21" s="5">
        <v>44410</v>
      </c>
      <c r="E21" s="4" t="s">
        <v>31</v>
      </c>
      <c r="F21" s="6">
        <v>82400</v>
      </c>
      <c r="G21" s="6">
        <v>-78280</v>
      </c>
      <c r="H21" s="6">
        <v>4120</v>
      </c>
    </row>
    <row r="22" spans="1:8" x14ac:dyDescent="0.35">
      <c r="A22" s="3" t="s">
        <v>8</v>
      </c>
      <c r="B22" s="4" t="s">
        <v>32</v>
      </c>
      <c r="C22" s="4" t="s">
        <v>10</v>
      </c>
      <c r="D22" s="5">
        <v>44417</v>
      </c>
      <c r="E22" s="4" t="s">
        <v>33</v>
      </c>
      <c r="F22" s="6">
        <v>124350</v>
      </c>
      <c r="G22" s="6">
        <v>-118133</v>
      </c>
      <c r="H22" s="6">
        <v>6217</v>
      </c>
    </row>
    <row r="23" spans="1:8" x14ac:dyDescent="0.35">
      <c r="A23" s="3" t="s">
        <v>8</v>
      </c>
      <c r="B23" s="4" t="s">
        <v>34</v>
      </c>
      <c r="C23" s="4" t="s">
        <v>10</v>
      </c>
      <c r="D23" s="5">
        <v>44422</v>
      </c>
      <c r="E23" s="4" t="s">
        <v>29</v>
      </c>
      <c r="F23" s="6">
        <v>41500</v>
      </c>
      <c r="G23" s="6">
        <v>-39425</v>
      </c>
      <c r="H23" s="6">
        <v>2075</v>
      </c>
    </row>
    <row r="24" spans="1:8" x14ac:dyDescent="0.35">
      <c r="A24" s="3" t="s">
        <v>8</v>
      </c>
      <c r="B24" s="4" t="s">
        <v>35</v>
      </c>
      <c r="C24" s="4" t="s">
        <v>10</v>
      </c>
      <c r="D24" s="5">
        <v>44470</v>
      </c>
      <c r="E24" s="4" t="s">
        <v>36</v>
      </c>
      <c r="F24" s="6">
        <v>64400</v>
      </c>
      <c r="G24" s="6">
        <v>-61180</v>
      </c>
      <c r="H24" s="6">
        <v>3220</v>
      </c>
    </row>
    <row r="25" spans="1:8" x14ac:dyDescent="0.35">
      <c r="A25" s="3" t="s">
        <v>8</v>
      </c>
      <c r="B25" s="4" t="s">
        <v>37</v>
      </c>
      <c r="C25" s="4" t="s">
        <v>10</v>
      </c>
      <c r="D25" s="5">
        <v>44486</v>
      </c>
      <c r="E25" s="4" t="s">
        <v>38</v>
      </c>
      <c r="F25" s="6">
        <v>27958</v>
      </c>
      <c r="G25" s="6">
        <v>-26561</v>
      </c>
      <c r="H25" s="6">
        <v>1397</v>
      </c>
    </row>
    <row r="26" spans="1:8" x14ac:dyDescent="0.35">
      <c r="A26" s="3" t="s">
        <v>8</v>
      </c>
      <c r="B26" s="4" t="s">
        <v>39</v>
      </c>
      <c r="C26" s="4" t="s">
        <v>10</v>
      </c>
      <c r="D26" s="5">
        <v>44502</v>
      </c>
      <c r="E26" s="4" t="s">
        <v>40</v>
      </c>
      <c r="F26" s="6">
        <v>103600</v>
      </c>
      <c r="G26" s="6">
        <v>-98420</v>
      </c>
      <c r="H26" s="6">
        <v>5180</v>
      </c>
    </row>
    <row r="27" spans="1:8" x14ac:dyDescent="0.35">
      <c r="A27" s="3" t="s">
        <v>8</v>
      </c>
      <c r="B27" s="4" t="s">
        <v>41</v>
      </c>
      <c r="C27" s="4" t="s">
        <v>10</v>
      </c>
      <c r="D27" s="5">
        <v>44632</v>
      </c>
      <c r="E27" s="4" t="s">
        <v>11</v>
      </c>
      <c r="F27" s="6">
        <v>129350</v>
      </c>
      <c r="G27" s="6">
        <v>-122883</v>
      </c>
      <c r="H27" s="6">
        <v>6467</v>
      </c>
    </row>
    <row r="28" spans="1:8" x14ac:dyDescent="0.35">
      <c r="A28" s="3" t="s">
        <v>8</v>
      </c>
      <c r="B28" s="4" t="s">
        <v>42</v>
      </c>
      <c r="C28" s="4" t="s">
        <v>10</v>
      </c>
      <c r="D28" s="5">
        <v>44642</v>
      </c>
      <c r="E28" s="4" t="s">
        <v>11</v>
      </c>
      <c r="F28" s="6">
        <v>120000</v>
      </c>
      <c r="G28" s="6">
        <v>-114000</v>
      </c>
      <c r="H28" s="6">
        <v>6000</v>
      </c>
    </row>
    <row r="29" spans="1:8" x14ac:dyDescent="0.35">
      <c r="A29" s="3" t="s">
        <v>8</v>
      </c>
      <c r="B29" s="4" t="s">
        <v>43</v>
      </c>
      <c r="C29" s="4" t="s">
        <v>44</v>
      </c>
      <c r="D29" s="5">
        <v>45716</v>
      </c>
      <c r="E29" s="4" t="s">
        <v>45</v>
      </c>
      <c r="F29" s="6">
        <v>55999</v>
      </c>
      <c r="G29" s="6">
        <v>-1555</v>
      </c>
      <c r="H29" s="6">
        <v>54444</v>
      </c>
    </row>
    <row r="30" spans="1:8" x14ac:dyDescent="0.35">
      <c r="A30" s="3" t="s">
        <v>8</v>
      </c>
      <c r="B30" s="4" t="s">
        <v>43</v>
      </c>
      <c r="C30" s="4" t="s">
        <v>46</v>
      </c>
      <c r="D30" s="5">
        <v>45716</v>
      </c>
      <c r="E30" s="4" t="s">
        <v>45</v>
      </c>
      <c r="F30" s="6">
        <v>55999</v>
      </c>
      <c r="G30" s="6">
        <v>-1555</v>
      </c>
      <c r="H30" s="6">
        <v>54444</v>
      </c>
    </row>
    <row r="31" spans="1:8" x14ac:dyDescent="0.35">
      <c r="A31" s="3" t="s">
        <v>8</v>
      </c>
      <c r="B31" s="4" t="s">
        <v>43</v>
      </c>
      <c r="C31" s="4" t="s">
        <v>47</v>
      </c>
      <c r="D31" s="5">
        <v>45716</v>
      </c>
      <c r="E31" s="4" t="s">
        <v>45</v>
      </c>
      <c r="F31" s="6">
        <v>55999</v>
      </c>
      <c r="G31" s="6">
        <v>-1555</v>
      </c>
      <c r="H31" s="6">
        <v>54444</v>
      </c>
    </row>
    <row r="32" spans="1:8" x14ac:dyDescent="0.35">
      <c r="A32" s="3" t="s">
        <v>8</v>
      </c>
      <c r="B32" s="4" t="s">
        <v>43</v>
      </c>
      <c r="C32" s="4" t="s">
        <v>48</v>
      </c>
      <c r="D32" s="5">
        <v>45716</v>
      </c>
      <c r="E32" s="4" t="s">
        <v>45</v>
      </c>
      <c r="F32" s="6">
        <v>55999</v>
      </c>
      <c r="G32" s="6">
        <v>-1555</v>
      </c>
      <c r="H32" s="6">
        <v>54444</v>
      </c>
    </row>
    <row r="33" spans="1:8" x14ac:dyDescent="0.35">
      <c r="A33" s="3" t="s">
        <v>8</v>
      </c>
      <c r="B33" s="4" t="s">
        <v>43</v>
      </c>
      <c r="C33" s="4" t="s">
        <v>49</v>
      </c>
      <c r="D33" s="5">
        <v>45716</v>
      </c>
      <c r="E33" s="4" t="s">
        <v>45</v>
      </c>
      <c r="F33" s="6">
        <v>55999</v>
      </c>
      <c r="G33" s="6">
        <v>-1555</v>
      </c>
      <c r="H33" s="6">
        <v>54444</v>
      </c>
    </row>
    <row r="34" spans="1:8" x14ac:dyDescent="0.35">
      <c r="A34" s="3" t="s">
        <v>8</v>
      </c>
      <c r="B34" s="4" t="s">
        <v>43</v>
      </c>
      <c r="C34" s="4" t="s">
        <v>50</v>
      </c>
      <c r="D34" s="5">
        <v>45716</v>
      </c>
      <c r="E34" s="4" t="s">
        <v>45</v>
      </c>
      <c r="F34" s="6">
        <v>55999</v>
      </c>
      <c r="G34" s="6">
        <v>0</v>
      </c>
      <c r="H34" s="6">
        <v>55999</v>
      </c>
    </row>
    <row r="35" spans="1:8" x14ac:dyDescent="0.35">
      <c r="A35" s="3" t="s">
        <v>8</v>
      </c>
      <c r="B35" s="4" t="s">
        <v>43</v>
      </c>
      <c r="C35" s="4" t="s">
        <v>51</v>
      </c>
      <c r="D35" s="5">
        <v>45716</v>
      </c>
      <c r="E35" s="4" t="s">
        <v>45</v>
      </c>
      <c r="F35" s="6">
        <v>55999</v>
      </c>
      <c r="G35" s="6">
        <v>-1555</v>
      </c>
      <c r="H35" s="6">
        <v>54444</v>
      </c>
    </row>
    <row r="36" spans="1:8" x14ac:dyDescent="0.35">
      <c r="A36" s="3" t="s">
        <v>52</v>
      </c>
      <c r="B36" s="4" t="s">
        <v>53</v>
      </c>
      <c r="C36" s="4" t="s">
        <v>10</v>
      </c>
      <c r="D36" s="5">
        <v>42661</v>
      </c>
      <c r="E36" s="4" t="s">
        <v>11</v>
      </c>
      <c r="F36" s="6">
        <v>26500</v>
      </c>
      <c r="G36" s="6">
        <v>-25175</v>
      </c>
      <c r="H36" s="6">
        <v>1325</v>
      </c>
    </row>
    <row r="37" spans="1:8" x14ac:dyDescent="0.35">
      <c r="A37" s="3" t="s">
        <v>52</v>
      </c>
      <c r="B37" s="4" t="s">
        <v>54</v>
      </c>
      <c r="C37" s="4" t="s">
        <v>10</v>
      </c>
      <c r="D37" s="5">
        <v>42780</v>
      </c>
      <c r="E37" s="4" t="s">
        <v>11</v>
      </c>
      <c r="F37" s="6">
        <v>41500</v>
      </c>
      <c r="G37" s="6">
        <v>-39425</v>
      </c>
      <c r="H37" s="6">
        <v>2075</v>
      </c>
    </row>
    <row r="38" spans="1:8" x14ac:dyDescent="0.35">
      <c r="A38" s="3" t="s">
        <v>52</v>
      </c>
      <c r="B38" s="4" t="s">
        <v>55</v>
      </c>
      <c r="C38" s="4" t="s">
        <v>10</v>
      </c>
      <c r="D38" s="5">
        <v>43820</v>
      </c>
      <c r="E38" s="4" t="s">
        <v>56</v>
      </c>
      <c r="F38" s="6">
        <v>62089</v>
      </c>
      <c r="G38" s="6">
        <v>-58985</v>
      </c>
      <c r="H38" s="6">
        <v>3104</v>
      </c>
    </row>
    <row r="39" spans="1:8" x14ac:dyDescent="0.35">
      <c r="A39" s="3" t="s">
        <v>52</v>
      </c>
      <c r="B39" s="4" t="s">
        <v>57</v>
      </c>
      <c r="C39" s="4" t="s">
        <v>10</v>
      </c>
      <c r="D39" s="5">
        <v>43838</v>
      </c>
      <c r="E39" s="4" t="s">
        <v>58</v>
      </c>
      <c r="F39" s="6">
        <v>53250</v>
      </c>
      <c r="G39" s="6">
        <v>-50588</v>
      </c>
      <c r="H39" s="6">
        <v>2662</v>
      </c>
    </row>
    <row r="40" spans="1:8" x14ac:dyDescent="0.35">
      <c r="A40" s="3" t="s">
        <v>52</v>
      </c>
      <c r="B40" s="4" t="s">
        <v>59</v>
      </c>
      <c r="C40" s="4" t="s">
        <v>10</v>
      </c>
      <c r="D40" s="5">
        <v>43839</v>
      </c>
      <c r="E40" s="4" t="s">
        <v>60</v>
      </c>
      <c r="F40" s="6">
        <v>40254</v>
      </c>
      <c r="G40" s="6">
        <v>-38242</v>
      </c>
      <c r="H40" s="6">
        <v>2012</v>
      </c>
    </row>
    <row r="41" spans="1:8" x14ac:dyDescent="0.35">
      <c r="A41" s="3" t="s">
        <v>52</v>
      </c>
      <c r="B41" s="4" t="s">
        <v>61</v>
      </c>
      <c r="C41" s="4" t="s">
        <v>10</v>
      </c>
      <c r="D41" s="5">
        <v>43868</v>
      </c>
      <c r="E41" s="4" t="s">
        <v>58</v>
      </c>
      <c r="F41" s="6">
        <v>17750</v>
      </c>
      <c r="G41" s="6">
        <v>-16863</v>
      </c>
      <c r="H41" s="6">
        <v>887</v>
      </c>
    </row>
    <row r="42" spans="1:8" x14ac:dyDescent="0.35">
      <c r="A42" s="3" t="s">
        <v>52</v>
      </c>
      <c r="B42" s="4" t="s">
        <v>62</v>
      </c>
      <c r="C42" s="4" t="s">
        <v>10</v>
      </c>
      <c r="D42" s="5">
        <v>44015</v>
      </c>
      <c r="E42" s="4" t="s">
        <v>63</v>
      </c>
      <c r="F42" s="6">
        <v>19500</v>
      </c>
      <c r="G42" s="6">
        <v>-18525</v>
      </c>
      <c r="H42" s="6">
        <v>975</v>
      </c>
    </row>
    <row r="43" spans="1:8" x14ac:dyDescent="0.35">
      <c r="A43" s="3" t="s">
        <v>52</v>
      </c>
      <c r="B43" s="4" t="s">
        <v>64</v>
      </c>
      <c r="C43" s="4" t="s">
        <v>10</v>
      </c>
      <c r="D43" s="5">
        <v>44019</v>
      </c>
      <c r="E43" s="4" t="s">
        <v>11</v>
      </c>
      <c r="F43" s="6">
        <v>71526</v>
      </c>
      <c r="G43" s="6">
        <v>-67950</v>
      </c>
      <c r="H43" s="6">
        <v>3576</v>
      </c>
    </row>
    <row r="44" spans="1:8" x14ac:dyDescent="0.35">
      <c r="A44" s="3" t="s">
        <v>52</v>
      </c>
      <c r="B44" s="4" t="s">
        <v>65</v>
      </c>
      <c r="C44" s="4" t="s">
        <v>10</v>
      </c>
      <c r="D44" s="5">
        <v>44030</v>
      </c>
      <c r="E44" s="4" t="s">
        <v>66</v>
      </c>
      <c r="F44" s="6">
        <v>43474</v>
      </c>
      <c r="G44" s="6">
        <v>-41301</v>
      </c>
      <c r="H44" s="6">
        <v>2173</v>
      </c>
    </row>
    <row r="45" spans="1:8" x14ac:dyDescent="0.35">
      <c r="A45" s="3" t="s">
        <v>52</v>
      </c>
      <c r="B45" s="4" t="s">
        <v>67</v>
      </c>
      <c r="C45" s="4" t="s">
        <v>10</v>
      </c>
      <c r="D45" s="5">
        <v>44034</v>
      </c>
      <c r="E45" s="4" t="s">
        <v>68</v>
      </c>
      <c r="F45" s="6">
        <v>160932</v>
      </c>
      <c r="G45" s="6">
        <v>-152886</v>
      </c>
      <c r="H45" s="6">
        <v>8046</v>
      </c>
    </row>
    <row r="46" spans="1:8" x14ac:dyDescent="0.35">
      <c r="A46" s="3" t="s">
        <v>52</v>
      </c>
      <c r="B46" s="4" t="s">
        <v>69</v>
      </c>
      <c r="C46" s="4" t="s">
        <v>10</v>
      </c>
      <c r="D46" s="5">
        <v>44047</v>
      </c>
      <c r="E46" s="4" t="s">
        <v>11</v>
      </c>
      <c r="F46" s="6">
        <v>23000</v>
      </c>
      <c r="G46" s="6">
        <v>-21850</v>
      </c>
      <c r="H46" s="6">
        <v>1150</v>
      </c>
    </row>
    <row r="47" spans="1:8" x14ac:dyDescent="0.35">
      <c r="A47" s="3" t="s">
        <v>52</v>
      </c>
      <c r="B47" s="4" t="s">
        <v>70</v>
      </c>
      <c r="C47" s="4" t="s">
        <v>10</v>
      </c>
      <c r="D47" s="5">
        <v>44053</v>
      </c>
      <c r="E47" s="4" t="s">
        <v>11</v>
      </c>
      <c r="F47" s="6">
        <v>31356</v>
      </c>
      <c r="G47" s="6">
        <v>-29789</v>
      </c>
      <c r="H47" s="6">
        <v>1567</v>
      </c>
    </row>
    <row r="48" spans="1:8" x14ac:dyDescent="0.35">
      <c r="A48" s="3" t="s">
        <v>52</v>
      </c>
      <c r="B48" s="4" t="s">
        <v>71</v>
      </c>
      <c r="C48" s="4" t="s">
        <v>10</v>
      </c>
      <c r="D48" s="5">
        <v>44075</v>
      </c>
      <c r="E48" s="4" t="s">
        <v>72</v>
      </c>
      <c r="F48" s="6">
        <v>75975</v>
      </c>
      <c r="G48" s="6">
        <v>-72177</v>
      </c>
      <c r="H48" s="6">
        <v>3798</v>
      </c>
    </row>
    <row r="49" spans="1:8" x14ac:dyDescent="0.35">
      <c r="A49" s="3" t="s">
        <v>52</v>
      </c>
      <c r="B49" s="4" t="s">
        <v>73</v>
      </c>
      <c r="C49" s="4" t="s">
        <v>10</v>
      </c>
      <c r="D49" s="5">
        <v>44142</v>
      </c>
      <c r="E49" s="4" t="s">
        <v>11</v>
      </c>
      <c r="F49" s="6">
        <v>52449</v>
      </c>
      <c r="G49" s="6">
        <v>-49827</v>
      </c>
      <c r="H49" s="6">
        <v>2622</v>
      </c>
    </row>
    <row r="50" spans="1:8" x14ac:dyDescent="0.35">
      <c r="A50" s="3" t="s">
        <v>52</v>
      </c>
      <c r="B50" s="4" t="s">
        <v>74</v>
      </c>
      <c r="C50" s="4" t="s">
        <v>10</v>
      </c>
      <c r="D50" s="5">
        <v>44148</v>
      </c>
      <c r="E50" s="4" t="s">
        <v>11</v>
      </c>
      <c r="F50" s="6">
        <v>27119</v>
      </c>
      <c r="G50" s="6">
        <v>-25764</v>
      </c>
      <c r="H50" s="6">
        <v>1355</v>
      </c>
    </row>
    <row r="51" spans="1:8" x14ac:dyDescent="0.35">
      <c r="A51" s="3" t="s">
        <v>52</v>
      </c>
      <c r="B51" s="4" t="s">
        <v>75</v>
      </c>
      <c r="C51" s="4" t="s">
        <v>10</v>
      </c>
      <c r="D51" s="5">
        <v>44161</v>
      </c>
      <c r="E51" s="4" t="s">
        <v>11</v>
      </c>
      <c r="F51" s="6">
        <v>27288</v>
      </c>
      <c r="G51" s="6">
        <v>-25924</v>
      </c>
      <c r="H51" s="6">
        <v>1364</v>
      </c>
    </row>
    <row r="52" spans="1:8" x14ac:dyDescent="0.35">
      <c r="A52" s="3" t="s">
        <v>52</v>
      </c>
      <c r="B52" s="4" t="s">
        <v>76</v>
      </c>
      <c r="C52" s="4" t="s">
        <v>10</v>
      </c>
      <c r="D52" s="5">
        <v>44167</v>
      </c>
      <c r="E52" s="4" t="s">
        <v>11</v>
      </c>
      <c r="F52" s="6">
        <v>32119</v>
      </c>
      <c r="G52" s="6">
        <v>-30514</v>
      </c>
      <c r="H52" s="6">
        <v>1605</v>
      </c>
    </row>
    <row r="53" spans="1:8" x14ac:dyDescent="0.35">
      <c r="A53" s="3" t="s">
        <v>52</v>
      </c>
      <c r="B53" s="4" t="s">
        <v>77</v>
      </c>
      <c r="C53" s="4" t="s">
        <v>10</v>
      </c>
      <c r="D53" s="5">
        <v>44176</v>
      </c>
      <c r="E53" s="4" t="s">
        <v>78</v>
      </c>
      <c r="F53" s="6">
        <v>21250</v>
      </c>
      <c r="G53" s="6">
        <v>-20188</v>
      </c>
      <c r="H53" s="6">
        <v>1062</v>
      </c>
    </row>
    <row r="54" spans="1:8" x14ac:dyDescent="0.35">
      <c r="A54" s="3" t="s">
        <v>52</v>
      </c>
      <c r="B54" s="4" t="s">
        <v>79</v>
      </c>
      <c r="C54" s="4" t="s">
        <v>10</v>
      </c>
      <c r="D54" s="5">
        <v>44183</v>
      </c>
      <c r="E54" s="4" t="s">
        <v>11</v>
      </c>
      <c r="F54" s="6">
        <v>54237</v>
      </c>
      <c r="G54" s="6">
        <v>-51526</v>
      </c>
      <c r="H54" s="6">
        <v>2711</v>
      </c>
    </row>
    <row r="55" spans="1:8" x14ac:dyDescent="0.35">
      <c r="A55" s="3" t="s">
        <v>52</v>
      </c>
      <c r="B55" s="4" t="s">
        <v>80</v>
      </c>
      <c r="C55" s="4" t="s">
        <v>10</v>
      </c>
      <c r="D55" s="5">
        <v>44193</v>
      </c>
      <c r="E55" s="4" t="s">
        <v>11</v>
      </c>
      <c r="F55" s="6">
        <v>31102</v>
      </c>
      <c r="G55" s="6">
        <v>-29547</v>
      </c>
      <c r="H55" s="6">
        <v>1555</v>
      </c>
    </row>
    <row r="56" spans="1:8" x14ac:dyDescent="0.35">
      <c r="A56" s="3" t="s">
        <v>52</v>
      </c>
      <c r="B56" s="4" t="s">
        <v>81</v>
      </c>
      <c r="C56" s="4" t="s">
        <v>10</v>
      </c>
      <c r="D56" s="5">
        <v>44207</v>
      </c>
      <c r="E56" s="4" t="s">
        <v>82</v>
      </c>
      <c r="F56" s="6">
        <v>35339</v>
      </c>
      <c r="G56" s="6">
        <v>-33573</v>
      </c>
      <c r="H56" s="6">
        <v>1766</v>
      </c>
    </row>
    <row r="57" spans="1:8" x14ac:dyDescent="0.35">
      <c r="A57" s="3" t="s">
        <v>52</v>
      </c>
      <c r="B57" s="4" t="s">
        <v>83</v>
      </c>
      <c r="C57" s="4" t="s">
        <v>10</v>
      </c>
      <c r="D57" s="5">
        <v>44211</v>
      </c>
      <c r="E57" s="4" t="s">
        <v>11</v>
      </c>
      <c r="F57" s="6">
        <v>21250</v>
      </c>
      <c r="G57" s="6">
        <v>-20188</v>
      </c>
      <c r="H57" s="6">
        <v>1062</v>
      </c>
    </row>
    <row r="58" spans="1:8" x14ac:dyDescent="0.35">
      <c r="A58" s="3" t="s">
        <v>52</v>
      </c>
      <c r="B58" s="4" t="s">
        <v>84</v>
      </c>
      <c r="C58" s="4" t="s">
        <v>10</v>
      </c>
      <c r="D58" s="5">
        <v>44249</v>
      </c>
      <c r="E58" s="4" t="s">
        <v>85</v>
      </c>
      <c r="F58" s="6">
        <v>620400</v>
      </c>
      <c r="G58" s="6">
        <v>-589380</v>
      </c>
      <c r="H58" s="6">
        <v>31020</v>
      </c>
    </row>
    <row r="59" spans="1:8" x14ac:dyDescent="0.35">
      <c r="A59" s="3" t="s">
        <v>52</v>
      </c>
      <c r="B59" s="4" t="s">
        <v>86</v>
      </c>
      <c r="C59" s="4" t="s">
        <v>10</v>
      </c>
      <c r="D59" s="5">
        <v>44260</v>
      </c>
      <c r="E59" s="4" t="s">
        <v>87</v>
      </c>
      <c r="F59" s="6">
        <v>134000</v>
      </c>
      <c r="G59" s="6">
        <v>-127300</v>
      </c>
      <c r="H59" s="6">
        <v>6700</v>
      </c>
    </row>
    <row r="60" spans="1:8" x14ac:dyDescent="0.35">
      <c r="A60" s="3" t="s">
        <v>52</v>
      </c>
      <c r="B60" s="4" t="s">
        <v>88</v>
      </c>
      <c r="C60" s="4" t="s">
        <v>10</v>
      </c>
      <c r="D60" s="5">
        <v>44270</v>
      </c>
      <c r="E60" s="4" t="s">
        <v>89</v>
      </c>
      <c r="F60" s="6">
        <v>61017</v>
      </c>
      <c r="G60" s="6">
        <v>-57967</v>
      </c>
      <c r="H60" s="6">
        <v>3050</v>
      </c>
    </row>
    <row r="61" spans="1:8" x14ac:dyDescent="0.35">
      <c r="A61" s="3" t="s">
        <v>52</v>
      </c>
      <c r="B61" s="4" t="s">
        <v>90</v>
      </c>
      <c r="C61" s="4" t="s">
        <v>10</v>
      </c>
      <c r="D61" s="5">
        <v>44280</v>
      </c>
      <c r="E61" s="4" t="s">
        <v>91</v>
      </c>
      <c r="F61" s="6">
        <v>66900</v>
      </c>
      <c r="G61" s="6">
        <v>-63555</v>
      </c>
      <c r="H61" s="6">
        <v>3345</v>
      </c>
    </row>
    <row r="62" spans="1:8" x14ac:dyDescent="0.35">
      <c r="A62" s="3" t="s">
        <v>52</v>
      </c>
      <c r="B62" s="4" t="s">
        <v>92</v>
      </c>
      <c r="C62" s="4" t="s">
        <v>10</v>
      </c>
      <c r="D62" s="5">
        <v>44281</v>
      </c>
      <c r="E62" s="4" t="s">
        <v>93</v>
      </c>
      <c r="F62" s="6">
        <v>59000</v>
      </c>
      <c r="G62" s="6">
        <v>-56050</v>
      </c>
      <c r="H62" s="6">
        <v>2950</v>
      </c>
    </row>
    <row r="63" spans="1:8" x14ac:dyDescent="0.35">
      <c r="A63" s="3" t="s">
        <v>52</v>
      </c>
      <c r="B63" s="4" t="s">
        <v>94</v>
      </c>
      <c r="C63" s="4" t="s">
        <v>10</v>
      </c>
      <c r="D63" s="5">
        <v>44281</v>
      </c>
      <c r="E63" s="4" t="s">
        <v>95</v>
      </c>
      <c r="F63" s="6">
        <v>34550</v>
      </c>
      <c r="G63" s="6">
        <v>-32823</v>
      </c>
      <c r="H63" s="6">
        <v>1727</v>
      </c>
    </row>
    <row r="64" spans="1:8" x14ac:dyDescent="0.35">
      <c r="A64" s="3" t="s">
        <v>52</v>
      </c>
      <c r="B64" s="4" t="s">
        <v>96</v>
      </c>
      <c r="C64" s="4" t="s">
        <v>10</v>
      </c>
      <c r="D64" s="5">
        <v>44454</v>
      </c>
      <c r="E64" s="4" t="s">
        <v>97</v>
      </c>
      <c r="F64" s="6">
        <v>60600</v>
      </c>
      <c r="G64" s="6">
        <v>-57570</v>
      </c>
      <c r="H64" s="6">
        <v>3030</v>
      </c>
    </row>
    <row r="65" spans="1:8" x14ac:dyDescent="0.35">
      <c r="A65" s="3" t="s">
        <v>52</v>
      </c>
      <c r="B65" s="4" t="s">
        <v>98</v>
      </c>
      <c r="C65" s="4" t="s">
        <v>10</v>
      </c>
      <c r="D65" s="5">
        <v>44454</v>
      </c>
      <c r="E65" s="4" t="s">
        <v>99</v>
      </c>
      <c r="F65" s="6">
        <v>10450</v>
      </c>
      <c r="G65" s="6">
        <v>-9928</v>
      </c>
      <c r="H65" s="6">
        <v>522</v>
      </c>
    </row>
    <row r="66" spans="1:8" x14ac:dyDescent="0.35">
      <c r="A66" s="3" t="s">
        <v>52</v>
      </c>
      <c r="B66" s="4" t="s">
        <v>100</v>
      </c>
      <c r="C66" s="4" t="s">
        <v>10</v>
      </c>
      <c r="D66" s="5">
        <v>44592</v>
      </c>
      <c r="E66" s="4" t="s">
        <v>101</v>
      </c>
      <c r="F66" s="6">
        <v>63000</v>
      </c>
      <c r="G66" s="6">
        <v>-59850</v>
      </c>
      <c r="H66" s="6">
        <v>3150</v>
      </c>
    </row>
    <row r="67" spans="1:8" x14ac:dyDescent="0.35">
      <c r="A67" s="3" t="s">
        <v>52</v>
      </c>
      <c r="B67" s="4" t="s">
        <v>102</v>
      </c>
      <c r="C67" s="4" t="s">
        <v>10</v>
      </c>
      <c r="D67" s="5">
        <v>44592</v>
      </c>
      <c r="E67" s="4" t="s">
        <v>103</v>
      </c>
      <c r="F67" s="6">
        <v>325500</v>
      </c>
      <c r="G67" s="6">
        <v>-309225</v>
      </c>
      <c r="H67" s="6">
        <v>16275</v>
      </c>
    </row>
    <row r="68" spans="1:8" x14ac:dyDescent="0.35">
      <c r="A68" s="3" t="s">
        <v>52</v>
      </c>
      <c r="B68" s="4" t="s">
        <v>104</v>
      </c>
      <c r="C68" s="4" t="s">
        <v>10</v>
      </c>
      <c r="D68" s="5">
        <v>44599</v>
      </c>
      <c r="E68" s="4" t="s">
        <v>105</v>
      </c>
      <c r="F68" s="6">
        <v>65100</v>
      </c>
      <c r="G68" s="6">
        <v>-61845</v>
      </c>
      <c r="H68" s="6">
        <v>3255</v>
      </c>
    </row>
    <row r="69" spans="1:8" x14ac:dyDescent="0.35">
      <c r="A69" s="3" t="s">
        <v>52</v>
      </c>
      <c r="B69" s="4" t="s">
        <v>106</v>
      </c>
      <c r="C69" s="4" t="s">
        <v>10</v>
      </c>
      <c r="D69" s="5">
        <v>44600</v>
      </c>
      <c r="E69" s="4" t="s">
        <v>107</v>
      </c>
      <c r="F69" s="6">
        <v>45500</v>
      </c>
      <c r="G69" s="6">
        <v>-43225</v>
      </c>
      <c r="H69" s="6">
        <v>2275</v>
      </c>
    </row>
    <row r="70" spans="1:8" x14ac:dyDescent="0.35">
      <c r="A70" s="3" t="s">
        <v>52</v>
      </c>
      <c r="B70" s="4" t="s">
        <v>108</v>
      </c>
      <c r="C70" s="4" t="s">
        <v>10</v>
      </c>
      <c r="D70" s="5">
        <v>44600</v>
      </c>
      <c r="E70" s="4" t="s">
        <v>109</v>
      </c>
      <c r="F70" s="6">
        <v>63200</v>
      </c>
      <c r="G70" s="6">
        <v>-60040</v>
      </c>
      <c r="H70" s="6">
        <v>3160</v>
      </c>
    </row>
    <row r="71" spans="1:8" x14ac:dyDescent="0.35">
      <c r="A71" s="3" t="s">
        <v>52</v>
      </c>
      <c r="B71" s="4" t="s">
        <v>110</v>
      </c>
      <c r="C71" s="4" t="s">
        <v>10</v>
      </c>
      <c r="D71" s="5">
        <v>44602</v>
      </c>
      <c r="E71" s="4" t="s">
        <v>111</v>
      </c>
      <c r="F71" s="6">
        <v>44800</v>
      </c>
      <c r="G71" s="6">
        <v>-42560</v>
      </c>
      <c r="H71" s="6">
        <v>2240</v>
      </c>
    </row>
    <row r="72" spans="1:8" x14ac:dyDescent="0.35">
      <c r="A72" s="3" t="s">
        <v>52</v>
      </c>
      <c r="B72" s="4" t="s">
        <v>112</v>
      </c>
      <c r="C72" s="4" t="s">
        <v>10</v>
      </c>
      <c r="D72" s="5">
        <v>44340</v>
      </c>
      <c r="E72" s="4" t="s">
        <v>113</v>
      </c>
      <c r="F72" s="6">
        <v>31800</v>
      </c>
      <c r="G72" s="6">
        <v>-30210</v>
      </c>
      <c r="H72" s="6">
        <v>1590</v>
      </c>
    </row>
    <row r="73" spans="1:8" x14ac:dyDescent="0.35">
      <c r="A73" s="3" t="s">
        <v>52</v>
      </c>
      <c r="B73" s="4" t="s">
        <v>114</v>
      </c>
      <c r="C73" s="4" t="s">
        <v>10</v>
      </c>
      <c r="D73" s="5">
        <v>44364</v>
      </c>
      <c r="E73" s="4" t="s">
        <v>105</v>
      </c>
      <c r="F73" s="6">
        <v>75000</v>
      </c>
      <c r="G73" s="6">
        <v>-71250</v>
      </c>
      <c r="H73" s="6">
        <v>3750</v>
      </c>
    </row>
    <row r="74" spans="1:8" x14ac:dyDescent="0.35">
      <c r="A74" s="3" t="s">
        <v>52</v>
      </c>
      <c r="B74" s="4" t="s">
        <v>115</v>
      </c>
      <c r="C74" s="4" t="s">
        <v>10</v>
      </c>
      <c r="D74" s="5">
        <v>44376</v>
      </c>
      <c r="E74" s="4" t="s">
        <v>116</v>
      </c>
      <c r="F74" s="6">
        <v>64750</v>
      </c>
      <c r="G74" s="6">
        <v>-61513</v>
      </c>
      <c r="H74" s="6">
        <v>3237</v>
      </c>
    </row>
    <row r="75" spans="1:8" x14ac:dyDescent="0.35">
      <c r="A75" s="3" t="s">
        <v>52</v>
      </c>
      <c r="B75" s="4" t="s">
        <v>117</v>
      </c>
      <c r="C75" s="4" t="s">
        <v>10</v>
      </c>
      <c r="D75" s="5">
        <v>44376</v>
      </c>
      <c r="E75" s="4" t="s">
        <v>105</v>
      </c>
      <c r="F75" s="6">
        <v>48400</v>
      </c>
      <c r="G75" s="6">
        <v>-45980</v>
      </c>
      <c r="H75" s="6">
        <v>2420</v>
      </c>
    </row>
    <row r="76" spans="1:8" x14ac:dyDescent="0.35">
      <c r="A76" s="3" t="s">
        <v>52</v>
      </c>
      <c r="B76" s="4" t="s">
        <v>118</v>
      </c>
      <c r="C76" s="4" t="s">
        <v>10</v>
      </c>
      <c r="D76" s="5">
        <v>44377</v>
      </c>
      <c r="E76" s="4" t="s">
        <v>105</v>
      </c>
      <c r="F76" s="6">
        <v>96200</v>
      </c>
      <c r="G76" s="6">
        <v>-91390</v>
      </c>
      <c r="H76" s="6">
        <v>4810</v>
      </c>
    </row>
    <row r="77" spans="1:8" x14ac:dyDescent="0.35">
      <c r="A77" s="3" t="s">
        <v>52</v>
      </c>
      <c r="B77" s="4" t="s">
        <v>119</v>
      </c>
      <c r="C77" s="4" t="s">
        <v>10</v>
      </c>
      <c r="D77" s="5">
        <v>44415</v>
      </c>
      <c r="E77" s="4" t="s">
        <v>105</v>
      </c>
      <c r="F77" s="6">
        <v>54800</v>
      </c>
      <c r="G77" s="6">
        <v>-52060</v>
      </c>
      <c r="H77" s="6">
        <v>2740</v>
      </c>
    </row>
    <row r="78" spans="1:8" x14ac:dyDescent="0.35">
      <c r="A78" s="3" t="s">
        <v>52</v>
      </c>
      <c r="B78" s="4" t="s">
        <v>120</v>
      </c>
      <c r="C78" s="4" t="s">
        <v>10</v>
      </c>
      <c r="D78" s="5">
        <v>44432</v>
      </c>
      <c r="E78" s="4" t="s">
        <v>105</v>
      </c>
      <c r="F78" s="6">
        <v>59500</v>
      </c>
      <c r="G78" s="6">
        <v>-56525</v>
      </c>
      <c r="H78" s="6">
        <v>2975</v>
      </c>
    </row>
    <row r="79" spans="1:8" x14ac:dyDescent="0.35">
      <c r="A79" s="3" t="s">
        <v>52</v>
      </c>
      <c r="B79" s="4" t="s">
        <v>121</v>
      </c>
      <c r="C79" s="4" t="s">
        <v>10</v>
      </c>
      <c r="D79" s="5">
        <v>44432</v>
      </c>
      <c r="E79" s="4" t="s">
        <v>122</v>
      </c>
      <c r="F79" s="6">
        <v>49600</v>
      </c>
      <c r="G79" s="6">
        <v>-47120</v>
      </c>
      <c r="H79" s="6">
        <v>2480</v>
      </c>
    </row>
    <row r="80" spans="1:8" x14ac:dyDescent="0.35">
      <c r="A80" s="3" t="s">
        <v>52</v>
      </c>
      <c r="B80" s="4" t="s">
        <v>123</v>
      </c>
      <c r="C80" s="4" t="s">
        <v>10</v>
      </c>
      <c r="D80" s="5">
        <v>44432</v>
      </c>
      <c r="E80" s="4" t="s">
        <v>122</v>
      </c>
      <c r="F80" s="6">
        <v>45600</v>
      </c>
      <c r="G80" s="6">
        <v>-43320</v>
      </c>
      <c r="H80" s="6">
        <v>2280</v>
      </c>
    </row>
    <row r="81" spans="1:8" x14ac:dyDescent="0.35">
      <c r="A81" s="3" t="s">
        <v>52</v>
      </c>
      <c r="B81" s="4" t="s">
        <v>124</v>
      </c>
      <c r="C81" s="4" t="s">
        <v>10</v>
      </c>
      <c r="D81" s="5">
        <v>44824</v>
      </c>
      <c r="E81" s="4" t="s">
        <v>125</v>
      </c>
      <c r="F81" s="6">
        <v>46500</v>
      </c>
      <c r="G81" s="6">
        <v>-37236</v>
      </c>
      <c r="H81" s="6">
        <v>9264</v>
      </c>
    </row>
    <row r="82" spans="1:8" x14ac:dyDescent="0.35">
      <c r="A82" s="3" t="s">
        <v>52</v>
      </c>
      <c r="B82" s="4" t="s">
        <v>126</v>
      </c>
      <c r="C82" s="4" t="s">
        <v>10</v>
      </c>
      <c r="D82" s="5">
        <v>44813</v>
      </c>
      <c r="E82" s="4" t="s">
        <v>127</v>
      </c>
      <c r="F82" s="6">
        <v>36864.410000000003</v>
      </c>
      <c r="G82" s="6">
        <v>-29872.41</v>
      </c>
      <c r="H82" s="6">
        <v>6992</v>
      </c>
    </row>
    <row r="83" spans="1:8" x14ac:dyDescent="0.35">
      <c r="A83" s="3" t="s">
        <v>52</v>
      </c>
      <c r="B83" s="4" t="s">
        <v>128</v>
      </c>
      <c r="C83" s="4" t="s">
        <v>10</v>
      </c>
      <c r="D83" s="5">
        <v>45108</v>
      </c>
      <c r="E83" s="4" t="s">
        <v>129</v>
      </c>
      <c r="F83" s="6">
        <v>48000</v>
      </c>
      <c r="G83" s="6">
        <v>-26635</v>
      </c>
      <c r="H83" s="6">
        <v>21365</v>
      </c>
    </row>
    <row r="84" spans="1:8" x14ac:dyDescent="0.35">
      <c r="A84" s="3" t="s">
        <v>52</v>
      </c>
      <c r="B84" s="4" t="s">
        <v>130</v>
      </c>
      <c r="C84" s="4" t="s">
        <v>10</v>
      </c>
      <c r="D84" s="5">
        <v>45108</v>
      </c>
      <c r="E84" s="4" t="s">
        <v>131</v>
      </c>
      <c r="F84" s="6">
        <v>48000</v>
      </c>
      <c r="G84" s="6">
        <v>-26635</v>
      </c>
      <c r="H84" s="6">
        <v>21365</v>
      </c>
    </row>
    <row r="85" spans="1:8" x14ac:dyDescent="0.35">
      <c r="A85" s="3" t="s">
        <v>52</v>
      </c>
      <c r="B85" s="4" t="s">
        <v>132</v>
      </c>
      <c r="C85" s="4" t="s">
        <v>10</v>
      </c>
      <c r="D85" s="5">
        <v>45108</v>
      </c>
      <c r="E85" s="4" t="s">
        <v>133</v>
      </c>
      <c r="F85" s="6">
        <v>48000</v>
      </c>
      <c r="G85" s="6">
        <v>-26635</v>
      </c>
      <c r="H85" s="6">
        <v>21365</v>
      </c>
    </row>
    <row r="86" spans="1:8" x14ac:dyDescent="0.35">
      <c r="A86" s="3" t="s">
        <v>52</v>
      </c>
      <c r="B86" s="4" t="s">
        <v>134</v>
      </c>
      <c r="C86" s="4" t="s">
        <v>10</v>
      </c>
      <c r="D86" s="5">
        <v>45108</v>
      </c>
      <c r="E86" s="4" t="s">
        <v>135</v>
      </c>
      <c r="F86" s="6">
        <v>48000</v>
      </c>
      <c r="G86" s="6">
        <v>-26635</v>
      </c>
      <c r="H86" s="6">
        <v>21365</v>
      </c>
    </row>
    <row r="87" spans="1:8" x14ac:dyDescent="0.35">
      <c r="A87" s="3" t="s">
        <v>52</v>
      </c>
      <c r="B87" s="4" t="s">
        <v>136</v>
      </c>
      <c r="C87" s="4" t="s">
        <v>10</v>
      </c>
      <c r="D87" s="5">
        <v>45125</v>
      </c>
      <c r="E87" s="4" t="s">
        <v>137</v>
      </c>
      <c r="F87" s="6">
        <v>0</v>
      </c>
      <c r="G87" s="6">
        <v>0</v>
      </c>
      <c r="H87" s="6">
        <v>0</v>
      </c>
    </row>
    <row r="88" spans="1:8" x14ac:dyDescent="0.35">
      <c r="A88" s="3" t="s">
        <v>52</v>
      </c>
      <c r="B88" s="4" t="s">
        <v>138</v>
      </c>
      <c r="C88" s="4" t="s">
        <v>10</v>
      </c>
      <c r="D88" s="5">
        <v>45169</v>
      </c>
      <c r="E88" s="4" t="s">
        <v>139</v>
      </c>
      <c r="F88" s="6">
        <v>56550</v>
      </c>
      <c r="G88" s="6">
        <v>-29125</v>
      </c>
      <c r="H88" s="6">
        <v>27425</v>
      </c>
    </row>
    <row r="89" spans="1:8" x14ac:dyDescent="0.35">
      <c r="A89" s="3" t="s">
        <v>52</v>
      </c>
      <c r="B89" s="4" t="s">
        <v>140</v>
      </c>
      <c r="C89" s="4" t="s">
        <v>10</v>
      </c>
      <c r="D89" s="5">
        <v>45169</v>
      </c>
      <c r="E89" s="4" t="s">
        <v>139</v>
      </c>
      <c r="F89" s="6">
        <v>56550</v>
      </c>
      <c r="G89" s="6">
        <v>-29125</v>
      </c>
      <c r="H89" s="6">
        <v>27425</v>
      </c>
    </row>
    <row r="90" spans="1:8" x14ac:dyDescent="0.35">
      <c r="A90" s="3" t="s">
        <v>52</v>
      </c>
      <c r="B90" s="4" t="s">
        <v>141</v>
      </c>
      <c r="C90" s="4" t="s">
        <v>10</v>
      </c>
      <c r="D90" s="5">
        <v>45169</v>
      </c>
      <c r="E90" s="4" t="s">
        <v>139</v>
      </c>
      <c r="F90" s="6">
        <v>56550</v>
      </c>
      <c r="G90" s="6">
        <v>-29125</v>
      </c>
      <c r="H90" s="6">
        <v>27425</v>
      </c>
    </row>
    <row r="91" spans="1:8" x14ac:dyDescent="0.35">
      <c r="A91" s="3" t="s">
        <v>52</v>
      </c>
      <c r="B91" s="4" t="s">
        <v>142</v>
      </c>
      <c r="C91" s="4" t="s">
        <v>10</v>
      </c>
      <c r="D91" s="5">
        <v>45169</v>
      </c>
      <c r="E91" s="4" t="s">
        <v>139</v>
      </c>
      <c r="F91" s="6">
        <v>56550</v>
      </c>
      <c r="G91" s="6">
        <v>-29125</v>
      </c>
      <c r="H91" s="6">
        <v>27425</v>
      </c>
    </row>
    <row r="92" spans="1:8" x14ac:dyDescent="0.35">
      <c r="A92" s="3" t="s">
        <v>52</v>
      </c>
      <c r="B92" s="4" t="s">
        <v>143</v>
      </c>
      <c r="C92" s="4" t="s">
        <v>10</v>
      </c>
      <c r="D92" s="5">
        <v>45169</v>
      </c>
      <c r="E92" s="4" t="s">
        <v>139</v>
      </c>
      <c r="F92" s="6">
        <v>56550</v>
      </c>
      <c r="G92" s="6">
        <v>-29125</v>
      </c>
      <c r="H92" s="6">
        <v>27425</v>
      </c>
    </row>
    <row r="93" spans="1:8" x14ac:dyDescent="0.35">
      <c r="A93" s="3" t="s">
        <v>52</v>
      </c>
      <c r="B93" s="4" t="s">
        <v>144</v>
      </c>
      <c r="C93" s="4" t="s">
        <v>10</v>
      </c>
      <c r="D93" s="5">
        <v>45230</v>
      </c>
      <c r="E93" s="4" t="s">
        <v>145</v>
      </c>
      <c r="F93" s="6">
        <v>57000</v>
      </c>
      <c r="G93" s="6">
        <v>-26542</v>
      </c>
      <c r="H93" s="6">
        <v>30458</v>
      </c>
    </row>
    <row r="94" spans="1:8" x14ac:dyDescent="0.35">
      <c r="A94" s="3" t="s">
        <v>52</v>
      </c>
      <c r="B94" s="4" t="s">
        <v>146</v>
      </c>
      <c r="C94" s="4" t="s">
        <v>10</v>
      </c>
      <c r="D94" s="5">
        <v>45230</v>
      </c>
      <c r="E94" s="4" t="s">
        <v>145</v>
      </c>
      <c r="F94" s="6">
        <v>57000</v>
      </c>
      <c r="G94" s="6">
        <v>-26542</v>
      </c>
      <c r="H94" s="6">
        <v>30458</v>
      </c>
    </row>
    <row r="95" spans="1:8" x14ac:dyDescent="0.35">
      <c r="A95" s="3" t="s">
        <v>52</v>
      </c>
      <c r="B95" s="4" t="s">
        <v>147</v>
      </c>
      <c r="C95" s="4" t="s">
        <v>10</v>
      </c>
      <c r="D95" s="5">
        <v>45230</v>
      </c>
      <c r="E95" s="4" t="s">
        <v>145</v>
      </c>
      <c r="F95" s="6">
        <v>57000</v>
      </c>
      <c r="G95" s="6">
        <v>-26542</v>
      </c>
      <c r="H95" s="6">
        <v>30458</v>
      </c>
    </row>
    <row r="96" spans="1:8" x14ac:dyDescent="0.35">
      <c r="A96" s="3" t="s">
        <v>52</v>
      </c>
      <c r="B96" s="4" t="s">
        <v>148</v>
      </c>
      <c r="C96" s="4" t="s">
        <v>10</v>
      </c>
      <c r="D96" s="5">
        <v>45169</v>
      </c>
      <c r="E96" s="4" t="s">
        <v>149</v>
      </c>
      <c r="F96" s="6">
        <v>78690</v>
      </c>
      <c r="G96" s="6">
        <v>-40528</v>
      </c>
      <c r="H96" s="6">
        <v>38162</v>
      </c>
    </row>
    <row r="97" spans="1:8" x14ac:dyDescent="0.35">
      <c r="A97" s="3" t="s">
        <v>52</v>
      </c>
      <c r="B97" s="4" t="s">
        <v>150</v>
      </c>
      <c r="C97" s="4" t="s">
        <v>10</v>
      </c>
      <c r="D97" s="5">
        <v>45169</v>
      </c>
      <c r="E97" s="4" t="s">
        <v>151</v>
      </c>
      <c r="F97" s="6">
        <v>55750</v>
      </c>
      <c r="G97" s="6">
        <v>-28713</v>
      </c>
      <c r="H97" s="6">
        <v>27037</v>
      </c>
    </row>
    <row r="98" spans="1:8" x14ac:dyDescent="0.35">
      <c r="A98" s="3" t="s">
        <v>52</v>
      </c>
      <c r="B98" s="4" t="s">
        <v>152</v>
      </c>
      <c r="C98" s="4" t="s">
        <v>10</v>
      </c>
      <c r="D98" s="5">
        <v>45260</v>
      </c>
      <c r="E98" s="4" t="s">
        <v>153</v>
      </c>
      <c r="F98" s="6">
        <v>18000</v>
      </c>
      <c r="G98" s="6">
        <v>-8054</v>
      </c>
      <c r="H98" s="6">
        <v>9946</v>
      </c>
    </row>
    <row r="99" spans="1:8" x14ac:dyDescent="0.35">
      <c r="A99" s="3" t="s">
        <v>52</v>
      </c>
      <c r="B99" s="4" t="s">
        <v>154</v>
      </c>
      <c r="C99" s="4" t="s">
        <v>10</v>
      </c>
      <c r="D99" s="5">
        <v>45260</v>
      </c>
      <c r="E99" s="4" t="s">
        <v>153</v>
      </c>
      <c r="F99" s="6">
        <v>18000</v>
      </c>
      <c r="G99" s="6">
        <v>-8054</v>
      </c>
      <c r="H99" s="6">
        <v>9946</v>
      </c>
    </row>
    <row r="100" spans="1:8" x14ac:dyDescent="0.35">
      <c r="A100" s="3" t="s">
        <v>52</v>
      </c>
      <c r="B100" s="4" t="s">
        <v>155</v>
      </c>
      <c r="C100" s="4" t="s">
        <v>10</v>
      </c>
      <c r="D100" s="5">
        <v>45169</v>
      </c>
      <c r="E100" s="4" t="s">
        <v>156</v>
      </c>
      <c r="F100" s="6">
        <v>59000</v>
      </c>
      <c r="G100" s="6">
        <v>-29620</v>
      </c>
      <c r="H100" s="6">
        <v>29380</v>
      </c>
    </row>
    <row r="101" spans="1:8" x14ac:dyDescent="0.35">
      <c r="A101" s="3" t="s">
        <v>52</v>
      </c>
      <c r="B101" s="4" t="s">
        <v>157</v>
      </c>
      <c r="C101" s="4" t="s">
        <v>10</v>
      </c>
      <c r="D101" s="5">
        <v>45169</v>
      </c>
      <c r="E101" s="4" t="s">
        <v>158</v>
      </c>
      <c r="F101" s="6">
        <v>21700</v>
      </c>
      <c r="G101" s="6">
        <v>-10894</v>
      </c>
      <c r="H101" s="6">
        <v>10806</v>
      </c>
    </row>
    <row r="102" spans="1:8" x14ac:dyDescent="0.35">
      <c r="A102" s="3" t="s">
        <v>52</v>
      </c>
      <c r="B102" s="4" t="s">
        <v>159</v>
      </c>
      <c r="C102" s="4" t="s">
        <v>10</v>
      </c>
      <c r="D102" s="5">
        <v>45169</v>
      </c>
      <c r="E102" s="4" t="s">
        <v>160</v>
      </c>
      <c r="F102" s="6">
        <v>124400</v>
      </c>
      <c r="G102" s="6">
        <v>-64070</v>
      </c>
      <c r="H102" s="6">
        <v>60330</v>
      </c>
    </row>
    <row r="103" spans="1:8" x14ac:dyDescent="0.35">
      <c r="A103" s="3" t="s">
        <v>52</v>
      </c>
      <c r="B103" s="4" t="s">
        <v>161</v>
      </c>
      <c r="C103" s="4" t="s">
        <v>10</v>
      </c>
      <c r="D103" s="5">
        <v>45199</v>
      </c>
      <c r="E103" s="4" t="s">
        <v>151</v>
      </c>
      <c r="F103" s="6">
        <v>55550</v>
      </c>
      <c r="G103" s="6">
        <v>-26637</v>
      </c>
      <c r="H103" s="6">
        <v>28913</v>
      </c>
    </row>
    <row r="104" spans="1:8" x14ac:dyDescent="0.35">
      <c r="A104" s="3" t="s">
        <v>52</v>
      </c>
      <c r="B104" s="4" t="s">
        <v>162</v>
      </c>
      <c r="C104" s="4" t="s">
        <v>10</v>
      </c>
      <c r="D104" s="5">
        <v>45134</v>
      </c>
      <c r="E104" s="4" t="s">
        <v>163</v>
      </c>
      <c r="F104" s="6">
        <v>127500</v>
      </c>
      <c r="G104" s="6">
        <v>-67876</v>
      </c>
      <c r="H104" s="6">
        <v>59624</v>
      </c>
    </row>
    <row r="105" spans="1:8" x14ac:dyDescent="0.35">
      <c r="A105" s="3" t="s">
        <v>52</v>
      </c>
      <c r="B105" s="4" t="s">
        <v>164</v>
      </c>
      <c r="C105" s="4" t="s">
        <v>10</v>
      </c>
      <c r="D105" s="5">
        <v>45125</v>
      </c>
      <c r="E105" s="4" t="s">
        <v>165</v>
      </c>
      <c r="F105" s="6">
        <v>59000</v>
      </c>
      <c r="G105" s="6">
        <v>-31869</v>
      </c>
      <c r="H105" s="6">
        <v>27131</v>
      </c>
    </row>
    <row r="106" spans="1:8" x14ac:dyDescent="0.35">
      <c r="A106" s="3" t="s">
        <v>52</v>
      </c>
      <c r="B106" s="4" t="s">
        <v>166</v>
      </c>
      <c r="C106" s="4" t="s">
        <v>10</v>
      </c>
      <c r="D106" s="5">
        <v>45125</v>
      </c>
      <c r="E106" s="4" t="s">
        <v>165</v>
      </c>
      <c r="F106" s="6">
        <v>59000</v>
      </c>
      <c r="G106" s="6">
        <v>-31869</v>
      </c>
      <c r="H106" s="6">
        <v>27131</v>
      </c>
    </row>
    <row r="107" spans="1:8" x14ac:dyDescent="0.35">
      <c r="A107" s="3" t="s">
        <v>52</v>
      </c>
      <c r="B107" s="4" t="s">
        <v>167</v>
      </c>
      <c r="C107" s="4" t="s">
        <v>10</v>
      </c>
      <c r="D107" s="5">
        <v>45125</v>
      </c>
      <c r="E107" s="4" t="s">
        <v>165</v>
      </c>
      <c r="F107" s="6">
        <v>59000</v>
      </c>
      <c r="G107" s="6">
        <v>-31869</v>
      </c>
      <c r="H107" s="6">
        <v>27131</v>
      </c>
    </row>
    <row r="108" spans="1:8" x14ac:dyDescent="0.35">
      <c r="A108" s="3" t="s">
        <v>52</v>
      </c>
      <c r="B108" s="4" t="s">
        <v>168</v>
      </c>
      <c r="C108" s="4" t="s">
        <v>10</v>
      </c>
      <c r="D108" s="5">
        <v>45125</v>
      </c>
      <c r="E108" s="4" t="s">
        <v>165</v>
      </c>
      <c r="F108" s="6">
        <v>59000</v>
      </c>
      <c r="G108" s="6">
        <v>-31869</v>
      </c>
      <c r="H108" s="6">
        <v>27131</v>
      </c>
    </row>
    <row r="109" spans="1:8" x14ac:dyDescent="0.35">
      <c r="A109" s="3" t="s">
        <v>52</v>
      </c>
      <c r="B109" s="4" t="s">
        <v>169</v>
      </c>
      <c r="C109" s="4" t="s">
        <v>10</v>
      </c>
      <c r="D109" s="5">
        <v>45125</v>
      </c>
      <c r="E109" s="4" t="s">
        <v>165</v>
      </c>
      <c r="F109" s="6">
        <v>59000</v>
      </c>
      <c r="G109" s="6">
        <v>-31869</v>
      </c>
      <c r="H109" s="6">
        <v>27131</v>
      </c>
    </row>
    <row r="110" spans="1:8" x14ac:dyDescent="0.35">
      <c r="A110" s="3" t="s">
        <v>52</v>
      </c>
      <c r="B110" s="4" t="s">
        <v>170</v>
      </c>
      <c r="C110" s="4" t="s">
        <v>10</v>
      </c>
      <c r="D110" s="5">
        <v>45291</v>
      </c>
      <c r="E110" s="4" t="s">
        <v>171</v>
      </c>
      <c r="F110" s="6">
        <v>84800</v>
      </c>
      <c r="G110" s="6">
        <v>-35006</v>
      </c>
      <c r="H110" s="6">
        <v>49794</v>
      </c>
    </row>
    <row r="111" spans="1:8" x14ac:dyDescent="0.35">
      <c r="A111" s="3" t="s">
        <v>52</v>
      </c>
      <c r="B111" s="4" t="s">
        <v>172</v>
      </c>
      <c r="C111" s="4" t="s">
        <v>10</v>
      </c>
      <c r="D111" s="5">
        <v>45291</v>
      </c>
      <c r="E111" s="4" t="s">
        <v>173</v>
      </c>
      <c r="F111" s="6">
        <v>33950</v>
      </c>
      <c r="G111" s="6">
        <v>-14015</v>
      </c>
      <c r="H111" s="6">
        <v>19935</v>
      </c>
    </row>
    <row r="112" spans="1:8" x14ac:dyDescent="0.35">
      <c r="A112" s="3" t="s">
        <v>52</v>
      </c>
      <c r="B112" s="4" t="s">
        <v>174</v>
      </c>
      <c r="C112" s="4" t="s">
        <v>10</v>
      </c>
      <c r="D112" s="5">
        <v>45291</v>
      </c>
      <c r="E112" s="4" t="s">
        <v>173</v>
      </c>
      <c r="F112" s="6">
        <v>33950</v>
      </c>
      <c r="G112" s="6">
        <v>-14015</v>
      </c>
      <c r="H112" s="6">
        <v>19935</v>
      </c>
    </row>
    <row r="113" spans="1:8" x14ac:dyDescent="0.35">
      <c r="A113" s="3" t="s">
        <v>52</v>
      </c>
      <c r="B113" s="4" t="s">
        <v>175</v>
      </c>
      <c r="C113" s="4" t="s">
        <v>10</v>
      </c>
      <c r="D113" s="5">
        <v>45291</v>
      </c>
      <c r="E113" s="4" t="s">
        <v>171</v>
      </c>
      <c r="F113" s="6">
        <v>84800</v>
      </c>
      <c r="G113" s="6">
        <v>-35153</v>
      </c>
      <c r="H113" s="6">
        <v>49647</v>
      </c>
    </row>
    <row r="114" spans="1:8" x14ac:dyDescent="0.35">
      <c r="A114" s="3" t="s">
        <v>52</v>
      </c>
      <c r="B114" s="4" t="s">
        <v>176</v>
      </c>
      <c r="C114" s="4" t="s">
        <v>10</v>
      </c>
      <c r="D114" s="5">
        <v>45291</v>
      </c>
      <c r="E114" s="4" t="s">
        <v>177</v>
      </c>
      <c r="F114" s="6">
        <v>47150</v>
      </c>
      <c r="G114" s="6">
        <v>-18933</v>
      </c>
      <c r="H114" s="6">
        <v>28217</v>
      </c>
    </row>
    <row r="115" spans="1:8" x14ac:dyDescent="0.35">
      <c r="A115" s="3" t="s">
        <v>52</v>
      </c>
      <c r="B115" s="4" t="s">
        <v>178</v>
      </c>
      <c r="C115" s="4" t="s">
        <v>10</v>
      </c>
      <c r="D115" s="5">
        <v>45291</v>
      </c>
      <c r="E115" s="4" t="s">
        <v>177</v>
      </c>
      <c r="F115" s="6">
        <v>47150</v>
      </c>
      <c r="G115" s="6">
        <v>-18933</v>
      </c>
      <c r="H115" s="6">
        <v>28217</v>
      </c>
    </row>
    <row r="116" spans="1:8" x14ac:dyDescent="0.35">
      <c r="A116" s="3" t="s">
        <v>52</v>
      </c>
      <c r="B116" s="4" t="s">
        <v>179</v>
      </c>
      <c r="C116" s="4" t="s">
        <v>10</v>
      </c>
      <c r="D116" s="5">
        <v>44747</v>
      </c>
      <c r="E116" s="4" t="s">
        <v>180</v>
      </c>
      <c r="F116" s="6">
        <v>144703.4</v>
      </c>
      <c r="G116" s="6">
        <v>-125542.39999999999</v>
      </c>
      <c r="H116" s="6">
        <v>19161</v>
      </c>
    </row>
    <row r="117" spans="1:8" x14ac:dyDescent="0.35">
      <c r="A117" s="3" t="s">
        <v>52</v>
      </c>
      <c r="B117" s="4" t="s">
        <v>181</v>
      </c>
      <c r="C117" s="4" t="s">
        <v>10</v>
      </c>
      <c r="D117" s="5">
        <v>44807</v>
      </c>
      <c r="E117" s="4" t="s">
        <v>182</v>
      </c>
      <c r="F117" s="6">
        <v>2890.62</v>
      </c>
      <c r="G117" s="6">
        <v>-2357.62</v>
      </c>
      <c r="H117" s="6">
        <v>533</v>
      </c>
    </row>
    <row r="118" spans="1:8" x14ac:dyDescent="0.35">
      <c r="A118" s="3" t="s">
        <v>52</v>
      </c>
      <c r="B118" s="4" t="s">
        <v>183</v>
      </c>
      <c r="C118" s="4" t="s">
        <v>10</v>
      </c>
      <c r="D118" s="5">
        <v>44807</v>
      </c>
      <c r="E118" s="4" t="s">
        <v>184</v>
      </c>
      <c r="F118" s="6">
        <v>3211.8</v>
      </c>
      <c r="G118" s="6">
        <v>-2619.8000000000002</v>
      </c>
      <c r="H118" s="6">
        <v>592</v>
      </c>
    </row>
    <row r="119" spans="1:8" x14ac:dyDescent="0.35">
      <c r="A119" s="3" t="s">
        <v>52</v>
      </c>
      <c r="B119" s="4" t="s">
        <v>185</v>
      </c>
      <c r="C119" s="4" t="s">
        <v>10</v>
      </c>
      <c r="D119" s="5">
        <v>44865</v>
      </c>
      <c r="E119" s="4" t="s">
        <v>186</v>
      </c>
      <c r="F119" s="6">
        <v>3944.6</v>
      </c>
      <c r="G119" s="6">
        <v>-3018.6</v>
      </c>
      <c r="H119" s="6">
        <v>926</v>
      </c>
    </row>
    <row r="120" spans="1:8" x14ac:dyDescent="0.35">
      <c r="A120" s="3" t="s">
        <v>52</v>
      </c>
      <c r="B120" s="4" t="s">
        <v>187</v>
      </c>
      <c r="C120" s="4" t="s">
        <v>10</v>
      </c>
      <c r="D120" s="5">
        <v>44865</v>
      </c>
      <c r="E120" s="4" t="s">
        <v>180</v>
      </c>
      <c r="F120" s="6">
        <v>28940.68</v>
      </c>
      <c r="G120" s="6">
        <v>-22145.68</v>
      </c>
      <c r="H120" s="6">
        <v>6795</v>
      </c>
    </row>
    <row r="121" spans="1:8" x14ac:dyDescent="0.35">
      <c r="A121" s="3" t="s">
        <v>52</v>
      </c>
      <c r="B121" s="4" t="s">
        <v>188</v>
      </c>
      <c r="C121" s="4" t="s">
        <v>10</v>
      </c>
      <c r="D121" s="5">
        <v>44960</v>
      </c>
      <c r="E121" s="4" t="s">
        <v>186</v>
      </c>
      <c r="F121" s="6">
        <v>876.58</v>
      </c>
      <c r="G121" s="6">
        <v>-599.58000000000004</v>
      </c>
      <c r="H121" s="6">
        <v>277</v>
      </c>
    </row>
    <row r="122" spans="1:8" x14ac:dyDescent="0.35">
      <c r="A122" s="3" t="s">
        <v>52</v>
      </c>
      <c r="B122" s="4" t="s">
        <v>189</v>
      </c>
      <c r="C122" s="4" t="s">
        <v>10</v>
      </c>
      <c r="D122" s="5">
        <v>44965</v>
      </c>
      <c r="E122" s="4" t="s">
        <v>190</v>
      </c>
      <c r="F122" s="6">
        <v>26949.15</v>
      </c>
      <c r="G122" s="6">
        <v>-18284.150000000001</v>
      </c>
      <c r="H122" s="6">
        <v>8665</v>
      </c>
    </row>
    <row r="123" spans="1:8" x14ac:dyDescent="0.35">
      <c r="A123" s="3" t="s">
        <v>52</v>
      </c>
      <c r="B123" s="4" t="s">
        <v>9</v>
      </c>
      <c r="C123" s="4" t="s">
        <v>10</v>
      </c>
      <c r="D123" s="5">
        <v>44967</v>
      </c>
      <c r="E123" s="4" t="s">
        <v>191</v>
      </c>
      <c r="F123" s="6">
        <v>6100</v>
      </c>
      <c r="G123" s="6">
        <v>-4128</v>
      </c>
      <c r="H123" s="6">
        <v>1972</v>
      </c>
    </row>
    <row r="124" spans="1:8" x14ac:dyDescent="0.35">
      <c r="A124" s="3" t="s">
        <v>52</v>
      </c>
      <c r="B124" s="4" t="s">
        <v>192</v>
      </c>
      <c r="C124" s="4" t="s">
        <v>10</v>
      </c>
      <c r="D124" s="5">
        <v>44967</v>
      </c>
      <c r="E124" s="4" t="s">
        <v>193</v>
      </c>
      <c r="F124" s="6">
        <v>37000</v>
      </c>
      <c r="G124" s="6">
        <v>-25038</v>
      </c>
      <c r="H124" s="6">
        <v>11962</v>
      </c>
    </row>
    <row r="125" spans="1:8" x14ac:dyDescent="0.35">
      <c r="A125" s="3" t="s">
        <v>52</v>
      </c>
      <c r="B125" s="4" t="s">
        <v>12</v>
      </c>
      <c r="C125" s="4" t="s">
        <v>10</v>
      </c>
      <c r="D125" s="5">
        <v>44967</v>
      </c>
      <c r="E125" s="4" t="s">
        <v>194</v>
      </c>
      <c r="F125" s="6">
        <v>112400</v>
      </c>
      <c r="G125" s="6">
        <v>-76062</v>
      </c>
      <c r="H125" s="6">
        <v>36338</v>
      </c>
    </row>
    <row r="126" spans="1:8" x14ac:dyDescent="0.35">
      <c r="A126" s="3" t="s">
        <v>52</v>
      </c>
      <c r="B126" s="4" t="s">
        <v>195</v>
      </c>
      <c r="C126" s="4" t="s">
        <v>10</v>
      </c>
      <c r="D126" s="5">
        <v>44985</v>
      </c>
      <c r="E126" s="4" t="s">
        <v>196</v>
      </c>
      <c r="F126" s="6">
        <v>9514.98</v>
      </c>
      <c r="G126" s="6">
        <v>-6290.98</v>
      </c>
      <c r="H126" s="6">
        <v>3224</v>
      </c>
    </row>
    <row r="127" spans="1:8" x14ac:dyDescent="0.35">
      <c r="A127" s="3" t="s">
        <v>52</v>
      </c>
      <c r="B127" s="4" t="s">
        <v>197</v>
      </c>
      <c r="C127" s="4" t="s">
        <v>10</v>
      </c>
      <c r="D127" s="5">
        <v>45322</v>
      </c>
      <c r="E127" s="4" t="s">
        <v>198</v>
      </c>
      <c r="F127" s="6">
        <v>44800</v>
      </c>
      <c r="G127" s="6">
        <v>-17330</v>
      </c>
      <c r="H127" s="6">
        <v>27470</v>
      </c>
    </row>
    <row r="128" spans="1:8" x14ac:dyDescent="0.35">
      <c r="A128" s="3" t="s">
        <v>52</v>
      </c>
      <c r="B128" s="4" t="s">
        <v>199</v>
      </c>
      <c r="C128" s="4" t="s">
        <v>10</v>
      </c>
      <c r="D128" s="5">
        <v>45322</v>
      </c>
      <c r="E128" s="4" t="s">
        <v>198</v>
      </c>
      <c r="F128" s="6">
        <v>44800</v>
      </c>
      <c r="G128" s="6">
        <v>-17330</v>
      </c>
      <c r="H128" s="6">
        <v>27470</v>
      </c>
    </row>
    <row r="129" spans="1:8" x14ac:dyDescent="0.35">
      <c r="A129" s="3" t="s">
        <v>52</v>
      </c>
      <c r="B129" s="4" t="s">
        <v>200</v>
      </c>
      <c r="C129" s="4" t="s">
        <v>10</v>
      </c>
      <c r="D129" s="5">
        <v>45322</v>
      </c>
      <c r="E129" s="4" t="s">
        <v>198</v>
      </c>
      <c r="F129" s="6">
        <v>44800</v>
      </c>
      <c r="G129" s="6">
        <v>-17330</v>
      </c>
      <c r="H129" s="6">
        <v>27470</v>
      </c>
    </row>
    <row r="130" spans="1:8" x14ac:dyDescent="0.35">
      <c r="A130" s="3" t="s">
        <v>52</v>
      </c>
      <c r="B130" s="4" t="s">
        <v>201</v>
      </c>
      <c r="C130" s="4" t="s">
        <v>10</v>
      </c>
      <c r="D130" s="5">
        <v>45322</v>
      </c>
      <c r="E130" s="4" t="s">
        <v>198</v>
      </c>
      <c r="F130" s="6">
        <v>44800</v>
      </c>
      <c r="G130" s="6">
        <v>-17330</v>
      </c>
      <c r="H130" s="6">
        <v>27470</v>
      </c>
    </row>
    <row r="131" spans="1:8" x14ac:dyDescent="0.35">
      <c r="A131" s="3" t="s">
        <v>52</v>
      </c>
      <c r="B131" s="4" t="s">
        <v>13</v>
      </c>
      <c r="C131" s="4" t="s">
        <v>10</v>
      </c>
      <c r="D131" s="5">
        <v>45322</v>
      </c>
      <c r="E131" s="4" t="s">
        <v>198</v>
      </c>
      <c r="F131" s="6">
        <v>44800</v>
      </c>
      <c r="G131" s="6">
        <v>-17330</v>
      </c>
      <c r="H131" s="6">
        <v>27470</v>
      </c>
    </row>
    <row r="132" spans="1:8" x14ac:dyDescent="0.35">
      <c r="A132" s="3" t="s">
        <v>52</v>
      </c>
      <c r="B132" s="4" t="s">
        <v>14</v>
      </c>
      <c r="C132" s="4" t="s">
        <v>10</v>
      </c>
      <c r="D132" s="5">
        <v>45322</v>
      </c>
      <c r="E132" s="4" t="s">
        <v>198</v>
      </c>
      <c r="F132" s="6">
        <v>44800</v>
      </c>
      <c r="G132" s="6">
        <v>-17330</v>
      </c>
      <c r="H132" s="6">
        <v>27470</v>
      </c>
    </row>
    <row r="133" spans="1:8" x14ac:dyDescent="0.35">
      <c r="A133" s="3" t="s">
        <v>52</v>
      </c>
      <c r="B133" s="4" t="s">
        <v>16</v>
      </c>
      <c r="C133" s="4" t="s">
        <v>10</v>
      </c>
      <c r="D133" s="5">
        <v>45322</v>
      </c>
      <c r="E133" s="4" t="s">
        <v>198</v>
      </c>
      <c r="F133" s="6">
        <v>44800</v>
      </c>
      <c r="G133" s="6">
        <v>-17330</v>
      </c>
      <c r="H133" s="6">
        <v>27470</v>
      </c>
    </row>
    <row r="134" spans="1:8" x14ac:dyDescent="0.35">
      <c r="A134" s="3" t="s">
        <v>52</v>
      </c>
      <c r="B134" s="4" t="s">
        <v>18</v>
      </c>
      <c r="C134" s="4" t="s">
        <v>10</v>
      </c>
      <c r="D134" s="5">
        <v>45322</v>
      </c>
      <c r="E134" s="4" t="s">
        <v>198</v>
      </c>
      <c r="F134" s="6">
        <v>44800</v>
      </c>
      <c r="G134" s="6">
        <v>-17330</v>
      </c>
      <c r="H134" s="6">
        <v>27470</v>
      </c>
    </row>
    <row r="135" spans="1:8" x14ac:dyDescent="0.35">
      <c r="A135" s="3" t="s">
        <v>52</v>
      </c>
      <c r="B135" s="4" t="s">
        <v>202</v>
      </c>
      <c r="C135" s="4" t="s">
        <v>10</v>
      </c>
      <c r="D135" s="5">
        <v>45322</v>
      </c>
      <c r="E135" s="4" t="s">
        <v>198</v>
      </c>
      <c r="F135" s="6">
        <v>44800</v>
      </c>
      <c r="G135" s="6">
        <v>-17330</v>
      </c>
      <c r="H135" s="6">
        <v>27470</v>
      </c>
    </row>
    <row r="136" spans="1:8" x14ac:dyDescent="0.35">
      <c r="A136" s="3" t="s">
        <v>52</v>
      </c>
      <c r="B136" s="4" t="s">
        <v>203</v>
      </c>
      <c r="C136" s="4" t="s">
        <v>10</v>
      </c>
      <c r="D136" s="5">
        <v>45322</v>
      </c>
      <c r="E136" s="4" t="s">
        <v>198</v>
      </c>
      <c r="F136" s="6">
        <v>44800</v>
      </c>
      <c r="G136" s="6">
        <v>-17330</v>
      </c>
      <c r="H136" s="6">
        <v>27470</v>
      </c>
    </row>
    <row r="137" spans="1:8" x14ac:dyDescent="0.35">
      <c r="A137" s="3" t="s">
        <v>52</v>
      </c>
      <c r="B137" s="4" t="s">
        <v>204</v>
      </c>
      <c r="C137" s="4" t="s">
        <v>10</v>
      </c>
      <c r="D137" s="5">
        <v>45322</v>
      </c>
      <c r="E137" s="4" t="s">
        <v>198</v>
      </c>
      <c r="F137" s="6">
        <v>44800</v>
      </c>
      <c r="G137" s="6">
        <v>-17330</v>
      </c>
      <c r="H137" s="6">
        <v>27470</v>
      </c>
    </row>
    <row r="138" spans="1:8" x14ac:dyDescent="0.35">
      <c r="A138" s="3" t="s">
        <v>52</v>
      </c>
      <c r="B138" s="4" t="s">
        <v>19</v>
      </c>
      <c r="C138" s="4" t="s">
        <v>10</v>
      </c>
      <c r="D138" s="5">
        <v>45322</v>
      </c>
      <c r="E138" s="4" t="s">
        <v>198</v>
      </c>
      <c r="F138" s="6">
        <v>44800</v>
      </c>
      <c r="G138" s="6">
        <v>-17330</v>
      </c>
      <c r="H138" s="6">
        <v>27470</v>
      </c>
    </row>
    <row r="139" spans="1:8" x14ac:dyDescent="0.35">
      <c r="A139" s="3" t="s">
        <v>52</v>
      </c>
      <c r="B139" s="4" t="s">
        <v>20</v>
      </c>
      <c r="C139" s="4" t="s">
        <v>10</v>
      </c>
      <c r="D139" s="5">
        <v>45322</v>
      </c>
      <c r="E139" s="4" t="s">
        <v>205</v>
      </c>
      <c r="F139" s="6">
        <v>32400</v>
      </c>
      <c r="G139" s="6">
        <v>-12533</v>
      </c>
      <c r="H139" s="6">
        <v>19867</v>
      </c>
    </row>
    <row r="140" spans="1:8" x14ac:dyDescent="0.35">
      <c r="A140" s="3" t="s">
        <v>52</v>
      </c>
      <c r="B140" s="4" t="s">
        <v>22</v>
      </c>
      <c r="C140" s="4" t="s">
        <v>10</v>
      </c>
      <c r="D140" s="5">
        <v>45322</v>
      </c>
      <c r="E140" s="4" t="s">
        <v>205</v>
      </c>
      <c r="F140" s="6">
        <v>32400</v>
      </c>
      <c r="G140" s="6">
        <v>-12533</v>
      </c>
      <c r="H140" s="6">
        <v>19867</v>
      </c>
    </row>
    <row r="141" spans="1:8" x14ac:dyDescent="0.35">
      <c r="A141" s="3" t="s">
        <v>52</v>
      </c>
      <c r="B141" s="4" t="s">
        <v>24</v>
      </c>
      <c r="C141" s="4" t="s">
        <v>10</v>
      </c>
      <c r="D141" s="5">
        <v>45322</v>
      </c>
      <c r="E141" s="4" t="s">
        <v>205</v>
      </c>
      <c r="F141" s="6">
        <v>32400</v>
      </c>
      <c r="G141" s="6">
        <v>-12533</v>
      </c>
      <c r="H141" s="6">
        <v>19867</v>
      </c>
    </row>
    <row r="142" spans="1:8" x14ac:dyDescent="0.35">
      <c r="A142" s="3" t="s">
        <v>52</v>
      </c>
      <c r="B142" s="4" t="s">
        <v>26</v>
      </c>
      <c r="C142" s="4" t="s">
        <v>10</v>
      </c>
      <c r="D142" s="5">
        <v>45322</v>
      </c>
      <c r="E142" s="4" t="s">
        <v>205</v>
      </c>
      <c r="F142" s="6">
        <v>32400</v>
      </c>
      <c r="G142" s="6">
        <v>-12533</v>
      </c>
      <c r="H142" s="6">
        <v>19867</v>
      </c>
    </row>
    <row r="143" spans="1:8" x14ac:dyDescent="0.35">
      <c r="A143" s="3" t="s">
        <v>52</v>
      </c>
      <c r="B143" s="4" t="s">
        <v>206</v>
      </c>
      <c r="C143" s="4" t="s">
        <v>10</v>
      </c>
      <c r="D143" s="5">
        <v>45322</v>
      </c>
      <c r="E143" s="4" t="s">
        <v>205</v>
      </c>
      <c r="F143" s="6">
        <v>32400</v>
      </c>
      <c r="G143" s="6">
        <v>-12533</v>
      </c>
      <c r="H143" s="6">
        <v>19867</v>
      </c>
    </row>
    <row r="144" spans="1:8" x14ac:dyDescent="0.35">
      <c r="A144" s="3" t="s">
        <v>52</v>
      </c>
      <c r="B144" s="4" t="s">
        <v>28</v>
      </c>
      <c r="C144" s="4" t="s">
        <v>10</v>
      </c>
      <c r="D144" s="5">
        <v>45354</v>
      </c>
      <c r="E144" s="4" t="s">
        <v>207</v>
      </c>
      <c r="F144" s="6">
        <v>59617</v>
      </c>
      <c r="G144" s="6">
        <v>-20583</v>
      </c>
      <c r="H144" s="6">
        <v>39034</v>
      </c>
    </row>
    <row r="145" spans="1:8" x14ac:dyDescent="0.35">
      <c r="A145" s="3" t="s">
        <v>52</v>
      </c>
      <c r="B145" s="4" t="s">
        <v>208</v>
      </c>
      <c r="C145" s="4" t="s">
        <v>10</v>
      </c>
      <c r="D145" s="5">
        <v>45443</v>
      </c>
      <c r="E145" s="4" t="s">
        <v>209</v>
      </c>
      <c r="F145" s="6">
        <v>57500</v>
      </c>
      <c r="G145" s="6">
        <v>-16611</v>
      </c>
      <c r="H145" s="6">
        <v>40889</v>
      </c>
    </row>
    <row r="146" spans="1:8" x14ac:dyDescent="0.35">
      <c r="A146" s="3" t="s">
        <v>52</v>
      </c>
      <c r="B146" s="4" t="s">
        <v>210</v>
      </c>
      <c r="C146" s="4" t="s">
        <v>10</v>
      </c>
      <c r="D146" s="5">
        <v>45443</v>
      </c>
      <c r="E146" s="4" t="s">
        <v>209</v>
      </c>
      <c r="F146" s="6">
        <v>57500</v>
      </c>
      <c r="G146" s="6">
        <v>-18158</v>
      </c>
      <c r="H146" s="6">
        <v>39342</v>
      </c>
    </row>
    <row r="147" spans="1:8" x14ac:dyDescent="0.35">
      <c r="A147" s="3" t="s">
        <v>52</v>
      </c>
      <c r="B147" s="4" t="s">
        <v>211</v>
      </c>
      <c r="C147" s="4" t="s">
        <v>10</v>
      </c>
      <c r="D147" s="5">
        <v>45460</v>
      </c>
      <c r="E147" s="4" t="s">
        <v>212</v>
      </c>
      <c r="F147" s="6">
        <v>30727.62</v>
      </c>
      <c r="G147" s="6">
        <v>-7677.62</v>
      </c>
      <c r="H147" s="6">
        <v>23050</v>
      </c>
    </row>
    <row r="148" spans="1:8" x14ac:dyDescent="0.35">
      <c r="A148" s="3" t="s">
        <v>52</v>
      </c>
      <c r="B148" s="4" t="s">
        <v>213</v>
      </c>
      <c r="C148" s="4" t="s">
        <v>10</v>
      </c>
      <c r="D148" s="5">
        <v>45460</v>
      </c>
      <c r="E148" s="4" t="s">
        <v>214</v>
      </c>
      <c r="F148" s="6">
        <v>10713.14</v>
      </c>
      <c r="G148" s="6">
        <v>-2677.14</v>
      </c>
      <c r="H148" s="6">
        <v>8036</v>
      </c>
    </row>
    <row r="149" spans="1:8" x14ac:dyDescent="0.35">
      <c r="A149" s="3" t="s">
        <v>52</v>
      </c>
      <c r="B149" s="4" t="s">
        <v>215</v>
      </c>
      <c r="C149" s="4" t="s">
        <v>10</v>
      </c>
      <c r="D149" s="5">
        <v>45444</v>
      </c>
      <c r="E149" s="4" t="s">
        <v>216</v>
      </c>
      <c r="F149" s="6">
        <v>114000</v>
      </c>
      <c r="G149" s="6">
        <v>-30067</v>
      </c>
      <c r="H149" s="6">
        <v>83933</v>
      </c>
    </row>
    <row r="150" spans="1:8" x14ac:dyDescent="0.35">
      <c r="A150" s="3" t="s">
        <v>52</v>
      </c>
      <c r="B150" s="4" t="s">
        <v>215</v>
      </c>
      <c r="C150" s="4" t="s">
        <v>44</v>
      </c>
      <c r="D150" s="5">
        <v>45444</v>
      </c>
      <c r="E150" s="4" t="s">
        <v>217</v>
      </c>
      <c r="F150" s="6">
        <v>7200</v>
      </c>
      <c r="G150" s="6">
        <v>-1899</v>
      </c>
      <c r="H150" s="6">
        <v>5301</v>
      </c>
    </row>
    <row r="151" spans="1:8" x14ac:dyDescent="0.35">
      <c r="A151" s="3" t="s">
        <v>52</v>
      </c>
      <c r="B151" s="4" t="s">
        <v>218</v>
      </c>
      <c r="C151" s="4" t="s">
        <v>10</v>
      </c>
      <c r="D151" s="5">
        <v>45510</v>
      </c>
      <c r="E151" s="4" t="s">
        <v>219</v>
      </c>
      <c r="F151" s="6">
        <v>27000</v>
      </c>
      <c r="G151" s="6">
        <v>-5575</v>
      </c>
      <c r="H151" s="6">
        <v>21425</v>
      </c>
    </row>
    <row r="152" spans="1:8" x14ac:dyDescent="0.35">
      <c r="A152" s="3" t="s">
        <v>52</v>
      </c>
      <c r="B152" s="4" t="s">
        <v>220</v>
      </c>
      <c r="C152" s="4" t="s">
        <v>10</v>
      </c>
      <c r="D152" s="5">
        <v>45535</v>
      </c>
      <c r="E152" s="4" t="s">
        <v>221</v>
      </c>
      <c r="F152" s="6">
        <v>97500</v>
      </c>
      <c r="G152" s="6">
        <v>-18017</v>
      </c>
      <c r="H152" s="6">
        <v>79483</v>
      </c>
    </row>
    <row r="153" spans="1:8" x14ac:dyDescent="0.35">
      <c r="A153" s="3" t="s">
        <v>52</v>
      </c>
      <c r="B153" s="4" t="s">
        <v>222</v>
      </c>
      <c r="C153" s="4" t="s">
        <v>10</v>
      </c>
      <c r="D153" s="5">
        <v>45528</v>
      </c>
      <c r="E153" s="4" t="s">
        <v>223</v>
      </c>
      <c r="F153" s="6">
        <v>27000</v>
      </c>
      <c r="G153" s="6">
        <v>-5153</v>
      </c>
      <c r="H153" s="6">
        <v>21847</v>
      </c>
    </row>
    <row r="154" spans="1:8" x14ac:dyDescent="0.35">
      <c r="A154" s="3" t="s">
        <v>52</v>
      </c>
      <c r="B154" s="4" t="s">
        <v>224</v>
      </c>
      <c r="C154" s="4" t="s">
        <v>10</v>
      </c>
      <c r="D154" s="5">
        <v>45536</v>
      </c>
      <c r="E154" s="4" t="s">
        <v>225</v>
      </c>
      <c r="F154" s="6">
        <v>42000</v>
      </c>
      <c r="G154" s="6">
        <v>-7725</v>
      </c>
      <c r="H154" s="6">
        <v>34275</v>
      </c>
    </row>
    <row r="155" spans="1:8" x14ac:dyDescent="0.35">
      <c r="A155" s="3" t="s">
        <v>52</v>
      </c>
      <c r="B155" s="4" t="s">
        <v>226</v>
      </c>
      <c r="C155" s="4" t="s">
        <v>10</v>
      </c>
      <c r="D155" s="5">
        <v>45536</v>
      </c>
      <c r="E155" s="4" t="s">
        <v>225</v>
      </c>
      <c r="F155" s="6">
        <v>42000</v>
      </c>
      <c r="G155" s="6">
        <v>-7725</v>
      </c>
      <c r="H155" s="6">
        <v>34275</v>
      </c>
    </row>
    <row r="156" spans="1:8" x14ac:dyDescent="0.35">
      <c r="A156" s="3" t="s">
        <v>52</v>
      </c>
      <c r="B156" s="4" t="s">
        <v>227</v>
      </c>
      <c r="C156" s="4" t="s">
        <v>10</v>
      </c>
      <c r="D156" s="5">
        <v>45536</v>
      </c>
      <c r="E156" s="4" t="s">
        <v>225</v>
      </c>
      <c r="F156" s="6">
        <v>42000</v>
      </c>
      <c r="G156" s="6">
        <v>-7725</v>
      </c>
      <c r="H156" s="6">
        <v>34275</v>
      </c>
    </row>
    <row r="157" spans="1:8" x14ac:dyDescent="0.35">
      <c r="A157" s="3" t="s">
        <v>52</v>
      </c>
      <c r="B157" s="4" t="s">
        <v>228</v>
      </c>
      <c r="C157" s="4" t="s">
        <v>10</v>
      </c>
      <c r="D157" s="5">
        <v>45536</v>
      </c>
      <c r="E157" s="4" t="s">
        <v>225</v>
      </c>
      <c r="F157" s="6">
        <v>42000</v>
      </c>
      <c r="G157" s="6">
        <v>-7725</v>
      </c>
      <c r="H157" s="6">
        <v>34275</v>
      </c>
    </row>
    <row r="158" spans="1:8" x14ac:dyDescent="0.35">
      <c r="A158" s="3" t="s">
        <v>52</v>
      </c>
      <c r="B158" s="4" t="s">
        <v>229</v>
      </c>
      <c r="C158" s="4" t="s">
        <v>10</v>
      </c>
      <c r="D158" s="5">
        <v>45536</v>
      </c>
      <c r="E158" s="4" t="s">
        <v>225</v>
      </c>
      <c r="F158" s="6">
        <v>42000</v>
      </c>
      <c r="G158" s="6">
        <v>-7725</v>
      </c>
      <c r="H158" s="6">
        <v>34275</v>
      </c>
    </row>
    <row r="159" spans="1:8" x14ac:dyDescent="0.35">
      <c r="A159" s="3" t="s">
        <v>52</v>
      </c>
      <c r="B159" s="4" t="s">
        <v>230</v>
      </c>
      <c r="C159" s="4" t="s">
        <v>10</v>
      </c>
      <c r="D159" s="5">
        <v>45536</v>
      </c>
      <c r="E159" s="4" t="s">
        <v>225</v>
      </c>
      <c r="F159" s="6">
        <v>42000</v>
      </c>
      <c r="G159" s="6">
        <v>-7725</v>
      </c>
      <c r="H159" s="6">
        <v>34275</v>
      </c>
    </row>
    <row r="160" spans="1:8" x14ac:dyDescent="0.35">
      <c r="A160" s="3" t="s">
        <v>52</v>
      </c>
      <c r="B160" s="4" t="s">
        <v>231</v>
      </c>
      <c r="C160" s="4" t="s">
        <v>10</v>
      </c>
      <c r="D160" s="5">
        <v>45536</v>
      </c>
      <c r="E160" s="4" t="s">
        <v>225</v>
      </c>
      <c r="F160" s="6">
        <v>42000</v>
      </c>
      <c r="G160" s="6">
        <v>-7725</v>
      </c>
      <c r="H160" s="6">
        <v>34275</v>
      </c>
    </row>
    <row r="161" spans="1:8" x14ac:dyDescent="0.35">
      <c r="A161" s="3" t="s">
        <v>52</v>
      </c>
      <c r="B161" s="4" t="s">
        <v>232</v>
      </c>
      <c r="C161" s="4" t="s">
        <v>10</v>
      </c>
      <c r="D161" s="5">
        <v>45536</v>
      </c>
      <c r="E161" s="4" t="s">
        <v>225</v>
      </c>
      <c r="F161" s="6">
        <v>42000</v>
      </c>
      <c r="G161" s="6">
        <v>-7725</v>
      </c>
      <c r="H161" s="6">
        <v>34275</v>
      </c>
    </row>
    <row r="162" spans="1:8" x14ac:dyDescent="0.35">
      <c r="A162" s="3" t="s">
        <v>52</v>
      </c>
      <c r="B162" s="4" t="s">
        <v>233</v>
      </c>
      <c r="C162" s="4" t="s">
        <v>10</v>
      </c>
      <c r="D162" s="5">
        <v>45536</v>
      </c>
      <c r="E162" s="4" t="s">
        <v>225</v>
      </c>
      <c r="F162" s="6">
        <v>42000</v>
      </c>
      <c r="G162" s="6">
        <v>-7725</v>
      </c>
      <c r="H162" s="6">
        <v>34275</v>
      </c>
    </row>
    <row r="163" spans="1:8" x14ac:dyDescent="0.35">
      <c r="A163" s="3" t="s">
        <v>52</v>
      </c>
      <c r="B163" s="4" t="s">
        <v>234</v>
      </c>
      <c r="C163" s="4" t="s">
        <v>10</v>
      </c>
      <c r="D163" s="5">
        <v>45536</v>
      </c>
      <c r="E163" s="4" t="s">
        <v>225</v>
      </c>
      <c r="F163" s="6">
        <v>42000</v>
      </c>
      <c r="G163" s="6">
        <v>-7725</v>
      </c>
      <c r="H163" s="6">
        <v>34275</v>
      </c>
    </row>
    <row r="164" spans="1:8" x14ac:dyDescent="0.35">
      <c r="A164" s="3" t="s">
        <v>52</v>
      </c>
      <c r="B164" s="4" t="s">
        <v>235</v>
      </c>
      <c r="C164" s="4" t="s">
        <v>10</v>
      </c>
      <c r="D164" s="5">
        <v>45536</v>
      </c>
      <c r="E164" s="4" t="s">
        <v>225</v>
      </c>
      <c r="F164" s="6">
        <v>42000</v>
      </c>
      <c r="G164" s="6">
        <v>-7725</v>
      </c>
      <c r="H164" s="6">
        <v>34275</v>
      </c>
    </row>
    <row r="165" spans="1:8" x14ac:dyDescent="0.35">
      <c r="A165" s="3" t="s">
        <v>52</v>
      </c>
      <c r="B165" s="4" t="s">
        <v>236</v>
      </c>
      <c r="C165" s="4" t="s">
        <v>10</v>
      </c>
      <c r="D165" s="5">
        <v>45536</v>
      </c>
      <c r="E165" s="4" t="s">
        <v>225</v>
      </c>
      <c r="F165" s="6">
        <v>42000</v>
      </c>
      <c r="G165" s="6">
        <v>-7725</v>
      </c>
      <c r="H165" s="6">
        <v>34275</v>
      </c>
    </row>
    <row r="166" spans="1:8" x14ac:dyDescent="0.35">
      <c r="A166" s="3" t="s">
        <v>52</v>
      </c>
      <c r="B166" s="4" t="s">
        <v>237</v>
      </c>
      <c r="C166" s="4" t="s">
        <v>10</v>
      </c>
      <c r="D166" s="5">
        <v>45536</v>
      </c>
      <c r="E166" s="4" t="s">
        <v>225</v>
      </c>
      <c r="F166" s="6">
        <v>42000</v>
      </c>
      <c r="G166" s="6">
        <v>-7725</v>
      </c>
      <c r="H166" s="6">
        <v>34275</v>
      </c>
    </row>
    <row r="167" spans="1:8" x14ac:dyDescent="0.35">
      <c r="A167" s="3" t="s">
        <v>52</v>
      </c>
      <c r="B167" s="4" t="s">
        <v>238</v>
      </c>
      <c r="C167" s="4" t="s">
        <v>10</v>
      </c>
      <c r="D167" s="5">
        <v>45596</v>
      </c>
      <c r="E167" s="4" t="s">
        <v>239</v>
      </c>
      <c r="F167" s="6">
        <v>42000</v>
      </c>
      <c r="G167" s="6">
        <v>-6122</v>
      </c>
      <c r="H167" s="6">
        <v>35878</v>
      </c>
    </row>
    <row r="168" spans="1:8" x14ac:dyDescent="0.35">
      <c r="A168" s="3" t="s">
        <v>52</v>
      </c>
      <c r="B168" s="4" t="s">
        <v>240</v>
      </c>
      <c r="C168" s="4" t="s">
        <v>10</v>
      </c>
      <c r="D168" s="5">
        <v>45596</v>
      </c>
      <c r="E168" s="4" t="s">
        <v>239</v>
      </c>
      <c r="F168" s="6">
        <v>42000</v>
      </c>
      <c r="G168" s="6">
        <v>-6122</v>
      </c>
      <c r="H168" s="6">
        <v>35878</v>
      </c>
    </row>
    <row r="169" spans="1:8" x14ac:dyDescent="0.35">
      <c r="A169" s="3" t="s">
        <v>52</v>
      </c>
      <c r="B169" s="4" t="s">
        <v>241</v>
      </c>
      <c r="C169" s="4" t="s">
        <v>10</v>
      </c>
      <c r="D169" s="5">
        <v>45596</v>
      </c>
      <c r="E169" s="4" t="s">
        <v>239</v>
      </c>
      <c r="F169" s="6">
        <v>42000</v>
      </c>
      <c r="G169" s="6">
        <v>-6122</v>
      </c>
      <c r="H169" s="6">
        <v>35878</v>
      </c>
    </row>
    <row r="170" spans="1:8" x14ac:dyDescent="0.35">
      <c r="A170" s="3" t="s">
        <v>52</v>
      </c>
      <c r="B170" s="4" t="s">
        <v>242</v>
      </c>
      <c r="C170" s="4" t="s">
        <v>10</v>
      </c>
      <c r="D170" s="5">
        <v>45596</v>
      </c>
      <c r="E170" s="4" t="s">
        <v>239</v>
      </c>
      <c r="F170" s="6">
        <v>42000</v>
      </c>
      <c r="G170" s="6">
        <v>-6122</v>
      </c>
      <c r="H170" s="6">
        <v>35878</v>
      </c>
    </row>
    <row r="171" spans="1:8" x14ac:dyDescent="0.35">
      <c r="A171" s="3" t="s">
        <v>52</v>
      </c>
      <c r="B171" s="4" t="s">
        <v>243</v>
      </c>
      <c r="C171" s="4" t="s">
        <v>10</v>
      </c>
      <c r="D171" s="5">
        <v>45596</v>
      </c>
      <c r="E171" s="4" t="s">
        <v>239</v>
      </c>
      <c r="F171" s="6">
        <v>42000</v>
      </c>
      <c r="G171" s="6">
        <v>-6122</v>
      </c>
      <c r="H171" s="6">
        <v>35878</v>
      </c>
    </row>
    <row r="172" spans="1:8" x14ac:dyDescent="0.35">
      <c r="A172" s="3" t="s">
        <v>52</v>
      </c>
      <c r="B172" s="4" t="s">
        <v>244</v>
      </c>
      <c r="C172" s="4" t="s">
        <v>10</v>
      </c>
      <c r="D172" s="5">
        <v>45596</v>
      </c>
      <c r="E172" s="4" t="s">
        <v>239</v>
      </c>
      <c r="F172" s="6">
        <v>42000</v>
      </c>
      <c r="G172" s="6">
        <v>-6122</v>
      </c>
      <c r="H172" s="6">
        <v>35878</v>
      </c>
    </row>
    <row r="173" spans="1:8" x14ac:dyDescent="0.35">
      <c r="A173" s="3" t="s">
        <v>52</v>
      </c>
      <c r="B173" s="4" t="s">
        <v>245</v>
      </c>
      <c r="C173" s="4" t="s">
        <v>10</v>
      </c>
      <c r="D173" s="5">
        <v>45596</v>
      </c>
      <c r="E173" s="4" t="s">
        <v>239</v>
      </c>
      <c r="F173" s="6">
        <v>42000</v>
      </c>
      <c r="G173" s="6">
        <v>-6122</v>
      </c>
      <c r="H173" s="6">
        <v>35878</v>
      </c>
    </row>
    <row r="174" spans="1:8" x14ac:dyDescent="0.35">
      <c r="A174" s="3" t="s">
        <v>52</v>
      </c>
      <c r="B174" s="4" t="s">
        <v>246</v>
      </c>
      <c r="C174" s="4" t="s">
        <v>10</v>
      </c>
      <c r="D174" s="5">
        <v>45596</v>
      </c>
      <c r="E174" s="4" t="s">
        <v>239</v>
      </c>
      <c r="F174" s="6">
        <v>42000</v>
      </c>
      <c r="G174" s="6">
        <v>-6122</v>
      </c>
      <c r="H174" s="6">
        <v>35878</v>
      </c>
    </row>
    <row r="175" spans="1:8" x14ac:dyDescent="0.35">
      <c r="A175" s="3" t="s">
        <v>52</v>
      </c>
      <c r="B175" s="4" t="s">
        <v>247</v>
      </c>
      <c r="C175" s="4" t="s">
        <v>10</v>
      </c>
      <c r="D175" s="5">
        <v>45596</v>
      </c>
      <c r="E175" s="4" t="s">
        <v>239</v>
      </c>
      <c r="F175" s="6">
        <v>42000</v>
      </c>
      <c r="G175" s="6">
        <v>-6122</v>
      </c>
      <c r="H175" s="6">
        <v>35878</v>
      </c>
    </row>
    <row r="176" spans="1:8" x14ac:dyDescent="0.35">
      <c r="A176" s="3" t="s">
        <v>52</v>
      </c>
      <c r="B176" s="4" t="s">
        <v>248</v>
      </c>
      <c r="C176" s="4" t="s">
        <v>10</v>
      </c>
      <c r="D176" s="5">
        <v>45596</v>
      </c>
      <c r="E176" s="4" t="s">
        <v>239</v>
      </c>
      <c r="F176" s="6">
        <v>42000</v>
      </c>
      <c r="G176" s="6">
        <v>-6122</v>
      </c>
      <c r="H176" s="6">
        <v>35878</v>
      </c>
    </row>
    <row r="177" spans="1:8" x14ac:dyDescent="0.35">
      <c r="A177" s="3" t="s">
        <v>52</v>
      </c>
      <c r="B177" s="4" t="s">
        <v>249</v>
      </c>
      <c r="C177" s="4" t="s">
        <v>10</v>
      </c>
      <c r="D177" s="5">
        <v>45596</v>
      </c>
      <c r="E177" s="4" t="s">
        <v>239</v>
      </c>
      <c r="F177" s="6">
        <v>42000</v>
      </c>
      <c r="G177" s="6">
        <v>-6122</v>
      </c>
      <c r="H177" s="6">
        <v>35878</v>
      </c>
    </row>
    <row r="178" spans="1:8" x14ac:dyDescent="0.35">
      <c r="A178" s="3" t="s">
        <v>52</v>
      </c>
      <c r="B178" s="4" t="s">
        <v>250</v>
      </c>
      <c r="C178" s="4" t="s">
        <v>10</v>
      </c>
      <c r="D178" s="5">
        <v>45596</v>
      </c>
      <c r="E178" s="4" t="s">
        <v>251</v>
      </c>
      <c r="F178" s="6">
        <v>45550</v>
      </c>
      <c r="G178" s="6">
        <v>-6442</v>
      </c>
      <c r="H178" s="6">
        <v>39108</v>
      </c>
    </row>
    <row r="179" spans="1:8" x14ac:dyDescent="0.35">
      <c r="A179" s="3" t="s">
        <v>52</v>
      </c>
      <c r="B179" s="4" t="s">
        <v>252</v>
      </c>
      <c r="C179" s="4" t="s">
        <v>10</v>
      </c>
      <c r="D179" s="5">
        <v>45596</v>
      </c>
      <c r="E179" s="4" t="s">
        <v>251</v>
      </c>
      <c r="F179" s="6">
        <v>45550</v>
      </c>
      <c r="G179" s="6">
        <v>-6442</v>
      </c>
      <c r="H179" s="6">
        <v>39108</v>
      </c>
    </row>
    <row r="180" spans="1:8" x14ac:dyDescent="0.35">
      <c r="A180" s="3" t="s">
        <v>52</v>
      </c>
      <c r="B180" s="4" t="s">
        <v>253</v>
      </c>
      <c r="C180" s="4" t="s">
        <v>10</v>
      </c>
      <c r="D180" s="5">
        <v>45596</v>
      </c>
      <c r="E180" s="4" t="s">
        <v>251</v>
      </c>
      <c r="F180" s="6">
        <v>45550</v>
      </c>
      <c r="G180" s="6">
        <v>-6442</v>
      </c>
      <c r="H180" s="6">
        <v>39108</v>
      </c>
    </row>
    <row r="181" spans="1:8" x14ac:dyDescent="0.35">
      <c r="A181" s="3" t="s">
        <v>52</v>
      </c>
      <c r="B181" s="4" t="s">
        <v>254</v>
      </c>
      <c r="C181" s="4" t="s">
        <v>10</v>
      </c>
      <c r="D181" s="5">
        <v>45596</v>
      </c>
      <c r="E181" s="4" t="s">
        <v>251</v>
      </c>
      <c r="F181" s="6">
        <v>45550</v>
      </c>
      <c r="G181" s="6">
        <v>-6442</v>
      </c>
      <c r="H181" s="6">
        <v>39108</v>
      </c>
    </row>
    <row r="182" spans="1:8" x14ac:dyDescent="0.35">
      <c r="A182" s="3" t="s">
        <v>52</v>
      </c>
      <c r="B182" s="4" t="s">
        <v>255</v>
      </c>
      <c r="C182" s="4" t="s">
        <v>10</v>
      </c>
      <c r="D182" s="5">
        <v>45596</v>
      </c>
      <c r="E182" s="4" t="s">
        <v>251</v>
      </c>
      <c r="F182" s="6">
        <v>45550</v>
      </c>
      <c r="G182" s="6">
        <v>-6442</v>
      </c>
      <c r="H182" s="6">
        <v>39108</v>
      </c>
    </row>
    <row r="183" spans="1:8" x14ac:dyDescent="0.35">
      <c r="A183" s="3" t="s">
        <v>52</v>
      </c>
      <c r="B183" s="4" t="s">
        <v>256</v>
      </c>
      <c r="C183" s="4" t="s">
        <v>10</v>
      </c>
      <c r="D183" s="5">
        <v>45596</v>
      </c>
      <c r="E183" s="4" t="s">
        <v>251</v>
      </c>
      <c r="F183" s="6">
        <v>45550</v>
      </c>
      <c r="G183" s="6">
        <v>-6442</v>
      </c>
      <c r="H183" s="6">
        <v>39108</v>
      </c>
    </row>
    <row r="184" spans="1:8" x14ac:dyDescent="0.35">
      <c r="A184" s="3" t="s">
        <v>52</v>
      </c>
      <c r="B184" s="4" t="s">
        <v>257</v>
      </c>
      <c r="C184" s="4" t="s">
        <v>10</v>
      </c>
      <c r="D184" s="5">
        <v>45596</v>
      </c>
      <c r="E184" s="4" t="s">
        <v>251</v>
      </c>
      <c r="F184" s="6">
        <v>45550</v>
      </c>
      <c r="G184" s="6">
        <v>-6442</v>
      </c>
      <c r="H184" s="6">
        <v>39108</v>
      </c>
    </row>
    <row r="185" spans="1:8" x14ac:dyDescent="0.35">
      <c r="A185" s="3" t="s">
        <v>52</v>
      </c>
      <c r="B185" s="4" t="s">
        <v>258</v>
      </c>
      <c r="C185" s="4" t="s">
        <v>10</v>
      </c>
      <c r="D185" s="5">
        <v>45657</v>
      </c>
      <c r="E185" s="4" t="s">
        <v>259</v>
      </c>
      <c r="F185" s="6">
        <v>56000</v>
      </c>
      <c r="G185" s="6">
        <v>-4907</v>
      </c>
      <c r="H185" s="6">
        <v>51093</v>
      </c>
    </row>
    <row r="186" spans="1:8" x14ac:dyDescent="0.35">
      <c r="A186" s="3" t="s">
        <v>52</v>
      </c>
      <c r="B186" s="4" t="s">
        <v>260</v>
      </c>
      <c r="C186" s="4" t="s">
        <v>10</v>
      </c>
      <c r="D186" s="5">
        <v>45657</v>
      </c>
      <c r="E186" s="4" t="s">
        <v>259</v>
      </c>
      <c r="F186" s="6">
        <v>56000</v>
      </c>
      <c r="G186" s="6">
        <v>-4907</v>
      </c>
      <c r="H186" s="6">
        <v>51093</v>
      </c>
    </row>
    <row r="187" spans="1:8" x14ac:dyDescent="0.35">
      <c r="A187" s="3" t="s">
        <v>52</v>
      </c>
      <c r="B187" s="4" t="s">
        <v>43</v>
      </c>
      <c r="C187" s="4" t="s">
        <v>10</v>
      </c>
      <c r="D187" s="5">
        <v>45657</v>
      </c>
      <c r="E187" s="4" t="s">
        <v>259</v>
      </c>
      <c r="F187" s="6">
        <v>56000</v>
      </c>
      <c r="G187" s="6">
        <v>-4907</v>
      </c>
      <c r="H187" s="6">
        <v>51093</v>
      </c>
    </row>
    <row r="188" spans="1:8" x14ac:dyDescent="0.35">
      <c r="A188" s="3" t="s">
        <v>52</v>
      </c>
      <c r="B188" s="4" t="s">
        <v>261</v>
      </c>
      <c r="C188" s="4" t="s">
        <v>10</v>
      </c>
      <c r="D188" s="5">
        <v>45657</v>
      </c>
      <c r="E188" s="4" t="s">
        <v>259</v>
      </c>
      <c r="F188" s="6">
        <v>56000</v>
      </c>
      <c r="G188" s="6">
        <v>-4907</v>
      </c>
      <c r="H188" s="6">
        <v>51093</v>
      </c>
    </row>
    <row r="189" spans="1:8" x14ac:dyDescent="0.35">
      <c r="A189" s="3" t="s">
        <v>52</v>
      </c>
      <c r="B189" s="4" t="s">
        <v>262</v>
      </c>
      <c r="C189" s="4" t="s">
        <v>10</v>
      </c>
      <c r="D189" s="5">
        <v>45657</v>
      </c>
      <c r="E189" s="4" t="s">
        <v>259</v>
      </c>
      <c r="F189" s="6">
        <v>56000</v>
      </c>
      <c r="G189" s="6">
        <v>-4907</v>
      </c>
      <c r="H189" s="6">
        <v>51093</v>
      </c>
    </row>
    <row r="190" spans="1:8" x14ac:dyDescent="0.35">
      <c r="A190" s="3" t="s">
        <v>52</v>
      </c>
      <c r="B190" s="4" t="s">
        <v>263</v>
      </c>
      <c r="C190" s="4" t="s">
        <v>10</v>
      </c>
      <c r="D190" s="5">
        <v>45657</v>
      </c>
      <c r="E190" s="4" t="s">
        <v>259</v>
      </c>
      <c r="F190" s="6">
        <v>56000</v>
      </c>
      <c r="G190" s="6">
        <v>-4907</v>
      </c>
      <c r="H190" s="6">
        <v>51093</v>
      </c>
    </row>
    <row r="191" spans="1:8" x14ac:dyDescent="0.35">
      <c r="A191" s="3" t="s">
        <v>52</v>
      </c>
      <c r="B191" s="4" t="s">
        <v>264</v>
      </c>
      <c r="C191" s="4" t="s">
        <v>10</v>
      </c>
      <c r="D191" s="5">
        <v>45657</v>
      </c>
      <c r="E191" s="4" t="s">
        <v>259</v>
      </c>
      <c r="F191" s="6">
        <v>56000</v>
      </c>
      <c r="G191" s="6">
        <v>-4907</v>
      </c>
      <c r="H191" s="6">
        <v>51093</v>
      </c>
    </row>
    <row r="192" spans="1:8" x14ac:dyDescent="0.35">
      <c r="A192" s="3" t="s">
        <v>52</v>
      </c>
      <c r="B192" s="4" t="s">
        <v>265</v>
      </c>
      <c r="C192" s="4" t="s">
        <v>10</v>
      </c>
      <c r="D192" s="5">
        <v>45657</v>
      </c>
      <c r="E192" s="4" t="s">
        <v>259</v>
      </c>
      <c r="F192" s="6">
        <v>56000</v>
      </c>
      <c r="G192" s="6">
        <v>-4907</v>
      </c>
      <c r="H192" s="6">
        <v>51093</v>
      </c>
    </row>
    <row r="193" spans="1:8" x14ac:dyDescent="0.35">
      <c r="A193" s="3" t="s">
        <v>52</v>
      </c>
      <c r="B193" s="4" t="s">
        <v>266</v>
      </c>
      <c r="C193" s="4" t="s">
        <v>10</v>
      </c>
      <c r="D193" s="5">
        <v>45657</v>
      </c>
      <c r="E193" s="4" t="s">
        <v>259</v>
      </c>
      <c r="F193" s="6">
        <v>56000</v>
      </c>
      <c r="G193" s="6">
        <v>-4907</v>
      </c>
      <c r="H193" s="6">
        <v>51093</v>
      </c>
    </row>
    <row r="194" spans="1:8" x14ac:dyDescent="0.35">
      <c r="A194" s="3" t="s">
        <v>52</v>
      </c>
      <c r="B194" s="4" t="s">
        <v>267</v>
      </c>
      <c r="C194" s="4" t="s">
        <v>10</v>
      </c>
      <c r="D194" s="5">
        <v>45657</v>
      </c>
      <c r="E194" s="4" t="s">
        <v>259</v>
      </c>
      <c r="F194" s="6">
        <v>56000</v>
      </c>
      <c r="G194" s="6">
        <v>-4907</v>
      </c>
      <c r="H194" s="6">
        <v>51093</v>
      </c>
    </row>
    <row r="195" spans="1:8" x14ac:dyDescent="0.35">
      <c r="A195" s="3" t="s">
        <v>52</v>
      </c>
      <c r="B195" s="4" t="s">
        <v>268</v>
      </c>
      <c r="C195" s="4" t="s">
        <v>10</v>
      </c>
      <c r="D195" s="5">
        <v>45716</v>
      </c>
      <c r="E195" s="4" t="s">
        <v>269</v>
      </c>
      <c r="F195" s="6">
        <v>56000</v>
      </c>
      <c r="G195" s="6">
        <v>-2332</v>
      </c>
      <c r="H195" s="6">
        <v>53668</v>
      </c>
    </row>
    <row r="196" spans="1:8" x14ac:dyDescent="0.35">
      <c r="A196" s="3" t="s">
        <v>52</v>
      </c>
      <c r="B196" s="4" t="s">
        <v>270</v>
      </c>
      <c r="C196" s="4" t="s">
        <v>10</v>
      </c>
      <c r="D196" s="5">
        <v>45716</v>
      </c>
      <c r="E196" s="4" t="s">
        <v>269</v>
      </c>
      <c r="F196" s="6">
        <v>56000</v>
      </c>
      <c r="G196" s="6">
        <v>-2332</v>
      </c>
      <c r="H196" s="6">
        <v>53668</v>
      </c>
    </row>
    <row r="197" spans="1:8" x14ac:dyDescent="0.35">
      <c r="A197" s="3" t="s">
        <v>52</v>
      </c>
      <c r="B197" s="4" t="s">
        <v>271</v>
      </c>
      <c r="C197" s="4" t="s">
        <v>10</v>
      </c>
      <c r="D197" s="5">
        <v>45716</v>
      </c>
      <c r="E197" s="4" t="s">
        <v>269</v>
      </c>
      <c r="F197" s="6">
        <v>56000</v>
      </c>
      <c r="G197" s="6">
        <v>-2332</v>
      </c>
      <c r="H197" s="6">
        <v>53668</v>
      </c>
    </row>
    <row r="198" spans="1:8" x14ac:dyDescent="0.35">
      <c r="A198" s="3" t="s">
        <v>52</v>
      </c>
      <c r="B198" s="4" t="s">
        <v>272</v>
      </c>
      <c r="C198" s="4" t="s">
        <v>10</v>
      </c>
      <c r="D198" s="5">
        <v>45716</v>
      </c>
      <c r="E198" s="4" t="s">
        <v>269</v>
      </c>
      <c r="F198" s="6">
        <v>56000</v>
      </c>
      <c r="G198" s="6">
        <v>-2332</v>
      </c>
      <c r="H198" s="6">
        <v>53668</v>
      </c>
    </row>
    <row r="199" spans="1:8" x14ac:dyDescent="0.35">
      <c r="A199" s="3" t="s">
        <v>52</v>
      </c>
      <c r="B199" s="4" t="s">
        <v>273</v>
      </c>
      <c r="C199" s="4" t="s">
        <v>10</v>
      </c>
      <c r="D199" s="5">
        <v>45716</v>
      </c>
      <c r="E199" s="4" t="s">
        <v>269</v>
      </c>
      <c r="F199" s="6">
        <v>56000</v>
      </c>
      <c r="G199" s="6">
        <v>-2332</v>
      </c>
      <c r="H199" s="6">
        <v>53668</v>
      </c>
    </row>
    <row r="200" spans="1:8" x14ac:dyDescent="0.35">
      <c r="A200" s="3" t="s">
        <v>52</v>
      </c>
      <c r="B200" s="4" t="s">
        <v>274</v>
      </c>
      <c r="C200" s="4" t="s">
        <v>10</v>
      </c>
      <c r="D200" s="5">
        <v>45716</v>
      </c>
      <c r="E200" s="4" t="s">
        <v>275</v>
      </c>
      <c r="F200" s="6">
        <v>52000</v>
      </c>
      <c r="G200" s="6">
        <v>-2481</v>
      </c>
      <c r="H200" s="6">
        <v>49519</v>
      </c>
    </row>
    <row r="201" spans="1:8" x14ac:dyDescent="0.35">
      <c r="A201" s="3" t="s">
        <v>276</v>
      </c>
      <c r="B201" s="4" t="s">
        <v>64</v>
      </c>
      <c r="C201" s="4" t="s">
        <v>10</v>
      </c>
      <c r="D201" s="5">
        <v>45291</v>
      </c>
      <c r="E201" s="4" t="s">
        <v>277</v>
      </c>
      <c r="F201" s="6">
        <v>148400</v>
      </c>
      <c r="G201" s="6">
        <v>-66003</v>
      </c>
      <c r="H201" s="6">
        <v>82397</v>
      </c>
    </row>
    <row r="202" spans="1:8" x14ac:dyDescent="0.35">
      <c r="A202" s="3" t="s">
        <v>278</v>
      </c>
      <c r="B202" s="4" t="s">
        <v>279</v>
      </c>
      <c r="C202" s="4" t="s">
        <v>10</v>
      </c>
      <c r="D202" s="5">
        <v>44956</v>
      </c>
      <c r="E202" s="4" t="s">
        <v>280</v>
      </c>
      <c r="F202" s="6">
        <v>230000</v>
      </c>
      <c r="G202" s="6">
        <v>-157839</v>
      </c>
      <c r="H202" s="6">
        <v>72161</v>
      </c>
    </row>
    <row r="203" spans="1:8" x14ac:dyDescent="0.35">
      <c r="A203" s="3" t="s">
        <v>278</v>
      </c>
      <c r="B203" s="4" t="s">
        <v>57</v>
      </c>
      <c r="C203" s="4" t="s">
        <v>10</v>
      </c>
      <c r="D203" s="5">
        <v>45016</v>
      </c>
      <c r="E203" s="4" t="s">
        <v>281</v>
      </c>
      <c r="F203" s="6">
        <v>130000</v>
      </c>
      <c r="G203" s="6">
        <v>-82785</v>
      </c>
      <c r="H203" s="6">
        <v>47215</v>
      </c>
    </row>
    <row r="204" spans="1:8" x14ac:dyDescent="0.35">
      <c r="A204" s="3" t="s">
        <v>278</v>
      </c>
      <c r="B204" s="4" t="s">
        <v>77</v>
      </c>
      <c r="C204" s="4" t="s">
        <v>10</v>
      </c>
      <c r="D204" s="5">
        <v>45291</v>
      </c>
      <c r="E204" s="4" t="s">
        <v>282</v>
      </c>
      <c r="F204" s="6">
        <v>382500</v>
      </c>
      <c r="G204" s="6">
        <v>-151602</v>
      </c>
      <c r="H204" s="6">
        <v>230898</v>
      </c>
    </row>
    <row r="205" spans="1:8" x14ac:dyDescent="0.35">
      <c r="A205" s="3" t="s">
        <v>278</v>
      </c>
      <c r="B205" s="4" t="s">
        <v>80</v>
      </c>
      <c r="C205" s="4" t="s">
        <v>10</v>
      </c>
      <c r="D205" s="5">
        <v>45291</v>
      </c>
      <c r="E205" s="4" t="s">
        <v>283</v>
      </c>
      <c r="F205" s="6">
        <v>96000</v>
      </c>
      <c r="G205" s="6">
        <v>-38049</v>
      </c>
      <c r="H205" s="6">
        <v>57951</v>
      </c>
    </row>
    <row r="206" spans="1:8" x14ac:dyDescent="0.35">
      <c r="A206" s="3" t="s">
        <v>278</v>
      </c>
      <c r="B206" s="4" t="s">
        <v>284</v>
      </c>
      <c r="C206" s="4" t="s">
        <v>10</v>
      </c>
      <c r="D206" s="5">
        <v>45203</v>
      </c>
      <c r="E206" s="4" t="s">
        <v>285</v>
      </c>
      <c r="F206" s="6">
        <v>66800</v>
      </c>
      <c r="G206" s="6">
        <v>-31568</v>
      </c>
      <c r="H206" s="6">
        <v>35232</v>
      </c>
    </row>
    <row r="207" spans="1:8" x14ac:dyDescent="0.35">
      <c r="A207" s="3" t="s">
        <v>278</v>
      </c>
      <c r="B207" s="4" t="s">
        <v>286</v>
      </c>
      <c r="C207" s="4" t="s">
        <v>10</v>
      </c>
      <c r="D207" s="5">
        <v>45291</v>
      </c>
      <c r="E207" s="4" t="s">
        <v>287</v>
      </c>
      <c r="F207" s="6">
        <v>57000</v>
      </c>
      <c r="G207" s="6">
        <v>-22592</v>
      </c>
      <c r="H207" s="6">
        <v>34408</v>
      </c>
    </row>
    <row r="208" spans="1:8" x14ac:dyDescent="0.35">
      <c r="A208" s="3" t="s">
        <v>278</v>
      </c>
      <c r="B208" s="4" t="s">
        <v>94</v>
      </c>
      <c r="C208" s="4" t="s">
        <v>10</v>
      </c>
      <c r="D208" s="5">
        <v>45203</v>
      </c>
      <c r="E208" s="4" t="s">
        <v>288</v>
      </c>
      <c r="F208" s="6">
        <v>114000</v>
      </c>
      <c r="G208" s="6">
        <v>-53873</v>
      </c>
      <c r="H208" s="6">
        <v>60127</v>
      </c>
    </row>
    <row r="209" spans="1:8" x14ac:dyDescent="0.35">
      <c r="A209" s="3" t="s">
        <v>278</v>
      </c>
      <c r="B209" s="4" t="s">
        <v>289</v>
      </c>
      <c r="C209" s="4" t="s">
        <v>10</v>
      </c>
      <c r="D209" s="5">
        <v>45336</v>
      </c>
      <c r="E209" s="4" t="s">
        <v>290</v>
      </c>
      <c r="F209" s="6">
        <v>45000</v>
      </c>
      <c r="G209" s="6">
        <v>-16082</v>
      </c>
      <c r="H209" s="6">
        <v>28918</v>
      </c>
    </row>
    <row r="210" spans="1:8" x14ac:dyDescent="0.35">
      <c r="A210" s="3" t="s">
        <v>278</v>
      </c>
      <c r="B210" s="4" t="s">
        <v>291</v>
      </c>
      <c r="C210" s="4" t="s">
        <v>10</v>
      </c>
      <c r="D210" s="5">
        <v>45386</v>
      </c>
      <c r="E210" s="4" t="s">
        <v>292</v>
      </c>
      <c r="F210" s="6">
        <v>192000</v>
      </c>
      <c r="G210" s="6">
        <v>-60300</v>
      </c>
      <c r="H210" s="6">
        <v>131700</v>
      </c>
    </row>
    <row r="211" spans="1:8" x14ac:dyDescent="0.35">
      <c r="A211" s="3" t="s">
        <v>278</v>
      </c>
      <c r="B211" s="4" t="s">
        <v>293</v>
      </c>
      <c r="C211" s="4" t="s">
        <v>10</v>
      </c>
      <c r="D211" s="5">
        <v>45386</v>
      </c>
      <c r="E211" s="4" t="s">
        <v>294</v>
      </c>
      <c r="F211" s="6">
        <v>90400</v>
      </c>
      <c r="G211" s="6">
        <v>-28391</v>
      </c>
      <c r="H211" s="6">
        <v>62009</v>
      </c>
    </row>
    <row r="212" spans="1:8" x14ac:dyDescent="0.35">
      <c r="A212" s="3" t="s">
        <v>278</v>
      </c>
      <c r="B212" s="4" t="s">
        <v>295</v>
      </c>
      <c r="C212" s="4" t="s">
        <v>10</v>
      </c>
      <c r="D212" s="5">
        <v>45453</v>
      </c>
      <c r="E212" s="4" t="s">
        <v>296</v>
      </c>
      <c r="F212" s="6">
        <v>368326</v>
      </c>
      <c r="G212" s="6">
        <v>-94268</v>
      </c>
      <c r="H212" s="6">
        <v>274058</v>
      </c>
    </row>
    <row r="213" spans="1:8" x14ac:dyDescent="0.35">
      <c r="A213" s="3" t="s">
        <v>278</v>
      </c>
      <c r="B213" s="4" t="s">
        <v>297</v>
      </c>
      <c r="C213" s="4" t="s">
        <v>10</v>
      </c>
      <c r="D213" s="5">
        <v>45453</v>
      </c>
      <c r="E213" s="4" t="s">
        <v>298</v>
      </c>
      <c r="F213" s="6">
        <v>308700</v>
      </c>
      <c r="G213" s="6">
        <v>-79007</v>
      </c>
      <c r="H213" s="6">
        <v>229693</v>
      </c>
    </row>
    <row r="214" spans="1:8" x14ac:dyDescent="0.35">
      <c r="A214" s="3" t="s">
        <v>278</v>
      </c>
      <c r="B214" s="4" t="s">
        <v>299</v>
      </c>
      <c r="C214" s="4" t="s">
        <v>10</v>
      </c>
      <c r="D214" s="5">
        <v>45453</v>
      </c>
      <c r="E214" s="4" t="s">
        <v>300</v>
      </c>
      <c r="F214" s="6">
        <v>156000</v>
      </c>
      <c r="G214" s="6">
        <v>-39926</v>
      </c>
      <c r="H214" s="6">
        <v>116074</v>
      </c>
    </row>
    <row r="215" spans="1:8" x14ac:dyDescent="0.35">
      <c r="A215" s="3" t="s">
        <v>278</v>
      </c>
      <c r="B215" s="4" t="s">
        <v>301</v>
      </c>
      <c r="C215" s="4" t="s">
        <v>10</v>
      </c>
      <c r="D215" s="5">
        <v>45527</v>
      </c>
      <c r="E215" s="4" t="s">
        <v>239</v>
      </c>
      <c r="F215" s="6">
        <v>546000</v>
      </c>
      <c r="G215" s="6">
        <v>-104687</v>
      </c>
      <c r="H215" s="6">
        <v>441313</v>
      </c>
    </row>
    <row r="216" spans="1:8" x14ac:dyDescent="0.35">
      <c r="A216" s="3" t="s">
        <v>278</v>
      </c>
      <c r="B216" s="4" t="s">
        <v>110</v>
      </c>
      <c r="C216" s="4" t="s">
        <v>10</v>
      </c>
      <c r="D216" s="5">
        <v>45569</v>
      </c>
      <c r="E216" s="4" t="s">
        <v>239</v>
      </c>
      <c r="F216" s="6">
        <v>462000</v>
      </c>
      <c r="G216" s="6">
        <v>-71747</v>
      </c>
      <c r="H216" s="6">
        <v>390253</v>
      </c>
    </row>
    <row r="217" spans="1:8" x14ac:dyDescent="0.35">
      <c r="A217" s="3" t="s">
        <v>278</v>
      </c>
      <c r="B217" s="4" t="s">
        <v>302</v>
      </c>
      <c r="C217" s="4" t="s">
        <v>10</v>
      </c>
      <c r="D217" s="5">
        <v>45657</v>
      </c>
      <c r="E217" s="4" t="s">
        <v>259</v>
      </c>
      <c r="F217" s="6">
        <v>504000</v>
      </c>
      <c r="G217" s="6">
        <v>-52908</v>
      </c>
      <c r="H217" s="6">
        <v>451092</v>
      </c>
    </row>
    <row r="218" spans="1:8" x14ac:dyDescent="0.35">
      <c r="A218" s="3" t="s">
        <v>278</v>
      </c>
      <c r="B218" s="4" t="s">
        <v>303</v>
      </c>
      <c r="C218" s="4" t="s">
        <v>44</v>
      </c>
      <c r="D218" s="5">
        <v>45701</v>
      </c>
      <c r="E218" s="4" t="s">
        <v>304</v>
      </c>
      <c r="F218" s="6">
        <v>55999</v>
      </c>
      <c r="G218" s="6">
        <v>-2283</v>
      </c>
      <c r="H218" s="6">
        <v>53716</v>
      </c>
    </row>
    <row r="219" spans="1:8" x14ac:dyDescent="0.35">
      <c r="A219" s="3" t="s">
        <v>278</v>
      </c>
      <c r="B219" s="4" t="s">
        <v>303</v>
      </c>
      <c r="C219" s="4" t="s">
        <v>46</v>
      </c>
      <c r="D219" s="5">
        <v>45701</v>
      </c>
      <c r="E219" s="4" t="s">
        <v>305</v>
      </c>
      <c r="F219" s="6">
        <v>55999</v>
      </c>
      <c r="G219" s="6">
        <v>-2283</v>
      </c>
      <c r="H219" s="6">
        <v>53716</v>
      </c>
    </row>
    <row r="220" spans="1:8" x14ac:dyDescent="0.35">
      <c r="A220" s="3" t="s">
        <v>278</v>
      </c>
      <c r="B220" s="4" t="s">
        <v>303</v>
      </c>
      <c r="C220" s="4" t="s">
        <v>47</v>
      </c>
      <c r="D220" s="5">
        <v>45701</v>
      </c>
      <c r="E220" s="4" t="s">
        <v>306</v>
      </c>
      <c r="F220" s="6">
        <v>55999</v>
      </c>
      <c r="G220" s="6">
        <v>-2283</v>
      </c>
      <c r="H220" s="6">
        <v>53716</v>
      </c>
    </row>
    <row r="221" spans="1:8" x14ac:dyDescent="0.35">
      <c r="A221" s="3" t="s">
        <v>278</v>
      </c>
      <c r="B221" s="4" t="s">
        <v>303</v>
      </c>
      <c r="C221" s="4" t="s">
        <v>48</v>
      </c>
      <c r="D221" s="5">
        <v>45701</v>
      </c>
      <c r="E221" s="4" t="s">
        <v>307</v>
      </c>
      <c r="F221" s="6">
        <v>55999</v>
      </c>
      <c r="G221" s="6">
        <v>-2283</v>
      </c>
      <c r="H221" s="6">
        <v>53716</v>
      </c>
    </row>
    <row r="222" spans="1:8" x14ac:dyDescent="0.35">
      <c r="A222" s="3" t="s">
        <v>278</v>
      </c>
      <c r="B222" s="4" t="s">
        <v>303</v>
      </c>
      <c r="C222" s="4" t="s">
        <v>49</v>
      </c>
      <c r="D222" s="5">
        <v>45701</v>
      </c>
      <c r="E222" s="4" t="s">
        <v>308</v>
      </c>
      <c r="F222" s="6">
        <v>55999</v>
      </c>
      <c r="G222" s="6">
        <v>-2283</v>
      </c>
      <c r="H222" s="6">
        <v>53716</v>
      </c>
    </row>
    <row r="223" spans="1:8" x14ac:dyDescent="0.35">
      <c r="A223" s="3" t="s">
        <v>278</v>
      </c>
      <c r="B223" s="4" t="s">
        <v>303</v>
      </c>
      <c r="C223" s="4" t="s">
        <v>50</v>
      </c>
      <c r="D223" s="5">
        <v>45701</v>
      </c>
      <c r="E223" s="4" t="s">
        <v>309</v>
      </c>
      <c r="F223" s="6">
        <v>55999</v>
      </c>
      <c r="G223" s="6">
        <v>-2283</v>
      </c>
      <c r="H223" s="6">
        <v>53716</v>
      </c>
    </row>
    <row r="224" spans="1:8" x14ac:dyDescent="0.35">
      <c r="A224" s="3" t="s">
        <v>278</v>
      </c>
      <c r="B224" s="4" t="s">
        <v>310</v>
      </c>
      <c r="C224" s="4" t="s">
        <v>10</v>
      </c>
      <c r="D224" s="5">
        <v>45742</v>
      </c>
      <c r="E224" s="4" t="s">
        <v>311</v>
      </c>
      <c r="F224" s="6">
        <v>42800</v>
      </c>
      <c r="G224" s="6">
        <v>-223</v>
      </c>
      <c r="H224" s="6">
        <v>42577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13AD-AAD9-42A1-8096-2E436382406E}">
  <dimension ref="A1:S40"/>
  <sheetViews>
    <sheetView tabSelected="1" topLeftCell="A4" workbookViewId="0">
      <selection activeCell="I17" sqref="I17"/>
    </sheetView>
  </sheetViews>
  <sheetFormatPr defaultRowHeight="14.5" x14ac:dyDescent="0.35"/>
  <cols>
    <col min="1" max="1" width="18.81640625" bestFit="1" customWidth="1"/>
    <col min="2" max="2" width="15.7265625" customWidth="1"/>
    <col min="3" max="3" width="26.1796875" bestFit="1" customWidth="1"/>
    <col min="4" max="4" width="14.26953125" bestFit="1" customWidth="1"/>
    <col min="5" max="5" width="13.26953125" bestFit="1" customWidth="1"/>
    <col min="6" max="6" width="20.453125" hidden="1" customWidth="1"/>
    <col min="7" max="7" width="16.81640625" bestFit="1" customWidth="1"/>
    <col min="8" max="8" width="14.7265625" bestFit="1" customWidth="1"/>
    <col min="9" max="9" width="12.54296875" bestFit="1" customWidth="1"/>
    <col min="10" max="10" width="14.26953125" bestFit="1" customWidth="1"/>
    <col min="11" max="11" width="12.26953125" bestFit="1" customWidth="1"/>
    <col min="12" max="12" width="10.7265625" bestFit="1" customWidth="1"/>
    <col min="15" max="15" width="10.54296875" bestFit="1" customWidth="1"/>
    <col min="16" max="17" width="10.7265625" bestFit="1" customWidth="1"/>
    <col min="19" max="19" width="10.54296875" bestFit="1" customWidth="1"/>
  </cols>
  <sheetData>
    <row r="1" spans="1:19" x14ac:dyDescent="0.35">
      <c r="A1" s="41" t="s">
        <v>367</v>
      </c>
    </row>
    <row r="2" spans="1:19" ht="37.5" customHeight="1" x14ac:dyDescent="0.35">
      <c r="A2" s="41"/>
    </row>
    <row r="3" spans="1:19" x14ac:dyDescent="0.35">
      <c r="A3" s="41" t="s">
        <v>361</v>
      </c>
      <c r="B3" s="66"/>
      <c r="C3" s="66"/>
      <c r="I3" s="41"/>
    </row>
    <row r="4" spans="1:19" ht="58" x14ac:dyDescent="0.35">
      <c r="A4" s="40" t="s">
        <v>345</v>
      </c>
      <c r="B4" s="67" t="s">
        <v>368</v>
      </c>
      <c r="C4" s="40" t="s">
        <v>313</v>
      </c>
      <c r="D4" s="67" t="s">
        <v>369</v>
      </c>
      <c r="E4" s="67" t="s">
        <v>370</v>
      </c>
      <c r="F4" s="67" t="s">
        <v>371</v>
      </c>
      <c r="G4" s="67" t="s">
        <v>372</v>
      </c>
      <c r="H4" s="40" t="s">
        <v>373</v>
      </c>
      <c r="I4" s="48" t="s">
        <v>396</v>
      </c>
      <c r="J4" s="48" t="s">
        <v>319</v>
      </c>
      <c r="K4" s="48" t="s">
        <v>352</v>
      </c>
      <c r="L4" s="48" t="s">
        <v>344</v>
      </c>
      <c r="N4" s="41" t="s">
        <v>380</v>
      </c>
    </row>
    <row r="5" spans="1:19" x14ac:dyDescent="0.35">
      <c r="A5" s="3" t="s">
        <v>360</v>
      </c>
      <c r="B5" s="3" t="s">
        <v>374</v>
      </c>
      <c r="C5" s="3" t="s">
        <v>328</v>
      </c>
      <c r="D5" s="7">
        <v>481802</v>
      </c>
      <c r="E5" s="68">
        <v>45695</v>
      </c>
      <c r="F5" s="21">
        <f>H5</f>
        <v>970000</v>
      </c>
      <c r="G5" s="69">
        <v>4767340</v>
      </c>
      <c r="H5" s="7">
        <v>970000</v>
      </c>
      <c r="I5" s="7">
        <f>H5-D5</f>
        <v>488198</v>
      </c>
      <c r="J5" s="7">
        <v>351.50225774296905</v>
      </c>
      <c r="K5" s="61">
        <v>1.0132751628262233</v>
      </c>
      <c r="L5" s="3" t="s">
        <v>355</v>
      </c>
      <c r="N5" s="8" t="s">
        <v>313</v>
      </c>
      <c r="O5" s="8" t="s">
        <v>375</v>
      </c>
      <c r="P5" s="8" t="s">
        <v>376</v>
      </c>
      <c r="Q5" s="8" t="s">
        <v>377</v>
      </c>
      <c r="R5" s="8" t="s">
        <v>378</v>
      </c>
      <c r="S5" s="8" t="s">
        <v>379</v>
      </c>
    </row>
    <row r="6" spans="1:19" x14ac:dyDescent="0.35">
      <c r="A6" s="3" t="s">
        <v>360</v>
      </c>
      <c r="B6" s="3" t="s">
        <v>374</v>
      </c>
      <c r="C6" s="3" t="s">
        <v>329</v>
      </c>
      <c r="D6" s="34">
        <v>1106418</v>
      </c>
      <c r="E6" s="68">
        <v>45695</v>
      </c>
      <c r="F6" s="21">
        <f>H6</f>
        <v>1150000</v>
      </c>
      <c r="G6" s="70">
        <v>2138048</v>
      </c>
      <c r="H6" s="7">
        <v>1150000</v>
      </c>
      <c r="I6" s="7">
        <f>H6-D6</f>
        <v>43582</v>
      </c>
      <c r="J6" s="7">
        <v>105.62310571024068</v>
      </c>
      <c r="K6" s="61">
        <f>I6/D6</f>
        <v>3.9390176226344838E-2</v>
      </c>
      <c r="L6" s="3" t="s">
        <v>355</v>
      </c>
      <c r="N6" s="3" t="s">
        <v>381</v>
      </c>
      <c r="O6" s="71">
        <v>45695</v>
      </c>
      <c r="P6" s="71">
        <v>45952</v>
      </c>
      <c r="Q6" s="3">
        <f>P6-O6</f>
        <v>257</v>
      </c>
      <c r="R6" s="7">
        <v>19079.983593109107</v>
      </c>
      <c r="S6" s="7">
        <f>R6*Q6/365</f>
        <v>13434.399406654906</v>
      </c>
    </row>
    <row r="7" spans="1:19" x14ac:dyDescent="0.35">
      <c r="A7" s="72" t="s">
        <v>360</v>
      </c>
      <c r="B7" s="3" t="s">
        <v>374</v>
      </c>
      <c r="C7" s="3" t="s">
        <v>382</v>
      </c>
      <c r="D7" s="34">
        <v>88892</v>
      </c>
      <c r="E7" s="68">
        <v>45695</v>
      </c>
      <c r="F7" s="21">
        <f>H7</f>
        <v>594000</v>
      </c>
      <c r="G7" s="70">
        <f>172356338-G9</f>
        <v>158983519</v>
      </c>
      <c r="H7" s="7">
        <v>594000</v>
      </c>
      <c r="I7" s="7">
        <f>H7-D7</f>
        <v>505108</v>
      </c>
      <c r="J7" s="7">
        <v>363.67744727351521</v>
      </c>
      <c r="K7" s="61">
        <f>I7/D7</f>
        <v>5.6822661206857763</v>
      </c>
      <c r="L7" s="3" t="s">
        <v>355</v>
      </c>
    </row>
    <row r="8" spans="1:19" x14ac:dyDescent="0.35">
      <c r="A8" s="72" t="s">
        <v>360</v>
      </c>
      <c r="B8" s="3" t="s">
        <v>383</v>
      </c>
      <c r="C8" s="3" t="s">
        <v>384</v>
      </c>
      <c r="D8" s="34">
        <v>26500000</v>
      </c>
      <c r="E8" s="68">
        <v>45695</v>
      </c>
      <c r="F8" s="21">
        <f>D8</f>
        <v>26500000</v>
      </c>
      <c r="G8" s="69" t="s">
        <v>385</v>
      </c>
      <c r="H8" s="7">
        <f>D8</f>
        <v>26500000</v>
      </c>
      <c r="I8" s="7">
        <f>H8*257/365</f>
        <v>18658904.10958904</v>
      </c>
      <c r="J8" s="64">
        <f>S6</f>
        <v>13434.399406654906</v>
      </c>
      <c r="K8" s="61">
        <f>1*257/365</f>
        <v>0.70410958904109588</v>
      </c>
      <c r="L8" s="3" t="s">
        <v>386</v>
      </c>
    </row>
    <row r="9" spans="1:19" x14ac:dyDescent="0.35">
      <c r="A9" s="72" t="s">
        <v>360</v>
      </c>
      <c r="B9" s="3" t="s">
        <v>374</v>
      </c>
      <c r="C9" s="3" t="s">
        <v>387</v>
      </c>
      <c r="D9" s="34">
        <v>13372819</v>
      </c>
      <c r="E9" s="68">
        <v>45393</v>
      </c>
      <c r="F9" s="21">
        <f>H9</f>
        <v>51000200</v>
      </c>
      <c r="G9" s="69">
        <f>D9</f>
        <v>13372819</v>
      </c>
      <c r="H9" s="7">
        <v>51000200</v>
      </c>
      <c r="I9" s="7">
        <f t="shared" ref="I9:I16" si="0">H9-D9</f>
        <v>37627381</v>
      </c>
      <c r="J9" s="64">
        <v>46625.186625844573</v>
      </c>
      <c r="K9" s="61">
        <f>I9/D9</f>
        <v>2.8137209514314074</v>
      </c>
      <c r="L9" s="3" t="s">
        <v>355</v>
      </c>
    </row>
    <row r="10" spans="1:19" x14ac:dyDescent="0.35">
      <c r="A10" s="72" t="s">
        <v>360</v>
      </c>
      <c r="B10" s="3" t="s">
        <v>374</v>
      </c>
      <c r="C10" s="3" t="s">
        <v>388</v>
      </c>
      <c r="D10" s="34">
        <v>6637915</v>
      </c>
      <c r="E10" s="68">
        <v>45393</v>
      </c>
      <c r="F10" s="3" t="s">
        <v>389</v>
      </c>
      <c r="G10" s="69">
        <f>D10</f>
        <v>6637915</v>
      </c>
      <c r="H10" s="7">
        <v>9000000</v>
      </c>
      <c r="I10" s="7">
        <f t="shared" si="0"/>
        <v>2362085</v>
      </c>
      <c r="J10" s="7">
        <v>2926.9285032383223</v>
      </c>
      <c r="K10" s="61">
        <f>I10/D10</f>
        <v>0.35584743100808008</v>
      </c>
      <c r="L10" s="3" t="s">
        <v>355</v>
      </c>
    </row>
    <row r="11" spans="1:19" x14ac:dyDescent="0.35">
      <c r="A11" s="3" t="s">
        <v>359</v>
      </c>
      <c r="B11" s="3" t="s">
        <v>374</v>
      </c>
      <c r="C11" s="62" t="s">
        <v>333</v>
      </c>
      <c r="D11" s="34">
        <v>481802</v>
      </c>
      <c r="E11" s="68">
        <v>45695</v>
      </c>
      <c r="F11" s="21">
        <f>F5</f>
        <v>970000</v>
      </c>
      <c r="G11" s="69">
        <f>G5</f>
        <v>4767340</v>
      </c>
      <c r="H11" s="7">
        <v>970000</v>
      </c>
      <c r="I11" s="7">
        <f t="shared" si="0"/>
        <v>488198</v>
      </c>
      <c r="J11" s="7">
        <v>1183.1716984426616</v>
      </c>
      <c r="K11" s="61">
        <v>1.0132751628262233</v>
      </c>
      <c r="L11" s="3" t="s">
        <v>355</v>
      </c>
    </row>
    <row r="12" spans="1:19" x14ac:dyDescent="0.35">
      <c r="A12" s="3" t="s">
        <v>359</v>
      </c>
      <c r="B12" s="3" t="s">
        <v>374</v>
      </c>
      <c r="C12" s="62" t="s">
        <v>329</v>
      </c>
      <c r="D12" s="7">
        <v>1106418</v>
      </c>
      <c r="E12" s="68">
        <v>45695</v>
      </c>
      <c r="F12" s="21">
        <f t="shared" ref="F12:F13" si="1">F6</f>
        <v>1150000</v>
      </c>
      <c r="G12" s="69">
        <f>G6</f>
        <v>2138048</v>
      </c>
      <c r="H12" s="7">
        <v>1150000</v>
      </c>
      <c r="I12" s="7">
        <f t="shared" si="0"/>
        <v>43582</v>
      </c>
      <c r="J12" s="7">
        <v>105.62310571024068</v>
      </c>
      <c r="K12" s="61">
        <f>I12/D12</f>
        <v>3.9390176226344838E-2</v>
      </c>
      <c r="L12" s="3" t="s">
        <v>355</v>
      </c>
    </row>
    <row r="13" spans="1:19" ht="33" customHeight="1" x14ac:dyDescent="0.35">
      <c r="A13" s="3" t="s">
        <v>359</v>
      </c>
      <c r="B13" s="3" t="s">
        <v>374</v>
      </c>
      <c r="C13" s="3" t="s">
        <v>382</v>
      </c>
      <c r="D13" s="7">
        <v>88892</v>
      </c>
      <c r="E13" s="68">
        <v>45695</v>
      </c>
      <c r="F13" s="21">
        <f t="shared" si="1"/>
        <v>594000</v>
      </c>
      <c r="G13" s="69">
        <f>G7</f>
        <v>158983519</v>
      </c>
      <c r="H13" s="7">
        <v>594000</v>
      </c>
      <c r="I13" s="7">
        <f t="shared" si="0"/>
        <v>505108</v>
      </c>
      <c r="J13" s="7">
        <v>1224.1539093912224</v>
      </c>
      <c r="K13" s="61">
        <f>I13/D13</f>
        <v>5.6822661206857763</v>
      </c>
      <c r="L13" s="3" t="s">
        <v>355</v>
      </c>
      <c r="N13" s="73"/>
      <c r="O13" s="73"/>
    </row>
    <row r="14" spans="1:19" x14ac:dyDescent="0.35">
      <c r="A14" s="16" t="s">
        <v>390</v>
      </c>
      <c r="B14" s="3" t="s">
        <v>391</v>
      </c>
      <c r="C14" s="3" t="s">
        <v>336</v>
      </c>
      <c r="D14" s="25">
        <v>444549657.87</v>
      </c>
      <c r="E14" s="68">
        <v>45472</v>
      </c>
      <c r="F14" s="21">
        <v>499300000</v>
      </c>
      <c r="G14" s="69">
        <v>441592258.85000002</v>
      </c>
      <c r="H14" s="25">
        <v>499300000</v>
      </c>
      <c r="I14" s="7">
        <f t="shared" si="0"/>
        <v>54750342.129999995</v>
      </c>
      <c r="J14" s="63">
        <v>32529.34195581196</v>
      </c>
      <c r="K14" s="61">
        <v>0.10965420014019626</v>
      </c>
      <c r="L14" s="3" t="s">
        <v>355</v>
      </c>
    </row>
    <row r="15" spans="1:19" x14ac:dyDescent="0.35">
      <c r="A15" s="16" t="s">
        <v>390</v>
      </c>
      <c r="B15" s="3" t="s">
        <v>391</v>
      </c>
      <c r="C15" s="3" t="s">
        <v>328</v>
      </c>
      <c r="D15" s="25">
        <v>2479620</v>
      </c>
      <c r="E15" s="68">
        <v>45472</v>
      </c>
      <c r="F15" s="21">
        <v>3273760</v>
      </c>
      <c r="G15" s="69">
        <v>1747510</v>
      </c>
      <c r="H15" s="25">
        <v>3273760</v>
      </c>
      <c r="I15" s="7">
        <f t="shared" si="0"/>
        <v>794140</v>
      </c>
      <c r="J15" s="25">
        <v>471.82995787406435</v>
      </c>
      <c r="K15" s="61">
        <v>0.24257734226088656</v>
      </c>
      <c r="L15" s="3" t="s">
        <v>355</v>
      </c>
    </row>
    <row r="16" spans="1:19" x14ac:dyDescent="0.35">
      <c r="A16" s="16" t="s">
        <v>390</v>
      </c>
      <c r="B16" s="3" t="s">
        <v>391</v>
      </c>
      <c r="C16" s="3" t="s">
        <v>329</v>
      </c>
      <c r="D16" s="7">
        <v>24297829</v>
      </c>
      <c r="E16" s="74">
        <v>45472</v>
      </c>
      <c r="F16" s="75">
        <v>36038627</v>
      </c>
      <c r="G16" s="69">
        <f>SUM('[1]PEGEPL Det FAR'!$E$279:$E$489)</f>
        <v>22969843</v>
      </c>
      <c r="H16" s="7">
        <v>36038627</v>
      </c>
      <c r="I16" s="7">
        <f t="shared" si="0"/>
        <v>11740798</v>
      </c>
      <c r="J16" s="64">
        <v>6975.6720801721349</v>
      </c>
      <c r="K16" s="61">
        <v>0.32578372089480545</v>
      </c>
      <c r="L16" s="3" t="s">
        <v>355</v>
      </c>
    </row>
    <row r="17" spans="1:13" x14ac:dyDescent="0.35">
      <c r="A17" s="3"/>
      <c r="B17" s="3"/>
      <c r="C17" s="8" t="s">
        <v>346</v>
      </c>
      <c r="D17" s="3"/>
      <c r="E17" s="3"/>
      <c r="F17" s="3"/>
      <c r="G17" s="3"/>
      <c r="H17" s="3"/>
      <c r="I17" s="19">
        <f>SUM(I5:I16)-SUM(I11:I13)</f>
        <v>126970538.23958904</v>
      </c>
      <c r="J17" s="19">
        <f>SUM(J5:J16)</f>
        <v>106297.11005386683</v>
      </c>
      <c r="K17" s="3"/>
      <c r="L17" s="3"/>
    </row>
    <row r="18" spans="1:13" x14ac:dyDescent="0.35">
      <c r="I18" s="76" t="s">
        <v>392</v>
      </c>
    </row>
    <row r="19" spans="1:13" x14ac:dyDescent="0.35">
      <c r="I19" s="76"/>
    </row>
    <row r="20" spans="1:13" x14ac:dyDescent="0.35">
      <c r="A20" s="41" t="s">
        <v>362</v>
      </c>
      <c r="I20" s="41"/>
    </row>
    <row r="21" spans="1:13" ht="87" x14ac:dyDescent="0.35">
      <c r="A21" s="40" t="s">
        <v>345</v>
      </c>
      <c r="B21" s="67" t="s">
        <v>368</v>
      </c>
      <c r="C21" s="77" t="s">
        <v>313</v>
      </c>
      <c r="D21" s="67" t="s">
        <v>369</v>
      </c>
      <c r="E21" s="67" t="s">
        <v>370</v>
      </c>
      <c r="F21" s="67" t="s">
        <v>371</v>
      </c>
      <c r="G21" s="67" t="s">
        <v>372</v>
      </c>
      <c r="H21" s="40" t="s">
        <v>373</v>
      </c>
      <c r="I21" s="48" t="s">
        <v>397</v>
      </c>
      <c r="J21" s="48" t="s">
        <v>352</v>
      </c>
      <c r="K21" s="48" t="s">
        <v>366</v>
      </c>
      <c r="L21" s="48" t="s">
        <v>344</v>
      </c>
      <c r="M21" s="66"/>
    </row>
    <row r="22" spans="1:13" x14ac:dyDescent="0.35">
      <c r="A22" s="3" t="s">
        <v>393</v>
      </c>
      <c r="B22" s="3" t="s">
        <v>391</v>
      </c>
      <c r="C22" s="72" t="s">
        <v>329</v>
      </c>
      <c r="D22" s="23">
        <v>16222619.6</v>
      </c>
      <c r="E22" s="68">
        <v>45438</v>
      </c>
      <c r="F22" s="23">
        <v>13636982</v>
      </c>
      <c r="G22" s="69">
        <f>SUM('[1]PEPPL Det FAR'!$E$1424:$E$1668)</f>
        <v>12967797.340000002</v>
      </c>
      <c r="H22" s="23">
        <v>13636982</v>
      </c>
      <c r="I22" s="24">
        <v>-2585637.5999999996</v>
      </c>
      <c r="J22" s="65">
        <v>-0.18960482605315454</v>
      </c>
      <c r="K22" s="21">
        <f>(H22*115%)-D22</f>
        <v>-540090.30000000075</v>
      </c>
      <c r="L22" s="3" t="s">
        <v>363</v>
      </c>
    </row>
    <row r="23" spans="1:13" x14ac:dyDescent="0.35">
      <c r="A23" s="3" t="s">
        <v>390</v>
      </c>
      <c r="B23" s="3" t="s">
        <v>391</v>
      </c>
      <c r="C23" s="72" t="s">
        <v>327</v>
      </c>
      <c r="D23" s="63">
        <v>1114164921.9100001</v>
      </c>
      <c r="E23" s="68">
        <v>45604</v>
      </c>
      <c r="F23" s="63">
        <v>1047448077</v>
      </c>
      <c r="G23" s="69">
        <v>1109545220</v>
      </c>
      <c r="H23" s="63">
        <v>1047448077</v>
      </c>
      <c r="I23" s="64">
        <v>-66716844.910000086</v>
      </c>
      <c r="J23" s="65">
        <v>-6.3694655969090186E-2</v>
      </c>
      <c r="K23" s="21">
        <f>(H23*105%)-D23</f>
        <v>-14344441.059999943</v>
      </c>
      <c r="L23" s="3" t="s">
        <v>364</v>
      </c>
    </row>
    <row r="24" spans="1:13" x14ac:dyDescent="0.35">
      <c r="A24" s="3" t="s">
        <v>394</v>
      </c>
      <c r="B24" s="3" t="s">
        <v>391</v>
      </c>
      <c r="C24" s="72" t="s">
        <v>327</v>
      </c>
      <c r="D24" s="63">
        <v>4953561548.1599998</v>
      </c>
      <c r="E24" s="68">
        <v>45736</v>
      </c>
      <c r="F24" s="21">
        <f>H24</f>
        <v>4938696600</v>
      </c>
      <c r="G24" s="7">
        <v>4939820749.8599997</v>
      </c>
      <c r="H24" s="63">
        <v>4938696600</v>
      </c>
      <c r="I24" s="64">
        <v>-14864948.159999847</v>
      </c>
      <c r="J24" s="65">
        <v>-3.0098929664964329E-3</v>
      </c>
      <c r="K24" s="21">
        <f>I24</f>
        <v>-14864948.159999847</v>
      </c>
      <c r="L24" s="3" t="s">
        <v>358</v>
      </c>
    </row>
    <row r="25" spans="1:13" x14ac:dyDescent="0.35">
      <c r="A25" s="3" t="s">
        <v>394</v>
      </c>
      <c r="B25" s="3" t="s">
        <v>391</v>
      </c>
      <c r="C25" s="72" t="s">
        <v>328</v>
      </c>
      <c r="D25" s="63">
        <v>23228416.300000001</v>
      </c>
      <c r="E25" s="68">
        <v>45736</v>
      </c>
      <c r="F25" s="21">
        <f>H25</f>
        <v>23213167</v>
      </c>
      <c r="G25" s="21">
        <v>23228416.300000001</v>
      </c>
      <c r="H25" s="63">
        <v>23213167</v>
      </c>
      <c r="I25" s="64">
        <v>-15249.300000000745</v>
      </c>
      <c r="J25" s="65">
        <v>-6.569245807778295E-4</v>
      </c>
      <c r="K25" s="21">
        <f t="shared" ref="K25:K27" si="2">I25</f>
        <v>-15249.300000000745</v>
      </c>
      <c r="L25" s="3" t="s">
        <v>358</v>
      </c>
    </row>
    <row r="26" spans="1:13" x14ac:dyDescent="0.35">
      <c r="A26" s="3" t="s">
        <v>394</v>
      </c>
      <c r="B26" s="3" t="s">
        <v>391</v>
      </c>
      <c r="C26" s="72" t="s">
        <v>329</v>
      </c>
      <c r="D26" s="64">
        <v>24203233.379999999</v>
      </c>
      <c r="E26" s="74">
        <v>45736</v>
      </c>
      <c r="F26" s="21">
        <f>H26</f>
        <v>23925957</v>
      </c>
      <c r="G26" s="7">
        <v>24002433.379999999</v>
      </c>
      <c r="H26" s="64">
        <v>23925957</v>
      </c>
      <c r="I26" s="78">
        <v>-277276.37999999896</v>
      </c>
      <c r="J26" s="79">
        <v>-1.1588935815608084E-2</v>
      </c>
      <c r="K26" s="75">
        <f t="shared" si="2"/>
        <v>-277276.37999999896</v>
      </c>
      <c r="L26" s="3" t="s">
        <v>358</v>
      </c>
    </row>
    <row r="27" spans="1:13" x14ac:dyDescent="0.35">
      <c r="A27" s="3" t="s">
        <v>395</v>
      </c>
      <c r="B27" s="3" t="s">
        <v>383</v>
      </c>
      <c r="C27" s="72" t="s">
        <v>322</v>
      </c>
      <c r="D27" s="7">
        <v>15144852</v>
      </c>
      <c r="E27" s="3"/>
      <c r="F27" s="3"/>
      <c r="G27" s="3"/>
      <c r="H27" s="64">
        <v>0</v>
      </c>
      <c r="I27" s="64">
        <f>H27-D27</f>
        <v>-15144852</v>
      </c>
      <c r="J27" s="65">
        <v>-1</v>
      </c>
      <c r="K27" s="21">
        <f t="shared" si="2"/>
        <v>-15144852</v>
      </c>
      <c r="L27" s="3" t="s">
        <v>365</v>
      </c>
    </row>
    <row r="28" spans="1:13" x14ac:dyDescent="0.35">
      <c r="A28" s="3"/>
      <c r="B28" s="3"/>
      <c r="C28" s="80" t="s">
        <v>346</v>
      </c>
      <c r="D28" s="3"/>
      <c r="E28" s="3"/>
      <c r="F28" s="3"/>
      <c r="G28" s="3"/>
      <c r="H28" s="3"/>
      <c r="I28" s="19">
        <f>SUM(I22:I27)</f>
        <v>-99604808.34999992</v>
      </c>
      <c r="J28" s="3"/>
      <c r="K28" s="19">
        <f>SUM(K22:K27)</f>
        <v>-45186857.199999794</v>
      </c>
      <c r="L28" s="3"/>
    </row>
    <row r="39" spans="4:5" x14ac:dyDescent="0.35">
      <c r="D39" s="81"/>
    </row>
    <row r="40" spans="4:5" x14ac:dyDescent="0.35">
      <c r="E40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4CE7-7CFC-4129-A586-9418958756C6}">
  <dimension ref="A1:H40"/>
  <sheetViews>
    <sheetView workbookViewId="0">
      <selection activeCell="B8" sqref="B8"/>
    </sheetView>
  </sheetViews>
  <sheetFormatPr defaultRowHeight="14.5" x14ac:dyDescent="0.35"/>
  <cols>
    <col min="1" max="1" width="25.26953125" bestFit="1" customWidth="1"/>
    <col min="2" max="2" width="14.26953125" bestFit="1" customWidth="1"/>
    <col min="3" max="3" width="22.453125" bestFit="1" customWidth="1"/>
    <col min="4" max="4" width="20.26953125" bestFit="1" customWidth="1"/>
    <col min="5" max="5" width="36.1796875" bestFit="1" customWidth="1"/>
    <col min="6" max="6" width="15.81640625" customWidth="1"/>
    <col min="7" max="7" width="31.81640625" bestFit="1" customWidth="1"/>
    <col min="10" max="10" width="12.54296875" bestFit="1" customWidth="1"/>
    <col min="11" max="11" width="7" bestFit="1" customWidth="1"/>
    <col min="12" max="12" width="8.1796875" customWidth="1"/>
    <col min="13" max="13" width="12.453125" customWidth="1"/>
    <col min="14" max="14" width="9.54296875" bestFit="1" customWidth="1"/>
  </cols>
  <sheetData>
    <row r="1" spans="1:7" x14ac:dyDescent="0.35">
      <c r="A1" s="41"/>
      <c r="B1" s="43"/>
      <c r="C1" s="43"/>
      <c r="D1" s="43"/>
      <c r="E1" s="44"/>
      <c r="F1" s="44"/>
    </row>
    <row r="2" spans="1:7" ht="15" thickBot="1" x14ac:dyDescent="0.4">
      <c r="A2" s="41" t="s">
        <v>347</v>
      </c>
      <c r="B2" s="42"/>
      <c r="C2" s="42"/>
      <c r="D2" s="43"/>
      <c r="E2" s="44"/>
      <c r="F2" s="44"/>
    </row>
    <row r="3" spans="1:7" ht="15" thickBot="1" x14ac:dyDescent="0.4">
      <c r="A3" s="83" t="s">
        <v>316</v>
      </c>
      <c r="B3" s="84"/>
      <c r="C3" s="84"/>
      <c r="D3" s="84"/>
      <c r="E3" s="85"/>
      <c r="F3" s="45"/>
    </row>
    <row r="4" spans="1:7" ht="29.5" thickBot="1" x14ac:dyDescent="0.4">
      <c r="A4" s="10" t="s">
        <v>313</v>
      </c>
      <c r="B4" s="11" t="s">
        <v>317</v>
      </c>
      <c r="C4" s="11" t="s">
        <v>318</v>
      </c>
      <c r="D4" s="12" t="s">
        <v>343</v>
      </c>
      <c r="E4" s="31" t="s">
        <v>319</v>
      </c>
      <c r="F4" s="48" t="s">
        <v>352</v>
      </c>
      <c r="G4" s="40" t="s">
        <v>344</v>
      </c>
    </row>
    <row r="5" spans="1:7" x14ac:dyDescent="0.35">
      <c r="A5" s="13" t="s">
        <v>320</v>
      </c>
      <c r="B5" s="14"/>
      <c r="C5" s="14"/>
      <c r="D5" s="15"/>
      <c r="E5" s="32"/>
      <c r="F5" s="32"/>
      <c r="G5" s="3"/>
    </row>
    <row r="6" spans="1:7" x14ac:dyDescent="0.35">
      <c r="A6" s="16" t="s">
        <v>321</v>
      </c>
      <c r="B6" s="7">
        <v>353877</v>
      </c>
      <c r="C6" s="7">
        <v>1497000</v>
      </c>
      <c r="D6" s="7">
        <v>1143123</v>
      </c>
      <c r="E6" s="33">
        <v>729.24680360721447</v>
      </c>
      <c r="F6" s="47">
        <f>D6/B6</f>
        <v>3.2302834035554726</v>
      </c>
      <c r="G6" s="3" t="s">
        <v>349</v>
      </c>
    </row>
    <row r="7" spans="1:7" x14ac:dyDescent="0.35">
      <c r="A7" s="16" t="s">
        <v>322</v>
      </c>
      <c r="B7" s="7">
        <v>15144852</v>
      </c>
      <c r="D7" s="7"/>
      <c r="E7" s="33"/>
      <c r="F7" s="33"/>
      <c r="G7" s="25" t="s">
        <v>348</v>
      </c>
    </row>
    <row r="8" spans="1:7" x14ac:dyDescent="0.35">
      <c r="A8" s="16" t="s">
        <v>323</v>
      </c>
      <c r="B8" s="7">
        <v>55869856</v>
      </c>
      <c r="C8" s="7">
        <v>86182000</v>
      </c>
      <c r="D8" s="7">
        <v>30312144</v>
      </c>
      <c r="E8" s="34">
        <v>19096.061090064755</v>
      </c>
      <c r="F8" s="47">
        <f t="shared" ref="F8:F14" si="0">D8/B8</f>
        <v>0.54254916998533165</v>
      </c>
      <c r="G8" s="3" t="s">
        <v>351</v>
      </c>
    </row>
    <row r="9" spans="1:7" x14ac:dyDescent="0.35">
      <c r="A9" s="16" t="s">
        <v>324</v>
      </c>
      <c r="B9" s="7">
        <v>6637915</v>
      </c>
      <c r="C9" s="17">
        <v>9000000</v>
      </c>
      <c r="D9" s="7">
        <v>2362085</v>
      </c>
      <c r="E9" s="34">
        <v>2926.9285032383223</v>
      </c>
      <c r="F9" s="47">
        <f t="shared" si="0"/>
        <v>0.35584743100808008</v>
      </c>
      <c r="G9" s="3" t="s">
        <v>349</v>
      </c>
    </row>
    <row r="10" spans="1:7" x14ac:dyDescent="0.35">
      <c r="A10" s="16" t="s">
        <v>325</v>
      </c>
      <c r="B10" s="7">
        <v>36210807</v>
      </c>
      <c r="C10" s="17">
        <v>80000000</v>
      </c>
      <c r="D10" s="7">
        <v>43789193</v>
      </c>
      <c r="E10" s="34">
        <v>2583.5623869999999</v>
      </c>
      <c r="F10" s="47">
        <f t="shared" si="0"/>
        <v>1.2092852004099217</v>
      </c>
      <c r="G10" s="3" t="s">
        <v>350</v>
      </c>
    </row>
    <row r="11" spans="1:7" x14ac:dyDescent="0.35">
      <c r="A11" s="16" t="s">
        <v>326</v>
      </c>
      <c r="B11" s="7">
        <v>15761707</v>
      </c>
      <c r="C11" s="17">
        <v>24840000</v>
      </c>
      <c r="D11" s="7">
        <v>9078293</v>
      </c>
      <c r="E11" s="34">
        <v>5356.3390582930761</v>
      </c>
      <c r="F11" s="47">
        <f t="shared" si="0"/>
        <v>0.57597143507362492</v>
      </c>
      <c r="G11" s="3" t="s">
        <v>349</v>
      </c>
    </row>
    <row r="12" spans="1:7" x14ac:dyDescent="0.35">
      <c r="A12" s="16" t="s">
        <v>327</v>
      </c>
      <c r="B12" s="7">
        <v>13461711</v>
      </c>
      <c r="C12" s="7">
        <v>51594200</v>
      </c>
      <c r="D12" s="7">
        <v>38132489</v>
      </c>
      <c r="E12" s="34">
        <v>46988.864073118086</v>
      </c>
      <c r="F12" s="47">
        <f t="shared" si="0"/>
        <v>2.8326628762123924</v>
      </c>
      <c r="G12" s="3" t="s">
        <v>351</v>
      </c>
    </row>
    <row r="13" spans="1:7" x14ac:dyDescent="0.35">
      <c r="A13" s="16" t="s">
        <v>328</v>
      </c>
      <c r="B13" s="7">
        <v>481802</v>
      </c>
      <c r="C13" s="7">
        <v>970000</v>
      </c>
      <c r="D13" s="7">
        <v>488198</v>
      </c>
      <c r="E13" s="34">
        <v>351.50225774296905</v>
      </c>
      <c r="F13" s="47">
        <f t="shared" si="0"/>
        <v>1.0132751628262233</v>
      </c>
      <c r="G13" s="3" t="s">
        <v>355</v>
      </c>
    </row>
    <row r="14" spans="1:7" x14ac:dyDescent="0.35">
      <c r="A14" s="16" t="s">
        <v>329</v>
      </c>
      <c r="B14" s="7">
        <v>1106418</v>
      </c>
      <c r="C14" s="7">
        <v>1150000</v>
      </c>
      <c r="D14" s="7">
        <v>43582</v>
      </c>
      <c r="E14" s="34">
        <v>105.62310571024068</v>
      </c>
      <c r="F14" s="47">
        <f t="shared" si="0"/>
        <v>3.9390176226344838E-2</v>
      </c>
      <c r="G14" s="3" t="s">
        <v>355</v>
      </c>
    </row>
    <row r="15" spans="1:7" x14ac:dyDescent="0.35">
      <c r="A15" s="16" t="s">
        <v>330</v>
      </c>
      <c r="B15" s="7">
        <v>0</v>
      </c>
      <c r="C15" s="7"/>
      <c r="D15" s="7"/>
      <c r="E15" s="34"/>
      <c r="F15" s="34"/>
      <c r="G15" s="3"/>
    </row>
    <row r="16" spans="1:7" x14ac:dyDescent="0.35">
      <c r="A16" s="18" t="s">
        <v>331</v>
      </c>
      <c r="B16" s="19">
        <v>145028945</v>
      </c>
      <c r="C16" s="19">
        <v>253736200</v>
      </c>
      <c r="D16" s="19">
        <v>124205984</v>
      </c>
      <c r="E16" s="35">
        <v>78138.127278774657</v>
      </c>
      <c r="F16" s="35"/>
      <c r="G16" s="3"/>
    </row>
    <row r="17" spans="1:8" x14ac:dyDescent="0.35">
      <c r="A17" s="20" t="s">
        <v>332</v>
      </c>
      <c r="B17" s="7">
        <v>13461711</v>
      </c>
      <c r="C17" s="3">
        <v>594000</v>
      </c>
      <c r="D17" s="21">
        <v>-12867711</v>
      </c>
      <c r="E17" s="34">
        <v>-31185.526116328459</v>
      </c>
      <c r="F17" s="47">
        <f>D17/B17</f>
        <v>-0.95587485127262051</v>
      </c>
      <c r="G17" s="3" t="s">
        <v>351</v>
      </c>
    </row>
    <row r="18" spans="1:8" x14ac:dyDescent="0.35">
      <c r="A18" s="20" t="s">
        <v>333</v>
      </c>
      <c r="B18" s="7">
        <v>481802</v>
      </c>
      <c r="C18" s="3">
        <v>970000</v>
      </c>
      <c r="D18" s="21">
        <v>488198</v>
      </c>
      <c r="E18" s="34">
        <v>1183.1716984426616</v>
      </c>
      <c r="F18" s="47">
        <f>D18/B18</f>
        <v>1.0132751628262233</v>
      </c>
      <c r="G18" s="3" t="s">
        <v>355</v>
      </c>
    </row>
    <row r="19" spans="1:8" x14ac:dyDescent="0.35">
      <c r="A19" s="20" t="s">
        <v>329</v>
      </c>
      <c r="B19" s="7">
        <v>1067064</v>
      </c>
      <c r="C19" s="3">
        <v>1150000</v>
      </c>
      <c r="D19" s="21">
        <v>82936</v>
      </c>
      <c r="E19" s="34">
        <v>105.62310571024068</v>
      </c>
      <c r="F19" s="47">
        <f>D19/B19</f>
        <v>7.7723547978378049E-2</v>
      </c>
      <c r="G19" s="3" t="s">
        <v>355</v>
      </c>
    </row>
    <row r="20" spans="1:8" x14ac:dyDescent="0.35">
      <c r="A20" s="18" t="s">
        <v>334</v>
      </c>
      <c r="B20" s="19">
        <v>15010577</v>
      </c>
      <c r="C20" s="19">
        <v>2714000</v>
      </c>
      <c r="D20" s="19">
        <v>-12296577</v>
      </c>
      <c r="E20" s="35">
        <v>-29896.731312175558</v>
      </c>
      <c r="F20" s="35"/>
      <c r="G20" s="3"/>
    </row>
    <row r="21" spans="1:8" x14ac:dyDescent="0.35">
      <c r="A21" s="22" t="s">
        <v>335</v>
      </c>
      <c r="B21" s="8"/>
      <c r="C21" s="8"/>
      <c r="D21" s="3"/>
      <c r="E21" s="34"/>
      <c r="F21" s="34"/>
      <c r="G21" s="3"/>
    </row>
    <row r="22" spans="1:8" x14ac:dyDescent="0.35">
      <c r="A22" s="16" t="s">
        <v>336</v>
      </c>
      <c r="B22" s="23">
        <v>668058681.79999995</v>
      </c>
      <c r="C22" s="23">
        <v>668057945</v>
      </c>
      <c r="D22" s="24">
        <v>-736.79999995231628</v>
      </c>
      <c r="E22" s="34">
        <v>-0.74095638166757338</v>
      </c>
      <c r="F22" s="47">
        <f>D22/C22</f>
        <v>-1.1028983420776716E-6</v>
      </c>
      <c r="G22" s="3" t="s">
        <v>354</v>
      </c>
    </row>
    <row r="23" spans="1:8" x14ac:dyDescent="0.35">
      <c r="A23" s="16" t="s">
        <v>327</v>
      </c>
      <c r="B23" s="7">
        <v>4945172450.4499998</v>
      </c>
      <c r="C23" s="7">
        <v>4586792935</v>
      </c>
      <c r="D23" s="24">
        <v>-358379515.44999981</v>
      </c>
      <c r="E23" s="34">
        <v>-388559.94715350668</v>
      </c>
      <c r="F23" s="47">
        <f t="shared" ref="F23:F25" si="1">D23/C23</f>
        <v>-7.8132917820498873E-2</v>
      </c>
      <c r="G23" s="3" t="s">
        <v>354</v>
      </c>
    </row>
    <row r="24" spans="1:8" x14ac:dyDescent="0.35">
      <c r="A24" s="16" t="s">
        <v>328</v>
      </c>
      <c r="B24" s="23">
        <v>36775381.539999999</v>
      </c>
      <c r="C24" s="23">
        <v>34244943</v>
      </c>
      <c r="D24" s="24">
        <v>-2530438.5399999991</v>
      </c>
      <c r="E24" s="34">
        <v>-2732.7448230297746</v>
      </c>
      <c r="F24" s="47">
        <f t="shared" si="1"/>
        <v>-7.3892327401450172E-2</v>
      </c>
      <c r="G24" s="3" t="s">
        <v>354</v>
      </c>
    </row>
    <row r="25" spans="1:8" s="56" customFormat="1" x14ac:dyDescent="0.35">
      <c r="A25" s="50" t="s">
        <v>329</v>
      </c>
      <c r="B25" s="51">
        <v>16222619.6</v>
      </c>
      <c r="C25" s="51">
        <v>13636982</v>
      </c>
      <c r="D25" s="52">
        <v>-2585637.5999999996</v>
      </c>
      <c r="E25" s="53">
        <v>-3093.2350258382935</v>
      </c>
      <c r="F25" s="54">
        <f t="shared" si="1"/>
        <v>-0.18960482605315454</v>
      </c>
      <c r="G25" s="55" t="s">
        <v>353</v>
      </c>
      <c r="H25" s="56" t="e" vm="1">
        <v>#VALUE!</v>
      </c>
    </row>
    <row r="26" spans="1:8" x14ac:dyDescent="0.35">
      <c r="A26" s="18" t="s">
        <v>337</v>
      </c>
      <c r="B26" s="19">
        <v>5666229133.3900003</v>
      </c>
      <c r="C26" s="19">
        <v>5302732805</v>
      </c>
      <c r="D26" s="19">
        <v>-363496328.38999981</v>
      </c>
      <c r="E26" s="35">
        <v>-394386.66795875644</v>
      </c>
      <c r="F26" s="49">
        <f>D26/B26</f>
        <v>-6.4151364131744285E-2</v>
      </c>
      <c r="G26" s="3"/>
    </row>
    <row r="27" spans="1:8" x14ac:dyDescent="0.35">
      <c r="A27" s="22" t="s">
        <v>338</v>
      </c>
      <c r="B27" s="8"/>
      <c r="C27" s="8"/>
      <c r="D27" s="3"/>
      <c r="E27" s="35"/>
      <c r="F27" s="35"/>
      <c r="G27" s="3"/>
    </row>
    <row r="28" spans="1:8" x14ac:dyDescent="0.35">
      <c r="A28" s="16" t="s">
        <v>336</v>
      </c>
      <c r="B28" s="25">
        <v>444549657.87</v>
      </c>
      <c r="C28" s="25">
        <v>499300000</v>
      </c>
      <c r="D28" s="7">
        <v>54750342.129999995</v>
      </c>
      <c r="E28" s="36">
        <v>32529.34195581196</v>
      </c>
      <c r="F28" s="47">
        <f>D28/C28</f>
        <v>0.10965420014019626</v>
      </c>
      <c r="G28" s="3" t="s">
        <v>355</v>
      </c>
    </row>
    <row r="29" spans="1:8" s="56" customFormat="1" x14ac:dyDescent="0.35">
      <c r="A29" s="50" t="s">
        <v>327</v>
      </c>
      <c r="B29" s="57">
        <v>1114164921.9100001</v>
      </c>
      <c r="C29" s="57">
        <v>1047448077</v>
      </c>
      <c r="D29" s="58">
        <v>-66716844.910000086</v>
      </c>
      <c r="E29" s="59">
        <v>-39639.114165481937</v>
      </c>
      <c r="F29" s="54">
        <f t="shared" ref="F29:F31" si="2">D29/C29</f>
        <v>-6.3694655969090186E-2</v>
      </c>
      <c r="G29" s="55" t="s">
        <v>356</v>
      </c>
      <c r="H29" s="56" t="e" vm="2">
        <v>#VALUE!</v>
      </c>
    </row>
    <row r="30" spans="1:8" x14ac:dyDescent="0.35">
      <c r="A30" s="16" t="s">
        <v>328</v>
      </c>
      <c r="B30" s="25">
        <v>2479620</v>
      </c>
      <c r="C30" s="25">
        <v>3273760</v>
      </c>
      <c r="D30" s="7">
        <v>794140</v>
      </c>
      <c r="E30" s="36">
        <v>471.82995787406435</v>
      </c>
      <c r="F30" s="47">
        <f t="shared" si="2"/>
        <v>0.24257734226088656</v>
      </c>
      <c r="G30" s="3" t="s">
        <v>355</v>
      </c>
    </row>
    <row r="31" spans="1:8" x14ac:dyDescent="0.35">
      <c r="A31" s="16" t="s">
        <v>329</v>
      </c>
      <c r="B31" s="26">
        <v>24297829</v>
      </c>
      <c r="C31" s="26">
        <v>36038627</v>
      </c>
      <c r="D31" s="7">
        <v>11740798</v>
      </c>
      <c r="E31" s="37">
        <v>6975.6720801721349</v>
      </c>
      <c r="F31" s="47">
        <f t="shared" si="2"/>
        <v>0.32578372089480545</v>
      </c>
      <c r="G31" s="3" t="s">
        <v>355</v>
      </c>
    </row>
    <row r="32" spans="1:8" x14ac:dyDescent="0.35">
      <c r="A32" s="27" t="s">
        <v>339</v>
      </c>
      <c r="B32" s="19">
        <v>1585492028.7800002</v>
      </c>
      <c r="C32" s="19">
        <v>1586060464</v>
      </c>
      <c r="D32" s="19">
        <v>568435.2199999094</v>
      </c>
      <c r="E32" s="35">
        <v>337.72982837622294</v>
      </c>
      <c r="F32" s="49">
        <f t="shared" ref="F32" si="3">D32/C32</f>
        <v>3.5839441994937047E-4</v>
      </c>
      <c r="G32" s="3"/>
    </row>
    <row r="33" spans="1:7" x14ac:dyDescent="0.35">
      <c r="A33" s="22" t="s">
        <v>340</v>
      </c>
      <c r="B33" s="8"/>
      <c r="C33" s="8"/>
      <c r="D33" s="3"/>
      <c r="E33" s="34"/>
      <c r="F33" s="34"/>
      <c r="G33" s="3"/>
    </row>
    <row r="34" spans="1:7" x14ac:dyDescent="0.35">
      <c r="A34" s="16" t="s">
        <v>336</v>
      </c>
      <c r="B34" s="25">
        <v>1314526073.3399999</v>
      </c>
      <c r="C34" s="25">
        <v>1314526073</v>
      </c>
      <c r="D34" s="7">
        <v>-0.33999991416931152</v>
      </c>
      <c r="E34" s="34">
        <v>-1.6849192665484335E-4</v>
      </c>
      <c r="F34" s="47">
        <f t="shared" ref="F34:F39" si="4">D34/C34</f>
        <v>-2.5864828484791229E-10</v>
      </c>
      <c r="G34" s="3" t="s">
        <v>357</v>
      </c>
    </row>
    <row r="35" spans="1:7" s="56" customFormat="1" x14ac:dyDescent="0.35">
      <c r="A35" s="50" t="s">
        <v>327</v>
      </c>
      <c r="B35" s="57">
        <v>4953561548.1599998</v>
      </c>
      <c r="C35" s="57">
        <v>4938696600</v>
      </c>
      <c r="D35" s="58">
        <v>-14864948.159999847</v>
      </c>
      <c r="E35" s="53">
        <v>-7366.542315818062</v>
      </c>
      <c r="F35" s="54">
        <f t="shared" si="4"/>
        <v>-3.0098929664964329E-3</v>
      </c>
      <c r="G35" s="55" t="s">
        <v>358</v>
      </c>
    </row>
    <row r="36" spans="1:7" s="56" customFormat="1" x14ac:dyDescent="0.35">
      <c r="A36" s="50" t="s">
        <v>328</v>
      </c>
      <c r="B36" s="57">
        <v>23228416.300000001</v>
      </c>
      <c r="C36" s="57">
        <v>23213167</v>
      </c>
      <c r="D36" s="58">
        <v>-15249.300000000745</v>
      </c>
      <c r="E36" s="53">
        <v>-7.5570134875338191</v>
      </c>
      <c r="F36" s="54">
        <f t="shared" si="4"/>
        <v>-6.569245807778295E-4</v>
      </c>
      <c r="G36" s="55" t="s">
        <v>358</v>
      </c>
    </row>
    <row r="37" spans="1:7" s="56" customFormat="1" x14ac:dyDescent="0.35">
      <c r="A37" s="50" t="s">
        <v>329</v>
      </c>
      <c r="B37" s="60">
        <v>24203233.379999999</v>
      </c>
      <c r="C37" s="60">
        <v>23925957</v>
      </c>
      <c r="D37" s="58">
        <v>-277276.37999999896</v>
      </c>
      <c r="E37" s="53">
        <v>-137.40836257627839</v>
      </c>
      <c r="F37" s="54">
        <f t="shared" si="4"/>
        <v>-1.1588935815608084E-2</v>
      </c>
      <c r="G37" s="55" t="s">
        <v>358</v>
      </c>
    </row>
    <row r="38" spans="1:7" x14ac:dyDescent="0.35">
      <c r="A38" s="28" t="s">
        <v>330</v>
      </c>
      <c r="B38" s="26">
        <v>12793350.98</v>
      </c>
      <c r="C38" s="26">
        <v>12793351</v>
      </c>
      <c r="D38" s="26">
        <v>1.9999999552965164E-2</v>
      </c>
      <c r="E38" s="34">
        <v>9.9112920837297905E-6</v>
      </c>
      <c r="F38" s="47">
        <f t="shared" si="4"/>
        <v>1.5633120323959816E-9</v>
      </c>
      <c r="G38" s="3" t="s">
        <v>357</v>
      </c>
    </row>
    <row r="39" spans="1:7" ht="15" thickBot="1" x14ac:dyDescent="0.4">
      <c r="A39" s="27" t="s">
        <v>341</v>
      </c>
      <c r="B39" s="19">
        <v>6328312622.1599998</v>
      </c>
      <c r="C39" s="19">
        <v>6313155148</v>
      </c>
      <c r="D39" s="19">
        <v>-15157474.159999762</v>
      </c>
      <c r="E39" s="38">
        <v>-7511.5078504625089</v>
      </c>
      <c r="F39" s="47">
        <f t="shared" si="4"/>
        <v>-2.4009348423508379E-3</v>
      </c>
      <c r="G39" s="3"/>
    </row>
    <row r="40" spans="1:7" ht="15" thickBot="1" x14ac:dyDescent="0.4">
      <c r="A40" s="29" t="s">
        <v>342</v>
      </c>
      <c r="B40" s="30"/>
      <c r="C40" s="30"/>
      <c r="D40" s="30"/>
      <c r="E40" s="39">
        <v>-323422.31870206812</v>
      </c>
      <c r="F40" s="46"/>
      <c r="G40" s="3"/>
    </row>
  </sheetData>
  <autoFilter ref="A4:G40" xr:uid="{68674CE7-7CFC-4129-A586-9418958756C6}"/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Annexure A</vt:lpstr>
      <vt:lpstr>Annexure B</vt:lpstr>
      <vt:lpstr>Over-Under insurance-Details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(IND)</dc:creator>
  <cp:lastModifiedBy>Borra Prasanna (IND)</cp:lastModifiedBy>
  <dcterms:created xsi:type="dcterms:W3CDTF">2015-06-05T18:17:20Z</dcterms:created>
  <dcterms:modified xsi:type="dcterms:W3CDTF">2025-11-25T06:12:28Z</dcterms:modified>
</cp:coreProperties>
</file>