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xr:revisionPtr revIDLastSave="0" documentId="8_{AEA6700C-4792-4980-90B1-95DFF3DDAD05}" xr6:coauthVersionLast="47" xr6:coauthVersionMax="47" xr10:uidLastSave="{00000000-0000-0000-0000-000000000000}"/>
  <bookViews>
    <workbookView xWindow="-110" yWindow="-110" windowWidth="19420" windowHeight="10300" firstSheet="5" activeTab="7" xr2:uid="{0C8D8FC2-5272-4C64-9742-5B463C49F888}"/>
  </bookViews>
  <sheets>
    <sheet name="A.Annexure" sheetId="1" state="hidden" r:id="rId1"/>
    <sheet name="Workings" sheetId="8" state="hidden" r:id="rId2"/>
    <sheet name="C.Anx" sheetId="2" state="hidden" r:id="rId3"/>
    <sheet name="E. Annexur" sheetId="4" state="hidden" r:id="rId4"/>
    <sheet name="E.Annex" sheetId="5" state="hidden" r:id="rId5"/>
    <sheet name="C.Annexure" sheetId="9" r:id="rId6"/>
    <sheet name="E.Annexure" sheetId="6" r:id="rId7"/>
    <sheet name="F.Annexure" sheetId="7" r:id="rId8"/>
  </sheets>
  <externalReferences>
    <externalReference r:id="rId9"/>
    <externalReference r:id="rId10"/>
    <externalReference r:id="rId11"/>
    <externalReference r:id="rId12"/>
  </externalReferences>
  <definedNames>
    <definedName name="_xlnm._FilterDatabase" localSheetId="5" hidden="1">'C.Annexure'!$A$3:$H$27</definedName>
    <definedName name="_xlnm._FilterDatabase" localSheetId="2" hidden="1">'C.Anx'!$A$2:$L$67</definedName>
    <definedName name="_xlnm._FilterDatabase" localSheetId="6" hidden="1">E.Annexure!$A$2:$H$11</definedName>
    <definedName name="_xlnm._FilterDatabase" localSheetId="1" hidden="1">Workings!$A$3:$L$58</definedName>
  </definedNames>
  <calcPr calcId="191029"/>
  <pivotCaches>
    <pivotCache cacheId="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7" l="1"/>
  <c r="C2" i="7"/>
  <c r="C12" i="6"/>
  <c r="F27" i="9"/>
  <c r="G27" i="9" s="1"/>
  <c r="D27" i="9"/>
  <c r="F26" i="9"/>
  <c r="G26" i="9" s="1"/>
  <c r="D26" i="9"/>
  <c r="F25" i="9"/>
  <c r="G25" i="9" s="1"/>
  <c r="D25" i="9"/>
  <c r="F24" i="9"/>
  <c r="G24" i="9" s="1"/>
  <c r="D24" i="9"/>
  <c r="F23" i="9"/>
  <c r="G23" i="9" s="1"/>
  <c r="D23" i="9"/>
  <c r="G22" i="9"/>
  <c r="F22" i="9"/>
  <c r="D22" i="9"/>
  <c r="F21" i="9"/>
  <c r="G21" i="9" s="1"/>
  <c r="D21" i="9"/>
  <c r="G20" i="9"/>
  <c r="F20" i="9"/>
  <c r="D20" i="9"/>
  <c r="F19" i="9"/>
  <c r="G19" i="9" s="1"/>
  <c r="D19" i="9"/>
  <c r="G18" i="9"/>
  <c r="F18" i="9"/>
  <c r="D18" i="9"/>
  <c r="F17" i="9"/>
  <c r="G17" i="9" s="1"/>
  <c r="D17" i="9"/>
  <c r="F16" i="9"/>
  <c r="G16" i="9" s="1"/>
  <c r="D16" i="9"/>
  <c r="F15" i="9"/>
  <c r="G15" i="9" s="1"/>
  <c r="D15" i="9"/>
  <c r="G14" i="9"/>
  <c r="F14" i="9"/>
  <c r="D14" i="9"/>
  <c r="F13" i="9"/>
  <c r="G13" i="9" s="1"/>
  <c r="D13" i="9"/>
  <c r="G12" i="9"/>
  <c r="F12" i="9"/>
  <c r="D12" i="9"/>
  <c r="F11" i="9"/>
  <c r="G11" i="9" s="1"/>
  <c r="D11" i="9"/>
  <c r="G10" i="9"/>
  <c r="F10" i="9"/>
  <c r="D10" i="9"/>
  <c r="F9" i="9"/>
  <c r="G9" i="9" s="1"/>
  <c r="D9" i="9"/>
  <c r="F8" i="9"/>
  <c r="G8" i="9" s="1"/>
  <c r="D8" i="9"/>
  <c r="F7" i="9"/>
  <c r="G7" i="9" s="1"/>
  <c r="D7" i="9"/>
  <c r="G6" i="9"/>
  <c r="F6" i="9"/>
  <c r="D6" i="9"/>
  <c r="F5" i="9"/>
  <c r="G5" i="9" s="1"/>
  <c r="D5" i="9"/>
  <c r="F4" i="9"/>
  <c r="G4" i="9" s="1"/>
  <c r="D4" i="9"/>
  <c r="D5" i="5"/>
  <c r="D4" i="5"/>
  <c r="D3" i="5"/>
  <c r="D6" i="5" s="1"/>
  <c r="F15" i="4"/>
  <c r="F14" i="4"/>
  <c r="F13" i="4"/>
  <c r="F12" i="4"/>
  <c r="F11" i="4"/>
  <c r="F10" i="4"/>
  <c r="F9" i="4"/>
  <c r="F8" i="4"/>
  <c r="F7" i="4"/>
  <c r="F6" i="4"/>
  <c r="F5" i="4"/>
  <c r="F4" i="4"/>
  <c r="F3" i="4"/>
  <c r="K67" i="2"/>
  <c r="E66" i="2"/>
  <c r="E65" i="2"/>
  <c r="E64" i="2"/>
  <c r="E63" i="2"/>
  <c r="E62" i="2"/>
  <c r="E61" i="2"/>
  <c r="E60" i="2"/>
  <c r="K56" i="2"/>
  <c r="E56" i="2"/>
  <c r="K55" i="2"/>
  <c r="E55" i="2"/>
  <c r="K54" i="2"/>
  <c r="E54" i="2"/>
  <c r="K53" i="2"/>
  <c r="E53" i="2"/>
  <c r="K52" i="2"/>
  <c r="E52" i="2"/>
  <c r="K51" i="2"/>
  <c r="K50" i="2"/>
  <c r="E50" i="2"/>
  <c r="K49" i="2"/>
  <c r="K48" i="2"/>
  <c r="E48" i="2"/>
  <c r="K47" i="2"/>
  <c r="K57" i="2" s="1"/>
  <c r="E47" i="2"/>
  <c r="K43" i="2"/>
  <c r="K42" i="2"/>
  <c r="K41" i="2"/>
  <c r="E41" i="2"/>
  <c r="K40" i="2"/>
  <c r="K39" i="2"/>
  <c r="E39" i="2"/>
  <c r="K38" i="2"/>
  <c r="E38" i="2"/>
  <c r="K37" i="2"/>
  <c r="E37" i="2"/>
  <c r="K36" i="2"/>
  <c r="K35" i="2"/>
  <c r="E35" i="2"/>
  <c r="K34" i="2"/>
  <c r="E34" i="2"/>
  <c r="K33" i="2"/>
  <c r="K32" i="2"/>
  <c r="K31" i="2"/>
  <c r="E31" i="2"/>
  <c r="K30" i="2"/>
  <c r="E30" i="2"/>
  <c r="K29" i="2"/>
  <c r="E29" i="2"/>
  <c r="K28" i="2"/>
  <c r="E28" i="2"/>
  <c r="K27" i="2"/>
  <c r="E27" i="2"/>
  <c r="K26" i="2"/>
  <c r="E26" i="2"/>
  <c r="K25" i="2"/>
  <c r="E25" i="2"/>
  <c r="K24" i="2"/>
  <c r="E24" i="2"/>
  <c r="K23" i="2"/>
  <c r="E23" i="2"/>
  <c r="K22" i="2"/>
  <c r="E22" i="2"/>
  <c r="K21" i="2"/>
  <c r="K20" i="2"/>
  <c r="E20" i="2"/>
  <c r="K19" i="2"/>
  <c r="K44" i="2" s="1"/>
  <c r="E19" i="2"/>
  <c r="K16" i="2"/>
  <c r="K15" i="2"/>
  <c r="G15" i="2"/>
  <c r="H15" i="2" s="1"/>
  <c r="J15" i="2" s="1"/>
  <c r="K14" i="2"/>
  <c r="G14" i="2"/>
  <c r="H14" i="2" s="1"/>
  <c r="J14" i="2" s="1"/>
  <c r="K13" i="2"/>
  <c r="G13" i="2"/>
  <c r="H13" i="2" s="1"/>
  <c r="J13" i="2" s="1"/>
  <c r="K12" i="2"/>
  <c r="G12" i="2"/>
  <c r="H12" i="2" s="1"/>
  <c r="J12" i="2" s="1"/>
  <c r="K11" i="2"/>
  <c r="G11" i="2"/>
  <c r="H11" i="2" s="1"/>
  <c r="J11" i="2" s="1"/>
  <c r="K10" i="2"/>
  <c r="G10" i="2"/>
  <c r="H10" i="2" s="1"/>
  <c r="J10" i="2" s="1"/>
  <c r="K9" i="2"/>
  <c r="G9" i="2"/>
  <c r="H9" i="2" s="1"/>
  <c r="J9" i="2" s="1"/>
  <c r="K8" i="2"/>
  <c r="G8" i="2"/>
  <c r="H8" i="2" s="1"/>
  <c r="J8" i="2" s="1"/>
  <c r="K7" i="2"/>
  <c r="G7" i="2"/>
  <c r="H7" i="2" s="1"/>
  <c r="J7" i="2" s="1"/>
  <c r="K6" i="2"/>
  <c r="G6" i="2"/>
  <c r="H6" i="2" s="1"/>
  <c r="J6" i="2" s="1"/>
  <c r="K5" i="2"/>
  <c r="G5" i="2"/>
  <c r="H5" i="2" s="1"/>
  <c r="J5" i="2" s="1"/>
  <c r="K4" i="2"/>
  <c r="G4" i="2"/>
  <c r="H4" i="2" s="1"/>
  <c r="J4" i="2" s="1"/>
  <c r="K3" i="2"/>
  <c r="G3" i="2"/>
  <c r="H3" i="2" s="1"/>
  <c r="J3" i="2" s="1"/>
  <c r="K69" i="2" l="1"/>
</calcChain>
</file>

<file path=xl/sharedStrings.xml><?xml version="1.0" encoding="utf-8"?>
<sst xmlns="http://schemas.openxmlformats.org/spreadsheetml/2006/main" count="826" uniqueCount="318">
  <si>
    <t>Employee Code</t>
  </si>
  <si>
    <t>Full name</t>
  </si>
  <si>
    <t>Difference</t>
  </si>
  <si>
    <t>PEIPL0169</t>
  </si>
  <si>
    <t>Maddiguntla Saida Rao</t>
  </si>
  <si>
    <t>PEPPL0087</t>
  </si>
  <si>
    <t>Rajesh Singh</t>
  </si>
  <si>
    <t>PEPPL0097</t>
  </si>
  <si>
    <t>Kanamoni Gopal</t>
  </si>
  <si>
    <t>PEPPL0589</t>
  </si>
  <si>
    <t>Sangappa</t>
  </si>
  <si>
    <t>PEPPL0594</t>
  </si>
  <si>
    <t>Siva Shankar Kolluri</t>
  </si>
  <si>
    <t>PEPPL0599</t>
  </si>
  <si>
    <t>Sohit Patle</t>
  </si>
  <si>
    <t>PEPPL0612</t>
  </si>
  <si>
    <t>Anil Kumar</t>
  </si>
  <si>
    <t>PEPPL0160</t>
  </si>
  <si>
    <t>Venkat Ramudu Sidda</t>
  </si>
  <si>
    <t>PEPPL0329</t>
  </si>
  <si>
    <t>Jakkula Mahesh</t>
  </si>
  <si>
    <t>PEPPL0412</t>
  </si>
  <si>
    <t>Kuldeep Dadheech</t>
  </si>
  <si>
    <t>PEPPL0415</t>
  </si>
  <si>
    <t>Srinivas Boguda</t>
  </si>
  <si>
    <t>PEPPL0171</t>
  </si>
  <si>
    <t>Nandkishor Vasanta Thakre</t>
  </si>
  <si>
    <t>Month</t>
  </si>
  <si>
    <t>Company</t>
  </si>
  <si>
    <t>Prefix</t>
  </si>
  <si>
    <t>Date of birth</t>
  </si>
  <si>
    <t>Date of joining</t>
  </si>
  <si>
    <t>Employment type</t>
  </si>
  <si>
    <t>Employment status</t>
  </si>
  <si>
    <t>PEPPL0562</t>
  </si>
  <si>
    <t>Mr.</t>
  </si>
  <si>
    <t>Jiang Tao</t>
  </si>
  <si>
    <t>Permanent</t>
  </si>
  <si>
    <t>Confirmed</t>
  </si>
  <si>
    <t>April</t>
  </si>
  <si>
    <t>PEPPL0812</t>
  </si>
  <si>
    <t>Kanuganti RamPranesh</t>
  </si>
  <si>
    <t>Probation</t>
  </si>
  <si>
    <t>PEPPL0835</t>
  </si>
  <si>
    <t>Jia Gaoqiang</t>
  </si>
  <si>
    <t>PEPPL0881</t>
  </si>
  <si>
    <t>Mrs.</t>
  </si>
  <si>
    <t>Jasveen Saluja</t>
  </si>
  <si>
    <t>PSS1080</t>
  </si>
  <si>
    <t>Ms.</t>
  </si>
  <si>
    <t>Niyathi Naidu Madasu</t>
  </si>
  <si>
    <t>June</t>
  </si>
  <si>
    <t>PSS1359</t>
  </si>
  <si>
    <t>Maddila Sathyanarayana</t>
  </si>
  <si>
    <t>PEGEPL0134</t>
  </si>
  <si>
    <t>Maloth Gopal</t>
  </si>
  <si>
    <t>Sep</t>
  </si>
  <si>
    <t>PSS0159</t>
  </si>
  <si>
    <t>V.Leela Ratnam</t>
  </si>
  <si>
    <t>P0377</t>
  </si>
  <si>
    <t>Mukarram Ali</t>
  </si>
  <si>
    <t>PSS0663</t>
  </si>
  <si>
    <t>PEL April</t>
  </si>
  <si>
    <t>Paid days</t>
  </si>
  <si>
    <t xml:space="preserve"> monthly rate</t>
  </si>
  <si>
    <t>Gross benefits as per CTC structure</t>
  </si>
  <si>
    <t>Diff</t>
  </si>
  <si>
    <t>Diff Percentage</t>
  </si>
  <si>
    <t>Hike percentage as per CTC struc</t>
  </si>
  <si>
    <t>Difference in percentage</t>
  </si>
  <si>
    <t>Excess payment removing Hike percentage and comparing with monthly rate</t>
  </si>
  <si>
    <t>PSS0117</t>
  </si>
  <si>
    <t>Kishore Kumar</t>
  </si>
  <si>
    <t>PSS0121</t>
  </si>
  <si>
    <t>A. Deepa</t>
  </si>
  <si>
    <t>PSS0690</t>
  </si>
  <si>
    <t>Mohammad Abdul Najeebuddin</t>
  </si>
  <si>
    <t>PSS0761</t>
  </si>
  <si>
    <t>Lakshmikant Mishra</t>
  </si>
  <si>
    <t>PSS1160</t>
  </si>
  <si>
    <t>Vineet kaur</t>
  </si>
  <si>
    <t>PSS1237</t>
  </si>
  <si>
    <t>Boddu Saikrishna Yadav</t>
  </si>
  <si>
    <t>PSS1294</t>
  </si>
  <si>
    <t>Ravella Sreenivasa Rao</t>
  </si>
  <si>
    <t>PSS1339</t>
  </si>
  <si>
    <t>Naramshetti Ramu</t>
  </si>
  <si>
    <t>PSS1344</t>
  </si>
  <si>
    <t>Madiha Rubaki</t>
  </si>
  <si>
    <t>PSS1352</t>
  </si>
  <si>
    <t>Sabbineni Vishnu Naga Sai Ram</t>
  </si>
  <si>
    <t>PSS1357</t>
  </si>
  <si>
    <t>Dulla Ashok</t>
  </si>
  <si>
    <t>PSS1358</t>
  </si>
  <si>
    <t>Suryaprakashreddy Devendrappagari</t>
  </si>
  <si>
    <t>PSS1380</t>
  </si>
  <si>
    <t>Pallala Karteek</t>
  </si>
  <si>
    <t>PEPPL April</t>
  </si>
  <si>
    <t>PEPPL0001</t>
  </si>
  <si>
    <t>Donta Krishnaiah</t>
  </si>
  <si>
    <t>2.78%</t>
  </si>
  <si>
    <t>PEPPL0012</t>
  </si>
  <si>
    <t>Prakash Chandra</t>
  </si>
  <si>
    <t>2.70%</t>
  </si>
  <si>
    <t>PEPPL0054</t>
  </si>
  <si>
    <t>Abdul Azeem Mohd</t>
  </si>
  <si>
    <t>26.82%</t>
  </si>
  <si>
    <t>17.00%</t>
  </si>
  <si>
    <t>PEPPL0126</t>
  </si>
  <si>
    <t>Rahul Mishra</t>
  </si>
  <si>
    <t>PEPPL0139</t>
  </si>
  <si>
    <t>Pritam Kumar Singh</t>
  </si>
  <si>
    <t>PEPPL0169</t>
  </si>
  <si>
    <t>Pratik R Khobarkhede</t>
  </si>
  <si>
    <t>5.48%</t>
  </si>
  <si>
    <t>PEPPL0235</t>
  </si>
  <si>
    <t>Masigandlu Manohar</t>
  </si>
  <si>
    <t>11.00%</t>
  </si>
  <si>
    <t>PEPPL0399</t>
  </si>
  <si>
    <t>Basaraju Vinod</t>
  </si>
  <si>
    <t>2.34%</t>
  </si>
  <si>
    <t>PEPPL0484</t>
  </si>
  <si>
    <t>Vadunala Ramesh</t>
  </si>
  <si>
    <t>28.76%</t>
  </si>
  <si>
    <t>PEPPL0546</t>
  </si>
  <si>
    <t>Mohan Preet Singh Khurana</t>
  </si>
  <si>
    <t>PEPPL0569</t>
  </si>
  <si>
    <t>Salman Raju Kakumanu</t>
  </si>
  <si>
    <t>34.00%</t>
  </si>
  <si>
    <t>PEPPL0571</t>
  </si>
  <si>
    <t>Mukesh Wankhere</t>
  </si>
  <si>
    <t>2.63%</t>
  </si>
  <si>
    <t>21.76%</t>
  </si>
  <si>
    <t>14.00%</t>
  </si>
  <si>
    <t>PEPPL0606</t>
  </si>
  <si>
    <t>Kishor Kamal</t>
  </si>
  <si>
    <t>30.00%</t>
  </si>
  <si>
    <t>PEPPL0659</t>
  </si>
  <si>
    <t>Devendra Rameshwar Verma</t>
  </si>
  <si>
    <t>6.66%</t>
  </si>
  <si>
    <t>PEPPL0660</t>
  </si>
  <si>
    <t>Kesaram Subash Reddy</t>
  </si>
  <si>
    <t>8.28%</t>
  </si>
  <si>
    <t>PEPPL0661</t>
  </si>
  <si>
    <t>Shashikanth.R</t>
  </si>
  <si>
    <t>1.67%</t>
  </si>
  <si>
    <t>PEPPL0719</t>
  </si>
  <si>
    <t>Bolishetti Ravindar</t>
  </si>
  <si>
    <t>43.94%</t>
  </si>
  <si>
    <t>PEIPL April</t>
  </si>
  <si>
    <t>PEIPL0666</t>
  </si>
  <si>
    <t>Gummadi Venkata siva Seshagiri</t>
  </si>
  <si>
    <t>0.00%</t>
  </si>
  <si>
    <t>PEIPL0705</t>
  </si>
  <si>
    <t>Manas Ranjan Dhir</t>
  </si>
  <si>
    <t>PEIPL0094</t>
  </si>
  <si>
    <t>Kushagra Srivastava</t>
  </si>
  <si>
    <t>8.53%</t>
  </si>
  <si>
    <t>8.57%</t>
  </si>
  <si>
    <t>PEIPL0278</t>
  </si>
  <si>
    <t>Krishna Kumar Mishra</t>
  </si>
  <si>
    <t>2.92%</t>
  </si>
  <si>
    <t>PEIPL0477</t>
  </si>
  <si>
    <t>Bellam Dhanush Reddy</t>
  </si>
  <si>
    <t>10.57%</t>
  </si>
  <si>
    <t>PEIPL0687</t>
  </si>
  <si>
    <t>Janumula Devendar</t>
  </si>
  <si>
    <t>16.07%</t>
  </si>
  <si>
    <t>PEIPL0694</t>
  </si>
  <si>
    <t>Neerudi chandra Shekhar</t>
  </si>
  <si>
    <t>9.89%</t>
  </si>
  <si>
    <t>PEIPL0696</t>
  </si>
  <si>
    <t>Akula Suman</t>
  </si>
  <si>
    <t>16.88%</t>
  </si>
  <si>
    <t>PEIPL0710</t>
  </si>
  <si>
    <t>Daitha Rajyalakshmi</t>
  </si>
  <si>
    <t>18.42%</t>
  </si>
  <si>
    <t>PEGEPL</t>
  </si>
  <si>
    <t>PEGEPL0008</t>
  </si>
  <si>
    <t>Sandrugu Prabhakar</t>
  </si>
  <si>
    <t>PEGEPL0012</t>
  </si>
  <si>
    <t>Donkana Rajababu</t>
  </si>
  <si>
    <t>PEGEPL0013</t>
  </si>
  <si>
    <t>Katla Durga Prasad</t>
  </si>
  <si>
    <t>25.00%</t>
  </si>
  <si>
    <t>PEGEPL0018</t>
  </si>
  <si>
    <t>Akula Rajini</t>
  </si>
  <si>
    <t>PEGEPL0019</t>
  </si>
  <si>
    <t>Gopani Narsimha</t>
  </si>
  <si>
    <t>PEGEPL0023</t>
  </si>
  <si>
    <t>Naikal Moses</t>
  </si>
  <si>
    <t>PEGEPL0024</t>
  </si>
  <si>
    <t>Amgoth Amber Singh</t>
  </si>
  <si>
    <t>Total</t>
  </si>
  <si>
    <t>Remarks</t>
  </si>
  <si>
    <t>Employee code</t>
  </si>
  <si>
    <t>Monthly rate</t>
  </si>
  <si>
    <t xml:space="preserve"> net take home</t>
  </si>
  <si>
    <t>Date of join</t>
  </si>
  <si>
    <t>PEGEPL0125</t>
  </si>
  <si>
    <t>Mulla Syed Mohammed Iliyas</t>
  </si>
  <si>
    <t>PEGEPL0129</t>
  </si>
  <si>
    <t>Shantanu Haldar</t>
  </si>
  <si>
    <t>PEGEPL0131</t>
  </si>
  <si>
    <t>Sujeet Kumar Singh</t>
  </si>
  <si>
    <t>PEGEPL0132</t>
  </si>
  <si>
    <t>Podila Santhosh Kumar</t>
  </si>
  <si>
    <t>PEGEPL0133</t>
  </si>
  <si>
    <t>Abhishek Panchal</t>
  </si>
  <si>
    <t>PEGEPL0135</t>
  </si>
  <si>
    <t>Bonthu Poleesu</t>
  </si>
  <si>
    <t>PEGEPL0136</t>
  </si>
  <si>
    <t>Varagani Sailaja</t>
  </si>
  <si>
    <t>PEIPL0795</t>
  </si>
  <si>
    <t>Archana Manikyam</t>
  </si>
  <si>
    <t>PEIPL0797</t>
  </si>
  <si>
    <t>Paidichetti Chanti</t>
  </si>
  <si>
    <t>PEIPL0801</t>
  </si>
  <si>
    <t>Chandan Biswal</t>
  </si>
  <si>
    <t>PEPPL0882</t>
  </si>
  <si>
    <t>Vikash Kumar Jha</t>
  </si>
  <si>
    <t>PEPPL0892</t>
  </si>
  <si>
    <t>Kankipati Mohan Satya Panduranga Pavan</t>
  </si>
  <si>
    <t>PSS1433</t>
  </si>
  <si>
    <t>MedikonduruVenkata Subba Rao</t>
  </si>
  <si>
    <t>Particulars</t>
  </si>
  <si>
    <t>As per GL</t>
  </si>
  <si>
    <t>As per Paysheet(Excl Bonus and car lease and arrears)</t>
  </si>
  <si>
    <t xml:space="preserve">Payroll liability </t>
  </si>
  <si>
    <t>PEPPL</t>
  </si>
  <si>
    <t>Payroll liability</t>
  </si>
  <si>
    <t>PEL</t>
  </si>
  <si>
    <t>Employee Number</t>
  </si>
  <si>
    <t>Employee Name</t>
  </si>
  <si>
    <t>Amount</t>
  </si>
  <si>
    <t>Beneficiary Account</t>
  </si>
  <si>
    <t>PEIPL0670</t>
  </si>
  <si>
    <t>Eriah Sukkala Meher Kanth</t>
  </si>
  <si>
    <t>PEIPL0363</t>
  </si>
  <si>
    <t>Venkatamohan mogilisetty</t>
  </si>
  <si>
    <t>PEIPL0243</t>
  </si>
  <si>
    <t>Sanket Khandke</t>
  </si>
  <si>
    <t>PEIPL0133</t>
  </si>
  <si>
    <t>S Nagalingam</t>
  </si>
  <si>
    <t>Not found</t>
  </si>
  <si>
    <t>Madharam Lalitha</t>
  </si>
  <si>
    <t>IA noted excess payment of Rs.2,77,161 to Jia Gaoqiang in the month of SEP 2024(PEPPL0835) when compared to Paysheet.
IA noted that an amount of Rs.4,94,780 to Jia Gaoqiang is payable as per Paysheet for the month of Jun 2024, But no payment is made as per bank sheet.</t>
  </si>
  <si>
    <t>Sl.no</t>
  </si>
  <si>
    <t>Query</t>
  </si>
  <si>
    <t>An amount of Rs.8,745 is paid to Pravendra kumar (PEPPL0700) in the month of June, even when date of leaving of the employee is 25/05/2024.</t>
  </si>
  <si>
    <t>Sampled</t>
  </si>
  <si>
    <t>Sampling to check mid-term hikes</t>
  </si>
  <si>
    <t>The amount paid is not found in paysheets, but as per explanation, Final settlements are processed through paysheets. Settlement slip to be provided.</t>
  </si>
  <si>
    <t>The amount paid is not found in paysheets, but as per explanation, Final settlements are processed through paysheets. Last salary paid in june.Settlement slip to be provided.</t>
  </si>
  <si>
    <t>The amount paid is not found in paysheets, but as per explanation, Final settlements are processed through paysheets. Last salary was hold in june to the extent of Rs.23,377. Settlement slip and explanation to be provided</t>
  </si>
  <si>
    <t>Rs.4,17,748 already paid through march sheet, reason for this additional payment. Settlement slip to be provided.</t>
  </si>
  <si>
    <t>Not found in March and April payslip, settlement slip to be provided.</t>
  </si>
  <si>
    <t>Settlement is already processed in march, Final settlement slip to be provided</t>
  </si>
  <si>
    <t>Details to be provided</t>
  </si>
  <si>
    <t>Auditee response</t>
  </si>
  <si>
    <t>Final settlement slip to be provided</t>
  </si>
  <si>
    <t>Excess payment is pertaining to July Aug arrears.
For June non-payment , Details are to be shared.</t>
  </si>
  <si>
    <t>Net excess/(Short)</t>
  </si>
  <si>
    <t>Fabcity/other</t>
  </si>
  <si>
    <t>Fabcity</t>
  </si>
  <si>
    <t>Corporate&amp;other</t>
  </si>
  <si>
    <t>Row Labels</t>
  </si>
  <si>
    <t>Grand Total</t>
  </si>
  <si>
    <t>Count of Fabcity/other</t>
  </si>
  <si>
    <t>Count of Sampling to check mid-term hikes</t>
  </si>
  <si>
    <t>Provided Settlement slip related to March on 01.11.2024. Reason for additional payment?</t>
  </si>
  <si>
    <t>Settlement slip provided.Amount matched</t>
  </si>
  <si>
    <t>Status</t>
  </si>
  <si>
    <t>Clear</t>
  </si>
  <si>
    <t>Settlement slip provided, reason for additional payment as compared to salary held in june?</t>
  </si>
  <si>
    <t>Provided Settlement slip related to January on 01.11.2024. Reason for additional payment?</t>
  </si>
  <si>
    <t>Not clear</t>
  </si>
  <si>
    <t>Reply on 01.11.2024</t>
  </si>
  <si>
    <t>Details not provided</t>
  </si>
  <si>
    <t>Fabcity/Other</t>
  </si>
  <si>
    <t>Approved by</t>
  </si>
  <si>
    <t>PEGEPL0016</t>
  </si>
  <si>
    <t>Matta Mary</t>
  </si>
  <si>
    <t>VP HR</t>
  </si>
  <si>
    <t>PEGEPL0017</t>
  </si>
  <si>
    <t>Nalla Eshwaramma</t>
  </si>
  <si>
    <t>PEIPL0589</t>
  </si>
  <si>
    <t>Parveen Kumar</t>
  </si>
  <si>
    <t>CPO and COO</t>
  </si>
  <si>
    <t>Corporate Office</t>
  </si>
  <si>
    <t>CFO</t>
  </si>
  <si>
    <t>City Office</t>
  </si>
  <si>
    <t>PEPPL0769</t>
  </si>
  <si>
    <t>Bukya Balaraju</t>
  </si>
  <si>
    <t>PSS0868</t>
  </si>
  <si>
    <t>S Naveen</t>
  </si>
  <si>
    <t>Factory-Annaram</t>
  </si>
  <si>
    <t>PEGEPL0026</t>
  </si>
  <si>
    <t>Maddila Satyanarayana</t>
  </si>
  <si>
    <t>DN Rao Sr.VP (TO)</t>
  </si>
  <si>
    <t>CPO</t>
  </si>
  <si>
    <t>DN Rao Sr.VP (TO) and VP (HR)</t>
  </si>
  <si>
    <t>Suman Akula</t>
  </si>
  <si>
    <t>N.Chandra Shekar</t>
  </si>
  <si>
    <t>CMD</t>
  </si>
  <si>
    <t>Designation</t>
  </si>
  <si>
    <t>CTC as per approved Increment file</t>
  </si>
  <si>
    <t>Current CTC</t>
  </si>
  <si>
    <t>VP HR(Not in PMS file)</t>
  </si>
  <si>
    <t>% Increment</t>
  </si>
  <si>
    <t>All the below cases are Mid term hikes(not in the approved PMS file)</t>
  </si>
  <si>
    <t>Reply as on 06.11</t>
  </si>
  <si>
    <t>Notice pay was held previously, hence there is a difference, settlement is processed correctly.</t>
  </si>
  <si>
    <t>Approval mail provided</t>
  </si>
  <si>
    <t>Refer paysheet YTD for chinese employee, complete salary</t>
  </si>
  <si>
    <t>Reply as on 06.11.2024</t>
  </si>
  <si>
    <t>Additional payment slips will be provided</t>
  </si>
  <si>
    <t>Mail evidence will be shared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</si>
</sst>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 #,##0_ ;_ * \-#,##0_ ;_ * &quot;-&quot;??_ ;_ @_ "/>
    <numFmt numFmtId="166" formatCode="_(* #,##0_);_(* \(#,##0\);_(* &quot;-&quot;??_);_(@_)"/>
  </numFmts>
  <fonts count="6">
    <font>
      <sz val="11"/>
      <color theme="1"/>
      <name val="Calibri"/>
      <family val="2"/>
      <scheme val="minor"/>
    </font>
    <font>
      <sz val="11"/>
      <color theme="1"/>
      <name val="Calibri"/>
      <family val="2"/>
      <scheme val="minor"/>
    </font>
    <font>
      <sz val="10"/>
      <color rgb="FF000000"/>
      <name val="Arial"/>
      <family val="2"/>
    </font>
    <font>
      <b/>
      <sz val="10"/>
      <color rgb="FF000000"/>
      <name val="Arial"/>
      <family val="2"/>
    </font>
    <font>
      <b/>
      <sz val="11"/>
      <color theme="1"/>
      <name val="Calibri"/>
      <family val="2"/>
      <scheme val="minor"/>
    </font>
    <font>
      <sz val="10"/>
      <color theme="1"/>
      <name val="Bok"/>
    </font>
  </fonts>
  <fills count="7">
    <fill>
      <patternFill patternType="none"/>
    </fill>
    <fill>
      <patternFill patternType="gray125"/>
    </fill>
    <fill>
      <patternFill patternType="solid">
        <fgColor rgb="FFB7B7B7"/>
        <bgColor rgb="FFB7B7B7"/>
      </patternFill>
    </fill>
    <fill>
      <patternFill patternType="solid">
        <fgColor rgb="FFB7B7B7"/>
      </patternFill>
    </fill>
    <fill>
      <patternFill patternType="solid">
        <fgColor rgb="FFFFFF00"/>
        <bgColor indexed="64"/>
      </patternFill>
    </fill>
    <fill>
      <patternFill patternType="solid">
        <fgColor indexed="13"/>
        <bgColor indexed="3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164" fontId="1" fillId="0" borderId="0" applyFont="0" applyFill="0" applyBorder="0" applyAlignment="0" applyProtection="0"/>
    <xf numFmtId="0" fontId="2" fillId="0" borderId="0"/>
    <xf numFmtId="9" fontId="1" fillId="0" borderId="0" applyFont="0" applyFill="0" applyBorder="0" applyAlignment="0" applyProtection="0"/>
  </cellStyleXfs>
  <cellXfs count="56">
    <xf numFmtId="0" fontId="0" fillId="0" borderId="0" xfId="0"/>
    <xf numFmtId="2" fontId="3" fillId="3" borderId="1" xfId="0" applyNumberFormat="1" applyFont="1" applyFill="1" applyBorder="1"/>
    <xf numFmtId="0" fontId="0" fillId="0" borderId="1" xfId="0" applyBorder="1"/>
    <xf numFmtId="2" fontId="0" fillId="0" borderId="1" xfId="0" applyNumberFormat="1" applyBorder="1"/>
    <xf numFmtId="0" fontId="3" fillId="0" borderId="0" xfId="2" applyFont="1" applyAlignment="1">
      <alignment horizontal="left"/>
    </xf>
    <xf numFmtId="2" fontId="3" fillId="0" borderId="0" xfId="0" applyNumberFormat="1" applyFont="1"/>
    <xf numFmtId="15" fontId="0" fillId="0" borderId="0" xfId="0" applyNumberFormat="1"/>
    <xf numFmtId="164" fontId="0" fillId="0" borderId="0" xfId="1" applyFont="1" applyFill="1" applyBorder="1"/>
    <xf numFmtId="0" fontId="3" fillId="2" borderId="1" xfId="0" applyFont="1" applyFill="1" applyBorder="1" applyAlignment="1">
      <alignment horizontal="center"/>
    </xf>
    <xf numFmtId="14" fontId="3" fillId="2" borderId="1" xfId="0" applyNumberFormat="1" applyFont="1" applyFill="1" applyBorder="1" applyAlignment="1">
      <alignment horizontal="center"/>
    </xf>
    <xf numFmtId="0" fontId="0" fillId="0" borderId="1" xfId="0" applyBorder="1" applyAlignment="1">
      <alignment horizontal="left"/>
    </xf>
    <xf numFmtId="14" fontId="0" fillId="0" borderId="1" xfId="0" applyNumberFormat="1" applyBorder="1" applyAlignment="1">
      <alignment horizontal="left"/>
    </xf>
    <xf numFmtId="2" fontId="0" fillId="0" borderId="0" xfId="0" applyNumberFormat="1"/>
    <xf numFmtId="0" fontId="4" fillId="0" borderId="0" xfId="0" applyFont="1"/>
    <xf numFmtId="0" fontId="3" fillId="3" borderId="1" xfId="0" applyFont="1" applyFill="1" applyBorder="1"/>
    <xf numFmtId="0" fontId="3" fillId="4" borderId="1" xfId="0" applyFont="1" applyFill="1" applyBorder="1" applyAlignment="1">
      <alignment wrapText="1"/>
    </xf>
    <xf numFmtId="0" fontId="3" fillId="4" borderId="1" xfId="0" applyFont="1" applyFill="1" applyBorder="1"/>
    <xf numFmtId="9" fontId="0" fillId="0" borderId="1" xfId="3" applyFont="1" applyBorder="1"/>
    <xf numFmtId="165" fontId="0" fillId="0" borderId="1" xfId="1" applyNumberFormat="1" applyFont="1" applyBorder="1"/>
    <xf numFmtId="165" fontId="4" fillId="0" borderId="0" xfId="0" applyNumberFormat="1" applyFont="1"/>
    <xf numFmtId="0" fontId="3" fillId="2" borderId="1" xfId="2" applyFont="1" applyFill="1" applyBorder="1" applyAlignment="1">
      <alignment horizontal="left" wrapText="1"/>
    </xf>
    <xf numFmtId="2" fontId="3" fillId="2" borderId="1" xfId="2" applyNumberFormat="1" applyFont="1" applyFill="1" applyBorder="1" applyAlignment="1">
      <alignment horizontal="left" wrapText="1"/>
    </xf>
    <xf numFmtId="0" fontId="3" fillId="3" borderId="1" xfId="0" applyFont="1" applyFill="1" applyBorder="1" applyAlignment="1">
      <alignment wrapText="1"/>
    </xf>
    <xf numFmtId="9" fontId="0" fillId="0" borderId="1" xfId="0" applyNumberFormat="1" applyBorder="1"/>
    <xf numFmtId="165" fontId="4" fillId="0" borderId="1" xfId="0" applyNumberFormat="1" applyFont="1" applyBorder="1"/>
    <xf numFmtId="166" fontId="0" fillId="0" borderId="1" xfId="1" applyNumberFormat="1" applyFont="1" applyBorder="1"/>
    <xf numFmtId="14" fontId="0" fillId="0" borderId="1" xfId="0" applyNumberFormat="1" applyBorder="1"/>
    <xf numFmtId="1" fontId="0" fillId="0" borderId="1" xfId="0" applyNumberFormat="1" applyBorder="1"/>
    <xf numFmtId="0" fontId="4" fillId="0" borderId="1" xfId="0" applyFont="1" applyBorder="1"/>
    <xf numFmtId="166" fontId="4" fillId="0" borderId="1" xfId="1" applyNumberFormat="1" applyFont="1" applyBorder="1"/>
    <xf numFmtId="0" fontId="4" fillId="0" borderId="1" xfId="0" applyFont="1" applyBorder="1" applyAlignment="1">
      <alignment wrapText="1"/>
    </xf>
    <xf numFmtId="1" fontId="0" fillId="0" borderId="1" xfId="0" applyNumberFormat="1" applyBorder="1" applyAlignment="1">
      <alignment horizontal="right"/>
    </xf>
    <xf numFmtId="1" fontId="0" fillId="0" borderId="1" xfId="0" quotePrefix="1" applyNumberFormat="1" applyBorder="1" applyAlignment="1">
      <alignment horizontal="right"/>
    </xf>
    <xf numFmtId="166" fontId="5" fillId="0" borderId="1" xfId="1" applyNumberFormat="1" applyFont="1" applyBorder="1" applyAlignment="1">
      <alignment horizontal="left"/>
    </xf>
    <xf numFmtId="1" fontId="5" fillId="0" borderId="1" xfId="0" applyNumberFormat="1" applyFont="1" applyBorder="1" applyAlignment="1">
      <alignment horizontal="right"/>
    </xf>
    <xf numFmtId="0" fontId="5" fillId="0" borderId="1" xfId="0" applyFont="1" applyBorder="1" applyAlignment="1">
      <alignment horizontal="left"/>
    </xf>
    <xf numFmtId="166" fontId="0" fillId="0" borderId="1" xfId="1" applyNumberFormat="1" applyFont="1" applyBorder="1" applyAlignment="1">
      <alignment horizontal="left"/>
    </xf>
    <xf numFmtId="166" fontId="4" fillId="0" borderId="1" xfId="0" applyNumberFormat="1" applyFont="1" applyBorder="1"/>
    <xf numFmtId="0" fontId="0" fillId="0" borderId="1" xfId="0" applyBorder="1" applyAlignment="1">
      <alignment wrapText="1"/>
    </xf>
    <xf numFmtId="0" fontId="3" fillId="6" borderId="1" xfId="0" applyFont="1" applyFill="1" applyBorder="1" applyAlignment="1">
      <alignment wrapText="1"/>
    </xf>
    <xf numFmtId="0" fontId="4" fillId="5" borderId="1" xfId="0" applyFont="1" applyFill="1" applyBorder="1" applyAlignment="1">
      <alignment horizontal="left"/>
    </xf>
    <xf numFmtId="164" fontId="4" fillId="5" borderId="1" xfId="1" applyFont="1" applyFill="1" applyBorder="1" applyAlignment="1" applyProtection="1">
      <alignment horizontal="left"/>
    </xf>
    <xf numFmtId="49" fontId="4" fillId="5" borderId="1" xfId="0" applyNumberFormat="1" applyFont="1" applyFill="1" applyBorder="1" applyAlignment="1">
      <alignment horizontal="left"/>
    </xf>
    <xf numFmtId="166" fontId="0" fillId="0" borderId="1" xfId="1" applyNumberFormat="1" applyFont="1" applyBorder="1" applyAlignment="1">
      <alignment wrapText="1"/>
    </xf>
    <xf numFmtId="166" fontId="0" fillId="0" borderId="1" xfId="0" applyNumberFormat="1" applyBorder="1"/>
    <xf numFmtId="165" fontId="0" fillId="0" borderId="1" xfId="0" applyNumberFormat="1" applyBorder="1"/>
    <xf numFmtId="0" fontId="0" fillId="0" borderId="0" xfId="0" pivotButton="1"/>
    <xf numFmtId="0" fontId="0" fillId="0" borderId="0" xfId="0" applyAlignment="1">
      <alignment horizontal="left"/>
    </xf>
    <xf numFmtId="49" fontId="4" fillId="5" borderId="2" xfId="0" applyNumberFormat="1" applyFont="1" applyFill="1" applyBorder="1" applyAlignment="1">
      <alignment horizontal="left"/>
    </xf>
    <xf numFmtId="0" fontId="0" fillId="0" borderId="2" xfId="0" applyBorder="1" applyAlignment="1">
      <alignment wrapText="1"/>
    </xf>
    <xf numFmtId="0" fontId="3" fillId="2" borderId="1" xfId="0" applyFont="1" applyFill="1" applyBorder="1"/>
    <xf numFmtId="0" fontId="3" fillId="2" borderId="1" xfId="0" applyFont="1" applyFill="1" applyBorder="1" applyAlignment="1">
      <alignment wrapText="1"/>
    </xf>
    <xf numFmtId="166" fontId="0" fillId="0" borderId="0" xfId="0" applyNumberFormat="1"/>
    <xf numFmtId="164" fontId="0" fillId="0" borderId="0" xfId="0" applyNumberFormat="1"/>
    <xf numFmtId="0" fontId="0" fillId="0" borderId="0" xfId="0" applyAlignment="1">
      <alignment wrapText="1"/>
    </xf>
    <xf numFmtId="0" fontId="4" fillId="0" borderId="3" xfId="0" applyFont="1" applyBorder="1"/>
  </cellXfs>
  <cellStyles count="4">
    <cellStyle name="Comma" xfId="1" builtinId="3"/>
    <cellStyle name="Normal" xfId="0" builtinId="0"/>
    <cellStyle name="Normal 2" xfId="2" xr:uid="{AB9FD16B-6F6F-4528-B572-13D3F560F477}"/>
    <cellStyle name="Percent"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tivitimf-my.sharepoint.com/personal/sai_sowmya_protivitiglobal_in/Documents/Premier%202024-25/Payrol/IA/Source%20verification/Snapshot_Report%20final%2002.10.xlsx" TargetMode="External"/><Relationship Id="rId1" Type="http://schemas.openxmlformats.org/officeDocument/2006/relationships/externalLinkPath" Target="https://protivitimf-my.sharepoint.com/personal/sai_sowmya_protivitiglobal_in/Documents/Premier%202024-25/Payrol/IA/Source%20verification/Snapshot_Report%20final%2002.1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rotivitimf-my.sharepoint.com/personal/sai_sowmya_protivitiglobal_in/Documents/Premier%202024-25/Payrol/IA/Payrol%20vs%20CTC%20vs%20MASTER%20vs%20GL%20vs%20Bank/Snapshot_Report%20(18).xlsx" TargetMode="External"/><Relationship Id="rId1" Type="http://schemas.openxmlformats.org/officeDocument/2006/relationships/externalLinkPath" Target="https://protivitimf-my.sharepoint.com/personal/sai_sowmya_protivitiglobal_in/Documents/Premier%202024-25/Payrol/IA/Payrol%20vs%20CTC%20vs%20MASTER%20vs%20GL%20vs%20Bank/Snapshot_Report%20(18).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protivitimf-my.sharepoint.com/personal/sai_sowmya_protivitiglobal_in/Documents/Premier%202024-25/Payrol/IA/Addition%20and%20exit%20review/Snapshot_Report%20final%2002.10.xlsx" TargetMode="External"/><Relationship Id="rId1" Type="http://schemas.openxmlformats.org/officeDocument/2006/relationships/externalLinkPath" Target="https://protivitimf-my.sharepoint.com/personal/sai_sowmya_protivitiglobal_in/Documents/Premier%202024-25/Payrol/IA/Addition%20and%20exit%20review/Snapshot_Report%20final%2002.10.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protivitimf-my.sharepoint.com/personal/sai_sowmya_protivitiglobal_in/Documents/Premier%202024-25/Payrol/IA/Increment%20review/CTC%20as%20per%20salary%20structure%20-WP.xlsx" TargetMode="External"/><Relationship Id="rId1" Type="http://schemas.openxmlformats.org/officeDocument/2006/relationships/externalLinkPath" Target="https://protivitimf-my.sharepoint.com/personal/sai_sowmya_protivitiglobal_in/Documents/Premier%202024-25/Payrol/IA/Increment%20review/CTC%20as%20per%20salary%20structure%20-W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its"/>
      <sheetName val="Sheet1"/>
      <sheetName val="Sheet2"/>
      <sheetName val="New employ excl ICT"/>
      <sheetName val="Snapshot_details"/>
      <sheetName val="Filters"/>
    </sheetNames>
    <sheetDataSet>
      <sheetData sheetId="0"/>
      <sheetData sheetId="1"/>
      <sheetData sheetId="2"/>
      <sheetData sheetId="3"/>
      <sheetData sheetId="4">
        <row r="1">
          <cell r="A1" t="str">
            <v>Employee Code</v>
          </cell>
          <cell r="AB1" t="str">
            <v>Sub branch</v>
          </cell>
        </row>
        <row r="2">
          <cell r="A2" t="str">
            <v>PSS1372</v>
          </cell>
          <cell r="AB2" t="str">
            <v>New Delhi</v>
          </cell>
        </row>
        <row r="3">
          <cell r="A3" t="str">
            <v>PEIPL0121</v>
          </cell>
          <cell r="AB3" t="str">
            <v>Corporate Office</v>
          </cell>
        </row>
        <row r="4">
          <cell r="A4" t="str">
            <v>PSS1321</v>
          </cell>
          <cell r="AB4" t="str">
            <v>Corporate Office</v>
          </cell>
        </row>
        <row r="5">
          <cell r="A5" t="str">
            <v>PSS0963</v>
          </cell>
          <cell r="AB5" t="str">
            <v>Corporate Office</v>
          </cell>
        </row>
        <row r="6">
          <cell r="A6" t="str">
            <v>PEIPL0032</v>
          </cell>
          <cell r="AB6" t="str">
            <v>Fabcity</v>
          </cell>
        </row>
        <row r="7">
          <cell r="A7" t="str">
            <v>PSS1434</v>
          </cell>
          <cell r="AB7" t="str">
            <v>Corporate Office</v>
          </cell>
        </row>
        <row r="8">
          <cell r="A8" t="str">
            <v>PSS1398</v>
          </cell>
          <cell r="AB8" t="str">
            <v>Corporate Office</v>
          </cell>
        </row>
        <row r="9">
          <cell r="A9" t="str">
            <v>PEPPL0340</v>
          </cell>
          <cell r="AB9" t="str">
            <v>Fabcity</v>
          </cell>
        </row>
        <row r="10">
          <cell r="A10" t="str">
            <v>PSS1332</v>
          </cell>
          <cell r="AB10" t="str">
            <v>Nagrota</v>
          </cell>
        </row>
        <row r="11">
          <cell r="A11" t="str">
            <v>PEPPL0024</v>
          </cell>
          <cell r="AB11" t="str">
            <v>Fabcity</v>
          </cell>
        </row>
        <row r="12">
          <cell r="A12" t="str">
            <v>PEPPL0837</v>
          </cell>
          <cell r="AB12" t="str">
            <v>Fabcity</v>
          </cell>
        </row>
        <row r="13">
          <cell r="A13" t="str">
            <v>PEPPL0858</v>
          </cell>
          <cell r="AB13" t="str">
            <v>Fabcity</v>
          </cell>
        </row>
        <row r="14">
          <cell r="A14" t="str">
            <v>PEIPL0256</v>
          </cell>
          <cell r="AB14" t="str">
            <v>Fabcity</v>
          </cell>
        </row>
        <row r="15">
          <cell r="A15" t="str">
            <v>PEGEPL0130</v>
          </cell>
          <cell r="AB15" t="str">
            <v>Fabcity</v>
          </cell>
        </row>
        <row r="16">
          <cell r="A16" t="str">
            <v>PEPPL0748</v>
          </cell>
          <cell r="AB16" t="str">
            <v>Fabcity</v>
          </cell>
        </row>
        <row r="17">
          <cell r="A17" t="str">
            <v>PSS1207</v>
          </cell>
          <cell r="AB17" t="str">
            <v>Munger</v>
          </cell>
        </row>
        <row r="18">
          <cell r="A18" t="str">
            <v>PEIPL0629</v>
          </cell>
          <cell r="AB18" t="str">
            <v>Fabcity</v>
          </cell>
        </row>
        <row r="19">
          <cell r="A19" t="str">
            <v>PEIPL0663</v>
          </cell>
          <cell r="AB19" t="str">
            <v>Fabcity</v>
          </cell>
        </row>
        <row r="20">
          <cell r="A20" t="str">
            <v>PEIPL0773</v>
          </cell>
          <cell r="AB20" t="str">
            <v>Fabcity</v>
          </cell>
        </row>
        <row r="21">
          <cell r="A21" t="str">
            <v>PSS1122</v>
          </cell>
          <cell r="AB21" t="str">
            <v>Begusarai</v>
          </cell>
        </row>
        <row r="22">
          <cell r="A22" t="str">
            <v>P0124</v>
          </cell>
          <cell r="AB22" t="str">
            <v>Deoghars</v>
          </cell>
        </row>
        <row r="23">
          <cell r="A23" t="str">
            <v>PEPPL0703</v>
          </cell>
          <cell r="AB23" t="str">
            <v>Fabcity</v>
          </cell>
        </row>
        <row r="24">
          <cell r="A24" t="str">
            <v>PEPPL0754</v>
          </cell>
          <cell r="AB24" t="str">
            <v>Fabcity</v>
          </cell>
        </row>
        <row r="25">
          <cell r="A25" t="str">
            <v>PEPPL0743</v>
          </cell>
          <cell r="AB25" t="str">
            <v>Fabcity</v>
          </cell>
        </row>
        <row r="26">
          <cell r="A26" t="str">
            <v>PEIPL0227</v>
          </cell>
          <cell r="AB26" t="str">
            <v>Fabcity</v>
          </cell>
        </row>
        <row r="27">
          <cell r="A27" t="str">
            <v>PEPPL0811</v>
          </cell>
          <cell r="AB27" t="str">
            <v>Fabcity</v>
          </cell>
        </row>
        <row r="28">
          <cell r="A28" t="str">
            <v>PEPPL0787</v>
          </cell>
          <cell r="AB28" t="str">
            <v>Fabcity</v>
          </cell>
        </row>
        <row r="29">
          <cell r="A29" t="str">
            <v>PEIPL0785</v>
          </cell>
          <cell r="AB29" t="str">
            <v>Fabcity</v>
          </cell>
        </row>
        <row r="30">
          <cell r="A30" t="str">
            <v>PEIPL0418</v>
          </cell>
          <cell r="AB30" t="str">
            <v>Fabcity</v>
          </cell>
        </row>
        <row r="31">
          <cell r="A31" t="str">
            <v>PSS0950</v>
          </cell>
          <cell r="AB31" t="str">
            <v>Mandsaur</v>
          </cell>
        </row>
        <row r="32">
          <cell r="A32" t="str">
            <v>PEGEPL0084</v>
          </cell>
          <cell r="AB32" t="str">
            <v>Fabcity</v>
          </cell>
        </row>
        <row r="33">
          <cell r="A33" t="str">
            <v>PEGEPL0085</v>
          </cell>
          <cell r="AB33" t="str">
            <v>Fabcity</v>
          </cell>
        </row>
        <row r="34">
          <cell r="A34" t="str">
            <v>PEIPL0767</v>
          </cell>
          <cell r="AB34" t="str">
            <v>Fabcity</v>
          </cell>
        </row>
        <row r="35">
          <cell r="A35" t="str">
            <v>PSS1125</v>
          </cell>
          <cell r="AB35" t="str">
            <v>Hisar - Haryana</v>
          </cell>
        </row>
        <row r="36">
          <cell r="A36" t="str">
            <v>PEPPL0824</v>
          </cell>
          <cell r="AB36" t="str">
            <v>Corporate Office</v>
          </cell>
        </row>
        <row r="37">
          <cell r="A37" t="str">
            <v>PEIPL0364</v>
          </cell>
          <cell r="AB37" t="str">
            <v>Fabcity</v>
          </cell>
        </row>
        <row r="38">
          <cell r="A38" t="str">
            <v>PEGEPL0108</v>
          </cell>
          <cell r="AB38" t="str">
            <v>Fabcity</v>
          </cell>
        </row>
        <row r="39">
          <cell r="A39" t="str">
            <v>PSS0807</v>
          </cell>
          <cell r="AB39" t="str">
            <v>Corporate Office</v>
          </cell>
        </row>
        <row r="40">
          <cell r="A40" t="str">
            <v>PSS0998</v>
          </cell>
          <cell r="AB40" t="str">
            <v>Corporate Office</v>
          </cell>
        </row>
        <row r="41">
          <cell r="A41" t="str">
            <v>PEIPL0275</v>
          </cell>
          <cell r="AB41" t="str">
            <v>Fabcity</v>
          </cell>
        </row>
        <row r="42">
          <cell r="A42" t="str">
            <v>PEIPL0087</v>
          </cell>
          <cell r="AB42" t="str">
            <v>Fabcity</v>
          </cell>
        </row>
        <row r="43">
          <cell r="A43" t="str">
            <v>PEPPL0426</v>
          </cell>
          <cell r="AB43" t="str">
            <v>Fabcity</v>
          </cell>
        </row>
        <row r="44">
          <cell r="A44" t="str">
            <v>PEPPL0849</v>
          </cell>
          <cell r="AB44" t="str">
            <v>Fabcity</v>
          </cell>
        </row>
        <row r="45">
          <cell r="A45" t="str">
            <v>PSS1298</v>
          </cell>
          <cell r="AB45" t="str">
            <v>Factory-Annaram</v>
          </cell>
        </row>
        <row r="46">
          <cell r="A46" t="str">
            <v>PSS1376</v>
          </cell>
          <cell r="AB46" t="str">
            <v>City Office</v>
          </cell>
        </row>
        <row r="47">
          <cell r="A47" t="str">
            <v>PEPPL0299</v>
          </cell>
          <cell r="AB47" t="str">
            <v>Fabcity</v>
          </cell>
        </row>
        <row r="48">
          <cell r="A48" t="str">
            <v>PEPPL0216</v>
          </cell>
          <cell r="AB48" t="str">
            <v>Fabcity</v>
          </cell>
        </row>
        <row r="49">
          <cell r="A49" t="str">
            <v>PEIPL0372</v>
          </cell>
          <cell r="AB49" t="str">
            <v>Fabcity</v>
          </cell>
        </row>
        <row r="50">
          <cell r="A50" t="str">
            <v>PEPPL0690</v>
          </cell>
          <cell r="AB50" t="str">
            <v>Fabcity</v>
          </cell>
        </row>
        <row r="51">
          <cell r="A51" t="str">
            <v>PEGEPL0052</v>
          </cell>
          <cell r="AB51" t="str">
            <v>Fabcity</v>
          </cell>
        </row>
        <row r="52">
          <cell r="A52" t="str">
            <v>PEPPL0271</v>
          </cell>
          <cell r="AB52" t="str">
            <v>Fabcity</v>
          </cell>
        </row>
        <row r="53">
          <cell r="A53" t="str">
            <v>PEPPL0526</v>
          </cell>
          <cell r="AB53" t="str">
            <v>Fabcity</v>
          </cell>
        </row>
        <row r="54">
          <cell r="A54" t="str">
            <v>PEIPL0692</v>
          </cell>
          <cell r="AB54" t="str">
            <v>Fabcity</v>
          </cell>
        </row>
        <row r="55">
          <cell r="A55" t="str">
            <v>PSS1002</v>
          </cell>
          <cell r="AB55" t="str">
            <v>Factory-Annaram</v>
          </cell>
        </row>
        <row r="56">
          <cell r="A56" t="str">
            <v>P0392</v>
          </cell>
          <cell r="AB56" t="str">
            <v>Kalinga</v>
          </cell>
        </row>
        <row r="57">
          <cell r="A57" t="str">
            <v>PEGEPL0002</v>
          </cell>
          <cell r="AB57" t="str">
            <v>Fabcity</v>
          </cell>
        </row>
        <row r="58">
          <cell r="A58" t="str">
            <v>PEPPL0535</v>
          </cell>
          <cell r="AB58" t="str">
            <v>Fabcity</v>
          </cell>
        </row>
        <row r="59">
          <cell r="A59" t="str">
            <v>PEIPL0551</v>
          </cell>
          <cell r="AB59" t="str">
            <v>Fabcity</v>
          </cell>
        </row>
        <row r="60">
          <cell r="A60" t="str">
            <v>PEIPL0498</v>
          </cell>
          <cell r="AB60" t="str">
            <v>Fabcity</v>
          </cell>
        </row>
        <row r="61">
          <cell r="A61" t="str">
            <v>PEGEPL0034</v>
          </cell>
          <cell r="AB61" t="str">
            <v>Fabcity</v>
          </cell>
        </row>
        <row r="62">
          <cell r="A62" t="str">
            <v>PSS0905</v>
          </cell>
          <cell r="AB62" t="str">
            <v>Factory-Annaram</v>
          </cell>
        </row>
        <row r="63">
          <cell r="A63" t="str">
            <v>PEPPL0577</v>
          </cell>
          <cell r="AB63" t="str">
            <v>Fabcity</v>
          </cell>
        </row>
        <row r="64">
          <cell r="A64" t="str">
            <v>PEPPL0686</v>
          </cell>
          <cell r="AB64" t="str">
            <v>Fabcity</v>
          </cell>
        </row>
        <row r="65">
          <cell r="A65" t="str">
            <v>PSS0572</v>
          </cell>
          <cell r="AB65" t="str">
            <v>Factory-Annaram</v>
          </cell>
        </row>
        <row r="66">
          <cell r="A66" t="str">
            <v>PEPPL0347</v>
          </cell>
          <cell r="AB66" t="str">
            <v>Fabcity</v>
          </cell>
        </row>
        <row r="67">
          <cell r="A67" t="str">
            <v>PEPPL0693</v>
          </cell>
          <cell r="AB67" t="str">
            <v>Fabcity</v>
          </cell>
        </row>
        <row r="68">
          <cell r="A68" t="str">
            <v>PSS1292</v>
          </cell>
          <cell r="AB68" t="str">
            <v>Corporate Office</v>
          </cell>
        </row>
        <row r="69">
          <cell r="A69" t="str">
            <v>PSS1423</v>
          </cell>
          <cell r="AB69" t="str">
            <v>Corporate Office</v>
          </cell>
        </row>
        <row r="70">
          <cell r="A70" t="str">
            <v>PEPPL0188</v>
          </cell>
          <cell r="AB70" t="str">
            <v>Fabcity</v>
          </cell>
        </row>
        <row r="71">
          <cell r="A71" t="str">
            <v>PEPPL0696</v>
          </cell>
          <cell r="AB71" t="str">
            <v>Fabcity</v>
          </cell>
        </row>
        <row r="72">
          <cell r="A72" t="str">
            <v>PSS0449</v>
          </cell>
          <cell r="AB72" t="str">
            <v>Factory-Annaram</v>
          </cell>
        </row>
        <row r="73">
          <cell r="A73" t="str">
            <v>PEIPL0369</v>
          </cell>
          <cell r="AB73" t="str">
            <v>Fabcity</v>
          </cell>
        </row>
        <row r="74">
          <cell r="A74" t="str">
            <v>PSS1401</v>
          </cell>
          <cell r="AB74" t="str">
            <v>Fabcity</v>
          </cell>
        </row>
        <row r="75">
          <cell r="A75" t="str">
            <v>PEIPL0456</v>
          </cell>
          <cell r="AB75" t="str">
            <v>Fabcity</v>
          </cell>
        </row>
        <row r="76">
          <cell r="A76" t="str">
            <v>PEPPL0536</v>
          </cell>
          <cell r="AB76" t="str">
            <v>Fabcity</v>
          </cell>
        </row>
        <row r="77">
          <cell r="A77" t="str">
            <v>PEPPL0715</v>
          </cell>
          <cell r="AB77" t="str">
            <v>Fabcity</v>
          </cell>
        </row>
        <row r="78">
          <cell r="A78" t="str">
            <v>PSS1164</v>
          </cell>
          <cell r="AB78" t="str">
            <v>City Office</v>
          </cell>
        </row>
        <row r="79">
          <cell r="A79" t="str">
            <v>PEPPL0581</v>
          </cell>
          <cell r="AB79" t="str">
            <v>Fabcity</v>
          </cell>
        </row>
        <row r="80">
          <cell r="A80" t="str">
            <v>PEPPL0854</v>
          </cell>
          <cell r="AB80" t="str">
            <v>Fabcity</v>
          </cell>
        </row>
        <row r="81">
          <cell r="A81" t="str">
            <v>PEIPL0798</v>
          </cell>
          <cell r="AB81" t="str">
            <v>Fabcity</v>
          </cell>
        </row>
        <row r="82">
          <cell r="A82" t="str">
            <v>PEPPL0310</v>
          </cell>
          <cell r="AB82" t="str">
            <v>Fabcity</v>
          </cell>
        </row>
        <row r="83">
          <cell r="A83" t="str">
            <v>PEGEPL0101</v>
          </cell>
          <cell r="AB83" t="str">
            <v>Fabcity</v>
          </cell>
        </row>
        <row r="84">
          <cell r="A84" t="str">
            <v>PEPPL0378</v>
          </cell>
          <cell r="AB84" t="str">
            <v>Fabcity</v>
          </cell>
        </row>
        <row r="85">
          <cell r="A85" t="str">
            <v>PEGEPL0035</v>
          </cell>
          <cell r="AB85" t="str">
            <v>Fabcity</v>
          </cell>
        </row>
        <row r="86">
          <cell r="A86" t="str">
            <v>PEPPL0735</v>
          </cell>
          <cell r="AB86" t="str">
            <v>Fabcity</v>
          </cell>
        </row>
        <row r="87">
          <cell r="A87" t="str">
            <v>PSS0764</v>
          </cell>
          <cell r="AB87" t="str">
            <v>Corporate Office</v>
          </cell>
        </row>
        <row r="88">
          <cell r="A88" t="str">
            <v>PEIPL0714</v>
          </cell>
          <cell r="AB88" t="str">
            <v>Fabcity</v>
          </cell>
        </row>
        <row r="89">
          <cell r="A89" t="str">
            <v>PEPPL0326</v>
          </cell>
          <cell r="AB89" t="str">
            <v>Fabcity</v>
          </cell>
        </row>
        <row r="90">
          <cell r="A90" t="str">
            <v>PEPPL0721</v>
          </cell>
          <cell r="AB90" t="str">
            <v>Fabcity</v>
          </cell>
        </row>
        <row r="91">
          <cell r="A91" t="str">
            <v>PEPPL0679</v>
          </cell>
          <cell r="AB91" t="str">
            <v>Fabcity</v>
          </cell>
        </row>
        <row r="92">
          <cell r="A92" t="str">
            <v>PEPPL0219</v>
          </cell>
          <cell r="AB92" t="str">
            <v>Fabcity</v>
          </cell>
        </row>
        <row r="93">
          <cell r="A93" t="str">
            <v>PEPPL0488</v>
          </cell>
          <cell r="AB93" t="str">
            <v>Fabcity</v>
          </cell>
        </row>
        <row r="94">
          <cell r="A94" t="str">
            <v>PEPPL0432</v>
          </cell>
          <cell r="AB94" t="str">
            <v>Fabcity</v>
          </cell>
        </row>
        <row r="95">
          <cell r="A95" t="str">
            <v>PEIPL0580</v>
          </cell>
          <cell r="AB95" t="str">
            <v>Fabcity</v>
          </cell>
        </row>
        <row r="96">
          <cell r="A96" t="str">
            <v>PSS1205</v>
          </cell>
          <cell r="AB96" t="str">
            <v>Corporate Office</v>
          </cell>
        </row>
        <row r="97">
          <cell r="A97" t="str">
            <v>PSS0355</v>
          </cell>
          <cell r="AB97" t="str">
            <v>Factory-Annaram</v>
          </cell>
        </row>
        <row r="98">
          <cell r="A98" t="str">
            <v>PEIPL0517</v>
          </cell>
          <cell r="AB98" t="str">
            <v>Fabcity</v>
          </cell>
        </row>
        <row r="99">
          <cell r="A99" t="str">
            <v>PEIPL0125</v>
          </cell>
          <cell r="AB99" t="str">
            <v>Fabcity</v>
          </cell>
        </row>
        <row r="100">
          <cell r="A100" t="str">
            <v>PEIPL0047</v>
          </cell>
          <cell r="AB100" t="str">
            <v>Fabcity</v>
          </cell>
        </row>
        <row r="101">
          <cell r="A101" t="str">
            <v>PEIPL0805</v>
          </cell>
          <cell r="AB101" t="str">
            <v>Fabcity</v>
          </cell>
        </row>
        <row r="102">
          <cell r="A102" t="str">
            <v>PSS0792</v>
          </cell>
          <cell r="AB102" t="str">
            <v>Fabcity</v>
          </cell>
        </row>
        <row r="103">
          <cell r="A103" t="str">
            <v>PEGEPL0141</v>
          </cell>
          <cell r="AB103" t="str">
            <v>Fabcity</v>
          </cell>
        </row>
        <row r="104">
          <cell r="A104" t="str">
            <v>PSS1150</v>
          </cell>
          <cell r="AB104" t="str">
            <v>Factory-Annaram</v>
          </cell>
        </row>
        <row r="105">
          <cell r="A105" t="str">
            <v>PEPPL0287</v>
          </cell>
          <cell r="AB105" t="str">
            <v>Fabcity</v>
          </cell>
        </row>
        <row r="106">
          <cell r="A106" t="str">
            <v>PEGEPL0096</v>
          </cell>
          <cell r="AB106" t="str">
            <v>Fabcity</v>
          </cell>
        </row>
        <row r="107">
          <cell r="A107" t="str">
            <v>PEIPL0132</v>
          </cell>
          <cell r="AB107" t="str">
            <v>Fabcity</v>
          </cell>
        </row>
        <row r="108">
          <cell r="A108" t="str">
            <v>PEIPL0528</v>
          </cell>
          <cell r="AB108" t="str">
            <v>Fabcity</v>
          </cell>
        </row>
        <row r="109">
          <cell r="A109" t="str">
            <v>PSS1198</v>
          </cell>
          <cell r="AB109" t="str">
            <v>Factory-Annaram</v>
          </cell>
        </row>
        <row r="110">
          <cell r="A110" t="str">
            <v>PEIPL0801</v>
          </cell>
          <cell r="AB110" t="str">
            <v>Fabcity</v>
          </cell>
        </row>
        <row r="111">
          <cell r="A111" t="str">
            <v>PEPPL0467</v>
          </cell>
          <cell r="AB111" t="str">
            <v>Fabcity</v>
          </cell>
        </row>
        <row r="112">
          <cell r="A112" t="str">
            <v>PEGEPL0060</v>
          </cell>
          <cell r="AB112" t="str">
            <v>Fabcity</v>
          </cell>
        </row>
        <row r="113">
          <cell r="A113" t="str">
            <v>P0338</v>
          </cell>
          <cell r="AB113" t="str">
            <v>Kanva</v>
          </cell>
        </row>
        <row r="114">
          <cell r="A114" t="str">
            <v>P0359</v>
          </cell>
          <cell r="AB114" t="str">
            <v>Hubli</v>
          </cell>
        </row>
        <row r="115">
          <cell r="A115" t="str">
            <v>BDPL0007</v>
          </cell>
          <cell r="AB115" t="str">
            <v>Shigli</v>
          </cell>
        </row>
        <row r="116">
          <cell r="A116" t="str">
            <v>P0347</v>
          </cell>
          <cell r="AB116" t="str">
            <v>Shigli</v>
          </cell>
        </row>
        <row r="117">
          <cell r="A117" t="str">
            <v>P0478</v>
          </cell>
          <cell r="AB117" t="str">
            <v>Shigli</v>
          </cell>
        </row>
        <row r="118">
          <cell r="A118" t="str">
            <v>PEIPL0232</v>
          </cell>
          <cell r="AB118" t="str">
            <v>Fabcity</v>
          </cell>
        </row>
        <row r="119">
          <cell r="A119" t="str">
            <v>P0449</v>
          </cell>
          <cell r="AB119" t="str">
            <v>CEMCOT</v>
          </cell>
        </row>
        <row r="120">
          <cell r="A120" t="str">
            <v>PEIPL0545</v>
          </cell>
          <cell r="AB120" t="str">
            <v>Fabcity</v>
          </cell>
        </row>
        <row r="121">
          <cell r="A121" t="str">
            <v>PEPPL0665</v>
          </cell>
          <cell r="AB121" t="str">
            <v>Fabcity</v>
          </cell>
        </row>
        <row r="122">
          <cell r="A122" t="str">
            <v>PEIPL0796</v>
          </cell>
          <cell r="AB122" t="str">
            <v>Fabcity</v>
          </cell>
        </row>
        <row r="123">
          <cell r="A123" t="str">
            <v>PEGEPL0044</v>
          </cell>
          <cell r="AB123" t="str">
            <v>Fabcity</v>
          </cell>
        </row>
        <row r="124">
          <cell r="A124" t="str">
            <v>PEIPL0538</v>
          </cell>
          <cell r="AB124" t="str">
            <v>Fabcity</v>
          </cell>
        </row>
        <row r="125">
          <cell r="A125" t="str">
            <v>PEPPL0611</v>
          </cell>
          <cell r="AB125" t="str">
            <v>Fabcity</v>
          </cell>
        </row>
        <row r="126">
          <cell r="A126" t="str">
            <v>PEGEPL0070</v>
          </cell>
          <cell r="AB126" t="str">
            <v>Fabcity</v>
          </cell>
        </row>
        <row r="127">
          <cell r="A127" t="str">
            <v>PEPPL0687</v>
          </cell>
          <cell r="AB127" t="str">
            <v>Fabcity</v>
          </cell>
        </row>
        <row r="128">
          <cell r="A128" t="str">
            <v>PEPPL0325</v>
          </cell>
          <cell r="AB128" t="str">
            <v>Fabcity</v>
          </cell>
        </row>
        <row r="129">
          <cell r="A129" t="str">
            <v>PEIPL0171</v>
          </cell>
          <cell r="AB129" t="str">
            <v>Fabcity</v>
          </cell>
        </row>
        <row r="130">
          <cell r="A130" t="str">
            <v>PEPPL0330</v>
          </cell>
          <cell r="AB130" t="str">
            <v>Fabcity</v>
          </cell>
        </row>
        <row r="131">
          <cell r="A131" t="str">
            <v>PEPPL0838</v>
          </cell>
          <cell r="AB131" t="str">
            <v>Fabcity</v>
          </cell>
        </row>
        <row r="132">
          <cell r="A132" t="str">
            <v>PEPPL0880</v>
          </cell>
          <cell r="AB132" t="str">
            <v>Fabcity</v>
          </cell>
        </row>
        <row r="133">
          <cell r="A133" t="str">
            <v>PEGEPL0022</v>
          </cell>
          <cell r="AB133" t="str">
            <v>Fabcity</v>
          </cell>
        </row>
        <row r="134">
          <cell r="A134" t="str">
            <v>PEIPL0695</v>
          </cell>
          <cell r="AB134" t="str">
            <v>Fabcity</v>
          </cell>
        </row>
        <row r="135">
          <cell r="A135" t="str">
            <v>PSS1109</v>
          </cell>
          <cell r="AB135" t="str">
            <v>Factory-Annaram</v>
          </cell>
        </row>
        <row r="136">
          <cell r="A136" t="str">
            <v>PEIPL0790</v>
          </cell>
          <cell r="AB136" t="str">
            <v>Fabcity</v>
          </cell>
        </row>
        <row r="137">
          <cell r="A137" t="str">
            <v>P0452</v>
          </cell>
          <cell r="AB137" t="str">
            <v>CEMCOT</v>
          </cell>
        </row>
        <row r="138">
          <cell r="A138" t="str">
            <v>P0467</v>
          </cell>
          <cell r="AB138" t="str">
            <v>CEMCOT</v>
          </cell>
        </row>
        <row r="139">
          <cell r="A139" t="str">
            <v>P0451</v>
          </cell>
          <cell r="AB139" t="str">
            <v>CEMCOT</v>
          </cell>
        </row>
        <row r="140">
          <cell r="A140" t="str">
            <v>PEPPL0610</v>
          </cell>
          <cell r="AB140" t="str">
            <v>Fabcity</v>
          </cell>
        </row>
        <row r="141">
          <cell r="A141" t="str">
            <v>PEIPL0740</v>
          </cell>
          <cell r="AB141" t="str">
            <v>Fabcity</v>
          </cell>
        </row>
        <row r="142">
          <cell r="A142" t="str">
            <v>P0368</v>
          </cell>
          <cell r="AB142" t="str">
            <v>Vikas Nagar</v>
          </cell>
        </row>
        <row r="143">
          <cell r="A143" t="str">
            <v>P0255</v>
          </cell>
          <cell r="AB143" t="str">
            <v>Vikas Nagar</v>
          </cell>
        </row>
        <row r="144">
          <cell r="A144" t="str">
            <v>PEIPL0327</v>
          </cell>
          <cell r="AB144" t="str">
            <v>Fabcity</v>
          </cell>
        </row>
        <row r="145">
          <cell r="A145" t="str">
            <v>P0295</v>
          </cell>
          <cell r="AB145" t="str">
            <v>Vikas Nagar</v>
          </cell>
        </row>
        <row r="146">
          <cell r="A146" t="str">
            <v>P0427</v>
          </cell>
          <cell r="AB146" t="str">
            <v>Greater Noida BPCL</v>
          </cell>
        </row>
        <row r="147">
          <cell r="A147" t="str">
            <v>P0502</v>
          </cell>
          <cell r="AB147" t="str">
            <v>Vikas Nagar</v>
          </cell>
        </row>
        <row r="148">
          <cell r="A148" t="str">
            <v>PSS1313</v>
          </cell>
          <cell r="AB148" t="str">
            <v>Factory-Annaram</v>
          </cell>
        </row>
        <row r="149">
          <cell r="A149" t="str">
            <v>PSS0948</v>
          </cell>
          <cell r="AB149" t="str">
            <v>Bhopal</v>
          </cell>
        </row>
        <row r="150">
          <cell r="A150" t="str">
            <v>PEPPL0848</v>
          </cell>
          <cell r="AB150" t="str">
            <v>Fabcity</v>
          </cell>
        </row>
        <row r="151">
          <cell r="A151" t="str">
            <v>PEIPL0071</v>
          </cell>
          <cell r="AB151" t="str">
            <v>Fabcity</v>
          </cell>
        </row>
        <row r="152">
          <cell r="A152" t="str">
            <v>PEIPL0022</v>
          </cell>
          <cell r="AB152" t="str">
            <v>Fabcity</v>
          </cell>
        </row>
        <row r="153">
          <cell r="A153" t="str">
            <v>PEPPL0128</v>
          </cell>
          <cell r="AB153" t="str">
            <v>Fabcity</v>
          </cell>
        </row>
        <row r="154">
          <cell r="A154" t="str">
            <v>PEPPL0403</v>
          </cell>
          <cell r="AB154" t="str">
            <v>Fabcity</v>
          </cell>
        </row>
        <row r="155">
          <cell r="A155" t="str">
            <v>PEIPL0167</v>
          </cell>
          <cell r="AB155" t="str">
            <v>Fabcity</v>
          </cell>
        </row>
        <row r="156">
          <cell r="A156" t="str">
            <v>PEIPL0616</v>
          </cell>
          <cell r="AB156" t="str">
            <v>Fabcity</v>
          </cell>
        </row>
        <row r="157">
          <cell r="A157" t="str">
            <v>PEPPL0027</v>
          </cell>
          <cell r="AB157" t="str">
            <v>Fabcity</v>
          </cell>
        </row>
        <row r="158">
          <cell r="A158" t="str">
            <v>PEGEPL0131</v>
          </cell>
          <cell r="AB158" t="str">
            <v>Fabcity</v>
          </cell>
        </row>
        <row r="159">
          <cell r="A159" t="str">
            <v>PEIPL0067</v>
          </cell>
          <cell r="AB159" t="str">
            <v>Fabcity</v>
          </cell>
        </row>
        <row r="160">
          <cell r="A160" t="str">
            <v>PSS1015</v>
          </cell>
          <cell r="AB160" t="str">
            <v>Banka</v>
          </cell>
        </row>
        <row r="161">
          <cell r="A161" t="str">
            <v>PSS1018</v>
          </cell>
          <cell r="AB161" t="str">
            <v>Banka</v>
          </cell>
        </row>
        <row r="162">
          <cell r="A162" t="str">
            <v>PEIPL0667</v>
          </cell>
          <cell r="AB162" t="str">
            <v>Fabcity</v>
          </cell>
        </row>
        <row r="163">
          <cell r="A163" t="str">
            <v>P0419</v>
          </cell>
          <cell r="AB163" t="str">
            <v>Deoghars</v>
          </cell>
        </row>
        <row r="164">
          <cell r="A164" t="str">
            <v>PEPPL0041</v>
          </cell>
          <cell r="AB164" t="str">
            <v>Corporate Office</v>
          </cell>
        </row>
        <row r="165">
          <cell r="A165" t="str">
            <v>PEIPL0099</v>
          </cell>
          <cell r="AB165" t="str">
            <v>Fabcity</v>
          </cell>
        </row>
        <row r="166">
          <cell r="A166" t="str">
            <v>PEPPL0706</v>
          </cell>
          <cell r="AB166" t="str">
            <v>Fabcity</v>
          </cell>
        </row>
        <row r="167">
          <cell r="A167" t="str">
            <v>PEPPL0113</v>
          </cell>
          <cell r="AB167" t="str">
            <v>Fabcity</v>
          </cell>
        </row>
        <row r="168">
          <cell r="A168" t="str">
            <v>PEIPL0083</v>
          </cell>
          <cell r="AB168" t="str">
            <v>Fabcity</v>
          </cell>
        </row>
        <row r="169">
          <cell r="A169" t="str">
            <v>PEIPL0231</v>
          </cell>
          <cell r="AB169" t="str">
            <v>Fabcity</v>
          </cell>
        </row>
        <row r="170">
          <cell r="A170" t="str">
            <v>PEPPL0443</v>
          </cell>
          <cell r="AB170" t="str">
            <v>Fabcity</v>
          </cell>
        </row>
        <row r="171">
          <cell r="A171" t="str">
            <v>PEPPL0135</v>
          </cell>
          <cell r="AB171" t="str">
            <v>Fabcity</v>
          </cell>
        </row>
        <row r="172">
          <cell r="A172" t="str">
            <v>PEIPL0636</v>
          </cell>
          <cell r="AB172" t="str">
            <v>Fabcity</v>
          </cell>
        </row>
        <row r="173">
          <cell r="A173" t="str">
            <v>PEPPL0663</v>
          </cell>
          <cell r="AB173" t="str">
            <v>Fabcity</v>
          </cell>
        </row>
        <row r="174">
          <cell r="A174" t="str">
            <v>PEPPL0784</v>
          </cell>
          <cell r="AB174" t="str">
            <v>Fabcity</v>
          </cell>
        </row>
        <row r="175">
          <cell r="A175" t="str">
            <v>PEIPL0443</v>
          </cell>
          <cell r="AB175" t="str">
            <v>Fabcity</v>
          </cell>
        </row>
        <row r="176">
          <cell r="A176" t="str">
            <v>PEPPL0089</v>
          </cell>
          <cell r="AB176" t="str">
            <v>Fabcity</v>
          </cell>
        </row>
        <row r="177">
          <cell r="A177" t="str">
            <v>PEPPL0337</v>
          </cell>
          <cell r="AB177" t="str">
            <v>Fabcity</v>
          </cell>
        </row>
        <row r="178">
          <cell r="A178" t="str">
            <v>PSS1156</v>
          </cell>
          <cell r="AB178" t="str">
            <v>Corporate Office</v>
          </cell>
        </row>
        <row r="179">
          <cell r="A179" t="str">
            <v>PSS0965</v>
          </cell>
          <cell r="AB179" t="str">
            <v>Corporate Office</v>
          </cell>
        </row>
        <row r="180">
          <cell r="A180" t="str">
            <v>PSS1095</v>
          </cell>
          <cell r="AB180" t="str">
            <v>Corporate Office</v>
          </cell>
        </row>
        <row r="181">
          <cell r="A181" t="str">
            <v>PSS0879</v>
          </cell>
          <cell r="AB181" t="str">
            <v>Factory-Annaram</v>
          </cell>
        </row>
        <row r="182">
          <cell r="A182" t="str">
            <v>PEIPL0513</v>
          </cell>
          <cell r="AB182" t="str">
            <v>Fabcity</v>
          </cell>
        </row>
        <row r="183">
          <cell r="A183" t="str">
            <v>PSS0910</v>
          </cell>
          <cell r="AB183" t="str">
            <v>Factory-Annaram</v>
          </cell>
        </row>
        <row r="184">
          <cell r="A184" t="str">
            <v>PEIPL0287</v>
          </cell>
          <cell r="AB184" t="str">
            <v>Fabcity</v>
          </cell>
        </row>
        <row r="185">
          <cell r="A185" t="str">
            <v>PEPPL0177</v>
          </cell>
          <cell r="AB185" t="str">
            <v>Fabcity</v>
          </cell>
        </row>
        <row r="186">
          <cell r="A186" t="str">
            <v>PEIPL0720</v>
          </cell>
          <cell r="AB186" t="str">
            <v>Fabcity</v>
          </cell>
        </row>
        <row r="187">
          <cell r="A187" t="str">
            <v>PEIPL0630</v>
          </cell>
          <cell r="AB187" t="str">
            <v>Fabcity</v>
          </cell>
        </row>
        <row r="188">
          <cell r="A188" t="str">
            <v>PSS1028</v>
          </cell>
          <cell r="AB188" t="str">
            <v>Bainsa</v>
          </cell>
        </row>
        <row r="189">
          <cell r="A189" t="str">
            <v>PEPPL0341</v>
          </cell>
          <cell r="AB189" t="str">
            <v>Fabcity</v>
          </cell>
        </row>
        <row r="190">
          <cell r="A190" t="str">
            <v>PSS1391</v>
          </cell>
          <cell r="AB190" t="str">
            <v>Corporate Office</v>
          </cell>
        </row>
        <row r="191">
          <cell r="A191" t="str">
            <v>PEIPL0319</v>
          </cell>
          <cell r="AB191" t="str">
            <v>Fabcity</v>
          </cell>
        </row>
        <row r="192">
          <cell r="A192" t="str">
            <v>PEIPL0400</v>
          </cell>
          <cell r="AB192" t="str">
            <v>Fabcity</v>
          </cell>
        </row>
        <row r="193">
          <cell r="A193" t="str">
            <v>PEIPL0774</v>
          </cell>
          <cell r="AB193" t="str">
            <v>Fabcity</v>
          </cell>
        </row>
        <row r="194">
          <cell r="A194" t="str">
            <v>PSS1355</v>
          </cell>
          <cell r="AB194" t="str">
            <v>Greater Noida BPCL</v>
          </cell>
        </row>
        <row r="195">
          <cell r="A195" t="str">
            <v>PEPPL0045</v>
          </cell>
          <cell r="AB195" t="str">
            <v>Fabcity</v>
          </cell>
        </row>
        <row r="196">
          <cell r="A196" t="str">
            <v>PSS1405</v>
          </cell>
          <cell r="AB196" t="str">
            <v>Corporate Office</v>
          </cell>
        </row>
        <row r="197">
          <cell r="A197" t="str">
            <v>PEPPL0292</v>
          </cell>
          <cell r="AB197" t="str">
            <v>Fabcity</v>
          </cell>
        </row>
        <row r="198">
          <cell r="A198" t="str">
            <v>PEIPL0431</v>
          </cell>
          <cell r="AB198" t="str">
            <v>Fabcity</v>
          </cell>
        </row>
        <row r="199">
          <cell r="A199" t="str">
            <v>P0503</v>
          </cell>
          <cell r="AB199" t="str">
            <v>Karnataka</v>
          </cell>
        </row>
        <row r="200">
          <cell r="A200" t="str">
            <v>PEIPL0621</v>
          </cell>
          <cell r="AB200" t="str">
            <v>Fabcity</v>
          </cell>
        </row>
        <row r="201">
          <cell r="A201" t="str">
            <v>PSS1310</v>
          </cell>
          <cell r="AB201" t="str">
            <v>Yavatmal</v>
          </cell>
        </row>
        <row r="202">
          <cell r="A202" t="str">
            <v>PEPPL0525</v>
          </cell>
          <cell r="AB202" t="str">
            <v>Fabcity</v>
          </cell>
        </row>
        <row r="203">
          <cell r="A203" t="str">
            <v>PEPPL0203</v>
          </cell>
          <cell r="AB203" t="str">
            <v>Fabcity</v>
          </cell>
        </row>
        <row r="204">
          <cell r="A204" t="str">
            <v>BDPL0005</v>
          </cell>
          <cell r="AB204" t="str">
            <v>Bidar</v>
          </cell>
        </row>
        <row r="205">
          <cell r="A205" t="str">
            <v>P0332</v>
          </cell>
          <cell r="AB205" t="str">
            <v>Bidar</v>
          </cell>
        </row>
        <row r="206">
          <cell r="A206" t="str">
            <v>P0486</v>
          </cell>
          <cell r="AB206" t="str">
            <v>Bidar</v>
          </cell>
        </row>
        <row r="207">
          <cell r="A207" t="str">
            <v>PSS1229</v>
          </cell>
          <cell r="AB207" t="str">
            <v>City Office</v>
          </cell>
        </row>
        <row r="208">
          <cell r="A208" t="str">
            <v>PEIPL0277</v>
          </cell>
          <cell r="AB208" t="str">
            <v>Fabcity</v>
          </cell>
        </row>
        <row r="209">
          <cell r="A209" t="str">
            <v>PEPPL0689</v>
          </cell>
          <cell r="AB209" t="str">
            <v>Fabcity</v>
          </cell>
        </row>
        <row r="210">
          <cell r="A210" t="str">
            <v>BDPL0020</v>
          </cell>
          <cell r="AB210" t="str">
            <v>Hubli</v>
          </cell>
        </row>
        <row r="211">
          <cell r="A211" t="str">
            <v>P0472</v>
          </cell>
          <cell r="AB211" t="str">
            <v>Hubli</v>
          </cell>
        </row>
        <row r="212">
          <cell r="A212" t="str">
            <v>PSS1254</v>
          </cell>
          <cell r="AB212" t="str">
            <v>Araria</v>
          </cell>
        </row>
        <row r="213">
          <cell r="A213" t="str">
            <v>PEIPL0328</v>
          </cell>
          <cell r="AB213" t="str">
            <v>Fabcity</v>
          </cell>
        </row>
        <row r="214">
          <cell r="A214" t="str">
            <v>PSS1374</v>
          </cell>
          <cell r="AB214" t="str">
            <v>Corporate Office</v>
          </cell>
        </row>
        <row r="215">
          <cell r="A215" t="str">
            <v>PEIPL0050</v>
          </cell>
          <cell r="AB215" t="str">
            <v>Fabcity</v>
          </cell>
        </row>
        <row r="216">
          <cell r="A216" t="str">
            <v>PEPPL0457</v>
          </cell>
          <cell r="AB216" t="str">
            <v>Fabcity</v>
          </cell>
        </row>
        <row r="217">
          <cell r="A217" t="str">
            <v>PEIPL0687</v>
          </cell>
          <cell r="AB217" t="str">
            <v>Fabcity</v>
          </cell>
        </row>
        <row r="218">
          <cell r="A218" t="str">
            <v>PSS0921</v>
          </cell>
          <cell r="AB218" t="str">
            <v>Factory-Annaram</v>
          </cell>
        </row>
        <row r="219">
          <cell r="A219" t="str">
            <v>PEPPL0392</v>
          </cell>
          <cell r="AB219" t="str">
            <v>Fabcity</v>
          </cell>
        </row>
        <row r="220">
          <cell r="A220" t="str">
            <v>PEPPL0336</v>
          </cell>
          <cell r="AB220" t="str">
            <v>Corporate Office</v>
          </cell>
        </row>
        <row r="221">
          <cell r="A221" t="str">
            <v>PSS0653</v>
          </cell>
          <cell r="AB221" t="str">
            <v>Corporate Office</v>
          </cell>
        </row>
        <row r="222">
          <cell r="A222" t="str">
            <v>PEPPL0538</v>
          </cell>
          <cell r="AB222" t="str">
            <v>Fabcity</v>
          </cell>
        </row>
        <row r="223">
          <cell r="A223" t="str">
            <v>PEPPL0430</v>
          </cell>
          <cell r="AB223" t="str">
            <v>Fabcity</v>
          </cell>
        </row>
        <row r="224">
          <cell r="A224" t="str">
            <v>PEPPL0395</v>
          </cell>
          <cell r="AB224" t="str">
            <v>Fabcity</v>
          </cell>
        </row>
        <row r="225">
          <cell r="A225" t="str">
            <v>PSS1273</v>
          </cell>
          <cell r="AB225" t="str">
            <v>Corporate Office</v>
          </cell>
        </row>
        <row r="226">
          <cell r="A226" t="str">
            <v>PEPPL0160</v>
          </cell>
          <cell r="AB226" t="str">
            <v>Fabcity</v>
          </cell>
        </row>
        <row r="227">
          <cell r="A227" t="str">
            <v>PSS1408</v>
          </cell>
          <cell r="AB227" t="str">
            <v>Corporate Office</v>
          </cell>
        </row>
        <row r="228">
          <cell r="A228" t="str">
            <v>PEPPL0509</v>
          </cell>
          <cell r="AB228" t="str">
            <v>Fabcity</v>
          </cell>
        </row>
        <row r="229">
          <cell r="A229" t="str">
            <v>PSS0513</v>
          </cell>
          <cell r="AB229" t="str">
            <v>Factory-Annaram</v>
          </cell>
        </row>
        <row r="230">
          <cell r="A230" t="str">
            <v>PEIPL0024</v>
          </cell>
          <cell r="AB230" t="str">
            <v>Fabcity</v>
          </cell>
        </row>
        <row r="231">
          <cell r="A231" t="str">
            <v>PSS0780</v>
          </cell>
          <cell r="AB231" t="str">
            <v>Factory-Annaram</v>
          </cell>
        </row>
        <row r="232">
          <cell r="A232" t="str">
            <v>PEIPL0579</v>
          </cell>
          <cell r="AB232" t="str">
            <v>Fabcity</v>
          </cell>
        </row>
        <row r="233">
          <cell r="A233" t="str">
            <v>PEGEPL0011</v>
          </cell>
          <cell r="AB233" t="str">
            <v>Fabcity</v>
          </cell>
        </row>
        <row r="234">
          <cell r="A234" t="str">
            <v>PSS0439</v>
          </cell>
          <cell r="AB234" t="str">
            <v>Factory-Annaram</v>
          </cell>
        </row>
        <row r="235">
          <cell r="A235" t="str">
            <v>PEGEPL0113</v>
          </cell>
          <cell r="AB235" t="str">
            <v>Fabcity</v>
          </cell>
        </row>
        <row r="236">
          <cell r="A236" t="str">
            <v>PEPPL0774</v>
          </cell>
          <cell r="AB236" t="str">
            <v>Fabcity</v>
          </cell>
        </row>
        <row r="237">
          <cell r="A237" t="str">
            <v>PEIPL0034</v>
          </cell>
          <cell r="AB237" t="str">
            <v>Fabcity</v>
          </cell>
        </row>
        <row r="238">
          <cell r="A238" t="str">
            <v>PSS1016</v>
          </cell>
          <cell r="AB238" t="str">
            <v>Hajipur</v>
          </cell>
        </row>
        <row r="239">
          <cell r="A239" t="str">
            <v>PEPPL0831</v>
          </cell>
          <cell r="AB239" t="str">
            <v>Fabcity</v>
          </cell>
        </row>
        <row r="240">
          <cell r="A240" t="str">
            <v>P0507</v>
          </cell>
          <cell r="AB240" t="str">
            <v>Jamnagar</v>
          </cell>
        </row>
        <row r="241">
          <cell r="A241" t="str">
            <v>PEPPL0678</v>
          </cell>
          <cell r="AB241" t="str">
            <v>Fabcity</v>
          </cell>
        </row>
        <row r="242">
          <cell r="A242" t="str">
            <v>PEIPL0104</v>
          </cell>
          <cell r="AB242" t="str">
            <v>Fabcity</v>
          </cell>
        </row>
        <row r="243">
          <cell r="A243" t="str">
            <v>PEPPL0677</v>
          </cell>
          <cell r="AB243" t="str">
            <v>Fabcity</v>
          </cell>
        </row>
        <row r="244">
          <cell r="A244" t="str">
            <v>PEIPL0624</v>
          </cell>
          <cell r="AB244" t="str">
            <v>Fabcity</v>
          </cell>
        </row>
        <row r="245">
          <cell r="A245" t="str">
            <v>PEIPL0395</v>
          </cell>
          <cell r="AB245" t="str">
            <v>Fabcity</v>
          </cell>
        </row>
        <row r="246">
          <cell r="A246" t="str">
            <v>PEPPL0642</v>
          </cell>
          <cell r="AB246" t="str">
            <v>Fabcity</v>
          </cell>
        </row>
        <row r="247">
          <cell r="A247" t="str">
            <v>PEPPL0249</v>
          </cell>
          <cell r="AB247" t="str">
            <v>Fabcity</v>
          </cell>
        </row>
        <row r="248">
          <cell r="A248" t="str">
            <v>PSS1039</v>
          </cell>
          <cell r="AB248" t="str">
            <v>Kishanganj</v>
          </cell>
        </row>
        <row r="249">
          <cell r="A249" t="str">
            <v>PEIPL0646</v>
          </cell>
          <cell r="AB249" t="str">
            <v>Fabcity</v>
          </cell>
        </row>
        <row r="250">
          <cell r="A250" t="str">
            <v>PEPPL0418</v>
          </cell>
          <cell r="AB250" t="str">
            <v>Fabcity</v>
          </cell>
        </row>
        <row r="251">
          <cell r="A251" t="str">
            <v>PEIPL0039</v>
          </cell>
          <cell r="AB251" t="str">
            <v>Fabcity</v>
          </cell>
        </row>
        <row r="252">
          <cell r="A252" t="str">
            <v>PEIPL0114</v>
          </cell>
          <cell r="AB252" t="str">
            <v>Fabcity</v>
          </cell>
        </row>
        <row r="253">
          <cell r="A253" t="str">
            <v>PEPPL0017</v>
          </cell>
          <cell r="AB253" t="str">
            <v>Fabcity</v>
          </cell>
        </row>
        <row r="254">
          <cell r="A254" t="str">
            <v>PEIPL0705</v>
          </cell>
          <cell r="AB254" t="str">
            <v>Fabcity</v>
          </cell>
        </row>
        <row r="255">
          <cell r="A255" t="str">
            <v>PEIPL0683</v>
          </cell>
          <cell r="AB255" t="str">
            <v>Fabcity</v>
          </cell>
        </row>
        <row r="256">
          <cell r="A256" t="str">
            <v>PEIPL0347</v>
          </cell>
          <cell r="AB256" t="str">
            <v>Fabcity</v>
          </cell>
        </row>
        <row r="257">
          <cell r="A257" t="str">
            <v>PEPPL0423</v>
          </cell>
          <cell r="AB257" t="str">
            <v>Fabcity</v>
          </cell>
        </row>
        <row r="258">
          <cell r="A258" t="str">
            <v>PEPPL0798</v>
          </cell>
          <cell r="AB258" t="str">
            <v>Fabcity</v>
          </cell>
        </row>
        <row r="259">
          <cell r="A259" t="str">
            <v>PSS0277</v>
          </cell>
          <cell r="AB259" t="str">
            <v>Factory-Annaram</v>
          </cell>
        </row>
        <row r="260">
          <cell r="A260" t="str">
            <v>PSS1428</v>
          </cell>
          <cell r="AB260" t="str">
            <v>City Office</v>
          </cell>
        </row>
        <row r="261">
          <cell r="A261" t="str">
            <v>PEPPL0815</v>
          </cell>
          <cell r="AB261" t="str">
            <v>Corporate Office</v>
          </cell>
        </row>
        <row r="262">
          <cell r="A262" t="str">
            <v>PEPPL0530</v>
          </cell>
          <cell r="AB262" t="str">
            <v>Fabcity</v>
          </cell>
        </row>
        <row r="263">
          <cell r="A263" t="str">
            <v>PEIPL0101</v>
          </cell>
          <cell r="AB263" t="str">
            <v>Fabcity</v>
          </cell>
        </row>
        <row r="264">
          <cell r="A264" t="str">
            <v>PEIPL0335</v>
          </cell>
          <cell r="AB264" t="str">
            <v>Fabcity</v>
          </cell>
        </row>
        <row r="265">
          <cell r="A265" t="str">
            <v>PEIPL0389</v>
          </cell>
          <cell r="AB265" t="str">
            <v>Fabcity</v>
          </cell>
        </row>
        <row r="266">
          <cell r="A266" t="str">
            <v>PEIPL0122</v>
          </cell>
          <cell r="AB266" t="str">
            <v>Fabcity</v>
          </cell>
        </row>
        <row r="267">
          <cell r="A267" t="str">
            <v>PEPPL0796</v>
          </cell>
          <cell r="AB267" t="str">
            <v>Fabcity</v>
          </cell>
        </row>
        <row r="268">
          <cell r="A268" t="str">
            <v>PEIPL0279</v>
          </cell>
          <cell r="AB268" t="str">
            <v>Fabcity</v>
          </cell>
        </row>
        <row r="269">
          <cell r="A269" t="str">
            <v>PEPPL0359</v>
          </cell>
          <cell r="AB269" t="str">
            <v>Fabcity</v>
          </cell>
        </row>
        <row r="270">
          <cell r="A270" t="str">
            <v>PSS1144</v>
          </cell>
          <cell r="AB270" t="str">
            <v>Purnia</v>
          </cell>
        </row>
        <row r="271">
          <cell r="A271" t="str">
            <v>PSS1300</v>
          </cell>
          <cell r="AB271" t="str">
            <v>Purnia</v>
          </cell>
        </row>
        <row r="272">
          <cell r="A272" t="str">
            <v>PSS1356</v>
          </cell>
          <cell r="AB272" t="str">
            <v>Purnia</v>
          </cell>
        </row>
        <row r="273">
          <cell r="A273" t="str">
            <v>PEIPL0620</v>
          </cell>
          <cell r="AB273" t="str">
            <v>Fabcity</v>
          </cell>
        </row>
        <row r="274">
          <cell r="A274" t="str">
            <v>PEIPL0660</v>
          </cell>
          <cell r="AB274" t="str">
            <v>Fabcity</v>
          </cell>
        </row>
        <row r="275">
          <cell r="A275" t="str">
            <v>PEIPL0407</v>
          </cell>
          <cell r="AB275" t="str">
            <v>Fabcity</v>
          </cell>
        </row>
        <row r="276">
          <cell r="A276" t="str">
            <v>PSS0322</v>
          </cell>
          <cell r="AB276" t="str">
            <v>Lucknow</v>
          </cell>
        </row>
        <row r="277">
          <cell r="A277" t="str">
            <v>PEIPL0388</v>
          </cell>
          <cell r="AB277" t="str">
            <v>Fabcity</v>
          </cell>
        </row>
        <row r="278">
          <cell r="A278" t="str">
            <v>PEPPL0273</v>
          </cell>
          <cell r="AB278" t="str">
            <v>Fabcity</v>
          </cell>
        </row>
        <row r="279">
          <cell r="A279" t="str">
            <v>PEIPL0293</v>
          </cell>
          <cell r="AB279" t="str">
            <v>Fabcity</v>
          </cell>
        </row>
        <row r="280">
          <cell r="A280" t="str">
            <v>PEIPL0593</v>
          </cell>
          <cell r="AB280" t="str">
            <v>Fabcity</v>
          </cell>
        </row>
        <row r="281">
          <cell r="A281" t="str">
            <v>PEGEPL0094</v>
          </cell>
          <cell r="AB281" t="str">
            <v>Fabcity</v>
          </cell>
        </row>
        <row r="282">
          <cell r="A282" t="str">
            <v>PEIPL0781</v>
          </cell>
          <cell r="AB282" t="str">
            <v>Fabcity</v>
          </cell>
        </row>
        <row r="283">
          <cell r="A283" t="str">
            <v>PSS1432</v>
          </cell>
          <cell r="AB283" t="str">
            <v>Corporate Office</v>
          </cell>
        </row>
        <row r="284">
          <cell r="A284" t="str">
            <v>PEPPL0362</v>
          </cell>
          <cell r="AB284" t="str">
            <v>Fabcity</v>
          </cell>
        </row>
        <row r="285">
          <cell r="A285" t="str">
            <v>PEPPL0281</v>
          </cell>
          <cell r="AB285" t="str">
            <v>Fabcity</v>
          </cell>
        </row>
        <row r="286">
          <cell r="A286" t="str">
            <v>PSS0880</v>
          </cell>
          <cell r="AB286" t="str">
            <v>Factory-Annaram</v>
          </cell>
        </row>
        <row r="287">
          <cell r="A287" t="str">
            <v>PEPPL0185</v>
          </cell>
          <cell r="AB287" t="str">
            <v>Fabcity</v>
          </cell>
        </row>
        <row r="288">
          <cell r="A288" t="str">
            <v>PSS1338</v>
          </cell>
          <cell r="AB288" t="str">
            <v>Corporate Office</v>
          </cell>
        </row>
        <row r="289">
          <cell r="A289" t="str">
            <v>PEIPL0385</v>
          </cell>
          <cell r="AB289" t="str">
            <v>Fabcity</v>
          </cell>
        </row>
        <row r="290">
          <cell r="A290" t="str">
            <v>PEPPL0669</v>
          </cell>
          <cell r="AB290" t="str">
            <v>Fabcity</v>
          </cell>
        </row>
        <row r="291">
          <cell r="A291" t="str">
            <v>PEPPL0228</v>
          </cell>
          <cell r="AB291" t="str">
            <v>Fabcity</v>
          </cell>
        </row>
        <row r="292">
          <cell r="A292" t="str">
            <v>PSS0569</v>
          </cell>
          <cell r="AB292" t="str">
            <v>Factory-Annaram</v>
          </cell>
        </row>
        <row r="293">
          <cell r="A293" t="str">
            <v>PSS0970</v>
          </cell>
          <cell r="AB293" t="str">
            <v>Corporate Office</v>
          </cell>
        </row>
        <row r="294">
          <cell r="A294" t="str">
            <v>PEPPL0533</v>
          </cell>
          <cell r="AB294" t="str">
            <v>Fabcity</v>
          </cell>
        </row>
        <row r="295">
          <cell r="A295" t="str">
            <v>PEIPL0728</v>
          </cell>
          <cell r="AB295" t="str">
            <v>Fabcity</v>
          </cell>
        </row>
        <row r="296">
          <cell r="A296" t="str">
            <v>PEIPL0739</v>
          </cell>
          <cell r="AB296" t="str">
            <v>City Office</v>
          </cell>
        </row>
        <row r="297">
          <cell r="A297" t="str">
            <v>PEPPL0220</v>
          </cell>
          <cell r="AB297" t="str">
            <v>Fabcity</v>
          </cell>
        </row>
        <row r="298">
          <cell r="A298" t="str">
            <v>PEIPL0566</v>
          </cell>
          <cell r="AB298" t="str">
            <v>Fabcity</v>
          </cell>
        </row>
        <row r="299">
          <cell r="A299" t="str">
            <v>PEPPL0315</v>
          </cell>
          <cell r="AB299" t="str">
            <v>Fabcity</v>
          </cell>
        </row>
        <row r="300">
          <cell r="A300" t="str">
            <v>PEPPL0770</v>
          </cell>
          <cell r="AB300" t="str">
            <v>Fabcity</v>
          </cell>
        </row>
        <row r="301">
          <cell r="A301" t="str">
            <v>PEIPL0371</v>
          </cell>
          <cell r="AB301" t="str">
            <v>Fabcity</v>
          </cell>
        </row>
        <row r="302">
          <cell r="A302" t="str">
            <v>PEIPL0225</v>
          </cell>
          <cell r="AB302" t="str">
            <v>Fabcity</v>
          </cell>
        </row>
        <row r="303">
          <cell r="A303" t="str">
            <v>PEPPL0819</v>
          </cell>
          <cell r="AB303" t="str">
            <v>Fabcity</v>
          </cell>
        </row>
        <row r="304">
          <cell r="A304" t="str">
            <v>PEIPL0161</v>
          </cell>
          <cell r="AB304" t="str">
            <v>Fabcity</v>
          </cell>
        </row>
        <row r="305">
          <cell r="A305" t="str">
            <v>PEIPL0465</v>
          </cell>
          <cell r="AB305" t="str">
            <v>Fabcity</v>
          </cell>
        </row>
        <row r="306">
          <cell r="A306" t="str">
            <v>PSS1226</v>
          </cell>
          <cell r="AB306" t="str">
            <v>Corporate Office</v>
          </cell>
        </row>
        <row r="307">
          <cell r="A307" t="str">
            <v>PSS1073</v>
          </cell>
          <cell r="AB307" t="str">
            <v>Corporate Office</v>
          </cell>
        </row>
        <row r="308">
          <cell r="A308" t="str">
            <v>PSS1223</v>
          </cell>
          <cell r="AB308" t="str">
            <v>City Office</v>
          </cell>
        </row>
        <row r="309">
          <cell r="A309" t="str">
            <v>PEPPL0698</v>
          </cell>
          <cell r="AB309" t="str">
            <v>Fabcity</v>
          </cell>
        </row>
        <row r="310">
          <cell r="A310" t="str">
            <v>BDPL0018</v>
          </cell>
          <cell r="AB310" t="str">
            <v>Hubli</v>
          </cell>
        </row>
        <row r="311">
          <cell r="A311" t="str">
            <v>P0471</v>
          </cell>
          <cell r="AB311" t="str">
            <v>Hubli</v>
          </cell>
        </row>
        <row r="312">
          <cell r="A312" t="str">
            <v>PEIPL0558</v>
          </cell>
          <cell r="AB312" t="str">
            <v>Fabcity</v>
          </cell>
        </row>
        <row r="313">
          <cell r="A313" t="str">
            <v>PEPPL0035</v>
          </cell>
          <cell r="AB313" t="str">
            <v>Fabcity</v>
          </cell>
        </row>
        <row r="314">
          <cell r="A314" t="str">
            <v>PEIPL0594</v>
          </cell>
          <cell r="AB314" t="str">
            <v>Fabcity</v>
          </cell>
        </row>
        <row r="315">
          <cell r="A315" t="str">
            <v>PEPPL0615</v>
          </cell>
          <cell r="AB315" t="str">
            <v>Fabcity</v>
          </cell>
        </row>
        <row r="316">
          <cell r="A316" t="str">
            <v>PSS1415</v>
          </cell>
          <cell r="AB316" t="str">
            <v>Corporate Office</v>
          </cell>
        </row>
        <row r="317">
          <cell r="A317" t="str">
            <v>PEIPL0678</v>
          </cell>
          <cell r="AB317" t="str">
            <v>Fabcity</v>
          </cell>
        </row>
        <row r="318">
          <cell r="A318" t="str">
            <v>PSS1162</v>
          </cell>
          <cell r="AB318" t="str">
            <v>Ahmednagar</v>
          </cell>
        </row>
        <row r="319">
          <cell r="A319" t="str">
            <v>PEIPL0547</v>
          </cell>
          <cell r="AB319" t="str">
            <v>Fabcity</v>
          </cell>
        </row>
        <row r="320">
          <cell r="A320" t="str">
            <v>PEIPL0540</v>
          </cell>
          <cell r="AB320" t="str">
            <v>Fabcity</v>
          </cell>
        </row>
        <row r="321">
          <cell r="A321" t="str">
            <v>PEPPL0697</v>
          </cell>
          <cell r="AB321" t="str">
            <v>Fabcity</v>
          </cell>
        </row>
        <row r="322">
          <cell r="A322" t="str">
            <v>P0282</v>
          </cell>
          <cell r="AB322" t="str">
            <v>Vikas Nagar</v>
          </cell>
        </row>
        <row r="323">
          <cell r="A323" t="str">
            <v>P0267</v>
          </cell>
          <cell r="AB323" t="str">
            <v>Vikas Nagar</v>
          </cell>
        </row>
        <row r="324">
          <cell r="A324" t="str">
            <v>PEPPL0470</v>
          </cell>
          <cell r="AB324" t="str">
            <v>Fabcity</v>
          </cell>
        </row>
        <row r="325">
          <cell r="A325" t="str">
            <v>PEGEPL0032</v>
          </cell>
          <cell r="AB325" t="str">
            <v>Fabcity</v>
          </cell>
        </row>
        <row r="326">
          <cell r="A326" t="str">
            <v>PEPPL0589</v>
          </cell>
          <cell r="AB326" t="str">
            <v>Fabcity</v>
          </cell>
        </row>
        <row r="327">
          <cell r="A327" t="str">
            <v>PEPPL0685</v>
          </cell>
          <cell r="AB327" t="str">
            <v>Fabcity</v>
          </cell>
        </row>
        <row r="328">
          <cell r="A328" t="str">
            <v>PEIPL0352</v>
          </cell>
          <cell r="AB328" t="str">
            <v>Fabcity</v>
          </cell>
        </row>
        <row r="329">
          <cell r="A329" t="str">
            <v>PEPPL0087</v>
          </cell>
          <cell r="AB329" t="str">
            <v>Fabcity</v>
          </cell>
        </row>
        <row r="330">
          <cell r="A330" t="str">
            <v>PEIPL0294</v>
          </cell>
          <cell r="AB330" t="str">
            <v>Fabcity</v>
          </cell>
        </row>
        <row r="331">
          <cell r="A331" t="str">
            <v>PEPPL0762</v>
          </cell>
          <cell r="AB331" t="str">
            <v>Fabcity</v>
          </cell>
        </row>
        <row r="332">
          <cell r="A332" t="str">
            <v>PEPPL0267</v>
          </cell>
          <cell r="AB332" t="str">
            <v>Fabcity</v>
          </cell>
        </row>
        <row r="333">
          <cell r="A333" t="str">
            <v>P0406</v>
          </cell>
          <cell r="AB333" t="str">
            <v>Corporate Office</v>
          </cell>
        </row>
        <row r="334">
          <cell r="A334" t="str">
            <v>PSS0584</v>
          </cell>
          <cell r="AB334" t="str">
            <v>Factory-Annaram</v>
          </cell>
        </row>
        <row r="335">
          <cell r="A335" t="str">
            <v>PEIPL0690</v>
          </cell>
          <cell r="AB335" t="str">
            <v>Fabcity</v>
          </cell>
        </row>
        <row r="336">
          <cell r="A336" t="str">
            <v>PEPPL0357</v>
          </cell>
          <cell r="AB336" t="str">
            <v>Fabcity</v>
          </cell>
        </row>
        <row r="337">
          <cell r="A337" t="str">
            <v>PSS1315</v>
          </cell>
          <cell r="AB337" t="str">
            <v>City Office</v>
          </cell>
        </row>
        <row r="338">
          <cell r="A338" t="str">
            <v>PEGEPL0016</v>
          </cell>
          <cell r="AB338" t="str">
            <v>Fabcity</v>
          </cell>
        </row>
        <row r="339">
          <cell r="A339" t="str">
            <v>PSS0438</v>
          </cell>
          <cell r="AB339" t="str">
            <v>Factory-Annaram</v>
          </cell>
        </row>
        <row r="340">
          <cell r="A340" t="str">
            <v>PEPPL0752</v>
          </cell>
          <cell r="AB340" t="str">
            <v>Fabcity</v>
          </cell>
        </row>
        <row r="341">
          <cell r="A341" t="str">
            <v>PEIPL0627</v>
          </cell>
          <cell r="AB341" t="str">
            <v>Fabcity</v>
          </cell>
        </row>
        <row r="342">
          <cell r="A342" t="str">
            <v>P0300</v>
          </cell>
          <cell r="AB342" t="str">
            <v>Vikas Nagar</v>
          </cell>
        </row>
        <row r="343">
          <cell r="A343" t="str">
            <v>PSS0956</v>
          </cell>
          <cell r="AB343" t="str">
            <v>Factory-Annaram</v>
          </cell>
        </row>
        <row r="344">
          <cell r="A344" t="str">
            <v>PEIPL0763</v>
          </cell>
          <cell r="AB344" t="str">
            <v>Fabcity</v>
          </cell>
        </row>
        <row r="345">
          <cell r="A345" t="str">
            <v>PEPPL0175</v>
          </cell>
          <cell r="AB345" t="str">
            <v>Fabcity</v>
          </cell>
        </row>
        <row r="346">
          <cell r="A346" t="str">
            <v>PSS0844</v>
          </cell>
          <cell r="AB346" t="str">
            <v>Factory-Annaram</v>
          </cell>
        </row>
        <row r="347">
          <cell r="A347" t="str">
            <v>PEPPL0048</v>
          </cell>
          <cell r="AB347" t="str">
            <v>Fabcity</v>
          </cell>
        </row>
        <row r="348">
          <cell r="A348" t="str">
            <v>PSS1118</v>
          </cell>
          <cell r="AB348" t="str">
            <v>Bainsa</v>
          </cell>
        </row>
        <row r="349">
          <cell r="A349" t="str">
            <v>PEIPL0377</v>
          </cell>
          <cell r="AB349" t="str">
            <v>Fabcity</v>
          </cell>
        </row>
        <row r="350">
          <cell r="A350" t="str">
            <v>PEPPL0620</v>
          </cell>
          <cell r="AB350" t="str">
            <v>Fabcity</v>
          </cell>
        </row>
        <row r="351">
          <cell r="A351" t="str">
            <v>PEIPL0653</v>
          </cell>
          <cell r="AB351" t="str">
            <v>Fabcity</v>
          </cell>
        </row>
        <row r="352">
          <cell r="A352" t="str">
            <v>PSS1410</v>
          </cell>
          <cell r="AB352" t="str">
            <v>Corporate Office</v>
          </cell>
        </row>
        <row r="353">
          <cell r="A353" t="str">
            <v>PSS0437</v>
          </cell>
          <cell r="AB353" t="str">
            <v>Factory-Annaram</v>
          </cell>
        </row>
        <row r="354">
          <cell r="A354" t="str">
            <v>PSS0919</v>
          </cell>
          <cell r="AB354" t="str">
            <v>Factory-Annaram</v>
          </cell>
        </row>
        <row r="355">
          <cell r="A355" t="str">
            <v>PSS0309</v>
          </cell>
          <cell r="AB355" t="str">
            <v>Fabcity</v>
          </cell>
        </row>
        <row r="356">
          <cell r="A356" t="str">
            <v>PEIPL0214</v>
          </cell>
          <cell r="AB356" t="str">
            <v>Fabcity</v>
          </cell>
        </row>
        <row r="357">
          <cell r="A357" t="str">
            <v>PSS0975</v>
          </cell>
          <cell r="AB357" t="str">
            <v>Factory-Annaram</v>
          </cell>
        </row>
        <row r="358">
          <cell r="A358" t="str">
            <v>PEIPL0730</v>
          </cell>
          <cell r="AB358" t="str">
            <v>Fabcity</v>
          </cell>
        </row>
        <row r="359">
          <cell r="A359" t="str">
            <v>PSS1328</v>
          </cell>
          <cell r="AB359" t="str">
            <v>Fabcity</v>
          </cell>
        </row>
        <row r="360">
          <cell r="A360" t="str">
            <v>PSS0289</v>
          </cell>
          <cell r="AB360" t="str">
            <v>Corporate Office</v>
          </cell>
        </row>
        <row r="361">
          <cell r="A361" t="str">
            <v>PEIPL0647</v>
          </cell>
          <cell r="AB361" t="str">
            <v>Fabcity</v>
          </cell>
        </row>
        <row r="362">
          <cell r="A362" t="str">
            <v>PEGEPL0095</v>
          </cell>
          <cell r="AB362" t="str">
            <v>Fabcity</v>
          </cell>
        </row>
        <row r="363">
          <cell r="A363" t="str">
            <v>PEIPL0747</v>
          </cell>
          <cell r="AB363" t="str">
            <v>Fabcity</v>
          </cell>
        </row>
        <row r="364">
          <cell r="A364" t="str">
            <v>PEGEPL0055</v>
          </cell>
          <cell r="AB364" t="str">
            <v>Fabcity</v>
          </cell>
        </row>
        <row r="365">
          <cell r="A365" t="str">
            <v>P0414</v>
          </cell>
          <cell r="AB365" t="str">
            <v>Karnataka</v>
          </cell>
        </row>
        <row r="366">
          <cell r="A366" t="str">
            <v>PEPPL0528</v>
          </cell>
          <cell r="AB366" t="str">
            <v>Fabcity</v>
          </cell>
        </row>
        <row r="367">
          <cell r="A367" t="str">
            <v>PEIPL0205</v>
          </cell>
          <cell r="AB367" t="str">
            <v>Fabcity</v>
          </cell>
        </row>
        <row r="368">
          <cell r="A368" t="str">
            <v>PSS1059</v>
          </cell>
          <cell r="AB368" t="str">
            <v>Factory-Annaram</v>
          </cell>
        </row>
        <row r="369">
          <cell r="A369" t="str">
            <v>PSS1076</v>
          </cell>
          <cell r="AB369" t="str">
            <v>Banka</v>
          </cell>
        </row>
        <row r="370">
          <cell r="A370" t="str">
            <v>PEIPL0300</v>
          </cell>
          <cell r="AB370" t="str">
            <v>Fabcity</v>
          </cell>
        </row>
        <row r="371">
          <cell r="A371" t="str">
            <v>PEPPL0865</v>
          </cell>
          <cell r="AB371" t="str">
            <v>Fabcity</v>
          </cell>
        </row>
        <row r="372">
          <cell r="A372" t="str">
            <v>PEPPL0808</v>
          </cell>
          <cell r="AB372" t="str">
            <v>Fabcity</v>
          </cell>
        </row>
        <row r="373">
          <cell r="A373" t="str">
            <v>PEIPL0350</v>
          </cell>
          <cell r="AB373" t="str">
            <v>Fabcity</v>
          </cell>
        </row>
        <row r="374">
          <cell r="A374" t="str">
            <v>PEPPL0429</v>
          </cell>
          <cell r="AB374" t="str">
            <v>Fabcity</v>
          </cell>
        </row>
        <row r="375">
          <cell r="A375" t="str">
            <v>PEPPL0138</v>
          </cell>
          <cell r="AB375" t="str">
            <v>Corporate Office</v>
          </cell>
        </row>
        <row r="376">
          <cell r="A376" t="str">
            <v>PEPPL0461</v>
          </cell>
          <cell r="AB376" t="str">
            <v>Fabcity</v>
          </cell>
        </row>
        <row r="377">
          <cell r="A377" t="str">
            <v>PEGEPL0049</v>
          </cell>
          <cell r="AB377" t="str">
            <v>Fabcity</v>
          </cell>
        </row>
        <row r="378">
          <cell r="A378" t="str">
            <v>PEIPL0440</v>
          </cell>
          <cell r="AB378" t="str">
            <v>Fabcity</v>
          </cell>
        </row>
        <row r="379">
          <cell r="A379" t="str">
            <v>PEGEPL0127</v>
          </cell>
          <cell r="AB379" t="str">
            <v>Fabcity</v>
          </cell>
        </row>
        <row r="380">
          <cell r="A380" t="str">
            <v>PEPPL0792</v>
          </cell>
          <cell r="AB380" t="str">
            <v>Fabcity</v>
          </cell>
        </row>
        <row r="381">
          <cell r="A381" t="str">
            <v>PEPPL0268</v>
          </cell>
          <cell r="AB381" t="str">
            <v>Fabcity</v>
          </cell>
        </row>
        <row r="382">
          <cell r="A382" t="str">
            <v>PEIPL0552</v>
          </cell>
          <cell r="AB382" t="str">
            <v>Fabcity</v>
          </cell>
        </row>
        <row r="383">
          <cell r="A383" t="str">
            <v>PEIPL0202</v>
          </cell>
          <cell r="AB383" t="str">
            <v>Fabcity</v>
          </cell>
        </row>
        <row r="384">
          <cell r="A384" t="str">
            <v>PEPPL0393</v>
          </cell>
          <cell r="AB384" t="str">
            <v>Fabcity</v>
          </cell>
        </row>
        <row r="385">
          <cell r="A385" t="str">
            <v>PEPPL0446</v>
          </cell>
          <cell r="AB385" t="str">
            <v>Fabcity</v>
          </cell>
        </row>
        <row r="386">
          <cell r="A386" t="str">
            <v>PEPPL0695</v>
          </cell>
          <cell r="AB386" t="str">
            <v>Fabcity</v>
          </cell>
        </row>
        <row r="387">
          <cell r="A387" t="str">
            <v>PSS0754</v>
          </cell>
          <cell r="AB387" t="str">
            <v>Lucknow</v>
          </cell>
        </row>
        <row r="388">
          <cell r="A388" t="str">
            <v>PEGEPL0064</v>
          </cell>
          <cell r="AB388" t="str">
            <v>Fabcity</v>
          </cell>
        </row>
        <row r="389">
          <cell r="A389" t="str">
            <v>PEIPL0570</v>
          </cell>
          <cell r="AB389" t="str">
            <v>Fabcity</v>
          </cell>
        </row>
        <row r="390">
          <cell r="A390" t="str">
            <v>P0453</v>
          </cell>
          <cell r="AB390" t="str">
            <v>Corporate Office</v>
          </cell>
        </row>
        <row r="391">
          <cell r="A391" t="str">
            <v>PEPPL0455</v>
          </cell>
          <cell r="AB391" t="str">
            <v>Fabcity</v>
          </cell>
        </row>
        <row r="392">
          <cell r="A392" t="str">
            <v>PSS1108</v>
          </cell>
          <cell r="AB392" t="str">
            <v>Corporate Office</v>
          </cell>
        </row>
        <row r="393">
          <cell r="A393" t="str">
            <v>PSS1135</v>
          </cell>
          <cell r="AB393" t="str">
            <v>Factory-Annaram</v>
          </cell>
        </row>
        <row r="394">
          <cell r="A394" t="str">
            <v>PEIPL0013</v>
          </cell>
          <cell r="AB394" t="str">
            <v>Fabcity</v>
          </cell>
        </row>
        <row r="395">
          <cell r="A395" t="str">
            <v>PEPPL0242</v>
          </cell>
          <cell r="AB395" t="str">
            <v>Fabcity</v>
          </cell>
        </row>
        <row r="396">
          <cell r="A396" t="str">
            <v>PSS1188</v>
          </cell>
          <cell r="AB396" t="str">
            <v>Factory-Annaram</v>
          </cell>
        </row>
        <row r="397">
          <cell r="A397" t="str">
            <v>PEIPL0190</v>
          </cell>
          <cell r="AB397" t="str">
            <v>Fabcity</v>
          </cell>
        </row>
        <row r="398">
          <cell r="A398" t="str">
            <v>PEPPL0468</v>
          </cell>
          <cell r="AB398" t="str">
            <v>Fabcity</v>
          </cell>
        </row>
        <row r="399">
          <cell r="A399" t="str">
            <v>PEIPL0066</v>
          </cell>
          <cell r="AB399" t="str">
            <v>Fabcity</v>
          </cell>
        </row>
        <row r="400">
          <cell r="A400" t="str">
            <v>P0429</v>
          </cell>
          <cell r="AB400" t="str">
            <v>Jamnagar</v>
          </cell>
        </row>
        <row r="401">
          <cell r="A401" t="str">
            <v>PEIPL0615</v>
          </cell>
          <cell r="AB401" t="str">
            <v>Fabcity</v>
          </cell>
        </row>
        <row r="402">
          <cell r="A402" t="str">
            <v>PEIPL0242</v>
          </cell>
          <cell r="AB402" t="str">
            <v>Fabcity</v>
          </cell>
        </row>
        <row r="403">
          <cell r="A403" t="str">
            <v>PEPPL0745</v>
          </cell>
          <cell r="AB403" t="str">
            <v>Fabcity</v>
          </cell>
        </row>
        <row r="404">
          <cell r="A404" t="str">
            <v>PEIPL0586</v>
          </cell>
          <cell r="AB404" t="str">
            <v>Fabcity</v>
          </cell>
        </row>
        <row r="405">
          <cell r="A405" t="str">
            <v>PEIPL0508</v>
          </cell>
          <cell r="AB405" t="str">
            <v>Fabcity</v>
          </cell>
        </row>
        <row r="406">
          <cell r="A406" t="str">
            <v>PSS1157</v>
          </cell>
          <cell r="AB406" t="str">
            <v>Factory-Annaram</v>
          </cell>
        </row>
        <row r="407">
          <cell r="A407" t="str">
            <v>PEIPL0598</v>
          </cell>
          <cell r="AB407" t="str">
            <v>Fabcity</v>
          </cell>
        </row>
        <row r="408">
          <cell r="A408" t="str">
            <v>P0278</v>
          </cell>
          <cell r="AB408" t="str">
            <v>Vikas Nagar</v>
          </cell>
        </row>
        <row r="409">
          <cell r="A409" t="str">
            <v>BDPL0015</v>
          </cell>
          <cell r="AB409" t="str">
            <v>Bidar</v>
          </cell>
        </row>
        <row r="410">
          <cell r="A410" t="str">
            <v>P0355</v>
          </cell>
          <cell r="AB410" t="str">
            <v>Bidar</v>
          </cell>
        </row>
        <row r="411">
          <cell r="A411" t="str">
            <v>P0490</v>
          </cell>
          <cell r="AB411" t="str">
            <v>Bidar</v>
          </cell>
        </row>
        <row r="412">
          <cell r="A412" t="str">
            <v>PEIPL0373</v>
          </cell>
          <cell r="AB412" t="str">
            <v>Fabcity</v>
          </cell>
        </row>
        <row r="413">
          <cell r="A413" t="str">
            <v>PSS0863</v>
          </cell>
          <cell r="AB413" t="str">
            <v>Bhopal</v>
          </cell>
        </row>
        <row r="414">
          <cell r="A414" t="str">
            <v>PSS1344</v>
          </cell>
          <cell r="AB414" t="str">
            <v>City Office</v>
          </cell>
        </row>
        <row r="415">
          <cell r="A415" t="str">
            <v>PSS0328</v>
          </cell>
          <cell r="AB415" t="str">
            <v>Corporate Office</v>
          </cell>
        </row>
        <row r="416">
          <cell r="A416" t="str">
            <v>PSS1155</v>
          </cell>
          <cell r="AB416" t="str">
            <v>City Office</v>
          </cell>
        </row>
        <row r="417">
          <cell r="A417" t="str">
            <v>P0457</v>
          </cell>
          <cell r="AB417" t="str">
            <v>City Office</v>
          </cell>
        </row>
        <row r="418">
          <cell r="A418" t="str">
            <v>PEPPL0476</v>
          </cell>
          <cell r="AB418" t="str">
            <v>Fabcity</v>
          </cell>
        </row>
        <row r="419">
          <cell r="A419" t="str">
            <v>PEIPL0777</v>
          </cell>
          <cell r="AB419" t="str">
            <v>Fabcity</v>
          </cell>
        </row>
        <row r="420">
          <cell r="A420" t="str">
            <v>PEPPL0307</v>
          </cell>
          <cell r="AB420" t="str">
            <v>Fabcity</v>
          </cell>
        </row>
        <row r="421">
          <cell r="A421" t="str">
            <v>PEPPL0600</v>
          </cell>
          <cell r="AB421" t="str">
            <v>Fabcity</v>
          </cell>
        </row>
        <row r="422">
          <cell r="A422" t="str">
            <v>PSS0244</v>
          </cell>
          <cell r="AB422" t="str">
            <v>Lucknow</v>
          </cell>
        </row>
        <row r="423">
          <cell r="A423" t="str">
            <v>P0373</v>
          </cell>
          <cell r="AB423" t="str">
            <v>Vikas Nagar</v>
          </cell>
        </row>
        <row r="424">
          <cell r="A424" t="str">
            <v>PEIPL0045</v>
          </cell>
          <cell r="AB424" t="str">
            <v>Fabcity</v>
          </cell>
        </row>
        <row r="425">
          <cell r="A425" t="str">
            <v>PEIPL0782</v>
          </cell>
          <cell r="AB425" t="str">
            <v>Fabcity</v>
          </cell>
        </row>
        <row r="426">
          <cell r="A426" t="str">
            <v>PEIPL0272</v>
          </cell>
          <cell r="AB426" t="str">
            <v>Fabcity</v>
          </cell>
        </row>
        <row r="427">
          <cell r="A427" t="str">
            <v>PSS1227</v>
          </cell>
          <cell r="AB427" t="str">
            <v>Banka</v>
          </cell>
        </row>
        <row r="428">
          <cell r="A428" t="str">
            <v>PEIPL0140</v>
          </cell>
          <cell r="AB428" t="str">
            <v>Fabcity</v>
          </cell>
        </row>
        <row r="429">
          <cell r="A429" t="str">
            <v>PEIPL0252</v>
          </cell>
          <cell r="AB429" t="str">
            <v>Fabcity</v>
          </cell>
        </row>
        <row r="430">
          <cell r="A430" t="str">
            <v>PEIPL0244</v>
          </cell>
          <cell r="AB430" t="str">
            <v>Fabcity</v>
          </cell>
        </row>
        <row r="431">
          <cell r="A431" t="str">
            <v>P0367</v>
          </cell>
          <cell r="AB431" t="str">
            <v>Vikas Nagar</v>
          </cell>
        </row>
        <row r="432">
          <cell r="A432" t="str">
            <v>PEPPL0180</v>
          </cell>
          <cell r="AB432" t="str">
            <v>Fabcity</v>
          </cell>
        </row>
        <row r="433">
          <cell r="A433" t="str">
            <v>PEPPL0559</v>
          </cell>
          <cell r="AB433" t="str">
            <v>Fabcity</v>
          </cell>
        </row>
        <row r="434">
          <cell r="A434" t="str">
            <v>PEPPL0872</v>
          </cell>
          <cell r="AB434" t="str">
            <v>Fabcity</v>
          </cell>
        </row>
        <row r="435">
          <cell r="A435" t="str">
            <v>PEIPL0448</v>
          </cell>
          <cell r="AB435" t="str">
            <v>Fabcity</v>
          </cell>
        </row>
        <row r="436">
          <cell r="A436" t="str">
            <v>PEPPL0099</v>
          </cell>
          <cell r="AB436" t="str">
            <v>Fabcity</v>
          </cell>
        </row>
        <row r="437">
          <cell r="A437" t="str">
            <v>PEIPL0191</v>
          </cell>
          <cell r="AB437" t="str">
            <v>Fabcity</v>
          </cell>
        </row>
        <row r="438">
          <cell r="A438" t="str">
            <v>PSS0034</v>
          </cell>
          <cell r="AB438" t="str">
            <v>Factory-Annaram</v>
          </cell>
        </row>
        <row r="439">
          <cell r="A439" t="str">
            <v>PEIPL0203</v>
          </cell>
          <cell r="AB439" t="str">
            <v>Fabcity</v>
          </cell>
        </row>
        <row r="440">
          <cell r="A440" t="str">
            <v>PEPPL0210</v>
          </cell>
          <cell r="AB440" t="str">
            <v>Fabcity</v>
          </cell>
        </row>
        <row r="441">
          <cell r="A441" t="str">
            <v>PEIPL0368</v>
          </cell>
          <cell r="AB441" t="str">
            <v>Fabcity</v>
          </cell>
        </row>
        <row r="442">
          <cell r="A442" t="str">
            <v>PEPPL0730</v>
          </cell>
          <cell r="AB442" t="str">
            <v>Fabcity</v>
          </cell>
        </row>
        <row r="443">
          <cell r="A443" t="str">
            <v>PSS1204</v>
          </cell>
          <cell r="AB443" t="str">
            <v>Corporate Office</v>
          </cell>
        </row>
        <row r="444">
          <cell r="A444" t="str">
            <v>PSS1255</v>
          </cell>
          <cell r="AB444" t="str">
            <v>Sonbhadra</v>
          </cell>
        </row>
        <row r="445">
          <cell r="A445" t="str">
            <v>PEPPL0747</v>
          </cell>
          <cell r="AB445" t="str">
            <v>Fabcity</v>
          </cell>
        </row>
        <row r="446">
          <cell r="A446" t="str">
            <v>PEIPL0308</v>
          </cell>
          <cell r="AB446" t="str">
            <v>Fabcity</v>
          </cell>
        </row>
        <row r="447">
          <cell r="A447" t="str">
            <v>PEIPL0723</v>
          </cell>
          <cell r="AB447" t="str">
            <v>Fabcity</v>
          </cell>
        </row>
        <row r="448">
          <cell r="A448" t="str">
            <v>PEIPL0320</v>
          </cell>
          <cell r="AB448" t="str">
            <v>Fabcity</v>
          </cell>
        </row>
        <row r="449">
          <cell r="A449" t="str">
            <v>PEPPL0424</v>
          </cell>
          <cell r="AB449" t="str">
            <v>Fabcity</v>
          </cell>
        </row>
        <row r="450">
          <cell r="A450" t="str">
            <v>PEPPL0766</v>
          </cell>
          <cell r="AB450" t="str">
            <v>Fabcity</v>
          </cell>
        </row>
        <row r="451">
          <cell r="A451" t="str">
            <v>PEIPL0554</v>
          </cell>
          <cell r="AB451" t="str">
            <v>Fabcity</v>
          </cell>
        </row>
        <row r="452">
          <cell r="A452" t="str">
            <v>PEPPL0469</v>
          </cell>
          <cell r="AB452" t="str">
            <v>Fabcity</v>
          </cell>
        </row>
        <row r="453">
          <cell r="A453" t="str">
            <v>PEPPL0408</v>
          </cell>
          <cell r="AB453" t="str">
            <v>Fabcity</v>
          </cell>
        </row>
        <row r="454">
          <cell r="A454" t="str">
            <v>PEPPL0427</v>
          </cell>
          <cell r="AB454" t="str">
            <v>Fabcity</v>
          </cell>
        </row>
        <row r="455">
          <cell r="A455" t="str">
            <v>PEPPL0805</v>
          </cell>
          <cell r="AB455" t="str">
            <v>Fabcity</v>
          </cell>
        </row>
        <row r="456">
          <cell r="A456" t="str">
            <v>PEIPL0043</v>
          </cell>
          <cell r="AB456" t="str">
            <v>Fabcity</v>
          </cell>
        </row>
        <row r="457">
          <cell r="A457" t="str">
            <v>PEPPL0711</v>
          </cell>
          <cell r="AB457" t="str">
            <v>Fabcity</v>
          </cell>
        </row>
        <row r="458">
          <cell r="A458" t="str">
            <v>PSS1309</v>
          </cell>
          <cell r="AB458" t="str">
            <v>Ahmednagar</v>
          </cell>
        </row>
        <row r="459">
          <cell r="A459" t="str">
            <v>PEPPL0060</v>
          </cell>
          <cell r="AB459" t="str">
            <v>Fabcity</v>
          </cell>
        </row>
        <row r="460">
          <cell r="A460" t="str">
            <v>PEPPL0107</v>
          </cell>
          <cell r="AB460" t="str">
            <v>Fabcity</v>
          </cell>
        </row>
        <row r="461">
          <cell r="A461" t="str">
            <v>PSS1239</v>
          </cell>
          <cell r="AB461" t="str">
            <v>Rupauli</v>
          </cell>
        </row>
        <row r="462">
          <cell r="A462" t="str">
            <v>PEPPL0852</v>
          </cell>
          <cell r="AB462" t="str">
            <v>Fabcity</v>
          </cell>
        </row>
        <row r="463">
          <cell r="A463" t="str">
            <v>PEIPL0631</v>
          </cell>
          <cell r="AB463" t="str">
            <v>Fabcity</v>
          </cell>
        </row>
        <row r="464">
          <cell r="A464" t="str">
            <v>PEIPL0756</v>
          </cell>
          <cell r="AB464" t="str">
            <v>Fabcity</v>
          </cell>
        </row>
        <row r="465">
          <cell r="A465" t="str">
            <v>PSS0040</v>
          </cell>
          <cell r="AB465" t="str">
            <v>Factory-Annaram</v>
          </cell>
        </row>
        <row r="466">
          <cell r="A466" t="str">
            <v>PEPPL0226</v>
          </cell>
          <cell r="AB466" t="str">
            <v>Fabcity</v>
          </cell>
        </row>
        <row r="467">
          <cell r="A467" t="str">
            <v>PEPPL0728</v>
          </cell>
          <cell r="AB467" t="str">
            <v>Fabcity</v>
          </cell>
        </row>
        <row r="468">
          <cell r="A468" t="str">
            <v>PEPPL0234</v>
          </cell>
          <cell r="AB468" t="str">
            <v>Fabcity</v>
          </cell>
        </row>
        <row r="469">
          <cell r="A469" t="str">
            <v>PSS1001</v>
          </cell>
          <cell r="AB469" t="str">
            <v>Factory-Annaram</v>
          </cell>
        </row>
        <row r="470">
          <cell r="A470" t="str">
            <v>PEIPL0055</v>
          </cell>
          <cell r="AB470" t="str">
            <v>Fabcity</v>
          </cell>
        </row>
        <row r="471">
          <cell r="A471" t="str">
            <v>PEGEPL0090</v>
          </cell>
          <cell r="AB471" t="str">
            <v>Fabcity</v>
          </cell>
        </row>
        <row r="472">
          <cell r="A472" t="str">
            <v>PEIPL0317</v>
          </cell>
          <cell r="AB472" t="str">
            <v>Fabcity</v>
          </cell>
        </row>
        <row r="473">
          <cell r="A473" t="str">
            <v>P0288</v>
          </cell>
          <cell r="AB473" t="str">
            <v>Vikas Nagar</v>
          </cell>
        </row>
        <row r="474">
          <cell r="A474" t="str">
            <v>P0285</v>
          </cell>
          <cell r="AB474" t="str">
            <v>Vikas Nagar</v>
          </cell>
        </row>
        <row r="475">
          <cell r="A475" t="str">
            <v>PEPPL0645</v>
          </cell>
          <cell r="AB475" t="str">
            <v>Fabcity</v>
          </cell>
        </row>
        <row r="476">
          <cell r="A476" t="str">
            <v>PSS1319</v>
          </cell>
          <cell r="AB476" t="str">
            <v>City Office</v>
          </cell>
        </row>
        <row r="477">
          <cell r="A477" t="str">
            <v>PEGEPL0019</v>
          </cell>
          <cell r="AB477" t="str">
            <v>Fabcity</v>
          </cell>
        </row>
        <row r="478">
          <cell r="A478" t="str">
            <v>PSS0240</v>
          </cell>
          <cell r="AB478" t="str">
            <v>Factory-Annaram</v>
          </cell>
        </row>
        <row r="479">
          <cell r="A479" t="str">
            <v>PEIPL0640</v>
          </cell>
          <cell r="AB479" t="str">
            <v>Fabcity</v>
          </cell>
        </row>
        <row r="480">
          <cell r="A480" t="str">
            <v>PSS0897</v>
          </cell>
          <cell r="AB480" t="str">
            <v>Factory-Annaram</v>
          </cell>
        </row>
        <row r="481">
          <cell r="A481" t="str">
            <v>P0459</v>
          </cell>
          <cell r="AB481" t="str">
            <v>Fabcity</v>
          </cell>
        </row>
        <row r="482">
          <cell r="A482" t="str">
            <v>PEIPL0602</v>
          </cell>
          <cell r="AB482" t="str">
            <v>Corporate Office</v>
          </cell>
        </row>
        <row r="483">
          <cell r="A483" t="str">
            <v>PEIPL0803</v>
          </cell>
          <cell r="AB483" t="str">
            <v>Fabcity</v>
          </cell>
        </row>
        <row r="484">
          <cell r="A484" t="str">
            <v>PEPPL0214</v>
          </cell>
          <cell r="AB484" t="str">
            <v>Fabcity</v>
          </cell>
        </row>
        <row r="485">
          <cell r="A485" t="str">
            <v>PEPPL0481</v>
          </cell>
          <cell r="AB485" t="str">
            <v>Corporate Office</v>
          </cell>
        </row>
        <row r="486">
          <cell r="A486" t="str">
            <v>PSS1276</v>
          </cell>
          <cell r="AB486" t="str">
            <v>Corporate Office</v>
          </cell>
        </row>
        <row r="487">
          <cell r="A487" t="str">
            <v>PSS0170</v>
          </cell>
          <cell r="AB487" t="str">
            <v>Corporate Office</v>
          </cell>
        </row>
        <row r="488">
          <cell r="A488" t="str">
            <v>PSS0636</v>
          </cell>
          <cell r="AB488" t="str">
            <v>City Office</v>
          </cell>
        </row>
        <row r="489">
          <cell r="A489" t="str">
            <v>PEIPL0617</v>
          </cell>
          <cell r="AB489" t="str">
            <v>Fabcity</v>
          </cell>
        </row>
        <row r="490">
          <cell r="A490" t="str">
            <v>PEIPL0073</v>
          </cell>
          <cell r="AB490" t="str">
            <v>Fabcity</v>
          </cell>
        </row>
        <row r="491">
          <cell r="A491" t="str">
            <v>PEPPL0218</v>
          </cell>
          <cell r="AB491" t="str">
            <v>Fabcity</v>
          </cell>
        </row>
        <row r="492">
          <cell r="A492" t="str">
            <v>PEPPL0071</v>
          </cell>
          <cell r="AB492" t="str">
            <v>Fabcity</v>
          </cell>
        </row>
        <row r="493">
          <cell r="A493" t="str">
            <v>PEPPL0560</v>
          </cell>
          <cell r="AB493" t="str">
            <v>Fabcity</v>
          </cell>
        </row>
        <row r="494">
          <cell r="A494" t="str">
            <v>PSS0619</v>
          </cell>
          <cell r="AB494" t="str">
            <v>Corporate Office</v>
          </cell>
        </row>
        <row r="495">
          <cell r="A495" t="str">
            <v>PEGEPL0014</v>
          </cell>
          <cell r="AB495" t="str">
            <v>Fabcity</v>
          </cell>
        </row>
        <row r="496">
          <cell r="A496" t="str">
            <v>PSS0346</v>
          </cell>
          <cell r="AB496" t="str">
            <v>Factory-Annaram</v>
          </cell>
        </row>
        <row r="497">
          <cell r="A497" t="str">
            <v>PEIPL0706</v>
          </cell>
          <cell r="AB497" t="str">
            <v>Fabcity</v>
          </cell>
        </row>
        <row r="498">
          <cell r="A498" t="str">
            <v>PEGEPL0069</v>
          </cell>
          <cell r="AB498" t="str">
            <v>Fabcity</v>
          </cell>
        </row>
        <row r="499">
          <cell r="A499" t="str">
            <v>PEIPL0422</v>
          </cell>
          <cell r="AB499" t="str">
            <v>Fabcity</v>
          </cell>
        </row>
        <row r="500">
          <cell r="A500" t="str">
            <v>PSS1278</v>
          </cell>
          <cell r="AB500" t="str">
            <v>Factory-Annaram</v>
          </cell>
        </row>
        <row r="501">
          <cell r="A501" t="str">
            <v>PSS0275</v>
          </cell>
          <cell r="AB501" t="str">
            <v>Factory-Annaram</v>
          </cell>
        </row>
        <row r="502">
          <cell r="A502" t="str">
            <v>PEPPL0736</v>
          </cell>
          <cell r="AB502" t="str">
            <v>Fabcity</v>
          </cell>
        </row>
        <row r="503">
          <cell r="A503" t="str">
            <v>PSS0276</v>
          </cell>
          <cell r="AB503" t="str">
            <v>Factory-Annaram</v>
          </cell>
        </row>
        <row r="504">
          <cell r="A504" t="str">
            <v>P0118</v>
          </cell>
          <cell r="AB504" t="str">
            <v>Corporate Office</v>
          </cell>
        </row>
        <row r="505">
          <cell r="A505" t="str">
            <v>BDPL0001</v>
          </cell>
          <cell r="AB505" t="str">
            <v>City Office</v>
          </cell>
        </row>
        <row r="506">
          <cell r="A506" t="str">
            <v>P0481</v>
          </cell>
          <cell r="AB506" t="str">
            <v>City Office</v>
          </cell>
        </row>
        <row r="507">
          <cell r="A507" t="str">
            <v>P0128</v>
          </cell>
          <cell r="AB507" t="str">
            <v>Fabcity</v>
          </cell>
        </row>
        <row r="508">
          <cell r="A508" t="str">
            <v>PSS0624</v>
          </cell>
          <cell r="AB508" t="str">
            <v>Factory-Annaram</v>
          </cell>
        </row>
        <row r="509">
          <cell r="A509" t="str">
            <v>PEPPL0471</v>
          </cell>
          <cell r="AB509" t="str">
            <v>Fabcity</v>
          </cell>
        </row>
        <row r="510">
          <cell r="A510" t="str">
            <v>PEPPL0052</v>
          </cell>
          <cell r="AB510" t="str">
            <v>Fabcity</v>
          </cell>
        </row>
        <row r="511">
          <cell r="A511" t="str">
            <v>PSPT01</v>
          </cell>
          <cell r="AB511" t="str">
            <v>Corporate Office</v>
          </cell>
        </row>
        <row r="512">
          <cell r="A512" t="str">
            <v>PSS0917</v>
          </cell>
          <cell r="AB512" t="str">
            <v>Factory-Annaram</v>
          </cell>
        </row>
        <row r="513">
          <cell r="A513" t="str">
            <v>PSS0335</v>
          </cell>
          <cell r="AB513" t="str">
            <v>Factory-Annaram</v>
          </cell>
        </row>
        <row r="514">
          <cell r="A514" t="str">
            <v>PEIPL0481</v>
          </cell>
          <cell r="AB514" t="str">
            <v>Fabcity</v>
          </cell>
        </row>
        <row r="515">
          <cell r="A515" t="str">
            <v>PEIPL0176</v>
          </cell>
          <cell r="AB515" t="str">
            <v>Fabcity</v>
          </cell>
        </row>
        <row r="516">
          <cell r="A516" t="str">
            <v>PEIPL0794</v>
          </cell>
          <cell r="AB516" t="str">
            <v>Fabcity</v>
          </cell>
        </row>
        <row r="517">
          <cell r="A517" t="str">
            <v>PEIPL0097</v>
          </cell>
          <cell r="AB517" t="str">
            <v>Fabcity</v>
          </cell>
        </row>
        <row r="518">
          <cell r="A518" t="str">
            <v>PEPPL0828</v>
          </cell>
          <cell r="AB518" t="str">
            <v>Fabcity</v>
          </cell>
        </row>
        <row r="519">
          <cell r="A519" t="str">
            <v>PEPPL0878</v>
          </cell>
          <cell r="AB519" t="str">
            <v>Fabcity</v>
          </cell>
        </row>
        <row r="520">
          <cell r="A520" t="str">
            <v>PEPPL0888</v>
          </cell>
          <cell r="AB520" t="str">
            <v>Fabcity</v>
          </cell>
        </row>
        <row r="521">
          <cell r="A521" t="str">
            <v>PEIPL0216</v>
          </cell>
          <cell r="AB521" t="str">
            <v>Fabcity</v>
          </cell>
        </row>
        <row r="522">
          <cell r="A522" t="str">
            <v>PEPPL0651</v>
          </cell>
          <cell r="AB522" t="str">
            <v>Mumbai</v>
          </cell>
        </row>
        <row r="523">
          <cell r="A523" t="str">
            <v>PEIPL0325</v>
          </cell>
          <cell r="AB523" t="str">
            <v>Fabcity</v>
          </cell>
        </row>
        <row r="524">
          <cell r="A524" t="str">
            <v>PEPPL0755</v>
          </cell>
          <cell r="AB524" t="str">
            <v>Fabcity</v>
          </cell>
        </row>
        <row r="525">
          <cell r="A525" t="str">
            <v>PEPPL0523</v>
          </cell>
          <cell r="AB525" t="str">
            <v>Fabcity</v>
          </cell>
        </row>
        <row r="526">
          <cell r="A526" t="str">
            <v>PEPPL0351</v>
          </cell>
          <cell r="AB526" t="str">
            <v>Fabcity</v>
          </cell>
        </row>
        <row r="527">
          <cell r="A527" t="str">
            <v>PEIPL0365</v>
          </cell>
          <cell r="AB527" t="str">
            <v>Fabcity</v>
          </cell>
        </row>
        <row r="528">
          <cell r="A528" t="str">
            <v>PSS1389</v>
          </cell>
          <cell r="AB528" t="str">
            <v>Corporate Office</v>
          </cell>
        </row>
        <row r="529">
          <cell r="A529" t="str">
            <v>PEPPL0283</v>
          </cell>
          <cell r="AB529" t="str">
            <v>Fabcity</v>
          </cell>
        </row>
        <row r="530">
          <cell r="A530" t="str">
            <v>PSS1180</v>
          </cell>
          <cell r="AB530" t="str">
            <v>Corporate Office</v>
          </cell>
        </row>
        <row r="531">
          <cell r="A531" t="str">
            <v>PEPPL0279</v>
          </cell>
          <cell r="AB531" t="str">
            <v>Fabcity</v>
          </cell>
        </row>
        <row r="532">
          <cell r="A532" t="str">
            <v>PEPPL0885</v>
          </cell>
          <cell r="AB532" t="str">
            <v>Corporate Office</v>
          </cell>
        </row>
        <row r="533">
          <cell r="A533" t="str">
            <v>PEIPL0542</v>
          </cell>
          <cell r="AB533" t="str">
            <v>Fabcity</v>
          </cell>
        </row>
        <row r="534">
          <cell r="A534" t="str">
            <v>PEPPL0816</v>
          </cell>
          <cell r="AB534" t="str">
            <v>Fabcity</v>
          </cell>
        </row>
        <row r="535">
          <cell r="A535" t="str">
            <v>PEPPL0241</v>
          </cell>
          <cell r="AB535" t="str">
            <v>Fabcity</v>
          </cell>
        </row>
        <row r="536">
          <cell r="A536" t="str">
            <v>PSS0962</v>
          </cell>
          <cell r="AB536" t="str">
            <v>Factory-Annaram</v>
          </cell>
        </row>
        <row r="537">
          <cell r="A537" t="str">
            <v>PEPPL0196</v>
          </cell>
          <cell r="AB537" t="str">
            <v>Fabcity</v>
          </cell>
        </row>
        <row r="538">
          <cell r="A538" t="str">
            <v>PEIPL0425</v>
          </cell>
          <cell r="AB538" t="str">
            <v>Fabcity</v>
          </cell>
        </row>
        <row r="539">
          <cell r="A539" t="str">
            <v>PEGEPL0025</v>
          </cell>
          <cell r="AB539" t="str">
            <v>Fabcity</v>
          </cell>
        </row>
        <row r="540">
          <cell r="A540" t="str">
            <v>PEGEPL0061</v>
          </cell>
          <cell r="AB540" t="str">
            <v>Fabcity</v>
          </cell>
        </row>
        <row r="541">
          <cell r="A541" t="str">
            <v>PEPPL0141</v>
          </cell>
          <cell r="AB541" t="str">
            <v>Fabcity</v>
          </cell>
        </row>
        <row r="542">
          <cell r="A542" t="str">
            <v>P0114</v>
          </cell>
          <cell r="AB542" t="str">
            <v>Deoghars</v>
          </cell>
        </row>
        <row r="543">
          <cell r="A543" t="str">
            <v>P0438</v>
          </cell>
          <cell r="AB543" t="str">
            <v>Deoghar</v>
          </cell>
        </row>
        <row r="544">
          <cell r="A544" t="str">
            <v>PEPPL0739</v>
          </cell>
          <cell r="AB544" t="str">
            <v>Fabcity</v>
          </cell>
        </row>
        <row r="545">
          <cell r="A545" t="str">
            <v>PEIPL0454</v>
          </cell>
          <cell r="AB545" t="str">
            <v>Fabcity</v>
          </cell>
        </row>
        <row r="546">
          <cell r="A546" t="str">
            <v>PEIPL0437</v>
          </cell>
          <cell r="AB546" t="str">
            <v>Fabcity</v>
          </cell>
        </row>
        <row r="547">
          <cell r="A547" t="str">
            <v>PEIPL0134</v>
          </cell>
          <cell r="AB547" t="str">
            <v>Fabcity</v>
          </cell>
        </row>
        <row r="548">
          <cell r="A548" t="str">
            <v>PEIPL0110</v>
          </cell>
          <cell r="AB548" t="str">
            <v>Fabcity</v>
          </cell>
        </row>
        <row r="549">
          <cell r="A549" t="str">
            <v>PEIPL0439</v>
          </cell>
          <cell r="AB549" t="str">
            <v>Fabcity</v>
          </cell>
        </row>
        <row r="550">
          <cell r="A550" t="str">
            <v>PEPPL0744</v>
          </cell>
          <cell r="AB550" t="str">
            <v>Fabcity</v>
          </cell>
        </row>
        <row r="551">
          <cell r="A551" t="str">
            <v>PEIPL0233</v>
          </cell>
          <cell r="AB551" t="str">
            <v>Fabcity</v>
          </cell>
        </row>
        <row r="552">
          <cell r="A552" t="str">
            <v>PEPPL0137</v>
          </cell>
          <cell r="AB552" t="str">
            <v>Fabcity</v>
          </cell>
        </row>
        <row r="553">
          <cell r="A553" t="str">
            <v>PSS1420</v>
          </cell>
          <cell r="AB553" t="str">
            <v>Corporate Office</v>
          </cell>
        </row>
        <row r="554">
          <cell r="A554" t="str">
            <v>PEPPL0658</v>
          </cell>
          <cell r="AB554" t="str">
            <v>Corporate Office</v>
          </cell>
        </row>
        <row r="555">
          <cell r="A555" t="str">
            <v>PEIPL0597</v>
          </cell>
          <cell r="AB555" t="str">
            <v>Fabcity</v>
          </cell>
        </row>
        <row r="556">
          <cell r="A556" t="str">
            <v>PEPPL0495</v>
          </cell>
          <cell r="AB556" t="str">
            <v>Fabcity</v>
          </cell>
        </row>
        <row r="557">
          <cell r="A557" t="str">
            <v>P0450</v>
          </cell>
          <cell r="AB557" t="str">
            <v>Corporate Office</v>
          </cell>
        </row>
        <row r="558">
          <cell r="A558" t="str">
            <v>PEIPL0641</v>
          </cell>
          <cell r="AB558" t="str">
            <v>Fabcity</v>
          </cell>
        </row>
        <row r="559">
          <cell r="A559" t="str">
            <v>PSS0668</v>
          </cell>
          <cell r="AB559" t="str">
            <v>Factory-Annaram</v>
          </cell>
        </row>
        <row r="560">
          <cell r="A560" t="str">
            <v>PEIPL0268</v>
          </cell>
          <cell r="AB560" t="str">
            <v>Fabcity</v>
          </cell>
        </row>
        <row r="561">
          <cell r="A561" t="str">
            <v>PEIPL0664</v>
          </cell>
          <cell r="AB561" t="str">
            <v>Fabcity</v>
          </cell>
        </row>
        <row r="562">
          <cell r="A562" t="str">
            <v>PSS1143</v>
          </cell>
          <cell r="AB562" t="str">
            <v>Hisar - Haryana</v>
          </cell>
        </row>
        <row r="563">
          <cell r="A563" t="str">
            <v>PEPPL0602</v>
          </cell>
          <cell r="AB563" t="str">
            <v>Fabcity</v>
          </cell>
        </row>
        <row r="564">
          <cell r="A564" t="str">
            <v>PEIPL0401</v>
          </cell>
          <cell r="AB564" t="str">
            <v>Fabcity</v>
          </cell>
        </row>
        <row r="565">
          <cell r="A565" t="str">
            <v>PEIPL0387</v>
          </cell>
          <cell r="AB565" t="str">
            <v>Fabcity</v>
          </cell>
        </row>
        <row r="566">
          <cell r="A566" t="str">
            <v>PEIPL0337</v>
          </cell>
          <cell r="AB566" t="str">
            <v>Fabcity</v>
          </cell>
        </row>
        <row r="567">
          <cell r="A567" t="str">
            <v>PEIPL0755</v>
          </cell>
          <cell r="AB567" t="str">
            <v>Fabcity</v>
          </cell>
        </row>
        <row r="568">
          <cell r="A568" t="str">
            <v>PEPPL0224</v>
          </cell>
          <cell r="AB568" t="str">
            <v>Fabcity</v>
          </cell>
        </row>
        <row r="569">
          <cell r="A569" t="str">
            <v>PEIPL0802</v>
          </cell>
          <cell r="AB569" t="str">
            <v>Fabcity</v>
          </cell>
        </row>
        <row r="570">
          <cell r="A570" t="str">
            <v>PEIPL0023</v>
          </cell>
          <cell r="AB570" t="str">
            <v>Fabcity</v>
          </cell>
        </row>
        <row r="571">
          <cell r="A571" t="str">
            <v>PEIPL0622</v>
          </cell>
          <cell r="AB571" t="str">
            <v>Fabcity</v>
          </cell>
        </row>
        <row r="572">
          <cell r="A572" t="str">
            <v>PEIPL0222</v>
          </cell>
          <cell r="AB572" t="str">
            <v>Fabcity</v>
          </cell>
        </row>
        <row r="573">
          <cell r="A573" t="str">
            <v>PEIPL0353</v>
          </cell>
          <cell r="AB573" t="str">
            <v>Fabcity</v>
          </cell>
        </row>
        <row r="574">
          <cell r="A574" t="str">
            <v>PEIPL0557</v>
          </cell>
          <cell r="AB574" t="str">
            <v>Fabcity</v>
          </cell>
        </row>
        <row r="575">
          <cell r="A575" t="str">
            <v>PEPPL0797</v>
          </cell>
          <cell r="AB575" t="str">
            <v>Corporate Office</v>
          </cell>
        </row>
        <row r="576">
          <cell r="A576" t="str">
            <v>PEPPL0112</v>
          </cell>
          <cell r="AB576" t="str">
            <v>Fabcity</v>
          </cell>
        </row>
        <row r="577">
          <cell r="A577" t="str">
            <v>PEPPL0085</v>
          </cell>
          <cell r="AB577" t="str">
            <v>Fabcity</v>
          </cell>
        </row>
        <row r="578">
          <cell r="A578" t="str">
            <v>PEIPL0117</v>
          </cell>
          <cell r="AB578" t="str">
            <v>Fabcity</v>
          </cell>
        </row>
        <row r="579">
          <cell r="A579" t="str">
            <v>P0437</v>
          </cell>
          <cell r="AB579" t="str">
            <v>CEMCOT</v>
          </cell>
        </row>
        <row r="580">
          <cell r="A580" t="str">
            <v>PEPPL0829</v>
          </cell>
          <cell r="AB580" t="str">
            <v>New Delhi</v>
          </cell>
        </row>
        <row r="581">
          <cell r="A581" t="str">
            <v>PEPPL0206</v>
          </cell>
          <cell r="AB581" t="str">
            <v>Fabcity</v>
          </cell>
        </row>
        <row r="582">
          <cell r="A582" t="str">
            <v>PSS0931</v>
          </cell>
          <cell r="AB582" t="str">
            <v>Banka</v>
          </cell>
        </row>
        <row r="583">
          <cell r="A583" t="str">
            <v>PEPPL0666</v>
          </cell>
          <cell r="AB583" t="str">
            <v>Fabcity</v>
          </cell>
        </row>
        <row r="584">
          <cell r="A584" t="str">
            <v>PEPPL0670</v>
          </cell>
          <cell r="AB584" t="str">
            <v>Fabcity</v>
          </cell>
        </row>
        <row r="585">
          <cell r="A585" t="str">
            <v>BDPL0021</v>
          </cell>
          <cell r="AB585" t="str">
            <v>Hubli</v>
          </cell>
        </row>
        <row r="586">
          <cell r="A586" t="str">
            <v>P0363</v>
          </cell>
          <cell r="AB586" t="str">
            <v>Hubli</v>
          </cell>
        </row>
        <row r="587">
          <cell r="A587" t="str">
            <v>P0473</v>
          </cell>
          <cell r="AB587" t="str">
            <v>Hubli</v>
          </cell>
        </row>
        <row r="588">
          <cell r="A588" t="str">
            <v>PEPPL0139</v>
          </cell>
          <cell r="AB588" t="str">
            <v>Fabcity</v>
          </cell>
        </row>
        <row r="589">
          <cell r="A589" t="str">
            <v>PEPPL0011</v>
          </cell>
          <cell r="AB589" t="str">
            <v>Corporate Office</v>
          </cell>
        </row>
        <row r="590">
          <cell r="A590" t="str">
            <v>PEIPL0094</v>
          </cell>
          <cell r="AB590" t="str">
            <v>Corporate Office</v>
          </cell>
        </row>
        <row r="591">
          <cell r="A591" t="str">
            <v>PSS1364</v>
          </cell>
          <cell r="AB591" t="str">
            <v>Corporate Office</v>
          </cell>
        </row>
        <row r="592">
          <cell r="A592" t="str">
            <v>PEPPL0039</v>
          </cell>
          <cell r="AB592" t="str">
            <v>Fabcity</v>
          </cell>
        </row>
        <row r="593">
          <cell r="A593" t="str">
            <v>PEPPL0668</v>
          </cell>
          <cell r="AB593" t="str">
            <v>Fabcity</v>
          </cell>
        </row>
        <row r="594">
          <cell r="A594" t="str">
            <v>PSS0891</v>
          </cell>
          <cell r="AB594" t="str">
            <v>Factory-Annaram</v>
          </cell>
        </row>
        <row r="595">
          <cell r="A595" t="str">
            <v>PEGEPL0047</v>
          </cell>
          <cell r="AB595" t="str">
            <v>Fabcity</v>
          </cell>
        </row>
        <row r="596">
          <cell r="A596" t="str">
            <v>PEPPL0667</v>
          </cell>
          <cell r="AB596" t="str">
            <v>Fabcity</v>
          </cell>
        </row>
        <row r="597">
          <cell r="A597" t="str">
            <v>PEPPL0664</v>
          </cell>
          <cell r="AB597" t="str">
            <v>Fabcity</v>
          </cell>
        </row>
        <row r="598">
          <cell r="A598" t="str">
            <v>PSS1208</v>
          </cell>
          <cell r="AB598" t="str">
            <v>Rupauli</v>
          </cell>
        </row>
        <row r="599">
          <cell r="A599" t="str">
            <v>PEPPL0190</v>
          </cell>
          <cell r="AB599" t="str">
            <v>Fabcity</v>
          </cell>
        </row>
        <row r="600">
          <cell r="A600" t="str">
            <v>PSS1047</v>
          </cell>
          <cell r="AB600" t="str">
            <v>Purnia</v>
          </cell>
        </row>
        <row r="601">
          <cell r="A601" t="str">
            <v>P0110</v>
          </cell>
          <cell r="AB601" t="str">
            <v>Deoghars</v>
          </cell>
        </row>
        <row r="602">
          <cell r="A602" t="str">
            <v>PEPPL0750</v>
          </cell>
          <cell r="AB602" t="str">
            <v>Fabcity</v>
          </cell>
        </row>
        <row r="603">
          <cell r="A603" t="str">
            <v>PEPPL0223</v>
          </cell>
          <cell r="AB603" t="str">
            <v>Fabcity</v>
          </cell>
        </row>
        <row r="604">
          <cell r="A604" t="str">
            <v>PEIPL0123</v>
          </cell>
          <cell r="AB604" t="str">
            <v>Fabcity</v>
          </cell>
        </row>
        <row r="605">
          <cell r="A605" t="str">
            <v>PEIPL0093</v>
          </cell>
          <cell r="AB605" t="str">
            <v>Fabcity</v>
          </cell>
        </row>
        <row r="606">
          <cell r="A606" t="str">
            <v>PEPPL0327</v>
          </cell>
          <cell r="AB606" t="str">
            <v>Fabcity</v>
          </cell>
        </row>
        <row r="607">
          <cell r="A607" t="str">
            <v>PEIPL0472</v>
          </cell>
          <cell r="AB607" t="str">
            <v>Fabcity</v>
          </cell>
        </row>
        <row r="608">
          <cell r="A608" t="str">
            <v>PSS1169</v>
          </cell>
          <cell r="AB608" t="str">
            <v>Corporate Office</v>
          </cell>
        </row>
        <row r="609">
          <cell r="A609" t="str">
            <v>PSS1366</v>
          </cell>
          <cell r="AB609" t="str">
            <v>Ahmednagar</v>
          </cell>
        </row>
        <row r="610">
          <cell r="A610" t="str">
            <v>PEIPL0392</v>
          </cell>
          <cell r="AB610" t="str">
            <v>Fabcity</v>
          </cell>
        </row>
        <row r="611">
          <cell r="A611" t="str">
            <v>PEPPL0170</v>
          </cell>
          <cell r="AB611" t="str">
            <v>Fabcity</v>
          </cell>
        </row>
        <row r="612">
          <cell r="A612" t="str">
            <v>PEIPL0196</v>
          </cell>
          <cell r="AB612" t="str">
            <v>Fabcity</v>
          </cell>
        </row>
        <row r="613">
          <cell r="A613" t="str">
            <v>PEPPL0451</v>
          </cell>
          <cell r="AB613" t="str">
            <v>Fabcity</v>
          </cell>
        </row>
        <row r="614">
          <cell r="A614" t="str">
            <v>PEIPL0068</v>
          </cell>
          <cell r="AB614" t="str">
            <v>Fabcity</v>
          </cell>
        </row>
        <row r="615">
          <cell r="A615" t="str">
            <v>PEPPL0599</v>
          </cell>
          <cell r="AB615" t="str">
            <v>Fabcity</v>
          </cell>
        </row>
        <row r="616">
          <cell r="A616" t="str">
            <v>PSS1034</v>
          </cell>
          <cell r="AB616" t="str">
            <v>Lucknow</v>
          </cell>
        </row>
        <row r="617">
          <cell r="A617" t="str">
            <v>PEPPL0482</v>
          </cell>
          <cell r="AB617" t="str">
            <v>Fabcity</v>
          </cell>
        </row>
        <row r="618">
          <cell r="A618" t="str">
            <v>PSS1219</v>
          </cell>
          <cell r="AB618" t="str">
            <v>Banswara</v>
          </cell>
        </row>
        <row r="619">
          <cell r="A619" t="str">
            <v>PEPPL0377</v>
          </cell>
          <cell r="AB619" t="str">
            <v>Fabcity</v>
          </cell>
        </row>
        <row r="620">
          <cell r="A620" t="str">
            <v>PEPPL0212</v>
          </cell>
          <cell r="AB620" t="str">
            <v>Fabcity</v>
          </cell>
        </row>
        <row r="621">
          <cell r="A621" t="str">
            <v>PEIPL0229</v>
          </cell>
          <cell r="AB621" t="str">
            <v>Fabcity</v>
          </cell>
        </row>
        <row r="622">
          <cell r="A622" t="str">
            <v>PEPPL0453</v>
          </cell>
          <cell r="AB622" t="str">
            <v>Fabcity</v>
          </cell>
        </row>
        <row r="623">
          <cell r="A623" t="str">
            <v>PSS1306</v>
          </cell>
          <cell r="AB623" t="str">
            <v>Fabcity</v>
          </cell>
        </row>
        <row r="624">
          <cell r="A624" t="str">
            <v>PSS1274</v>
          </cell>
          <cell r="AB624" t="str">
            <v>Corporate Office</v>
          </cell>
        </row>
        <row r="625">
          <cell r="A625" t="str">
            <v>PEPPL0115</v>
          </cell>
          <cell r="AB625" t="str">
            <v>Fabcity</v>
          </cell>
        </row>
        <row r="626">
          <cell r="A626" t="str">
            <v>PEPPL0474</v>
          </cell>
          <cell r="AB626" t="str">
            <v>Fabcity</v>
          </cell>
        </row>
        <row r="627">
          <cell r="A627" t="str">
            <v>PEPPL0240</v>
          </cell>
          <cell r="AB627" t="str">
            <v>Fabcity</v>
          </cell>
        </row>
        <row r="628">
          <cell r="A628" t="str">
            <v>PSS1151</v>
          </cell>
          <cell r="AB628" t="str">
            <v>Factory-Annaram</v>
          </cell>
        </row>
        <row r="629">
          <cell r="A629" t="str">
            <v>PEIPL0116</v>
          </cell>
          <cell r="AB629" t="str">
            <v>Fabcity</v>
          </cell>
        </row>
        <row r="630">
          <cell r="A630" t="str">
            <v>PEPPL0253</v>
          </cell>
          <cell r="AB630" t="str">
            <v>Fabcity</v>
          </cell>
        </row>
        <row r="631">
          <cell r="A631" t="str">
            <v>PSS1345</v>
          </cell>
          <cell r="AB631" t="str">
            <v>City Office</v>
          </cell>
        </row>
        <row r="632">
          <cell r="A632" t="str">
            <v>PEGEPL0134</v>
          </cell>
          <cell r="AB632" t="str">
            <v>Corporate Office</v>
          </cell>
        </row>
        <row r="633">
          <cell r="A633" t="str">
            <v>PEIPL0504</v>
          </cell>
          <cell r="AB633" t="str">
            <v>Fabcity</v>
          </cell>
        </row>
        <row r="634">
          <cell r="A634" t="str">
            <v>PSS0577</v>
          </cell>
          <cell r="AB634" t="str">
            <v>Factory-Annaram</v>
          </cell>
        </row>
        <row r="635">
          <cell r="A635" t="str">
            <v>PEIPL0780</v>
          </cell>
          <cell r="AB635" t="str">
            <v>Corporate Office</v>
          </cell>
        </row>
        <row r="636">
          <cell r="A636" t="str">
            <v>PSS0187</v>
          </cell>
          <cell r="AB636" t="str">
            <v>City Office</v>
          </cell>
        </row>
        <row r="637">
          <cell r="A637" t="str">
            <v>PEGEPL0072</v>
          </cell>
          <cell r="AB637" t="str">
            <v>Fabcity</v>
          </cell>
        </row>
        <row r="638">
          <cell r="A638" t="str">
            <v>PEPPL0760</v>
          </cell>
          <cell r="AB638" t="str">
            <v>Fabcity</v>
          </cell>
        </row>
        <row r="639">
          <cell r="A639" t="str">
            <v>PEPPL0168</v>
          </cell>
          <cell r="AB639" t="str">
            <v>Fabcity</v>
          </cell>
        </row>
        <row r="640">
          <cell r="A640" t="str">
            <v>PEPPL0317</v>
          </cell>
          <cell r="AB640" t="str">
            <v>Fabcity</v>
          </cell>
        </row>
        <row r="641">
          <cell r="A641" t="str">
            <v>P0296</v>
          </cell>
          <cell r="AB641" t="str">
            <v>Vikas Nagar</v>
          </cell>
        </row>
        <row r="642">
          <cell r="A642" t="str">
            <v>P0279</v>
          </cell>
          <cell r="AB642" t="str">
            <v>Vikas Nagar</v>
          </cell>
        </row>
        <row r="643">
          <cell r="A643" t="str">
            <v>P0266</v>
          </cell>
          <cell r="AB643" t="str">
            <v>Vikas Nagar</v>
          </cell>
        </row>
        <row r="644">
          <cell r="A644" t="str">
            <v>P0301</v>
          </cell>
          <cell r="AB644" t="str">
            <v>Vikas Nagar</v>
          </cell>
        </row>
        <row r="645">
          <cell r="A645" t="str">
            <v>PEPPL0827</v>
          </cell>
          <cell r="AB645" t="str">
            <v>Fabcity</v>
          </cell>
        </row>
        <row r="646">
          <cell r="A646" t="str">
            <v>PEIPL0402</v>
          </cell>
          <cell r="AB646" t="str">
            <v>Fabcity</v>
          </cell>
        </row>
        <row r="647">
          <cell r="A647" t="str">
            <v>P0253</v>
          </cell>
          <cell r="AB647" t="str">
            <v>Vikas Nagar</v>
          </cell>
        </row>
        <row r="648">
          <cell r="A648" t="str">
            <v>P0287</v>
          </cell>
          <cell r="AB648" t="str">
            <v>Vikas Nagar</v>
          </cell>
        </row>
        <row r="649">
          <cell r="A649" t="str">
            <v>P0283</v>
          </cell>
          <cell r="AB649" t="str">
            <v>Vikas Nagar</v>
          </cell>
        </row>
        <row r="650">
          <cell r="A650" t="str">
            <v>PSS0621</v>
          </cell>
          <cell r="AB650" t="str">
            <v>City Office</v>
          </cell>
        </row>
        <row r="651">
          <cell r="A651" t="str">
            <v>PSS0800</v>
          </cell>
          <cell r="AB651" t="str">
            <v>Patna</v>
          </cell>
        </row>
        <row r="652">
          <cell r="A652" t="str">
            <v>P0234</v>
          </cell>
          <cell r="AB652" t="str">
            <v>Vikas Nagar</v>
          </cell>
        </row>
        <row r="653">
          <cell r="A653" t="str">
            <v>P0370</v>
          </cell>
          <cell r="AB653" t="str">
            <v>Vikas Nagar</v>
          </cell>
        </row>
        <row r="654">
          <cell r="A654" t="str">
            <v>P0302</v>
          </cell>
          <cell r="AB654" t="str">
            <v>Vikas Nagar</v>
          </cell>
        </row>
        <row r="655">
          <cell r="A655" t="str">
            <v>P0108</v>
          </cell>
          <cell r="AB655" t="str">
            <v>Deoghars</v>
          </cell>
        </row>
        <row r="656">
          <cell r="A656" t="str">
            <v>PSS1044</v>
          </cell>
          <cell r="AB656" t="str">
            <v>Begusarai</v>
          </cell>
        </row>
        <row r="657">
          <cell r="A657" t="str">
            <v>PSS1040</v>
          </cell>
          <cell r="AB657" t="str">
            <v>Purnia</v>
          </cell>
        </row>
        <row r="658">
          <cell r="A658" t="str">
            <v>PEPPL0814</v>
          </cell>
          <cell r="AB658" t="str">
            <v>Fabcity</v>
          </cell>
        </row>
        <row r="659">
          <cell r="A659" t="str">
            <v>PSS0639</v>
          </cell>
          <cell r="AB659" t="str">
            <v>Lucknow</v>
          </cell>
        </row>
        <row r="660">
          <cell r="A660" t="str">
            <v>PEIPL0307</v>
          </cell>
          <cell r="AB660" t="str">
            <v>Fabcity</v>
          </cell>
        </row>
        <row r="661">
          <cell r="A661" t="str">
            <v>PEIPL0211</v>
          </cell>
          <cell r="AB661" t="str">
            <v>Fabcity</v>
          </cell>
        </row>
        <row r="662">
          <cell r="A662" t="str">
            <v>PSS1012</v>
          </cell>
          <cell r="AB662" t="str">
            <v>Lucknow</v>
          </cell>
        </row>
        <row r="663">
          <cell r="A663" t="str">
            <v>PEIPL0323</v>
          </cell>
          <cell r="AB663" t="str">
            <v>Fabcity</v>
          </cell>
        </row>
        <row r="664">
          <cell r="A664" t="str">
            <v>PEPPL0078</v>
          </cell>
          <cell r="AB664" t="str">
            <v>Fabcity</v>
          </cell>
        </row>
        <row r="665">
          <cell r="A665" t="str">
            <v>PEPPL0123</v>
          </cell>
          <cell r="AB665" t="str">
            <v>Fabcity</v>
          </cell>
        </row>
        <row r="666">
          <cell r="A666" t="str">
            <v>PEIPL0341</v>
          </cell>
          <cell r="AB666" t="str">
            <v>Fabcity</v>
          </cell>
        </row>
        <row r="667">
          <cell r="A667" t="str">
            <v>PEIPL0792</v>
          </cell>
          <cell r="AB667" t="str">
            <v>Fabcity</v>
          </cell>
        </row>
        <row r="668">
          <cell r="A668" t="str">
            <v>PEPPL0038</v>
          </cell>
          <cell r="AB668" t="str">
            <v>Fabcity</v>
          </cell>
        </row>
        <row r="669">
          <cell r="A669" t="str">
            <v>PEPPL0648</v>
          </cell>
          <cell r="AB669" t="str">
            <v>Fabcity</v>
          </cell>
        </row>
        <row r="670">
          <cell r="A670" t="str">
            <v>PEPPL0691</v>
          </cell>
          <cell r="AB670" t="str">
            <v>Fabcity</v>
          </cell>
        </row>
        <row r="671">
          <cell r="A671" t="str">
            <v>PEPPL0179</v>
          </cell>
          <cell r="AB671" t="str">
            <v>Fabcity</v>
          </cell>
        </row>
        <row r="672">
          <cell r="A672" t="str">
            <v>PEIPL0064</v>
          </cell>
          <cell r="AB672" t="str">
            <v>Fabcity</v>
          </cell>
        </row>
        <row r="673">
          <cell r="A673" t="str">
            <v>PEPPL0143</v>
          </cell>
          <cell r="AB673" t="str">
            <v>Fabcity</v>
          </cell>
        </row>
        <row r="674">
          <cell r="A674" t="str">
            <v>PSS1064</v>
          </cell>
          <cell r="AB674" t="str">
            <v>Munger</v>
          </cell>
        </row>
        <row r="675">
          <cell r="A675" t="str">
            <v>PEIPL0787</v>
          </cell>
          <cell r="AB675" t="str">
            <v>Fabcity</v>
          </cell>
        </row>
        <row r="676">
          <cell r="A676" t="str">
            <v>PEIPL0444</v>
          </cell>
          <cell r="AB676" t="str">
            <v>Fabcity</v>
          </cell>
        </row>
        <row r="677">
          <cell r="A677" t="str">
            <v>PEGEPL0091</v>
          </cell>
          <cell r="AB677" t="str">
            <v>Fabcity</v>
          </cell>
        </row>
        <row r="678">
          <cell r="A678" t="str">
            <v>PEIPL0417</v>
          </cell>
          <cell r="AB678" t="str">
            <v>Fabcity</v>
          </cell>
        </row>
        <row r="679">
          <cell r="A679" t="str">
            <v>PEIPL0296</v>
          </cell>
          <cell r="AB679" t="str">
            <v>Fabcity</v>
          </cell>
        </row>
        <row r="680">
          <cell r="A680" t="str">
            <v>PEIPL0218</v>
          </cell>
          <cell r="AB680" t="str">
            <v>Fabcity</v>
          </cell>
        </row>
        <row r="681">
          <cell r="A681" t="str">
            <v>PSS0762</v>
          </cell>
          <cell r="AB681" t="str">
            <v>Purnia</v>
          </cell>
        </row>
        <row r="682">
          <cell r="A682" t="str">
            <v>PSS1141</v>
          </cell>
          <cell r="AB682" t="str">
            <v>Purnia</v>
          </cell>
        </row>
        <row r="683">
          <cell r="A683" t="str">
            <v>PEIPL0712</v>
          </cell>
          <cell r="AB683" t="str">
            <v>Corporate Office</v>
          </cell>
        </row>
        <row r="684">
          <cell r="A684" t="str">
            <v>PEIPL0065</v>
          </cell>
          <cell r="AB684" t="str">
            <v>Fabcity</v>
          </cell>
        </row>
        <row r="685">
          <cell r="A685" t="str">
            <v>PEPPL0586</v>
          </cell>
          <cell r="AB685" t="str">
            <v>Fabcity</v>
          </cell>
        </row>
        <row r="686">
          <cell r="A686" t="str">
            <v>PSS1230</v>
          </cell>
          <cell r="AB686" t="str">
            <v>Corporate Office</v>
          </cell>
        </row>
        <row r="687">
          <cell r="A687" t="str">
            <v>PEPPL0278</v>
          </cell>
          <cell r="AB687" t="str">
            <v>Fabcity</v>
          </cell>
        </row>
        <row r="688">
          <cell r="A688" t="str">
            <v>PEIPL0737</v>
          </cell>
          <cell r="AB688" t="str">
            <v>City Office</v>
          </cell>
        </row>
        <row r="689">
          <cell r="A689" t="str">
            <v>PEPPL0684</v>
          </cell>
          <cell r="AB689" t="str">
            <v>Fabcity</v>
          </cell>
        </row>
        <row r="690">
          <cell r="A690" t="str">
            <v>PEPPL0229</v>
          </cell>
          <cell r="AB690" t="str">
            <v>Fabcity</v>
          </cell>
        </row>
        <row r="691">
          <cell r="A691" t="str">
            <v>PEIPL0510</v>
          </cell>
          <cell r="AB691" t="str">
            <v>Fabcity</v>
          </cell>
        </row>
        <row r="692">
          <cell r="A692" t="str">
            <v>PSS1312</v>
          </cell>
          <cell r="AB692" t="str">
            <v>Factory-Annaram</v>
          </cell>
        </row>
        <row r="693">
          <cell r="A693" t="str">
            <v>PEIPL0269</v>
          </cell>
          <cell r="AB693" t="str">
            <v>Fabcity</v>
          </cell>
        </row>
        <row r="694">
          <cell r="A694" t="str">
            <v>P0290</v>
          </cell>
          <cell r="AB694" t="str">
            <v>Vikas Nagar</v>
          </cell>
        </row>
        <row r="695">
          <cell r="A695" t="str">
            <v>P0298</v>
          </cell>
          <cell r="AB695" t="str">
            <v>Vikas Nagar</v>
          </cell>
        </row>
        <row r="696">
          <cell r="A696" t="str">
            <v>PSS1126</v>
          </cell>
          <cell r="AB696" t="str">
            <v>Sonbhadra</v>
          </cell>
        </row>
        <row r="697">
          <cell r="A697" t="str">
            <v>PSS1258</v>
          </cell>
          <cell r="AB697" t="str">
            <v>Sonbhadra</v>
          </cell>
        </row>
        <row r="698">
          <cell r="A698" t="str">
            <v>PSS1257</v>
          </cell>
          <cell r="AB698" t="str">
            <v>Sonbhadra</v>
          </cell>
        </row>
        <row r="699">
          <cell r="A699" t="str">
            <v>PSS1093</v>
          </cell>
          <cell r="AB699" t="str">
            <v>Lucknow</v>
          </cell>
        </row>
        <row r="700">
          <cell r="A700" t="str">
            <v>PSS1325</v>
          </cell>
          <cell r="AB700" t="str">
            <v>Lucknow</v>
          </cell>
        </row>
        <row r="701">
          <cell r="A701" t="str">
            <v>PEPPL0817</v>
          </cell>
          <cell r="AB701" t="str">
            <v>Fabcity</v>
          </cell>
        </row>
        <row r="702">
          <cell r="A702" t="str">
            <v>PSS1117</v>
          </cell>
          <cell r="AB702" t="str">
            <v>Corporate Office</v>
          </cell>
        </row>
        <row r="703">
          <cell r="A703" t="str">
            <v>PEPPL0579</v>
          </cell>
          <cell r="AB703" t="str">
            <v>Fabcity</v>
          </cell>
        </row>
        <row r="704">
          <cell r="A704" t="str">
            <v>PSS1163</v>
          </cell>
          <cell r="AB704" t="str">
            <v>Corporate Office</v>
          </cell>
        </row>
        <row r="705">
          <cell r="A705" t="str">
            <v>PEIPL0413</v>
          </cell>
          <cell r="AB705" t="str">
            <v>Fabcity</v>
          </cell>
        </row>
        <row r="706">
          <cell r="A706" t="str">
            <v>PEIPL0128</v>
          </cell>
          <cell r="AB706" t="str">
            <v>Fabcity</v>
          </cell>
        </row>
        <row r="707">
          <cell r="A707" t="str">
            <v>PEPPL0597</v>
          </cell>
          <cell r="AB707" t="str">
            <v>Fabcity</v>
          </cell>
        </row>
        <row r="708">
          <cell r="A708" t="str">
            <v>PEIPL0733</v>
          </cell>
          <cell r="AB708" t="str">
            <v>Fabcity</v>
          </cell>
        </row>
        <row r="709">
          <cell r="A709" t="str">
            <v>P0395</v>
          </cell>
          <cell r="AB709" t="str">
            <v>Jamnagar</v>
          </cell>
        </row>
        <row r="710">
          <cell r="A710" t="str">
            <v>PEIPL0784</v>
          </cell>
          <cell r="AB710" t="str">
            <v>Fabcity</v>
          </cell>
        </row>
        <row r="711">
          <cell r="A711" t="str">
            <v>PEIPL0260</v>
          </cell>
          <cell r="AB711" t="str">
            <v>Fabcity</v>
          </cell>
        </row>
        <row r="712">
          <cell r="A712" t="str">
            <v>PSS0728</v>
          </cell>
          <cell r="AB712" t="str">
            <v>Patna</v>
          </cell>
        </row>
        <row r="713">
          <cell r="A713" t="str">
            <v>PEPPL0887</v>
          </cell>
          <cell r="AB713" t="str">
            <v>Fabcity</v>
          </cell>
        </row>
        <row r="714">
          <cell r="A714" t="str">
            <v>PEPPL0358</v>
          </cell>
          <cell r="AB714" t="str">
            <v>Fabcity</v>
          </cell>
        </row>
        <row r="715">
          <cell r="A715" t="str">
            <v>PSS1402</v>
          </cell>
          <cell r="AB715" t="str">
            <v>Fabcity</v>
          </cell>
        </row>
        <row r="716">
          <cell r="A716" t="str">
            <v>PEPPL0574</v>
          </cell>
          <cell r="AB716" t="str">
            <v>Fabcity</v>
          </cell>
        </row>
        <row r="717">
          <cell r="A717" t="str">
            <v>PEPPL0023</v>
          </cell>
          <cell r="AB717" t="str">
            <v>Fabcity</v>
          </cell>
        </row>
        <row r="718">
          <cell r="A718" t="str">
            <v>PSS1427</v>
          </cell>
          <cell r="AB718" t="str">
            <v>Corporate Office</v>
          </cell>
        </row>
        <row r="719">
          <cell r="A719" t="str">
            <v>P0430</v>
          </cell>
          <cell r="AB719" t="str">
            <v>Corporate Office</v>
          </cell>
        </row>
        <row r="720">
          <cell r="A720" t="str">
            <v>PSS0372</v>
          </cell>
          <cell r="AB720" t="str">
            <v>Factory-Annaram</v>
          </cell>
        </row>
        <row r="721">
          <cell r="A721" t="str">
            <v>PEPPL0366</v>
          </cell>
          <cell r="AB721" t="str">
            <v>Corporate Office</v>
          </cell>
        </row>
        <row r="722">
          <cell r="A722" t="str">
            <v>PSS0829</v>
          </cell>
          <cell r="AB722" t="str">
            <v>Factory-Annaram</v>
          </cell>
        </row>
        <row r="723">
          <cell r="A723" t="str">
            <v>PEIPL0718</v>
          </cell>
          <cell r="AB723" t="str">
            <v>Fabcity</v>
          </cell>
        </row>
        <row r="724">
          <cell r="A724" t="str">
            <v>PEIPL0574</v>
          </cell>
          <cell r="AB724" t="str">
            <v>Fabcity</v>
          </cell>
        </row>
        <row r="725">
          <cell r="A725" t="str">
            <v>PEGEPL0021</v>
          </cell>
          <cell r="AB725" t="str">
            <v>Fabcity</v>
          </cell>
        </row>
        <row r="726">
          <cell r="A726" t="str">
            <v>PEIPL0710</v>
          </cell>
          <cell r="AB726" t="str">
            <v>Fabcity</v>
          </cell>
        </row>
        <row r="727">
          <cell r="A727" t="str">
            <v>PSS1311</v>
          </cell>
          <cell r="AB727" t="str">
            <v>Factory-Annaram</v>
          </cell>
        </row>
        <row r="728">
          <cell r="A728" t="str">
            <v>PSS1101</v>
          </cell>
          <cell r="AB728" t="str">
            <v>Corporate Office</v>
          </cell>
        </row>
        <row r="729">
          <cell r="A729" t="str">
            <v>PEPPL0705</v>
          </cell>
          <cell r="AB729" t="str">
            <v>Fabcity</v>
          </cell>
        </row>
        <row r="730">
          <cell r="A730" t="str">
            <v>PEGEPL0142</v>
          </cell>
          <cell r="AB730" t="str">
            <v>Corporate Office</v>
          </cell>
        </row>
        <row r="731">
          <cell r="A731" t="str">
            <v>PSS0823</v>
          </cell>
          <cell r="AB731" t="str">
            <v>Factory-Annaram</v>
          </cell>
        </row>
        <row r="732">
          <cell r="A732" t="str">
            <v>PEPPL0332</v>
          </cell>
          <cell r="AB732" t="str">
            <v>Fabcity</v>
          </cell>
        </row>
        <row r="733">
          <cell r="A733" t="str">
            <v>PEPPL0590</v>
          </cell>
          <cell r="AB733" t="str">
            <v>Fabcity</v>
          </cell>
        </row>
        <row r="734">
          <cell r="A734" t="str">
            <v>PSS0365</v>
          </cell>
          <cell r="AB734" t="str">
            <v>Factory-Annaram</v>
          </cell>
        </row>
        <row r="735">
          <cell r="A735" t="str">
            <v>PEIPL0506</v>
          </cell>
          <cell r="AB735" t="str">
            <v>Fabcity</v>
          </cell>
        </row>
        <row r="736">
          <cell r="A736" t="str">
            <v>PSS0926</v>
          </cell>
          <cell r="AB736" t="str">
            <v>Factory-Annaram</v>
          </cell>
        </row>
        <row r="737">
          <cell r="A737" t="str">
            <v>PEPPL0540</v>
          </cell>
          <cell r="AB737" t="str">
            <v>Fabcity</v>
          </cell>
        </row>
        <row r="738">
          <cell r="A738" t="str">
            <v>P0501</v>
          </cell>
          <cell r="AB738" t="str">
            <v>Corporate Office</v>
          </cell>
        </row>
        <row r="739">
          <cell r="A739" t="str">
            <v>PEPPL0346</v>
          </cell>
          <cell r="AB739" t="str">
            <v>Fabcity</v>
          </cell>
        </row>
        <row r="740">
          <cell r="A740" t="str">
            <v>PSS0262</v>
          </cell>
          <cell r="AB740" t="str">
            <v>Factory-Annaram</v>
          </cell>
        </row>
        <row r="741">
          <cell r="A741" t="str">
            <v>PSS1054</v>
          </cell>
          <cell r="AB741" t="str">
            <v>Factory-Annaram</v>
          </cell>
        </row>
        <row r="742">
          <cell r="A742" t="str">
            <v>PEIPL0276</v>
          </cell>
          <cell r="AB742" t="str">
            <v>Fabcity</v>
          </cell>
        </row>
        <row r="743">
          <cell r="A743" t="str">
            <v>PEIPL0675</v>
          </cell>
          <cell r="AB743" t="str">
            <v>Fabcity</v>
          </cell>
        </row>
        <row r="744">
          <cell r="A744" t="str">
            <v>PSS1140</v>
          </cell>
          <cell r="AB744" t="str">
            <v>Patna</v>
          </cell>
        </row>
        <row r="745">
          <cell r="A745" t="str">
            <v>PEPPL0148</v>
          </cell>
          <cell r="AB745" t="str">
            <v>Fabcity</v>
          </cell>
        </row>
        <row r="746">
          <cell r="A746" t="str">
            <v>PEPPL0507</v>
          </cell>
          <cell r="AB746" t="str">
            <v>Fabcity</v>
          </cell>
        </row>
        <row r="747">
          <cell r="A747" t="str">
            <v>PEPPL0110</v>
          </cell>
          <cell r="AB747" t="str">
            <v>Fabcity</v>
          </cell>
        </row>
        <row r="748">
          <cell r="A748" t="str">
            <v>P0289</v>
          </cell>
          <cell r="AB748" t="str">
            <v>Vikas Nagar</v>
          </cell>
        </row>
        <row r="749">
          <cell r="A749" t="str">
            <v>PEPPL0171</v>
          </cell>
          <cell r="AB749" t="str">
            <v>Fabcity</v>
          </cell>
        </row>
        <row r="750">
          <cell r="A750" t="str">
            <v>PEPPL0016</v>
          </cell>
          <cell r="AB750" t="str">
            <v>Corporate Office</v>
          </cell>
        </row>
        <row r="751">
          <cell r="A751" t="str">
            <v>PSS1340</v>
          </cell>
          <cell r="AB751" t="str">
            <v>Corporate Office</v>
          </cell>
        </row>
        <row r="752">
          <cell r="A752" t="str">
            <v>PSS1369</v>
          </cell>
          <cell r="AB752" t="str">
            <v>Corporate Office</v>
          </cell>
        </row>
        <row r="753">
          <cell r="A753" t="str">
            <v>PEPPL0288</v>
          </cell>
          <cell r="AB753" t="str">
            <v>Fabcity</v>
          </cell>
        </row>
        <row r="754">
          <cell r="A754" t="str">
            <v>PEPPL0309</v>
          </cell>
          <cell r="AB754" t="str">
            <v>Fabcity</v>
          </cell>
        </row>
        <row r="755">
          <cell r="A755" t="str">
            <v>PSS1341</v>
          </cell>
          <cell r="AB755" t="str">
            <v>City Office</v>
          </cell>
        </row>
        <row r="756">
          <cell r="A756" t="str">
            <v>PEPPL0588</v>
          </cell>
          <cell r="AB756" t="str">
            <v>Fabcity</v>
          </cell>
        </row>
        <row r="757">
          <cell r="A757" t="str">
            <v>PEPPL0225</v>
          </cell>
          <cell r="AB757" t="str">
            <v>Fabcity</v>
          </cell>
        </row>
        <row r="758">
          <cell r="A758" t="str">
            <v>P0120</v>
          </cell>
          <cell r="AB758" t="str">
            <v>Corporate Office</v>
          </cell>
        </row>
        <row r="759">
          <cell r="A759" t="str">
            <v>P0119</v>
          </cell>
          <cell r="AB759" t="str">
            <v>Corporate Office</v>
          </cell>
        </row>
        <row r="760">
          <cell r="A760" t="str">
            <v>PEPPL0275</v>
          </cell>
          <cell r="AB760" t="str">
            <v>Fabcity</v>
          </cell>
        </row>
        <row r="761">
          <cell r="A761" t="str">
            <v>PEPPL0409</v>
          </cell>
          <cell r="AB761" t="str">
            <v>Fabcity</v>
          </cell>
        </row>
        <row r="762">
          <cell r="A762" t="str">
            <v>PSS0733</v>
          </cell>
          <cell r="AB762" t="str">
            <v>Factory-Annaram</v>
          </cell>
        </row>
        <row r="763">
          <cell r="A763" t="str">
            <v>PEPPL0529</v>
          </cell>
          <cell r="AB763" t="str">
            <v>Fabcity</v>
          </cell>
        </row>
        <row r="764">
          <cell r="A764" t="str">
            <v>PSS1211</v>
          </cell>
          <cell r="AB764" t="str">
            <v>Factory-Annaram</v>
          </cell>
        </row>
        <row r="765">
          <cell r="A765" t="str">
            <v>PEIPL0349</v>
          </cell>
          <cell r="AB765" t="str">
            <v>Fabcity</v>
          </cell>
        </row>
        <row r="766">
          <cell r="A766" t="str">
            <v>PEIPL0409</v>
          </cell>
          <cell r="AB766" t="str">
            <v>Fabcity</v>
          </cell>
        </row>
        <row r="767">
          <cell r="A767" t="str">
            <v>PEIPL0290</v>
          </cell>
          <cell r="AB767" t="str">
            <v>Fabcity</v>
          </cell>
        </row>
        <row r="768">
          <cell r="A768" t="str">
            <v>PEPPL0145</v>
          </cell>
          <cell r="AB768" t="str">
            <v>Fabcity</v>
          </cell>
        </row>
        <row r="769">
          <cell r="A769" t="str">
            <v>PEGEPL0073</v>
          </cell>
          <cell r="AB769" t="str">
            <v>Fabcity</v>
          </cell>
        </row>
        <row r="770">
          <cell r="A770" t="str">
            <v>PEIPL0284</v>
          </cell>
          <cell r="AB770" t="str">
            <v>Fabcity</v>
          </cell>
        </row>
        <row r="771">
          <cell r="A771" t="str">
            <v>PSS1435</v>
          </cell>
          <cell r="AB771" t="str">
            <v>Corporate Office</v>
          </cell>
        </row>
        <row r="772">
          <cell r="A772" t="str">
            <v>PEIPL0468</v>
          </cell>
          <cell r="AB772" t="str">
            <v>Fabcity</v>
          </cell>
        </row>
        <row r="773">
          <cell r="A773" t="str">
            <v>PEPPL0161</v>
          </cell>
          <cell r="AB773" t="str">
            <v>Fabcity</v>
          </cell>
        </row>
        <row r="774">
          <cell r="A774" t="str">
            <v>PEPPL0883</v>
          </cell>
          <cell r="AB774" t="str">
            <v>Corporate Office</v>
          </cell>
        </row>
        <row r="775">
          <cell r="A775" t="str">
            <v>PEPPL0633</v>
          </cell>
          <cell r="AB775" t="str">
            <v>Fabcity</v>
          </cell>
        </row>
        <row r="776">
          <cell r="A776" t="str">
            <v>P0166</v>
          </cell>
          <cell r="AB776" t="str">
            <v>Deoghars</v>
          </cell>
        </row>
        <row r="777">
          <cell r="A777" t="str">
            <v>PEIPL0357</v>
          </cell>
          <cell r="AB777" t="str">
            <v>Fabcity</v>
          </cell>
        </row>
        <row r="778">
          <cell r="A778" t="str">
            <v>PSS1218</v>
          </cell>
          <cell r="AB778" t="str">
            <v>Corporate Office</v>
          </cell>
        </row>
        <row r="779">
          <cell r="A779" t="str">
            <v>PEIPL0526</v>
          </cell>
          <cell r="AB779" t="str">
            <v>Fabcity</v>
          </cell>
        </row>
        <row r="780">
          <cell r="A780" t="str">
            <v>PSS1092</v>
          </cell>
          <cell r="AB780" t="str">
            <v>Factory-Annaram</v>
          </cell>
        </row>
        <row r="781">
          <cell r="A781" t="str">
            <v>PEIPL0696</v>
          </cell>
          <cell r="AB781" t="str">
            <v>Fabcity</v>
          </cell>
        </row>
        <row r="782">
          <cell r="A782" t="str">
            <v>PSS1243</v>
          </cell>
          <cell r="AB782" t="str">
            <v>Factory-Annaram</v>
          </cell>
        </row>
        <row r="783">
          <cell r="A783" t="str">
            <v>PEIPL0004</v>
          </cell>
          <cell r="AB783" t="str">
            <v>Fabcity</v>
          </cell>
        </row>
        <row r="784">
          <cell r="A784" t="str">
            <v>PSS1036</v>
          </cell>
          <cell r="AB784" t="str">
            <v>Amour</v>
          </cell>
        </row>
        <row r="785">
          <cell r="A785" t="str">
            <v>PEPPL0575</v>
          </cell>
          <cell r="AB785" t="str">
            <v>Fabcity</v>
          </cell>
        </row>
        <row r="786">
          <cell r="A786" t="str">
            <v>PEPPL0660</v>
          </cell>
          <cell r="AB786" t="str">
            <v>Fabcity</v>
          </cell>
        </row>
        <row r="787">
          <cell r="A787" t="str">
            <v>PEIPL0588</v>
          </cell>
          <cell r="AB787" t="str">
            <v>Fabcity</v>
          </cell>
        </row>
        <row r="788">
          <cell r="A788" t="str">
            <v>PSS1388</v>
          </cell>
          <cell r="AB788" t="str">
            <v>Corporate Office</v>
          </cell>
        </row>
        <row r="789">
          <cell r="A789" t="str">
            <v>PEPPL0494</v>
          </cell>
          <cell r="AB789" t="str">
            <v>Fabcity</v>
          </cell>
        </row>
        <row r="790">
          <cell r="A790" t="str">
            <v>PEIPL0524</v>
          </cell>
          <cell r="AB790" t="str">
            <v>Fabcity</v>
          </cell>
        </row>
        <row r="791">
          <cell r="A791" t="str">
            <v>PSS0973</v>
          </cell>
          <cell r="AB791" t="str">
            <v>Lucknow</v>
          </cell>
        </row>
        <row r="792">
          <cell r="A792" t="str">
            <v>PEPPL0631</v>
          </cell>
          <cell r="AB792" t="str">
            <v>Fabcity</v>
          </cell>
        </row>
        <row r="793">
          <cell r="A793" t="str">
            <v>PEPPL0319</v>
          </cell>
          <cell r="AB793" t="str">
            <v>Fabcity</v>
          </cell>
        </row>
        <row r="794">
          <cell r="A794" t="str">
            <v>PEPPL0753</v>
          </cell>
          <cell r="AB794" t="str">
            <v>Fabcity</v>
          </cell>
        </row>
        <row r="795">
          <cell r="A795" t="str">
            <v>PEPPL0778</v>
          </cell>
          <cell r="AB795" t="str">
            <v>Fabcity</v>
          </cell>
        </row>
        <row r="796">
          <cell r="A796" t="str">
            <v>PEPPL0713</v>
          </cell>
          <cell r="AB796" t="str">
            <v>Fabcity</v>
          </cell>
        </row>
        <row r="797">
          <cell r="A797" t="str">
            <v>PEIPL0192</v>
          </cell>
          <cell r="AB797" t="str">
            <v>Fabcity</v>
          </cell>
        </row>
        <row r="798">
          <cell r="A798" t="str">
            <v>PEIPL0685</v>
          </cell>
          <cell r="AB798" t="str">
            <v>Fabcity</v>
          </cell>
        </row>
        <row r="799">
          <cell r="A799" t="str">
            <v>PEPPL0605</v>
          </cell>
          <cell r="AB799" t="str">
            <v>Fabcity</v>
          </cell>
        </row>
        <row r="800">
          <cell r="A800" t="str">
            <v>PEIPL0776</v>
          </cell>
          <cell r="AB800" t="str">
            <v>Fabcity</v>
          </cell>
        </row>
        <row r="801">
          <cell r="A801" t="str">
            <v>PSS1417</v>
          </cell>
          <cell r="AB801" t="str">
            <v>Corporate Office</v>
          </cell>
        </row>
        <row r="802">
          <cell r="A802" t="str">
            <v>PEIPL0261</v>
          </cell>
          <cell r="AB802" t="str">
            <v>Fabcity</v>
          </cell>
        </row>
        <row r="803">
          <cell r="A803" t="str">
            <v>PEPPL0459</v>
          </cell>
          <cell r="AB803" t="str">
            <v>Fabcity</v>
          </cell>
        </row>
        <row r="804">
          <cell r="A804" t="str">
            <v>PEPPL0472</v>
          </cell>
          <cell r="AB804" t="str">
            <v>Fabcity</v>
          </cell>
        </row>
        <row r="805">
          <cell r="A805" t="str">
            <v>PEPPL0420</v>
          </cell>
          <cell r="AB805" t="str">
            <v>Fabcity</v>
          </cell>
        </row>
        <row r="806">
          <cell r="A806" t="str">
            <v>PSS0260</v>
          </cell>
          <cell r="AB806" t="str">
            <v>Factory-Annaram</v>
          </cell>
        </row>
        <row r="807">
          <cell r="A807" t="str">
            <v>PEPPL0353</v>
          </cell>
          <cell r="AB807" t="str">
            <v>Fabcity</v>
          </cell>
        </row>
        <row r="808">
          <cell r="A808" t="str">
            <v>PEPPL0345</v>
          </cell>
          <cell r="AB808" t="str">
            <v>Fabcity</v>
          </cell>
        </row>
        <row r="809">
          <cell r="A809" t="str">
            <v>PEIPL0382</v>
          </cell>
          <cell r="AB809" t="str">
            <v>Fabcity</v>
          </cell>
        </row>
        <row r="810">
          <cell r="A810" t="str">
            <v>P0245</v>
          </cell>
          <cell r="AB810" t="str">
            <v>Corporate Office</v>
          </cell>
        </row>
        <row r="811">
          <cell r="A811" t="str">
            <v>PEIPL0585</v>
          </cell>
          <cell r="AB811" t="str">
            <v>Fabcity</v>
          </cell>
        </row>
        <row r="812">
          <cell r="A812" t="str">
            <v>PEGEPL0071</v>
          </cell>
          <cell r="AB812" t="str">
            <v>Fabcity</v>
          </cell>
        </row>
        <row r="813">
          <cell r="A813" t="str">
            <v>PSS1029</v>
          </cell>
          <cell r="AB813" t="str">
            <v>Corporate Office</v>
          </cell>
        </row>
        <row r="814">
          <cell r="A814" t="str">
            <v>PEIPL0674</v>
          </cell>
          <cell r="AB814" t="str">
            <v>Fabcity</v>
          </cell>
        </row>
        <row r="815">
          <cell r="A815" t="str">
            <v>PSS1361</v>
          </cell>
          <cell r="AB815" t="str">
            <v>Fabcity</v>
          </cell>
        </row>
        <row r="816">
          <cell r="A816" t="str">
            <v>PSS1201</v>
          </cell>
          <cell r="AB816" t="str">
            <v>Corporate Office</v>
          </cell>
        </row>
        <row r="817">
          <cell r="A817" t="str">
            <v>P0456</v>
          </cell>
          <cell r="AB817" t="str">
            <v>Corporate Office</v>
          </cell>
        </row>
        <row r="818">
          <cell r="A818" t="str">
            <v>PEPPL0005</v>
          </cell>
          <cell r="AB818" t="str">
            <v>Fabcity</v>
          </cell>
        </row>
        <row r="819">
          <cell r="A819" t="str">
            <v>PSS1081</v>
          </cell>
          <cell r="AB819" t="str">
            <v>Fabcity</v>
          </cell>
        </row>
        <row r="820">
          <cell r="A820" t="str">
            <v>PEGEPL0119</v>
          </cell>
          <cell r="AB820" t="str">
            <v>Fabcity</v>
          </cell>
        </row>
        <row r="821">
          <cell r="A821" t="str">
            <v>PEIPL0255</v>
          </cell>
          <cell r="AB821" t="str">
            <v>Fabcity</v>
          </cell>
        </row>
        <row r="822">
          <cell r="A822" t="str">
            <v>PEPPL0437</v>
          </cell>
          <cell r="AB822" t="str">
            <v>Fabcity</v>
          </cell>
        </row>
        <row r="823">
          <cell r="A823" t="str">
            <v>PEPPL0157</v>
          </cell>
          <cell r="AB823" t="str">
            <v>Fabcity</v>
          </cell>
        </row>
        <row r="824">
          <cell r="A824" t="str">
            <v>PEIPL0147</v>
          </cell>
          <cell r="AB824" t="str">
            <v>Fabcity</v>
          </cell>
        </row>
        <row r="825">
          <cell r="A825" t="str">
            <v>PEPPL0601</v>
          </cell>
          <cell r="AB825" t="str">
            <v>Fabcity</v>
          </cell>
        </row>
        <row r="826">
          <cell r="A826" t="str">
            <v>PEIPL0799</v>
          </cell>
          <cell r="AB826" t="str">
            <v>Fabcity</v>
          </cell>
        </row>
        <row r="827">
          <cell r="A827" t="str">
            <v>PEGEPL0121</v>
          </cell>
          <cell r="AB827" t="str">
            <v>Fabcity</v>
          </cell>
        </row>
        <row r="828">
          <cell r="A828" t="str">
            <v>PSS1130</v>
          </cell>
          <cell r="AB828" t="str">
            <v>City Office</v>
          </cell>
        </row>
        <row r="829">
          <cell r="A829" t="str">
            <v>PSS0689</v>
          </cell>
          <cell r="AB829" t="str">
            <v>Factory-Annaram</v>
          </cell>
        </row>
        <row r="830">
          <cell r="A830" t="str">
            <v>P0179</v>
          </cell>
          <cell r="AB830" t="str">
            <v>Fabcity</v>
          </cell>
        </row>
        <row r="831">
          <cell r="A831" t="str">
            <v>P0498</v>
          </cell>
          <cell r="AB831" t="str">
            <v>City Office</v>
          </cell>
        </row>
        <row r="832">
          <cell r="A832" t="str">
            <v>PEPPL0719</v>
          </cell>
          <cell r="AB832" t="str">
            <v>Corporate Office</v>
          </cell>
        </row>
        <row r="833">
          <cell r="A833" t="str">
            <v>PSS0593</v>
          </cell>
          <cell r="AB833" t="str">
            <v>Corporate Office</v>
          </cell>
        </row>
        <row r="834">
          <cell r="A834" t="str">
            <v>PEGEPL0017</v>
          </cell>
          <cell r="AB834" t="str">
            <v>Fabcity</v>
          </cell>
        </row>
        <row r="835">
          <cell r="A835" t="str">
            <v>PSS0628</v>
          </cell>
          <cell r="AB835" t="str">
            <v>Factory-Annaram</v>
          </cell>
        </row>
        <row r="836">
          <cell r="A836" t="str">
            <v>PEIPL0495</v>
          </cell>
          <cell r="AB836" t="str">
            <v>Fabcity</v>
          </cell>
        </row>
        <row r="837">
          <cell r="A837" t="str">
            <v>PSS0585</v>
          </cell>
          <cell r="AB837" t="str">
            <v>Factory-Annaram</v>
          </cell>
        </row>
        <row r="838">
          <cell r="A838" t="str">
            <v>PEIPL0420</v>
          </cell>
          <cell r="AB838" t="str">
            <v>Fabcity</v>
          </cell>
        </row>
        <row r="839">
          <cell r="A839" t="str">
            <v>PEIPL0384</v>
          </cell>
          <cell r="AB839" t="str">
            <v>Fabcity</v>
          </cell>
        </row>
        <row r="840">
          <cell r="A840" t="str">
            <v>PSS0828</v>
          </cell>
          <cell r="AB840" t="str">
            <v>Factory-Annaram</v>
          </cell>
        </row>
        <row r="841">
          <cell r="A841" t="str">
            <v>PEIPL0379</v>
          </cell>
          <cell r="AB841" t="str">
            <v>Fabcity</v>
          </cell>
        </row>
        <row r="842">
          <cell r="A842" t="str">
            <v>PEPPL0573</v>
          </cell>
          <cell r="AB842" t="str">
            <v>Fabcity</v>
          </cell>
        </row>
        <row r="843">
          <cell r="A843" t="str">
            <v>PEPPL0405</v>
          </cell>
          <cell r="AB843" t="str">
            <v>Fabcity</v>
          </cell>
        </row>
        <row r="844">
          <cell r="A844" t="str">
            <v>PSS1154</v>
          </cell>
          <cell r="AB844" t="str">
            <v>Factory-Annaram</v>
          </cell>
        </row>
        <row r="845">
          <cell r="A845" t="str">
            <v>PEGEPL0028</v>
          </cell>
          <cell r="AB845" t="str">
            <v>Fabcity</v>
          </cell>
        </row>
        <row r="846">
          <cell r="A846" t="str">
            <v>P0132</v>
          </cell>
          <cell r="AB846" t="str">
            <v>Corporate Office</v>
          </cell>
        </row>
        <row r="847">
          <cell r="A847" t="str">
            <v>PSS1272</v>
          </cell>
          <cell r="AB847" t="str">
            <v>City Office</v>
          </cell>
        </row>
        <row r="848">
          <cell r="A848" t="str">
            <v>PEPPL0694</v>
          </cell>
          <cell r="AB848" t="str">
            <v>Fabcity</v>
          </cell>
        </row>
        <row r="849">
          <cell r="A849" t="str">
            <v>PEIPL0061</v>
          </cell>
          <cell r="AB849" t="str">
            <v>Fabcity</v>
          </cell>
        </row>
        <row r="850">
          <cell r="A850" t="str">
            <v>PEIPL0754</v>
          </cell>
          <cell r="AB850" t="str">
            <v>Fabcity</v>
          </cell>
        </row>
        <row r="851">
          <cell r="A851" t="str">
            <v>PEPPL0890</v>
          </cell>
          <cell r="AB851" t="str">
            <v>Fabcity</v>
          </cell>
        </row>
        <row r="852">
          <cell r="A852" t="str">
            <v>PSS1233</v>
          </cell>
          <cell r="AB852" t="str">
            <v>Allahabad</v>
          </cell>
        </row>
        <row r="853">
          <cell r="A853" t="str">
            <v>PEIPL0569</v>
          </cell>
          <cell r="AB853" t="str">
            <v>Fabcity</v>
          </cell>
        </row>
        <row r="854">
          <cell r="A854" t="str">
            <v>PEIPL0760</v>
          </cell>
          <cell r="AB854" t="str">
            <v>Fabcity</v>
          </cell>
        </row>
        <row r="855">
          <cell r="A855" t="str">
            <v>PEGEPL0105</v>
          </cell>
          <cell r="AB855" t="str">
            <v>Fabcity</v>
          </cell>
        </row>
        <row r="856">
          <cell r="A856" t="str">
            <v>PEPPL0360</v>
          </cell>
          <cell r="AB856" t="str">
            <v>Fabcity</v>
          </cell>
        </row>
        <row r="857">
          <cell r="A857" t="str">
            <v>PEPPL0349</v>
          </cell>
          <cell r="AB857" t="str">
            <v>Fabcity</v>
          </cell>
        </row>
        <row r="858">
          <cell r="A858" t="str">
            <v>PEIPL0150</v>
          </cell>
          <cell r="AB858" t="str">
            <v>Fabcity</v>
          </cell>
        </row>
        <row r="859">
          <cell r="A859" t="str">
            <v>PEIPL0535</v>
          </cell>
          <cell r="AB859" t="str">
            <v>Fabcity</v>
          </cell>
        </row>
        <row r="860">
          <cell r="A860" t="str">
            <v>PSS1336</v>
          </cell>
          <cell r="AB860" t="str">
            <v>Corporate Office</v>
          </cell>
        </row>
        <row r="861">
          <cell r="A861" t="str">
            <v>PEPPL0055</v>
          </cell>
          <cell r="AB861" t="str">
            <v>Corporate Office</v>
          </cell>
        </row>
        <row r="862">
          <cell r="A862" t="str">
            <v>PSS1113</v>
          </cell>
          <cell r="AB862" t="str">
            <v>City Office</v>
          </cell>
        </row>
        <row r="863">
          <cell r="A863" t="str">
            <v>PEPPL0592</v>
          </cell>
          <cell r="AB863" t="str">
            <v>Fabcity</v>
          </cell>
        </row>
        <row r="864">
          <cell r="A864" t="str">
            <v>PEGEPL0053</v>
          </cell>
          <cell r="AB864" t="str">
            <v>Fabcity</v>
          </cell>
        </row>
        <row r="865">
          <cell r="A865" t="str">
            <v>P0474</v>
          </cell>
          <cell r="AB865" t="str">
            <v>Hubli</v>
          </cell>
        </row>
        <row r="866">
          <cell r="A866" t="str">
            <v>PEPPL0870</v>
          </cell>
          <cell r="AB866" t="str">
            <v>Fabcity</v>
          </cell>
        </row>
        <row r="867">
          <cell r="A867" t="str">
            <v>PEIPL0467</v>
          </cell>
          <cell r="AB867" t="str">
            <v>Fabcity</v>
          </cell>
        </row>
        <row r="868">
          <cell r="A868" t="str">
            <v>P0454</v>
          </cell>
          <cell r="AB868" t="str">
            <v>City Office</v>
          </cell>
        </row>
        <row r="869">
          <cell r="A869" t="str">
            <v>PEPPL0276</v>
          </cell>
          <cell r="AB869" t="str">
            <v>Fabcity</v>
          </cell>
        </row>
        <row r="870">
          <cell r="A870" t="str">
            <v>P0249</v>
          </cell>
          <cell r="AB870" t="str">
            <v>Vikas Nagar</v>
          </cell>
        </row>
        <row r="871">
          <cell r="A871" t="str">
            <v>PSS0323</v>
          </cell>
          <cell r="AB871" t="str">
            <v>Lucknow</v>
          </cell>
        </row>
        <row r="872">
          <cell r="A872" t="str">
            <v>PEPPL0231</v>
          </cell>
          <cell r="AB872" t="str">
            <v>Fabcity</v>
          </cell>
        </row>
        <row r="873">
          <cell r="A873" t="str">
            <v>P0202</v>
          </cell>
          <cell r="AB873" t="str">
            <v>Assam</v>
          </cell>
        </row>
        <row r="874">
          <cell r="A874" t="str">
            <v>PSS1411</v>
          </cell>
          <cell r="AB874" t="str">
            <v>Corporate Office</v>
          </cell>
        </row>
        <row r="875">
          <cell r="A875" t="str">
            <v>PEPPL0435</v>
          </cell>
          <cell r="AB875" t="str">
            <v>Fabcity</v>
          </cell>
        </row>
        <row r="876">
          <cell r="A876" t="str">
            <v>PEPPL0306</v>
          </cell>
          <cell r="AB876" t="str">
            <v>Fabcity</v>
          </cell>
        </row>
        <row r="877">
          <cell r="A877" t="str">
            <v>PSS1386</v>
          </cell>
          <cell r="AB877" t="str">
            <v>Corporate Office</v>
          </cell>
        </row>
        <row r="878">
          <cell r="A878" t="str">
            <v>PEGEPL0125</v>
          </cell>
          <cell r="AB878" t="str">
            <v>Sitarampur</v>
          </cell>
        </row>
        <row r="879">
          <cell r="A879" t="str">
            <v>PEPPL0726</v>
          </cell>
          <cell r="AB879" t="str">
            <v>Fabcity</v>
          </cell>
        </row>
        <row r="880">
          <cell r="A880" t="str">
            <v>PEIPL0020</v>
          </cell>
          <cell r="AB880" t="str">
            <v>Fabcity</v>
          </cell>
        </row>
        <row r="881">
          <cell r="A881" t="str">
            <v>PEIPL0669</v>
          </cell>
          <cell r="AB881" t="str">
            <v>Fabcity</v>
          </cell>
        </row>
        <row r="882">
          <cell r="A882" t="str">
            <v>P0422</v>
          </cell>
          <cell r="AB882" t="str">
            <v>City Office</v>
          </cell>
        </row>
        <row r="883">
          <cell r="A883" t="str">
            <v>PSS1102</v>
          </cell>
          <cell r="AB883" t="str">
            <v>City Office</v>
          </cell>
        </row>
        <row r="884">
          <cell r="A884" t="str">
            <v>PEPPL0874</v>
          </cell>
          <cell r="AB884" t="str">
            <v>Corporate Office</v>
          </cell>
        </row>
        <row r="885">
          <cell r="A885" t="str">
            <v>PSS0357</v>
          </cell>
          <cell r="AB885" t="str">
            <v>Corporate Office</v>
          </cell>
        </row>
        <row r="886">
          <cell r="A886" t="str">
            <v>PEIPL0676</v>
          </cell>
          <cell r="AB886" t="str">
            <v>Fabcity</v>
          </cell>
        </row>
        <row r="887">
          <cell r="A887" t="str">
            <v>PEPPL0502</v>
          </cell>
          <cell r="AB887" t="str">
            <v>Fabcity</v>
          </cell>
        </row>
        <row r="888">
          <cell r="A888" t="str">
            <v>PEPPL0130</v>
          </cell>
          <cell r="AB888" t="str">
            <v>Corporate Office</v>
          </cell>
        </row>
        <row r="889">
          <cell r="A889" t="str">
            <v>PSS0994</v>
          </cell>
          <cell r="AB889" t="str">
            <v>Hajipur</v>
          </cell>
        </row>
        <row r="890">
          <cell r="A890" t="str">
            <v>PSS1275</v>
          </cell>
          <cell r="AB890" t="str">
            <v>Factory-Annaram</v>
          </cell>
        </row>
        <row r="891">
          <cell r="A891" t="str">
            <v>PEPPL0585</v>
          </cell>
          <cell r="AB891" t="str">
            <v>Fabcity</v>
          </cell>
        </row>
        <row r="892">
          <cell r="A892" t="str">
            <v>PSS1342</v>
          </cell>
          <cell r="AB892" t="str">
            <v>Corporate Office</v>
          </cell>
        </row>
        <row r="893">
          <cell r="A893" t="str">
            <v>PSS1145</v>
          </cell>
          <cell r="AB893" t="str">
            <v>Corporate Office</v>
          </cell>
        </row>
        <row r="894">
          <cell r="A894" t="str">
            <v>PEIPL0651</v>
          </cell>
          <cell r="AB894" t="str">
            <v>Fabcity</v>
          </cell>
        </row>
        <row r="895">
          <cell r="A895" t="str">
            <v>PEGEPL0082</v>
          </cell>
          <cell r="AB895" t="str">
            <v>Fabcity</v>
          </cell>
        </row>
        <row r="896">
          <cell r="A896" t="str">
            <v>PEIPL0040</v>
          </cell>
          <cell r="AB896" t="str">
            <v>Fabcity</v>
          </cell>
        </row>
        <row r="897">
          <cell r="A897" t="str">
            <v>PEIPL0408</v>
          </cell>
          <cell r="AB897" t="str">
            <v>Fabcity</v>
          </cell>
        </row>
        <row r="898">
          <cell r="A898" t="str">
            <v>PEPPL0335</v>
          </cell>
          <cell r="AB898" t="str">
            <v>Fabcity</v>
          </cell>
        </row>
        <row r="899">
          <cell r="A899" t="str">
            <v>PEIPL0648</v>
          </cell>
          <cell r="AB899" t="str">
            <v>Fabcity</v>
          </cell>
        </row>
        <row r="900">
          <cell r="A900" t="str">
            <v>PEPPL0833</v>
          </cell>
          <cell r="AB900" t="str">
            <v>Fabcity</v>
          </cell>
        </row>
        <row r="901">
          <cell r="A901" t="str">
            <v>PEIPL0241</v>
          </cell>
          <cell r="AB901" t="str">
            <v>Fabcity</v>
          </cell>
        </row>
        <row r="902">
          <cell r="A902" t="str">
            <v>PEIPL0807</v>
          </cell>
          <cell r="AB902" t="str">
            <v>Fabcity</v>
          </cell>
        </row>
        <row r="903">
          <cell r="A903" t="str">
            <v>PEPPL0783</v>
          </cell>
          <cell r="AB903" t="str">
            <v>Fabcity</v>
          </cell>
        </row>
        <row r="904">
          <cell r="A904" t="str">
            <v>P0394</v>
          </cell>
          <cell r="AB904" t="str">
            <v>Vikas Nagar</v>
          </cell>
        </row>
        <row r="905">
          <cell r="A905" t="str">
            <v>PEIPL0744</v>
          </cell>
          <cell r="AB905" t="str">
            <v>Fabcity</v>
          </cell>
        </row>
        <row r="906">
          <cell r="A906" t="str">
            <v>PEGEPL0083</v>
          </cell>
          <cell r="AB906" t="str">
            <v>City Office</v>
          </cell>
        </row>
        <row r="907">
          <cell r="A907" t="str">
            <v>PEGEPL0123</v>
          </cell>
          <cell r="AB907" t="str">
            <v>Fabcity</v>
          </cell>
        </row>
        <row r="908">
          <cell r="A908" t="str">
            <v>PEPPL0370</v>
          </cell>
          <cell r="AB908" t="str">
            <v>Fabcity</v>
          </cell>
        </row>
        <row r="909">
          <cell r="A909" t="str">
            <v>PSS0868</v>
          </cell>
          <cell r="AB909" t="str">
            <v>Factory-Annaram</v>
          </cell>
        </row>
        <row r="910">
          <cell r="A910" t="str">
            <v>PEIPL0567</v>
          </cell>
          <cell r="AB910" t="str">
            <v>Fabcity</v>
          </cell>
        </row>
        <row r="911">
          <cell r="A911" t="str">
            <v>PSS0825</v>
          </cell>
          <cell r="AB911" t="str">
            <v>Factory-Annaram</v>
          </cell>
        </row>
        <row r="912">
          <cell r="A912" t="str">
            <v>PEPPL0622</v>
          </cell>
          <cell r="AB912" t="str">
            <v>Fabcity</v>
          </cell>
        </row>
        <row r="913">
          <cell r="A913" t="str">
            <v>PEIPL0587</v>
          </cell>
          <cell r="AB913" t="str">
            <v>Fabcity</v>
          </cell>
        </row>
        <row r="914">
          <cell r="A914" t="str">
            <v>PSS1351</v>
          </cell>
          <cell r="AB914" t="str">
            <v>City Office</v>
          </cell>
        </row>
        <row r="915">
          <cell r="A915" t="str">
            <v>PEIPL0546</v>
          </cell>
          <cell r="AB915" t="str">
            <v>Fabcity</v>
          </cell>
        </row>
        <row r="916">
          <cell r="A916" t="str">
            <v>PSS1396</v>
          </cell>
          <cell r="AB916" t="str">
            <v>Corporate Office</v>
          </cell>
        </row>
        <row r="917">
          <cell r="A917" t="str">
            <v>PSS1206</v>
          </cell>
          <cell r="AB917" t="str">
            <v>Corporate Office</v>
          </cell>
        </row>
        <row r="918">
          <cell r="A918" t="str">
            <v>P0424</v>
          </cell>
          <cell r="AB918" t="str">
            <v>Fabcity</v>
          </cell>
        </row>
        <row r="919">
          <cell r="A919" t="str">
            <v>P0466</v>
          </cell>
          <cell r="AB919" t="str">
            <v>City Office</v>
          </cell>
        </row>
        <row r="920">
          <cell r="A920" t="str">
            <v>PEIPL0072</v>
          </cell>
          <cell r="AB920" t="str">
            <v>Fabcity</v>
          </cell>
        </row>
        <row r="921">
          <cell r="A921" t="str">
            <v>PSS1339</v>
          </cell>
          <cell r="AB921" t="str">
            <v>Corporate Office</v>
          </cell>
        </row>
        <row r="922">
          <cell r="A922" t="str">
            <v>PSS0786</v>
          </cell>
          <cell r="AB922" t="str">
            <v>Factory-Annaram</v>
          </cell>
        </row>
        <row r="923">
          <cell r="A923" t="str">
            <v>PEIPL0571</v>
          </cell>
          <cell r="AB923" t="str">
            <v>Fabcity</v>
          </cell>
        </row>
        <row r="924">
          <cell r="A924" t="str">
            <v>BDPL0011</v>
          </cell>
          <cell r="AB924" t="str">
            <v>Nirna</v>
          </cell>
        </row>
        <row r="925">
          <cell r="A925" t="str">
            <v>P0390</v>
          </cell>
          <cell r="AB925" t="str">
            <v>Karnataka</v>
          </cell>
        </row>
        <row r="926">
          <cell r="A926" t="str">
            <v>PEPPL0215</v>
          </cell>
          <cell r="AB926" t="str">
            <v>Fabcity</v>
          </cell>
        </row>
        <row r="927">
          <cell r="A927" t="str">
            <v>PEIPL0381</v>
          </cell>
          <cell r="AB927" t="str">
            <v>Fabcity</v>
          </cell>
        </row>
        <row r="928">
          <cell r="A928" t="str">
            <v>PEPPL0491</v>
          </cell>
          <cell r="AB928" t="str">
            <v>Fabcity</v>
          </cell>
        </row>
        <row r="929">
          <cell r="A929" t="str">
            <v>PEPPL0450</v>
          </cell>
          <cell r="AB929" t="str">
            <v>Fabcity</v>
          </cell>
        </row>
        <row r="930">
          <cell r="A930" t="str">
            <v>PEIPL0717</v>
          </cell>
          <cell r="AB930" t="str">
            <v>Fabcity</v>
          </cell>
        </row>
        <row r="931">
          <cell r="A931" t="str">
            <v>P0281</v>
          </cell>
          <cell r="AB931" t="str">
            <v>Vikas Nagar</v>
          </cell>
        </row>
        <row r="932">
          <cell r="A932" t="str">
            <v>PEPPL0859</v>
          </cell>
          <cell r="AB932" t="str">
            <v>Fabcity</v>
          </cell>
        </row>
        <row r="933">
          <cell r="A933" t="str">
            <v>PEIPL0748</v>
          </cell>
          <cell r="AB933" t="str">
            <v>Fabcity</v>
          </cell>
        </row>
        <row r="934">
          <cell r="A934" t="str">
            <v>PEGEPL0076</v>
          </cell>
          <cell r="AB934" t="str">
            <v>Fabcity</v>
          </cell>
        </row>
        <row r="935">
          <cell r="A935" t="str">
            <v>PEPPL0063</v>
          </cell>
          <cell r="AB935" t="str">
            <v>Fabcity</v>
          </cell>
        </row>
        <row r="936">
          <cell r="A936" t="str">
            <v>PSS1063</v>
          </cell>
          <cell r="AB936" t="str">
            <v>Purnia</v>
          </cell>
        </row>
        <row r="937">
          <cell r="A937" t="str">
            <v>P0129</v>
          </cell>
          <cell r="AB937" t="str">
            <v>Deoghars</v>
          </cell>
        </row>
        <row r="938">
          <cell r="A938" t="str">
            <v>PSS1250</v>
          </cell>
          <cell r="AB938" t="str">
            <v>Begusarai</v>
          </cell>
        </row>
        <row r="939">
          <cell r="A939" t="str">
            <v>PEGEPL0087</v>
          </cell>
          <cell r="AB939" t="str">
            <v>Fabcity</v>
          </cell>
        </row>
        <row r="940">
          <cell r="A940" t="str">
            <v>PEPPL0539</v>
          </cell>
          <cell r="AB940" t="str">
            <v>Fabcity</v>
          </cell>
        </row>
        <row r="941">
          <cell r="A941" t="str">
            <v>PEPPL0662</v>
          </cell>
          <cell r="AB941" t="str">
            <v>New Delhi</v>
          </cell>
        </row>
        <row r="942">
          <cell r="A942" t="str">
            <v>PSS1045</v>
          </cell>
          <cell r="AB942" t="str">
            <v>Lucknow</v>
          </cell>
        </row>
        <row r="943">
          <cell r="A943" t="str">
            <v>P0366</v>
          </cell>
          <cell r="AB943" t="str">
            <v>Vikas Nagar</v>
          </cell>
        </row>
        <row r="944">
          <cell r="A944" t="str">
            <v>PEIPL0165</v>
          </cell>
          <cell r="AB944" t="str">
            <v>Fabcity</v>
          </cell>
        </row>
        <row r="945">
          <cell r="A945" t="str">
            <v>PEIPL0189</v>
          </cell>
          <cell r="AB945" t="str">
            <v>Fabcity</v>
          </cell>
        </row>
        <row r="946">
          <cell r="A946" t="str">
            <v>P0396</v>
          </cell>
          <cell r="AB946" t="str">
            <v>Jamnagar</v>
          </cell>
        </row>
        <row r="947">
          <cell r="A947" t="str">
            <v>PEIPL0766</v>
          </cell>
          <cell r="AB947" t="str">
            <v>Fabcity</v>
          </cell>
        </row>
        <row r="948">
          <cell r="A948" t="str">
            <v>PEGEPL0018</v>
          </cell>
          <cell r="AB948" t="str">
            <v>Fabcity</v>
          </cell>
        </row>
        <row r="949">
          <cell r="A949" t="str">
            <v>PSS0038</v>
          </cell>
          <cell r="AB949" t="str">
            <v>Factory-Annaram</v>
          </cell>
        </row>
        <row r="950">
          <cell r="A950" t="str">
            <v>PEIPL0359</v>
          </cell>
          <cell r="AB950" t="str">
            <v>Fabcity</v>
          </cell>
        </row>
        <row r="951">
          <cell r="A951" t="str">
            <v>PEPPL0081</v>
          </cell>
          <cell r="AB951" t="str">
            <v>Corporate Office</v>
          </cell>
        </row>
        <row r="952">
          <cell r="A952" t="str">
            <v>PEIPL0610</v>
          </cell>
          <cell r="AB952" t="str">
            <v>Fabcity</v>
          </cell>
        </row>
        <row r="953">
          <cell r="A953" t="str">
            <v>PEIPL0326</v>
          </cell>
          <cell r="AB953" t="str">
            <v>Fabcity</v>
          </cell>
        </row>
        <row r="954">
          <cell r="A954" t="str">
            <v>PEIPL0582</v>
          </cell>
          <cell r="AB954" t="str">
            <v>Fabcity</v>
          </cell>
        </row>
        <row r="955">
          <cell r="A955" t="str">
            <v>PEPPL0165</v>
          </cell>
          <cell r="AB955" t="str">
            <v>Fabcity</v>
          </cell>
        </row>
        <row r="956">
          <cell r="A956" t="str">
            <v>PEPPL0061</v>
          </cell>
          <cell r="AB956" t="str">
            <v>Fabcity</v>
          </cell>
        </row>
        <row r="957">
          <cell r="A957" t="str">
            <v>PEPPL0803</v>
          </cell>
          <cell r="AB957" t="str">
            <v>Fabcity</v>
          </cell>
        </row>
        <row r="958">
          <cell r="A958" t="str">
            <v>PEIPL0164</v>
          </cell>
          <cell r="AB958" t="str">
            <v>Fabcity</v>
          </cell>
        </row>
        <row r="959">
          <cell r="A959" t="str">
            <v>PEIPL0295</v>
          </cell>
          <cell r="AB959" t="str">
            <v>Fabcity</v>
          </cell>
        </row>
        <row r="960">
          <cell r="A960" t="str">
            <v>PEIPL0137</v>
          </cell>
          <cell r="AB960" t="str">
            <v>Fabcity</v>
          </cell>
        </row>
        <row r="961">
          <cell r="A961" t="str">
            <v>PEIPL0645</v>
          </cell>
          <cell r="AB961" t="str">
            <v>Fabcity</v>
          </cell>
        </row>
        <row r="962">
          <cell r="A962" t="str">
            <v>PEIPL0765</v>
          </cell>
          <cell r="AB962" t="str">
            <v>Fabcity</v>
          </cell>
        </row>
        <row r="963">
          <cell r="A963" t="str">
            <v>PEPPL0375</v>
          </cell>
          <cell r="AB963" t="str">
            <v>Fabcity</v>
          </cell>
        </row>
        <row r="964">
          <cell r="A964" t="str">
            <v>PEIPL0166</v>
          </cell>
          <cell r="AB964" t="str">
            <v>Fabcity</v>
          </cell>
        </row>
        <row r="965">
          <cell r="A965" t="str">
            <v>PEPPL0436</v>
          </cell>
          <cell r="AB965" t="str">
            <v>Fabcity</v>
          </cell>
        </row>
        <row r="966">
          <cell r="A966" t="str">
            <v>PEIPL0198</v>
          </cell>
          <cell r="AB966" t="str">
            <v>Fabcity</v>
          </cell>
        </row>
        <row r="967">
          <cell r="A967" t="str">
            <v>PSS0981</v>
          </cell>
          <cell r="AB967" t="str">
            <v>Lucknow</v>
          </cell>
        </row>
        <row r="968">
          <cell r="A968" t="str">
            <v>PEIPL0033</v>
          </cell>
          <cell r="AB968" t="str">
            <v>Fabcity</v>
          </cell>
        </row>
        <row r="969">
          <cell r="A969" t="str">
            <v>PEPPL0513</v>
          </cell>
          <cell r="AB969" t="str">
            <v>Fabcity</v>
          </cell>
        </row>
        <row r="970">
          <cell r="A970" t="str">
            <v>PEIPL0184</v>
          </cell>
          <cell r="AB970" t="str">
            <v>Fabcity</v>
          </cell>
        </row>
        <row r="971">
          <cell r="A971" t="str">
            <v>PSS1252</v>
          </cell>
          <cell r="AB971" t="str">
            <v>Araria</v>
          </cell>
        </row>
        <row r="972">
          <cell r="A972" t="str">
            <v>PSS1026</v>
          </cell>
          <cell r="AB972" t="str">
            <v>Rupauli</v>
          </cell>
        </row>
        <row r="973">
          <cell r="A973" t="str">
            <v>PEIPL0659</v>
          </cell>
          <cell r="AB973" t="str">
            <v>Fabcity</v>
          </cell>
        </row>
        <row r="974">
          <cell r="A974" t="str">
            <v>P0364</v>
          </cell>
          <cell r="AB974" t="str">
            <v>Vikas Nagar</v>
          </cell>
        </row>
        <row r="975">
          <cell r="A975" t="str">
            <v>PSS1253</v>
          </cell>
          <cell r="AB975" t="str">
            <v>Araria</v>
          </cell>
        </row>
        <row r="976">
          <cell r="A976" t="str">
            <v>PEPPL0557</v>
          </cell>
          <cell r="AB976" t="str">
            <v>Fabcity</v>
          </cell>
        </row>
        <row r="977">
          <cell r="A977" t="str">
            <v>PEPPL0884</v>
          </cell>
          <cell r="AB977" t="str">
            <v>Fabcity</v>
          </cell>
        </row>
        <row r="978">
          <cell r="A978" t="str">
            <v>PSS1080</v>
          </cell>
          <cell r="AB978" t="str">
            <v>Corporate Office</v>
          </cell>
        </row>
        <row r="979">
          <cell r="A979" t="str">
            <v>P0107</v>
          </cell>
          <cell r="AB979" t="str">
            <v>Deoghars</v>
          </cell>
        </row>
        <row r="980">
          <cell r="A980" t="str">
            <v>PEPPL0030</v>
          </cell>
          <cell r="AB980" t="str">
            <v>Fabcity</v>
          </cell>
        </row>
        <row r="981">
          <cell r="A981" t="str">
            <v>PEIPL0464</v>
          </cell>
          <cell r="AB981" t="str">
            <v>Fabcity</v>
          </cell>
        </row>
        <row r="982">
          <cell r="A982" t="str">
            <v>PEIPL0634</v>
          </cell>
          <cell r="AB982" t="str">
            <v>City Office</v>
          </cell>
        </row>
        <row r="983">
          <cell r="A983" t="str">
            <v>PEPPL0479</v>
          </cell>
          <cell r="AB983" t="str">
            <v>Fabcity</v>
          </cell>
        </row>
        <row r="984">
          <cell r="A984" t="str">
            <v>PSS1191</v>
          </cell>
          <cell r="AB984" t="str">
            <v>Factory-Annaram</v>
          </cell>
        </row>
        <row r="985">
          <cell r="A985" t="str">
            <v>PEPPL0454</v>
          </cell>
          <cell r="AB985" t="str">
            <v>Fabcity</v>
          </cell>
        </row>
        <row r="986">
          <cell r="A986" t="str">
            <v>PEPPL0447</v>
          </cell>
          <cell r="AB986" t="str">
            <v>Fabcity</v>
          </cell>
        </row>
        <row r="987">
          <cell r="A987" t="str">
            <v>PSS1235</v>
          </cell>
          <cell r="AB987" t="str">
            <v>Bihar</v>
          </cell>
        </row>
        <row r="988">
          <cell r="A988" t="str">
            <v>PEPPL0841</v>
          </cell>
          <cell r="AB988" t="str">
            <v>Fabcity</v>
          </cell>
        </row>
        <row r="989">
          <cell r="A989" t="str">
            <v>PEIPL0060</v>
          </cell>
          <cell r="AB989" t="str">
            <v>Fabcity</v>
          </cell>
        </row>
        <row r="990">
          <cell r="A990" t="str">
            <v>PEPPL0098</v>
          </cell>
          <cell r="AB990" t="str">
            <v>Fabcity</v>
          </cell>
        </row>
        <row r="991">
          <cell r="A991" t="str">
            <v>PEPPL0637</v>
          </cell>
          <cell r="AB991" t="str">
            <v>Fabcity</v>
          </cell>
        </row>
        <row r="992">
          <cell r="A992" t="str">
            <v>PSS0761</v>
          </cell>
          <cell r="AB992" t="str">
            <v>Fabcity</v>
          </cell>
        </row>
        <row r="993">
          <cell r="A993" t="str">
            <v>PEIPL0348</v>
          </cell>
          <cell r="AB993" t="str">
            <v>Fabcity</v>
          </cell>
        </row>
        <row r="994">
          <cell r="A994" t="str">
            <v>PEIPL0346</v>
          </cell>
          <cell r="AB994" t="str">
            <v>Fabcity</v>
          </cell>
        </row>
        <row r="995">
          <cell r="A995" t="str">
            <v>PEPPL0875</v>
          </cell>
          <cell r="AB995" t="str">
            <v>Fabcity</v>
          </cell>
        </row>
        <row r="996">
          <cell r="A996" t="str">
            <v>PEPPL0791</v>
          </cell>
          <cell r="AB996" t="str">
            <v>Fabcity</v>
          </cell>
        </row>
        <row r="997">
          <cell r="A997" t="str">
            <v>PEPPL0830</v>
          </cell>
          <cell r="AB997" t="str">
            <v>Fabcity</v>
          </cell>
        </row>
        <row r="998">
          <cell r="A998" t="str">
            <v>PEPPL0618</v>
          </cell>
          <cell r="AB998" t="str">
            <v>Fabcity</v>
          </cell>
        </row>
        <row r="999">
          <cell r="A999" t="str">
            <v>PEIPL0519</v>
          </cell>
          <cell r="AB999" t="str">
            <v>Fabcity</v>
          </cell>
        </row>
        <row r="1000">
          <cell r="A1000" t="str">
            <v>PEPPL0625</v>
          </cell>
          <cell r="AB1000" t="str">
            <v>Fabcity</v>
          </cell>
        </row>
        <row r="1001">
          <cell r="A1001" t="str">
            <v>PEIPL0534</v>
          </cell>
          <cell r="AB1001" t="str">
            <v>Fabcity</v>
          </cell>
        </row>
        <row r="1002">
          <cell r="A1002" t="str">
            <v>PSS0881</v>
          </cell>
          <cell r="AB1002" t="str">
            <v>Factory-Annaram</v>
          </cell>
        </row>
        <row r="1003">
          <cell r="A1003" t="str">
            <v>PEPPL0237</v>
          </cell>
          <cell r="AB1003" t="str">
            <v>Fabcity</v>
          </cell>
        </row>
        <row r="1004">
          <cell r="A1004" t="str">
            <v>PSS1197</v>
          </cell>
          <cell r="AB1004" t="str">
            <v>Factory-Annaram</v>
          </cell>
        </row>
        <row r="1005">
          <cell r="A1005" t="str">
            <v>PEPPL0480</v>
          </cell>
          <cell r="AB1005" t="str">
            <v>Fabcity</v>
          </cell>
        </row>
        <row r="1006">
          <cell r="A1006" t="str">
            <v>PEPPL0741</v>
          </cell>
          <cell r="AB1006" t="str">
            <v>Fabcity</v>
          </cell>
        </row>
        <row r="1007">
          <cell r="A1007" t="str">
            <v>PEIPL0237</v>
          </cell>
          <cell r="AB1007" t="str">
            <v>Fabcity</v>
          </cell>
        </row>
        <row r="1008">
          <cell r="A1008" t="str">
            <v>PEPPL0438</v>
          </cell>
          <cell r="AB1008" t="str">
            <v>Fabcity</v>
          </cell>
        </row>
        <row r="1009">
          <cell r="A1009" t="str">
            <v>PEPPL0239</v>
          </cell>
          <cell r="AB1009" t="str">
            <v>Fabcity</v>
          </cell>
        </row>
        <row r="1010">
          <cell r="A1010" t="str">
            <v>PSS0900</v>
          </cell>
          <cell r="AB1010" t="str">
            <v>Factory-Annaram</v>
          </cell>
        </row>
        <row r="1011">
          <cell r="A1011" t="str">
            <v>PEIPL0396</v>
          </cell>
          <cell r="AB1011" t="str">
            <v>Fabcity</v>
          </cell>
        </row>
        <row r="1012">
          <cell r="A1012" t="str">
            <v>PSS1307</v>
          </cell>
          <cell r="AB1012" t="str">
            <v>Fabcity</v>
          </cell>
        </row>
        <row r="1013">
          <cell r="A1013" t="str">
            <v>PEIPL0378</v>
          </cell>
          <cell r="AB1013" t="str">
            <v>Fabcity</v>
          </cell>
        </row>
        <row r="1014">
          <cell r="A1014" t="str">
            <v>PEIPL0662</v>
          </cell>
          <cell r="AB1014" t="str">
            <v>Fabcity</v>
          </cell>
        </row>
        <row r="1015">
          <cell r="A1015" t="str">
            <v>PEIPL0424</v>
          </cell>
          <cell r="AB1015" t="str">
            <v>Fabcity</v>
          </cell>
        </row>
        <row r="1016">
          <cell r="A1016" t="str">
            <v>PEPPL0425</v>
          </cell>
          <cell r="AB1016" t="str">
            <v>Fabcity</v>
          </cell>
        </row>
        <row r="1017">
          <cell r="A1017" t="str">
            <v>PEIPL0596</v>
          </cell>
          <cell r="AB1017" t="str">
            <v>Fabcity</v>
          </cell>
        </row>
        <row r="1018">
          <cell r="A1018" t="str">
            <v>PEIPL0742</v>
          </cell>
          <cell r="AB1018" t="str">
            <v>Fabcity</v>
          </cell>
        </row>
        <row r="1019">
          <cell r="A1019" t="str">
            <v>PEGEPL0029</v>
          </cell>
          <cell r="AB1019" t="str">
            <v>Fabcity</v>
          </cell>
        </row>
        <row r="1020">
          <cell r="A1020" t="str">
            <v>PEIPL0159</v>
          </cell>
          <cell r="AB1020" t="str">
            <v>Fabcity</v>
          </cell>
        </row>
        <row r="1021">
          <cell r="A1021" t="str">
            <v>PEPPL0640</v>
          </cell>
          <cell r="AB1021" t="str">
            <v>Fabcity</v>
          </cell>
        </row>
        <row r="1022">
          <cell r="A1022" t="str">
            <v>PEPPL0396</v>
          </cell>
          <cell r="AB1022" t="str">
            <v>Fabcity</v>
          </cell>
        </row>
        <row r="1023">
          <cell r="A1023" t="str">
            <v>PSS1259</v>
          </cell>
          <cell r="AB1023" t="str">
            <v>Corporate Office</v>
          </cell>
        </row>
        <row r="1024">
          <cell r="A1024" t="str">
            <v>PEIPL0603</v>
          </cell>
          <cell r="AB1024" t="str">
            <v>Fabcity</v>
          </cell>
        </row>
        <row r="1025">
          <cell r="A1025" t="str">
            <v>PEPPL0582</v>
          </cell>
          <cell r="AB1025" t="str">
            <v>Fabcity</v>
          </cell>
        </row>
        <row r="1026">
          <cell r="A1026" t="str">
            <v>PEPPL0458</v>
          </cell>
          <cell r="AB1026" t="str">
            <v>Fabcity</v>
          </cell>
        </row>
        <row r="1027">
          <cell r="A1027" t="str">
            <v>PSS0834</v>
          </cell>
          <cell r="AB1027" t="str">
            <v>Factory-Annaram</v>
          </cell>
        </row>
        <row r="1028">
          <cell r="A1028" t="str">
            <v>PSS1260</v>
          </cell>
          <cell r="AB1028" t="str">
            <v>Corporate Office</v>
          </cell>
        </row>
        <row r="1029">
          <cell r="A1029" t="str">
            <v>PEIPL0713</v>
          </cell>
          <cell r="AB1029" t="str">
            <v>Fabcity</v>
          </cell>
        </row>
        <row r="1030">
          <cell r="A1030" t="str">
            <v>PEGEPL0033</v>
          </cell>
          <cell r="AB1030" t="str">
            <v>Fabcity</v>
          </cell>
        </row>
        <row r="1031">
          <cell r="A1031" t="str">
            <v>PEIPL0321</v>
          </cell>
          <cell r="AB1031" t="str">
            <v>Fabcity</v>
          </cell>
        </row>
        <row r="1032">
          <cell r="A1032" t="str">
            <v>PEIPL0081</v>
          </cell>
          <cell r="AB1032" t="str">
            <v>Fabcity</v>
          </cell>
        </row>
        <row r="1033">
          <cell r="A1033" t="str">
            <v>PSS0687</v>
          </cell>
          <cell r="AB1033" t="str">
            <v>Factory-Annaram</v>
          </cell>
        </row>
        <row r="1034">
          <cell r="A1034" t="str">
            <v>PSS1037</v>
          </cell>
          <cell r="AB1034" t="str">
            <v>Purnia</v>
          </cell>
        </row>
        <row r="1035">
          <cell r="A1035" t="str">
            <v>PEPPL0372</v>
          </cell>
          <cell r="AB1035" t="str">
            <v>Fabcity</v>
          </cell>
        </row>
        <row r="1036">
          <cell r="A1036" t="str">
            <v>PEPPL0699</v>
          </cell>
          <cell r="AB1036" t="str">
            <v>Fabcity</v>
          </cell>
        </row>
        <row r="1037">
          <cell r="A1037" t="str">
            <v>PSS1241</v>
          </cell>
          <cell r="AB1037" t="str">
            <v>Corporate Office</v>
          </cell>
        </row>
        <row r="1038">
          <cell r="A1038" t="str">
            <v>PSS1246</v>
          </cell>
          <cell r="AB1038" t="str">
            <v>Corporate Office</v>
          </cell>
        </row>
        <row r="1039">
          <cell r="A1039" t="str">
            <v>PEIPL0421</v>
          </cell>
          <cell r="AB1039" t="str">
            <v>Fabcity</v>
          </cell>
        </row>
        <row r="1040">
          <cell r="A1040" t="str">
            <v>PEPPL0445</v>
          </cell>
          <cell r="AB1040" t="str">
            <v>Fabcity</v>
          </cell>
        </row>
        <row r="1041">
          <cell r="A1041" t="str">
            <v>PSS1400</v>
          </cell>
          <cell r="AB1041" t="str">
            <v>City Office</v>
          </cell>
        </row>
        <row r="1042">
          <cell r="A1042" t="str">
            <v>PSS1136</v>
          </cell>
          <cell r="AB1042" t="str">
            <v>City Office</v>
          </cell>
        </row>
        <row r="1043">
          <cell r="A1043" t="str">
            <v>PSS0353</v>
          </cell>
          <cell r="AB1043" t="str">
            <v>Factory-Annaram</v>
          </cell>
        </row>
        <row r="1044">
          <cell r="A1044" t="str">
            <v>PEIPL0693</v>
          </cell>
          <cell r="AB1044" t="str">
            <v>Fabcity</v>
          </cell>
        </row>
        <row r="1045">
          <cell r="A1045" t="str">
            <v>PEIPL0577</v>
          </cell>
          <cell r="AB1045" t="str">
            <v>Fabcity</v>
          </cell>
        </row>
        <row r="1046">
          <cell r="A1046" t="str">
            <v>PEIPL0336</v>
          </cell>
          <cell r="AB1046" t="str">
            <v>Fabcity</v>
          </cell>
        </row>
        <row r="1047">
          <cell r="A1047" t="str">
            <v>PEIPL0119</v>
          </cell>
          <cell r="AB1047" t="str">
            <v>Fabcity</v>
          </cell>
        </row>
        <row r="1048">
          <cell r="A1048" t="str">
            <v>PEPPL0614</v>
          </cell>
          <cell r="AB1048" t="str">
            <v>Fabcity</v>
          </cell>
        </row>
        <row r="1049">
          <cell r="A1049" t="str">
            <v>P0508</v>
          </cell>
          <cell r="AB1049" t="str">
            <v>Corporate Office</v>
          </cell>
        </row>
        <row r="1050">
          <cell r="A1050" t="str">
            <v>PSS1394</v>
          </cell>
          <cell r="AB1050" t="str">
            <v>Corporate Office</v>
          </cell>
        </row>
        <row r="1051">
          <cell r="A1051" t="str">
            <v>PEIPL0363</v>
          </cell>
          <cell r="AB1051" t="str">
            <v>Fabcity</v>
          </cell>
        </row>
        <row r="1052">
          <cell r="A1052" t="str">
            <v>PEIPL0131</v>
          </cell>
          <cell r="AB1052" t="str">
            <v>Fabcity</v>
          </cell>
        </row>
        <row r="1053">
          <cell r="A1053" t="str">
            <v>PEPPL0103</v>
          </cell>
          <cell r="AB1053" t="str">
            <v>Fabcity</v>
          </cell>
        </row>
        <row r="1054">
          <cell r="A1054" t="str">
            <v>PSS0886</v>
          </cell>
          <cell r="AB1054" t="str">
            <v>Factory-Annaram</v>
          </cell>
        </row>
        <row r="1055">
          <cell r="A1055" t="str">
            <v>PEIPL0480</v>
          </cell>
          <cell r="AB1055" t="str">
            <v>Fabcity</v>
          </cell>
        </row>
        <row r="1056">
          <cell r="A1056" t="str">
            <v>PSS0118</v>
          </cell>
          <cell r="AB1056" t="str">
            <v>City Office</v>
          </cell>
        </row>
        <row r="1057">
          <cell r="A1057" t="str">
            <v>PEPPL0545</v>
          </cell>
          <cell r="AB1057" t="str">
            <v>Fabcity</v>
          </cell>
        </row>
        <row r="1058">
          <cell r="A1058" t="str">
            <v>PSS0874</v>
          </cell>
          <cell r="AB1058" t="str">
            <v>Factory-Annaram</v>
          </cell>
        </row>
        <row r="1059">
          <cell r="A1059" t="str">
            <v>PEIPL0490</v>
          </cell>
          <cell r="AB1059" t="str">
            <v>Fabcity</v>
          </cell>
        </row>
        <row r="1060">
          <cell r="A1060" t="str">
            <v>PSS1297</v>
          </cell>
          <cell r="AB1060" t="str">
            <v>Factory-Annaram</v>
          </cell>
        </row>
        <row r="1061">
          <cell r="A1061" t="str">
            <v>PEPPL0222</v>
          </cell>
          <cell r="AB1061" t="str">
            <v>Fabcity</v>
          </cell>
        </row>
        <row r="1062">
          <cell r="A1062" t="str">
            <v>PSS0182</v>
          </cell>
          <cell r="AB1062" t="str">
            <v>Factory-Annaram</v>
          </cell>
        </row>
        <row r="1063">
          <cell r="A1063" t="str">
            <v>PEIPL0512</v>
          </cell>
          <cell r="AB1063" t="str">
            <v>Fabcity</v>
          </cell>
        </row>
        <row r="1064">
          <cell r="A1064" t="str">
            <v>PSS0831</v>
          </cell>
          <cell r="AB1064" t="str">
            <v>Factory-Annaram</v>
          </cell>
        </row>
        <row r="1065">
          <cell r="A1065" t="str">
            <v>PEIPL0543</v>
          </cell>
          <cell r="AB1065" t="str">
            <v>Fabcity</v>
          </cell>
        </row>
        <row r="1066">
          <cell r="A1066" t="str">
            <v>PSS0679</v>
          </cell>
          <cell r="AB1066" t="str">
            <v>Factory-Annaram</v>
          </cell>
        </row>
        <row r="1067">
          <cell r="A1067" t="str">
            <v>PEPPL0505</v>
          </cell>
          <cell r="AB1067" t="str">
            <v>Fabcity</v>
          </cell>
        </row>
        <row r="1068">
          <cell r="A1068" t="str">
            <v>PEPPL0008</v>
          </cell>
          <cell r="AB1068" t="str">
            <v>Corporate Office</v>
          </cell>
        </row>
        <row r="1069">
          <cell r="A1069" t="str">
            <v>PEPPL0433</v>
          </cell>
          <cell r="AB1069" t="str">
            <v>Fabcity</v>
          </cell>
        </row>
        <row r="1070">
          <cell r="A1070" t="str">
            <v>PEGEPL0067</v>
          </cell>
          <cell r="AB1070" t="str">
            <v>Fabcity</v>
          </cell>
        </row>
        <row r="1071">
          <cell r="A1071" t="str">
            <v>PSS1022</v>
          </cell>
          <cell r="AB1071" t="str">
            <v>Corporate Office</v>
          </cell>
        </row>
        <row r="1072">
          <cell r="A1072" t="str">
            <v>PEIPL0174</v>
          </cell>
          <cell r="AB1072" t="str">
            <v>Fabcity</v>
          </cell>
        </row>
        <row r="1073">
          <cell r="A1073" t="str">
            <v>PEPPL0118</v>
          </cell>
          <cell r="AB1073" t="str">
            <v>Fabcity</v>
          </cell>
        </row>
        <row r="1074">
          <cell r="A1074" t="str">
            <v>PSS1263</v>
          </cell>
          <cell r="AB1074" t="str">
            <v>Sonbhadra</v>
          </cell>
        </row>
        <row r="1075">
          <cell r="A1075" t="str">
            <v>PEPPL0065</v>
          </cell>
          <cell r="AB1075" t="str">
            <v>Fabcity</v>
          </cell>
        </row>
        <row r="1076">
          <cell r="A1076" t="str">
            <v>PEPPL0246</v>
          </cell>
          <cell r="AB1076" t="str">
            <v>Fabcity</v>
          </cell>
        </row>
        <row r="1077">
          <cell r="A1077" t="str">
            <v>PEIPL0207</v>
          </cell>
          <cell r="AB1077" t="str">
            <v>Fabcity</v>
          </cell>
        </row>
        <row r="1078">
          <cell r="A1078" t="str">
            <v>PEPPL0051</v>
          </cell>
          <cell r="AB1078" t="str">
            <v>Fabcity</v>
          </cell>
        </row>
        <row r="1079">
          <cell r="A1079" t="str">
            <v>PEPPL0826</v>
          </cell>
          <cell r="AB1079" t="str">
            <v>Fabcity</v>
          </cell>
        </row>
        <row r="1080">
          <cell r="A1080" t="str">
            <v>PEPPL0056</v>
          </cell>
          <cell r="AB1080" t="str">
            <v>Fabcity</v>
          </cell>
        </row>
        <row r="1081">
          <cell r="A1081" t="str">
            <v>PEIPL0282</v>
          </cell>
          <cell r="AB1081" t="str">
            <v>Fabcity</v>
          </cell>
        </row>
        <row r="1082">
          <cell r="A1082" t="str">
            <v>PEGEPL0106</v>
          </cell>
          <cell r="AB1082" t="str">
            <v>Fabcity</v>
          </cell>
        </row>
        <row r="1083">
          <cell r="A1083" t="str">
            <v>P0293</v>
          </cell>
          <cell r="AB1083" t="str">
            <v>Vikas Nagar</v>
          </cell>
        </row>
        <row r="1084">
          <cell r="A1084" t="str">
            <v>PEIPL0761</v>
          </cell>
          <cell r="AB1084" t="str">
            <v>Fabcity</v>
          </cell>
        </row>
        <row r="1085">
          <cell r="A1085" t="str">
            <v>PSS0245</v>
          </cell>
          <cell r="AB1085" t="str">
            <v>Lucknow</v>
          </cell>
        </row>
        <row r="1086">
          <cell r="A1086" t="str">
            <v>PEIPL0750</v>
          </cell>
          <cell r="AB1086" t="str">
            <v>Fabcity</v>
          </cell>
        </row>
        <row r="1087">
          <cell r="A1087" t="str">
            <v>PEPPL0857</v>
          </cell>
          <cell r="AB1087" t="str">
            <v>Fabcity</v>
          </cell>
        </row>
        <row r="1088">
          <cell r="A1088" t="str">
            <v>PEIPL0471</v>
          </cell>
          <cell r="AB1088" t="str">
            <v>Fabcity</v>
          </cell>
        </row>
        <row r="1089">
          <cell r="A1089" t="str">
            <v>PEPPL0621</v>
          </cell>
          <cell r="AB1089" t="str">
            <v>Fabcity</v>
          </cell>
        </row>
        <row r="1090">
          <cell r="A1090" t="str">
            <v>PEIPL0143</v>
          </cell>
          <cell r="AB1090" t="str">
            <v>Fabcity</v>
          </cell>
        </row>
        <row r="1091">
          <cell r="A1091" t="str">
            <v>PEPPL0876</v>
          </cell>
          <cell r="AB1091" t="str">
            <v>Corporate Office</v>
          </cell>
        </row>
        <row r="1092">
          <cell r="A1092" t="str">
            <v>PEIPL0230</v>
          </cell>
          <cell r="AB1092" t="str">
            <v>Fabcity</v>
          </cell>
        </row>
        <row r="1093">
          <cell r="A1093" t="str">
            <v>PEIPL0041</v>
          </cell>
          <cell r="AB1093" t="str">
            <v>Fabcity</v>
          </cell>
        </row>
        <row r="1094">
          <cell r="A1094" t="str">
            <v>PEIPL0462</v>
          </cell>
          <cell r="AB1094" t="str">
            <v>Fabcity</v>
          </cell>
        </row>
        <row r="1095">
          <cell r="A1095" t="str">
            <v>PSS0995</v>
          </cell>
          <cell r="AB1095" t="str">
            <v>Madhya Pradesh</v>
          </cell>
        </row>
        <row r="1096">
          <cell r="A1096" t="str">
            <v>PEPPL0776</v>
          </cell>
          <cell r="AB1096" t="str">
            <v>Fabcity</v>
          </cell>
        </row>
        <row r="1097">
          <cell r="A1097" t="str">
            <v>PEIPL0709</v>
          </cell>
          <cell r="AB1097" t="str">
            <v>Fabcity</v>
          </cell>
        </row>
        <row r="1098">
          <cell r="A1098" t="str">
            <v>PEIPL0210</v>
          </cell>
          <cell r="AB1098" t="str">
            <v>Fabcity</v>
          </cell>
        </row>
        <row r="1099">
          <cell r="A1099" t="str">
            <v>PEPPL0101</v>
          </cell>
          <cell r="AB1099" t="str">
            <v>Fabcity</v>
          </cell>
        </row>
        <row r="1100">
          <cell r="A1100" t="str">
            <v>PEPPL0122</v>
          </cell>
          <cell r="AB1100" t="str">
            <v>Fabcity</v>
          </cell>
        </row>
        <row r="1101">
          <cell r="A1101" t="str">
            <v>PEIPL0306</v>
          </cell>
          <cell r="AB1101" t="str">
            <v>Fabcity</v>
          </cell>
        </row>
        <row r="1102">
          <cell r="A1102" t="str">
            <v>P0268</v>
          </cell>
          <cell r="AB1102" t="str">
            <v>Vikas Nagar</v>
          </cell>
        </row>
        <row r="1103">
          <cell r="A1103" t="str">
            <v>PEPPL0265</v>
          </cell>
          <cell r="AB1103" t="str">
            <v>Fabcity</v>
          </cell>
        </row>
        <row r="1104">
          <cell r="A1104" t="str">
            <v>P0250</v>
          </cell>
          <cell r="AB1104" t="str">
            <v>Vikas Nagar</v>
          </cell>
        </row>
        <row r="1105">
          <cell r="A1105" t="str">
            <v>PSS0979</v>
          </cell>
          <cell r="AB1105" t="str">
            <v>Corporate Office</v>
          </cell>
        </row>
        <row r="1106">
          <cell r="A1106" t="str">
            <v>PEPPL0323</v>
          </cell>
          <cell r="AB1106" t="str">
            <v>Fabcity</v>
          </cell>
        </row>
        <row r="1107">
          <cell r="A1107" t="str">
            <v>P0393</v>
          </cell>
          <cell r="AB1107" t="str">
            <v>Vikas Nagar</v>
          </cell>
        </row>
        <row r="1108">
          <cell r="A1108" t="str">
            <v>PEPPL0639</v>
          </cell>
          <cell r="AB1108" t="str">
            <v>Fabcity</v>
          </cell>
        </row>
        <row r="1109">
          <cell r="A1109" t="str">
            <v>PEPPL0823</v>
          </cell>
          <cell r="AB1109" t="str">
            <v>Fabcity</v>
          </cell>
        </row>
        <row r="1110">
          <cell r="A1110" t="str">
            <v>PEPPL0657</v>
          </cell>
          <cell r="AB1110" t="str">
            <v>Corporate Office</v>
          </cell>
        </row>
        <row r="1111">
          <cell r="A1111" t="str">
            <v>PEIPL0146</v>
          </cell>
          <cell r="AB1111" t="str">
            <v>Fabcity</v>
          </cell>
        </row>
        <row r="1112">
          <cell r="A1112" t="str">
            <v>PEPPL0397</v>
          </cell>
          <cell r="AB1112" t="str">
            <v>Fabcity</v>
          </cell>
        </row>
        <row r="1113">
          <cell r="A1113" t="str">
            <v>PEPPL0448</v>
          </cell>
          <cell r="AB1113" t="str">
            <v>Fabcity</v>
          </cell>
        </row>
        <row r="1114">
          <cell r="A1114" t="str">
            <v>PEPPL0174</v>
          </cell>
          <cell r="AB1114" t="str">
            <v>Fabcity</v>
          </cell>
        </row>
        <row r="1115">
          <cell r="A1115" t="str">
            <v>PEIPL0302</v>
          </cell>
          <cell r="AB1115" t="str">
            <v>Fabcity</v>
          </cell>
        </row>
        <row r="1116">
          <cell r="A1116" t="str">
            <v>PEGEPL0122</v>
          </cell>
          <cell r="AB1116" t="str">
            <v>Fabcity</v>
          </cell>
        </row>
        <row r="1117">
          <cell r="A1117" t="str">
            <v>PEPPL0832</v>
          </cell>
          <cell r="AB1117" t="str">
            <v>Fabcity</v>
          </cell>
        </row>
        <row r="1118">
          <cell r="A1118" t="str">
            <v>PSS1387</v>
          </cell>
          <cell r="AB1118" t="str">
            <v>Corporate Office</v>
          </cell>
        </row>
        <row r="1119">
          <cell r="A1119" t="str">
            <v>PEPPL0381</v>
          </cell>
          <cell r="AB1119" t="str">
            <v>Fabcity</v>
          </cell>
        </row>
        <row r="1120">
          <cell r="A1120" t="str">
            <v>PEIPL0463</v>
          </cell>
          <cell r="AB1120" t="str">
            <v>Fabcity</v>
          </cell>
        </row>
        <row r="1121">
          <cell r="A1121" t="str">
            <v>PEIPL0492</v>
          </cell>
          <cell r="AB1121" t="str">
            <v>Fabcity</v>
          </cell>
        </row>
        <row r="1122">
          <cell r="A1122" t="str">
            <v>PSS1052</v>
          </cell>
          <cell r="AB1122" t="str">
            <v>Factory-Annaram</v>
          </cell>
        </row>
        <row r="1123">
          <cell r="A1123" t="str">
            <v>PEPPL0386</v>
          </cell>
          <cell r="AB1123" t="str">
            <v>Fabcity</v>
          </cell>
        </row>
        <row r="1124">
          <cell r="A1124" t="str">
            <v>PEPPL0205</v>
          </cell>
          <cell r="AB1124" t="str">
            <v>Fabcity</v>
          </cell>
        </row>
        <row r="1125">
          <cell r="A1125" t="str">
            <v>PSS1149</v>
          </cell>
          <cell r="AB1125" t="str">
            <v>Corporate Office</v>
          </cell>
        </row>
        <row r="1126">
          <cell r="A1126" t="str">
            <v>PSS0261</v>
          </cell>
          <cell r="AB1126" t="str">
            <v>Factory-Annaram</v>
          </cell>
        </row>
        <row r="1127">
          <cell r="A1127" t="str">
            <v>PEPPL0178</v>
          </cell>
          <cell r="AB1127" t="str">
            <v>Fabcity</v>
          </cell>
        </row>
        <row r="1128">
          <cell r="A1128" t="str">
            <v>PSS1153</v>
          </cell>
          <cell r="AB1128" t="str">
            <v>Corporate Office</v>
          </cell>
        </row>
        <row r="1129">
          <cell r="A1129" t="str">
            <v>P0365</v>
          </cell>
          <cell r="AB1129" t="str">
            <v>Vikas Nagar</v>
          </cell>
        </row>
        <row r="1130">
          <cell r="A1130" t="str">
            <v>PEPPL0682</v>
          </cell>
          <cell r="AB1130" t="str">
            <v>Fabcity</v>
          </cell>
        </row>
        <row r="1131">
          <cell r="A1131" t="str">
            <v>PEIPL0654</v>
          </cell>
          <cell r="AB1131" t="str">
            <v>Fabcity</v>
          </cell>
        </row>
        <row r="1132">
          <cell r="A1132" t="str">
            <v>PEIPL0213</v>
          </cell>
          <cell r="AB1132" t="str">
            <v>Fabcity</v>
          </cell>
        </row>
        <row r="1133">
          <cell r="A1133" t="str">
            <v>PEIPL0446</v>
          </cell>
          <cell r="AB1133" t="str">
            <v>Fabcity</v>
          </cell>
        </row>
        <row r="1134">
          <cell r="A1134" t="str">
            <v>PEPPL0213</v>
          </cell>
          <cell r="AB1134" t="str">
            <v>Fabcity</v>
          </cell>
        </row>
        <row r="1135">
          <cell r="A1135" t="str">
            <v>PEIPL0527</v>
          </cell>
          <cell r="AB1135" t="str">
            <v>Fabcity</v>
          </cell>
        </row>
        <row r="1136">
          <cell r="A1136" t="str">
            <v>PEPPL0688</v>
          </cell>
          <cell r="AB1136" t="str">
            <v>Fabcity</v>
          </cell>
        </row>
        <row r="1137">
          <cell r="A1137" t="str">
            <v>PEPPL0389</v>
          </cell>
          <cell r="AB1137" t="str">
            <v>Fabcity</v>
          </cell>
        </row>
        <row r="1138">
          <cell r="A1138" t="str">
            <v>PEPPL0704</v>
          </cell>
          <cell r="AB1138" t="str">
            <v>Fabcity</v>
          </cell>
        </row>
        <row r="1139">
          <cell r="A1139" t="str">
            <v>PSS1084</v>
          </cell>
          <cell r="AB1139" t="str">
            <v>Factory-Annaram</v>
          </cell>
        </row>
        <row r="1140">
          <cell r="A1140" t="str">
            <v>PEPPL0254</v>
          </cell>
          <cell r="AB1140" t="str">
            <v>Fabcity</v>
          </cell>
        </row>
        <row r="1141">
          <cell r="A1141" t="str">
            <v>PEIPL0556</v>
          </cell>
          <cell r="AB1141" t="str">
            <v>Fabcity</v>
          </cell>
        </row>
        <row r="1142">
          <cell r="A1142" t="str">
            <v>PEPPL0758</v>
          </cell>
          <cell r="AB1142" t="str">
            <v>Fabcity</v>
          </cell>
        </row>
        <row r="1143">
          <cell r="A1143" t="str">
            <v>PEPPL0388</v>
          </cell>
          <cell r="AB1143" t="str">
            <v>Fabcity</v>
          </cell>
        </row>
        <row r="1144">
          <cell r="A1144" t="str">
            <v>PSS1329</v>
          </cell>
          <cell r="AB1144" t="str">
            <v>Corporate Office</v>
          </cell>
        </row>
        <row r="1145">
          <cell r="A1145" t="str">
            <v>PEPPL0086</v>
          </cell>
          <cell r="AB1145" t="str">
            <v>Corporate Office</v>
          </cell>
        </row>
        <row r="1146">
          <cell r="A1146" t="str">
            <v>PEIPL0175</v>
          </cell>
          <cell r="AB1146" t="str">
            <v>Fabcity</v>
          </cell>
        </row>
        <row r="1147">
          <cell r="A1147" t="str">
            <v>PEIPL0026</v>
          </cell>
          <cell r="AB1147" t="str">
            <v>Fabcity</v>
          </cell>
        </row>
        <row r="1148">
          <cell r="A1148" t="str">
            <v>PEGEPL0097</v>
          </cell>
          <cell r="AB1148" t="str">
            <v>Fabcity</v>
          </cell>
        </row>
        <row r="1149">
          <cell r="A1149" t="str">
            <v>PEPPL0628</v>
          </cell>
          <cell r="AB1149" t="str">
            <v>Fabcity</v>
          </cell>
        </row>
        <row r="1150">
          <cell r="A1150" t="str">
            <v>PEPPL0121</v>
          </cell>
          <cell r="AB1150" t="str">
            <v>Fabcity</v>
          </cell>
        </row>
        <row r="1151">
          <cell r="A1151" t="str">
            <v>PEIPL0036</v>
          </cell>
          <cell r="AB1151" t="str">
            <v>Fabcity</v>
          </cell>
        </row>
        <row r="1152">
          <cell r="A1152" t="str">
            <v>PEPPL0013</v>
          </cell>
          <cell r="AB1152" t="str">
            <v>Corporate Office</v>
          </cell>
        </row>
        <row r="1153">
          <cell r="A1153" t="str">
            <v>PEPPL0544</v>
          </cell>
          <cell r="AB1153" t="str">
            <v>Fabcity</v>
          </cell>
        </row>
        <row r="1154">
          <cell r="A1154" t="str">
            <v>PEIPL0403</v>
          </cell>
          <cell r="AB1154" t="str">
            <v>Fabcity</v>
          </cell>
        </row>
        <row r="1155">
          <cell r="A1155" t="str">
            <v>PEIPL0253</v>
          </cell>
          <cell r="AB1155" t="str">
            <v>Fabcity</v>
          </cell>
        </row>
        <row r="1156">
          <cell r="A1156" t="str">
            <v>PEPPL0892</v>
          </cell>
          <cell r="AB1156" t="str">
            <v>Corporate Office</v>
          </cell>
        </row>
        <row r="1157">
          <cell r="A1157" t="str">
            <v>PSS1014</v>
          </cell>
          <cell r="AB1157" t="str">
            <v>Corporate Office</v>
          </cell>
        </row>
        <row r="1158">
          <cell r="A1158" t="str">
            <v>PEGEPL0027</v>
          </cell>
          <cell r="AB1158" t="str">
            <v>Fabcity</v>
          </cell>
        </row>
        <row r="1159">
          <cell r="A1159" t="str">
            <v>PEIPL0573</v>
          </cell>
          <cell r="AB1159" t="str">
            <v>Fabcity</v>
          </cell>
        </row>
        <row r="1160">
          <cell r="A1160" t="str">
            <v>PEIPL0725</v>
          </cell>
          <cell r="AB1160" t="str">
            <v>Fabcity</v>
          </cell>
        </row>
        <row r="1161">
          <cell r="A1161" t="str">
            <v>PEIPL0497</v>
          </cell>
          <cell r="AB1161" t="str">
            <v>Fabcity</v>
          </cell>
        </row>
        <row r="1162">
          <cell r="A1162" t="str">
            <v>PSS0735</v>
          </cell>
          <cell r="AB1162" t="str">
            <v>Factory-Annaram</v>
          </cell>
        </row>
        <row r="1163">
          <cell r="A1163" t="str">
            <v>PEIPL0333</v>
          </cell>
          <cell r="AB1163" t="str">
            <v>Fabcity</v>
          </cell>
        </row>
        <row r="1164">
          <cell r="A1164" t="str">
            <v>PEPPL0029</v>
          </cell>
          <cell r="AB1164" t="str">
            <v>Fabcity</v>
          </cell>
        </row>
        <row r="1165">
          <cell r="A1165" t="str">
            <v>PEPPL0477</v>
          </cell>
          <cell r="AB1165" t="str">
            <v>Fabcity</v>
          </cell>
        </row>
        <row r="1166">
          <cell r="A1166" t="str">
            <v>PEPPL0522</v>
          </cell>
          <cell r="AB1166" t="str">
            <v>Fabcity</v>
          </cell>
        </row>
        <row r="1167">
          <cell r="A1167" t="str">
            <v>PEPPL0328</v>
          </cell>
          <cell r="AB1167" t="str">
            <v>Fabcity</v>
          </cell>
        </row>
        <row r="1168">
          <cell r="A1168" t="str">
            <v>PEPPL0558</v>
          </cell>
          <cell r="AB1168" t="str">
            <v>Fabcity</v>
          </cell>
        </row>
        <row r="1169">
          <cell r="A1169" t="str">
            <v>PEIPL0078</v>
          </cell>
          <cell r="AB1169" t="str">
            <v>Fabcity</v>
          </cell>
        </row>
        <row r="1170">
          <cell r="A1170" t="str">
            <v>PEPPL0184</v>
          </cell>
          <cell r="AB1170" t="str">
            <v>Fabcity</v>
          </cell>
        </row>
        <row r="1171">
          <cell r="A1171" t="str">
            <v>PEPPL0851</v>
          </cell>
          <cell r="AB1171" t="str">
            <v>Fabcity</v>
          </cell>
        </row>
        <row r="1172">
          <cell r="A1172" t="str">
            <v>PEPPL0155</v>
          </cell>
          <cell r="AB1172" t="str">
            <v>Fabcity</v>
          </cell>
        </row>
        <row r="1173">
          <cell r="A1173" t="str">
            <v>PEIPL0393</v>
          </cell>
          <cell r="AB1173" t="str">
            <v>Fabcity</v>
          </cell>
        </row>
        <row r="1174">
          <cell r="A1174" t="str">
            <v>PEPPL0617</v>
          </cell>
          <cell r="AB1174" t="str">
            <v>Fabcity</v>
          </cell>
        </row>
        <row r="1175">
          <cell r="A1175" t="str">
            <v>PEIPL0789</v>
          </cell>
          <cell r="AB1175" t="str">
            <v>Fabcity</v>
          </cell>
        </row>
        <row r="1176">
          <cell r="A1176" t="str">
            <v>PEPPL0868</v>
          </cell>
          <cell r="AB1176" t="str">
            <v>Fabcity</v>
          </cell>
        </row>
        <row r="1177">
          <cell r="A1177" t="str">
            <v>PEIPL0249</v>
          </cell>
          <cell r="AB1177" t="str">
            <v>Fabcity</v>
          </cell>
        </row>
        <row r="1178">
          <cell r="A1178" t="str">
            <v>PEIPL0460</v>
          </cell>
          <cell r="AB1178" t="str">
            <v>Fabcity</v>
          </cell>
        </row>
        <row r="1179">
          <cell r="A1179" t="str">
            <v>P0423</v>
          </cell>
          <cell r="AB1179" t="str">
            <v>Corporate Office</v>
          </cell>
        </row>
        <row r="1180">
          <cell r="A1180" t="str">
            <v>PEPPL0134</v>
          </cell>
          <cell r="AB1180" t="str">
            <v>Fabcity</v>
          </cell>
        </row>
        <row r="1181">
          <cell r="A1181" t="str">
            <v>PEGEPL0063</v>
          </cell>
          <cell r="AB1181" t="str">
            <v>Fabcity</v>
          </cell>
        </row>
        <row r="1182">
          <cell r="A1182" t="str">
            <v>PEPPL0839</v>
          </cell>
          <cell r="AB1182" t="str">
            <v>Fabcity</v>
          </cell>
        </row>
        <row r="1183">
          <cell r="A1183" t="str">
            <v>PEPPL0293</v>
          </cell>
          <cell r="AB1183" t="str">
            <v>Fabcity</v>
          </cell>
        </row>
        <row r="1184">
          <cell r="A1184" t="str">
            <v>PEGEPL0086</v>
          </cell>
          <cell r="AB1184" t="str">
            <v>Fabcity</v>
          </cell>
        </row>
        <row r="1185">
          <cell r="A1185" t="str">
            <v>PEIPL0298</v>
          </cell>
          <cell r="AB1185" t="str">
            <v>Fabcity</v>
          </cell>
        </row>
        <row r="1186">
          <cell r="A1186" t="str">
            <v>PEPPL0840</v>
          </cell>
          <cell r="AB1186" t="str">
            <v>Fabcity</v>
          </cell>
        </row>
        <row r="1187">
          <cell r="A1187" t="str">
            <v>PSS1375</v>
          </cell>
          <cell r="AB1187" t="str">
            <v>Corporate Office</v>
          </cell>
        </row>
        <row r="1188">
          <cell r="A1188" t="str">
            <v>PEPPL0286</v>
          </cell>
          <cell r="AB1188" t="str">
            <v>Fabcity</v>
          </cell>
        </row>
        <row r="1189">
          <cell r="A1189" t="str">
            <v>PEIPL0362</v>
          </cell>
          <cell r="AB1189" t="str">
            <v>Fabcity</v>
          </cell>
        </row>
        <row r="1190">
          <cell r="A1190" t="str">
            <v>PSS1354</v>
          </cell>
          <cell r="AB1190" t="str">
            <v>City Office</v>
          </cell>
        </row>
        <row r="1191">
          <cell r="A1191" t="str">
            <v>PEIPL0270</v>
          </cell>
          <cell r="AB1191" t="str">
            <v>Fabcity</v>
          </cell>
        </row>
        <row r="1192">
          <cell r="A1192" t="str">
            <v>PEGEPL0036</v>
          </cell>
          <cell r="AB1192" t="str">
            <v>Fabcity</v>
          </cell>
        </row>
        <row r="1193">
          <cell r="A1193" t="str">
            <v>PEPPL0794</v>
          </cell>
          <cell r="AB1193" t="str">
            <v>Fabcity</v>
          </cell>
        </row>
        <row r="1194">
          <cell r="A1194" t="str">
            <v>P0468</v>
          </cell>
          <cell r="AB1194" t="str">
            <v>NLC</v>
          </cell>
        </row>
        <row r="1195">
          <cell r="A1195" t="str">
            <v>PEIPL0019</v>
          </cell>
          <cell r="AB1195" t="str">
            <v>Corporate Office</v>
          </cell>
        </row>
        <row r="1196">
          <cell r="A1196" t="str">
            <v>PEIPL0247</v>
          </cell>
          <cell r="AB1196" t="str">
            <v>Fabcity</v>
          </cell>
        </row>
        <row r="1197">
          <cell r="A1197" t="str">
            <v>PEGEPL0041</v>
          </cell>
          <cell r="AB1197" t="str">
            <v>Fabcity</v>
          </cell>
        </row>
        <row r="1198">
          <cell r="A1198" t="str">
            <v>PEPPL0004</v>
          </cell>
          <cell r="AB1198" t="str">
            <v>Fabcity</v>
          </cell>
        </row>
        <row r="1199">
          <cell r="A1199" t="str">
            <v>PEIPL0025</v>
          </cell>
          <cell r="AB1199" t="str">
            <v>Fabcity</v>
          </cell>
        </row>
        <row r="1200">
          <cell r="A1200" t="str">
            <v>PSS0280</v>
          </cell>
          <cell r="AB1200" t="str">
            <v>Factory-Annaram</v>
          </cell>
        </row>
        <row r="1201">
          <cell r="A1201" t="str">
            <v>PSS1007</v>
          </cell>
          <cell r="AB1201" t="str">
            <v>Corporate Office</v>
          </cell>
        </row>
        <row r="1202">
          <cell r="A1202" t="str">
            <v>PEIPL0177</v>
          </cell>
          <cell r="AB1202" t="str">
            <v>City Office</v>
          </cell>
        </row>
        <row r="1203">
          <cell r="A1203" t="str">
            <v>PEPPL0259</v>
          </cell>
          <cell r="AB1203" t="str">
            <v>Fabcity</v>
          </cell>
        </row>
        <row r="1204">
          <cell r="A1204" t="str">
            <v>PEIPL0332</v>
          </cell>
          <cell r="AB1204" t="str">
            <v>Fabcity</v>
          </cell>
        </row>
        <row r="1205">
          <cell r="A1205" t="str">
            <v>PEPPL0400</v>
          </cell>
          <cell r="AB1205" t="str">
            <v>Fabcity</v>
          </cell>
        </row>
        <row r="1206">
          <cell r="A1206" t="str">
            <v>PEPPL0260</v>
          </cell>
          <cell r="AB1206" t="str">
            <v>Fabcity</v>
          </cell>
        </row>
        <row r="1207">
          <cell r="A1207" t="str">
            <v>PEIPL0149</v>
          </cell>
          <cell r="AB1207" t="str">
            <v>Fabcity</v>
          </cell>
        </row>
        <row r="1208">
          <cell r="A1208" t="str">
            <v>PSS1020</v>
          </cell>
          <cell r="AB1208" t="str">
            <v>Factory-Annaram</v>
          </cell>
        </row>
        <row r="1209">
          <cell r="A1209" t="str">
            <v>PSS1281</v>
          </cell>
          <cell r="AB1209" t="str">
            <v>Corporate Office</v>
          </cell>
        </row>
        <row r="1210">
          <cell r="A1210" t="str">
            <v>PSS0928</v>
          </cell>
          <cell r="AB1210" t="str">
            <v>Factory-Annaram</v>
          </cell>
        </row>
        <row r="1211">
          <cell r="A1211" t="str">
            <v>PSS1242</v>
          </cell>
          <cell r="AB1211" t="str">
            <v>City Office</v>
          </cell>
        </row>
        <row r="1212">
          <cell r="A1212" t="str">
            <v>PSS1148</v>
          </cell>
          <cell r="AB1212" t="str">
            <v>Corporate Office</v>
          </cell>
        </row>
        <row r="1213">
          <cell r="A1213" t="str">
            <v>PEPPL0284</v>
          </cell>
          <cell r="AB1213" t="str">
            <v>Fabcity</v>
          </cell>
        </row>
        <row r="1214">
          <cell r="A1214" t="str">
            <v>PEPPL0616</v>
          </cell>
          <cell r="AB1214" t="str">
            <v>Fabcity</v>
          </cell>
        </row>
        <row r="1215">
          <cell r="A1215" t="str">
            <v>PEPPL0390</v>
          </cell>
          <cell r="AB1215" t="str">
            <v>Fabcity</v>
          </cell>
        </row>
        <row r="1216">
          <cell r="A1216" t="str">
            <v>PEIPL0699</v>
          </cell>
          <cell r="AB1216" t="str">
            <v>Fabcity</v>
          </cell>
        </row>
        <row r="1217">
          <cell r="A1217" t="str">
            <v>PEPPL0049</v>
          </cell>
          <cell r="AB1217" t="str">
            <v>Fabcity</v>
          </cell>
        </row>
        <row r="1218">
          <cell r="A1218" t="str">
            <v>PEPPL0050</v>
          </cell>
          <cell r="AB1218" t="str">
            <v>Fabcity</v>
          </cell>
        </row>
        <row r="1219">
          <cell r="A1219" t="str">
            <v>PEPPL0172</v>
          </cell>
          <cell r="AB1219" t="str">
            <v>Fabcity</v>
          </cell>
        </row>
        <row r="1220">
          <cell r="A1220" t="str">
            <v>PEIPL0453</v>
          </cell>
          <cell r="AB1220" t="str">
            <v>Fabcity</v>
          </cell>
        </row>
        <row r="1221">
          <cell r="A1221" t="str">
            <v>PSS1293</v>
          </cell>
          <cell r="AB1221" t="str">
            <v>Purnia</v>
          </cell>
        </row>
        <row r="1222">
          <cell r="A1222" t="str">
            <v>PEIPL0356</v>
          </cell>
          <cell r="AB1222" t="str">
            <v>Fabcity</v>
          </cell>
        </row>
        <row r="1223">
          <cell r="A1223" t="str">
            <v>PEIPL0126</v>
          </cell>
          <cell r="AB1223" t="str">
            <v>Fabcity</v>
          </cell>
        </row>
        <row r="1224">
          <cell r="A1224" t="str">
            <v>PEPPL0503</v>
          </cell>
          <cell r="AB1224" t="str">
            <v>Fabcity</v>
          </cell>
        </row>
        <row r="1225">
          <cell r="A1225" t="str">
            <v>P0137</v>
          </cell>
          <cell r="AB1225" t="str">
            <v>Deoghars</v>
          </cell>
        </row>
        <row r="1226">
          <cell r="A1226" t="str">
            <v>PEGEPL0059</v>
          </cell>
          <cell r="AB1226" t="str">
            <v>Fabcity</v>
          </cell>
        </row>
        <row r="1227">
          <cell r="A1227" t="str">
            <v>PEIPL0470</v>
          </cell>
          <cell r="AB1227" t="str">
            <v>Fabcity</v>
          </cell>
        </row>
        <row r="1228">
          <cell r="A1228" t="str">
            <v>PSS1062</v>
          </cell>
          <cell r="AB1228" t="str">
            <v>Purnia</v>
          </cell>
        </row>
        <row r="1229">
          <cell r="A1229" t="str">
            <v>P0125</v>
          </cell>
          <cell r="AB1229" t="str">
            <v>Deoghars</v>
          </cell>
        </row>
        <row r="1230">
          <cell r="A1230" t="str">
            <v>PEIPL0331</v>
          </cell>
          <cell r="AB1230" t="str">
            <v>Fabcity</v>
          </cell>
        </row>
        <row r="1231">
          <cell r="A1231" t="str">
            <v>PEPPL0297</v>
          </cell>
          <cell r="AB1231" t="str">
            <v>Fabcity</v>
          </cell>
        </row>
        <row r="1232">
          <cell r="A1232" t="str">
            <v>PSS1284</v>
          </cell>
          <cell r="AB1232" t="str">
            <v>Bhopal</v>
          </cell>
        </row>
        <row r="1233">
          <cell r="A1233" t="str">
            <v>PEIPL0281</v>
          </cell>
          <cell r="AB1233" t="str">
            <v>Fabcity</v>
          </cell>
        </row>
        <row r="1234">
          <cell r="A1234" t="str">
            <v>PEIPL0056</v>
          </cell>
          <cell r="AB1234" t="str">
            <v>Fabcity</v>
          </cell>
        </row>
        <row r="1235">
          <cell r="A1235" t="str">
            <v>PEIPL0009</v>
          </cell>
          <cell r="AB1235" t="str">
            <v>Fabcity</v>
          </cell>
        </row>
        <row r="1236">
          <cell r="A1236" t="str">
            <v>PSS0247</v>
          </cell>
          <cell r="AB1236" t="str">
            <v>Lucknow</v>
          </cell>
        </row>
        <row r="1237">
          <cell r="A1237" t="str">
            <v>PSS1422</v>
          </cell>
          <cell r="AB1237" t="str">
            <v>Lucknow</v>
          </cell>
        </row>
        <row r="1238">
          <cell r="A1238" t="str">
            <v>PEIPL0076</v>
          </cell>
          <cell r="AB1238" t="str">
            <v>Fabcity</v>
          </cell>
        </row>
        <row r="1239">
          <cell r="A1239" t="str">
            <v>PEIPL0058</v>
          </cell>
          <cell r="AB1239" t="str">
            <v>Fabcity</v>
          </cell>
        </row>
        <row r="1240">
          <cell r="A1240" t="str">
            <v>PEPPL0624</v>
          </cell>
          <cell r="AB1240" t="str">
            <v>Fabcity</v>
          </cell>
        </row>
        <row r="1241">
          <cell r="A1241" t="str">
            <v>PEPPL0080</v>
          </cell>
          <cell r="AB1241" t="str">
            <v>Fabcity</v>
          </cell>
        </row>
        <row r="1242">
          <cell r="A1242" t="str">
            <v>PEPPL0194</v>
          </cell>
          <cell r="AB1242" t="str">
            <v>Fabcity</v>
          </cell>
        </row>
        <row r="1243">
          <cell r="A1243" t="str">
            <v>BDPL0009</v>
          </cell>
          <cell r="AB1243" t="str">
            <v>Bidar</v>
          </cell>
        </row>
        <row r="1244">
          <cell r="A1244" t="str">
            <v>P0350</v>
          </cell>
          <cell r="AB1244" t="str">
            <v>Bidar</v>
          </cell>
        </row>
        <row r="1245">
          <cell r="A1245" t="str">
            <v>P0487</v>
          </cell>
          <cell r="AB1245" t="str">
            <v>Bidar</v>
          </cell>
        </row>
        <row r="1246">
          <cell r="A1246" t="str">
            <v>PEIPL0505</v>
          </cell>
          <cell r="AB1246" t="str">
            <v>Fabcity</v>
          </cell>
        </row>
        <row r="1247">
          <cell r="A1247" t="str">
            <v>PSS1158</v>
          </cell>
          <cell r="AB1247" t="str">
            <v>Lucknow</v>
          </cell>
        </row>
        <row r="1248">
          <cell r="A1248" t="str">
            <v>PEPPL0069</v>
          </cell>
          <cell r="AB1248" t="str">
            <v>Fabcity</v>
          </cell>
        </row>
        <row r="1249">
          <cell r="A1249" t="str">
            <v>PEPPL0104</v>
          </cell>
          <cell r="AB1249" t="str">
            <v>Fabcity</v>
          </cell>
        </row>
        <row r="1250">
          <cell r="A1250" t="str">
            <v>PEIPL0343</v>
          </cell>
          <cell r="AB1250" t="str">
            <v>Fabcity</v>
          </cell>
        </row>
        <row r="1251">
          <cell r="A1251" t="str">
            <v>PEPPL0804</v>
          </cell>
          <cell r="AB1251" t="str">
            <v>Fabcity</v>
          </cell>
        </row>
        <row r="1252">
          <cell r="A1252" t="str">
            <v>PEPPL0842</v>
          </cell>
          <cell r="AB1252" t="str">
            <v>Fabcity</v>
          </cell>
        </row>
        <row r="1253">
          <cell r="A1253" t="str">
            <v>PEGEPL0078</v>
          </cell>
          <cell r="AB1253" t="str">
            <v>Fabcity</v>
          </cell>
        </row>
        <row r="1254">
          <cell r="A1254" t="str">
            <v>PEIPL0745</v>
          </cell>
          <cell r="AB1254" t="str">
            <v>Fabcity</v>
          </cell>
        </row>
        <row r="1255">
          <cell r="A1255" t="str">
            <v>PEPPL0891</v>
          </cell>
          <cell r="AB1255" t="str">
            <v>Fabcity</v>
          </cell>
        </row>
        <row r="1256">
          <cell r="A1256" t="str">
            <v>PSS0763</v>
          </cell>
          <cell r="AB1256" t="str">
            <v>Bhagalpur</v>
          </cell>
        </row>
        <row r="1257">
          <cell r="A1257" t="str">
            <v>PEPPL0413</v>
          </cell>
          <cell r="AB1257" t="str">
            <v>Fabcity</v>
          </cell>
        </row>
        <row r="1258">
          <cell r="A1258" t="str">
            <v>PEPPL0519</v>
          </cell>
          <cell r="AB1258" t="str">
            <v>Fabcity</v>
          </cell>
        </row>
        <row r="1259">
          <cell r="A1259" t="str">
            <v>PEIPL0661</v>
          </cell>
          <cell r="AB1259" t="str">
            <v>Fabcity</v>
          </cell>
        </row>
        <row r="1260">
          <cell r="A1260" t="str">
            <v>PEPPL0609</v>
          </cell>
          <cell r="AB1260" t="str">
            <v>Fabcity</v>
          </cell>
        </row>
        <row r="1261">
          <cell r="A1261" t="str">
            <v>PEPPL0873</v>
          </cell>
          <cell r="AB1261" t="str">
            <v>Fabcity</v>
          </cell>
        </row>
        <row r="1262">
          <cell r="A1262" t="str">
            <v>PEPPL0209</v>
          </cell>
          <cell r="AB1262" t="str">
            <v>Fabcity</v>
          </cell>
        </row>
        <row r="1263">
          <cell r="A1263" t="str">
            <v>PEIPL0095</v>
          </cell>
          <cell r="AB1263" t="str">
            <v>Fabcity</v>
          </cell>
        </row>
        <row r="1264">
          <cell r="A1264" t="str">
            <v>PEIPL0074</v>
          </cell>
          <cell r="AB1264" t="str">
            <v>Fabcity</v>
          </cell>
        </row>
        <row r="1265">
          <cell r="A1265" t="str">
            <v>PEPPL0764</v>
          </cell>
          <cell r="AB1265" t="str">
            <v>Fabcity</v>
          </cell>
        </row>
        <row r="1266">
          <cell r="A1266" t="str">
            <v>PEPPL0064</v>
          </cell>
          <cell r="AB1266" t="str">
            <v>Fabcity</v>
          </cell>
        </row>
        <row r="1267">
          <cell r="A1267" t="str">
            <v>PSS1363</v>
          </cell>
          <cell r="AB1267" t="str">
            <v>Corporate Office</v>
          </cell>
        </row>
        <row r="1268">
          <cell r="A1268" t="str">
            <v>PEPPL0855</v>
          </cell>
          <cell r="AB1268" t="str">
            <v>Fabcity</v>
          </cell>
        </row>
        <row r="1269">
          <cell r="A1269" t="str">
            <v>PEIPL0435</v>
          </cell>
          <cell r="AB1269" t="str">
            <v>Fabcity</v>
          </cell>
        </row>
        <row r="1270">
          <cell r="A1270" t="str">
            <v>PEIPL0271</v>
          </cell>
          <cell r="AB1270" t="str">
            <v>Fabcity</v>
          </cell>
        </row>
        <row r="1271">
          <cell r="A1271" t="str">
            <v>PEIPL0764</v>
          </cell>
          <cell r="AB1271" t="str">
            <v>Fabcity</v>
          </cell>
        </row>
        <row r="1272">
          <cell r="A1272" t="str">
            <v>PEIPL0098</v>
          </cell>
          <cell r="AB1272" t="str">
            <v>Fabcity</v>
          </cell>
        </row>
        <row r="1273">
          <cell r="A1273" t="str">
            <v>PSS1289</v>
          </cell>
          <cell r="AB1273" t="str">
            <v>City Office</v>
          </cell>
        </row>
        <row r="1274">
          <cell r="A1274" t="str">
            <v>PEGEPL0020</v>
          </cell>
          <cell r="AB1274" t="str">
            <v>Fabcity</v>
          </cell>
        </row>
        <row r="1275">
          <cell r="A1275" t="str">
            <v>PEIPL0248</v>
          </cell>
          <cell r="AB1275" t="str">
            <v>Fabcity</v>
          </cell>
        </row>
        <row r="1276">
          <cell r="A1276" t="str">
            <v>PSS1397</v>
          </cell>
          <cell r="AB1276" t="str">
            <v>Corporate Office</v>
          </cell>
        </row>
        <row r="1277">
          <cell r="A1277" t="str">
            <v>PEIPL0499</v>
          </cell>
          <cell r="AB1277" t="str">
            <v>Fabcity</v>
          </cell>
        </row>
        <row r="1278">
          <cell r="A1278" t="str">
            <v>PSS0887</v>
          </cell>
          <cell r="AB1278" t="str">
            <v>Factory-Annaram</v>
          </cell>
        </row>
        <row r="1279">
          <cell r="A1279" t="str">
            <v>PEPPL0343</v>
          </cell>
          <cell r="AB1279" t="str">
            <v>Fabcity</v>
          </cell>
        </row>
        <row r="1280">
          <cell r="A1280" t="str">
            <v>PEIPL0051</v>
          </cell>
          <cell r="AB1280" t="str">
            <v>Fabcity</v>
          </cell>
        </row>
        <row r="1281">
          <cell r="A1281" t="str">
            <v>PEIPL0708</v>
          </cell>
          <cell r="AB1281" t="str">
            <v>Fabcity</v>
          </cell>
        </row>
        <row r="1282">
          <cell r="A1282" t="str">
            <v>PEPPL0733</v>
          </cell>
          <cell r="AB1282" t="str">
            <v>Fabcity</v>
          </cell>
        </row>
        <row r="1283">
          <cell r="A1283" t="str">
            <v>PEIPL0515</v>
          </cell>
          <cell r="AB1283" t="str">
            <v>Fabcity</v>
          </cell>
        </row>
        <row r="1284">
          <cell r="A1284" t="str">
            <v>PEIPL0089</v>
          </cell>
          <cell r="AB1284" t="str">
            <v>Fabcity</v>
          </cell>
        </row>
        <row r="1285">
          <cell r="A1285" t="str">
            <v>PSS0769</v>
          </cell>
          <cell r="AB1285" t="str">
            <v>Factory-Annaram</v>
          </cell>
        </row>
        <row r="1286">
          <cell r="A1286" t="str">
            <v>PEIPL0006</v>
          </cell>
          <cell r="AB1286" t="str">
            <v>Fabcity</v>
          </cell>
        </row>
        <row r="1287">
          <cell r="A1287" t="str">
            <v>PEIPL0509</v>
          </cell>
          <cell r="AB1287" t="str">
            <v>Fabcity</v>
          </cell>
        </row>
        <row r="1288">
          <cell r="A1288" t="str">
            <v>PSS0915</v>
          </cell>
          <cell r="AB1288" t="str">
            <v>Factory-Annaram</v>
          </cell>
        </row>
        <row r="1289">
          <cell r="A1289" t="str">
            <v>PSS0544</v>
          </cell>
          <cell r="AB1289" t="str">
            <v>Factory-Annaram</v>
          </cell>
        </row>
        <row r="1290">
          <cell r="A1290" t="str">
            <v>PSS1406</v>
          </cell>
          <cell r="AB1290" t="str">
            <v>Corporate Office</v>
          </cell>
        </row>
        <row r="1291">
          <cell r="A1291" t="str">
            <v>PEPPL0800</v>
          </cell>
          <cell r="AB1291" t="str">
            <v>City Office</v>
          </cell>
        </row>
        <row r="1292">
          <cell r="A1292" t="str">
            <v>PSS0213</v>
          </cell>
          <cell r="AB1292" t="str">
            <v>Factory-Annaram</v>
          </cell>
        </row>
        <row r="1293">
          <cell r="A1293" t="str">
            <v>PEIPL0694</v>
          </cell>
          <cell r="AB1293" t="str">
            <v>Fabcity</v>
          </cell>
        </row>
        <row r="1294">
          <cell r="A1294" t="str">
            <v>PEPPL0305</v>
          </cell>
          <cell r="AB1294" t="str">
            <v>Fabcity</v>
          </cell>
        </row>
        <row r="1295">
          <cell r="A1295" t="str">
            <v>PEPPL0193</v>
          </cell>
          <cell r="AB1295" t="str">
            <v>Fabcity</v>
          </cell>
        </row>
        <row r="1296">
          <cell r="A1296" t="str">
            <v>PEIPL0657</v>
          </cell>
          <cell r="AB1296" t="str">
            <v>Fabcity</v>
          </cell>
        </row>
        <row r="1297">
          <cell r="A1297" t="str">
            <v>PEPPL0825</v>
          </cell>
          <cell r="AB1297" t="str">
            <v>Fabcity</v>
          </cell>
        </row>
        <row r="1298">
          <cell r="A1298" t="str">
            <v>PEPPL0367</v>
          </cell>
          <cell r="AB1298" t="str">
            <v>Fabcity</v>
          </cell>
        </row>
        <row r="1299">
          <cell r="A1299" t="str">
            <v>P0196</v>
          </cell>
          <cell r="AB1299" t="str">
            <v>Corporate Office</v>
          </cell>
        </row>
        <row r="1300">
          <cell r="A1300" t="str">
            <v>PSS1305</v>
          </cell>
          <cell r="AB1300" t="str">
            <v>Greater Noida BPCL</v>
          </cell>
        </row>
        <row r="1301">
          <cell r="A1301" t="str">
            <v>PSS1167</v>
          </cell>
          <cell r="AB1301" t="str">
            <v>Nagrota</v>
          </cell>
        </row>
        <row r="1302">
          <cell r="A1302" t="str">
            <v>PEPPL0788</v>
          </cell>
          <cell r="AB1302" t="str">
            <v>Fabcity</v>
          </cell>
        </row>
        <row r="1303">
          <cell r="A1303" t="str">
            <v>PEIPL0059</v>
          </cell>
          <cell r="AB1303" t="str">
            <v>Fabcity</v>
          </cell>
        </row>
        <row r="1304">
          <cell r="A1304" t="str">
            <v>PEIPL0775</v>
          </cell>
          <cell r="AB1304" t="str">
            <v>Fabcity</v>
          </cell>
        </row>
        <row r="1305">
          <cell r="A1305" t="str">
            <v>PEPPL0802</v>
          </cell>
          <cell r="AB1305" t="str">
            <v>Fabcity</v>
          </cell>
        </row>
        <row r="1306">
          <cell r="A1306" t="str">
            <v>PEIPL0170</v>
          </cell>
          <cell r="AB1306" t="str">
            <v>Fabcity</v>
          </cell>
        </row>
        <row r="1307">
          <cell r="A1307" t="str">
            <v>PEIPL0274</v>
          </cell>
          <cell r="AB1307" t="str">
            <v>Fabcity</v>
          </cell>
        </row>
        <row r="1308">
          <cell r="A1308" t="str">
            <v>PSS0991</v>
          </cell>
          <cell r="AB1308" t="str">
            <v>Kishanganj</v>
          </cell>
        </row>
        <row r="1309">
          <cell r="A1309" t="str">
            <v>PEIPL0318</v>
          </cell>
          <cell r="AB1309" t="str">
            <v>Fabcity</v>
          </cell>
        </row>
        <row r="1310">
          <cell r="A1310" t="str">
            <v>PEIPL0681</v>
          </cell>
          <cell r="AB1310" t="str">
            <v>Fabcity</v>
          </cell>
        </row>
        <row r="1311">
          <cell r="A1311" t="str">
            <v>PEIPL0266</v>
          </cell>
          <cell r="AB1311" t="str">
            <v>Fabcity</v>
          </cell>
        </row>
        <row r="1312">
          <cell r="A1312" t="str">
            <v>PEIPL0052</v>
          </cell>
          <cell r="AB1312" t="str">
            <v>Fabcity</v>
          </cell>
        </row>
        <row r="1313">
          <cell r="A1313" t="str">
            <v>PEIPL0757</v>
          </cell>
          <cell r="AB1313" t="str">
            <v>Fabcity</v>
          </cell>
        </row>
        <row r="1314">
          <cell r="A1314" t="str">
            <v>PEIPL0457</v>
          </cell>
          <cell r="AB1314" t="str">
            <v>Fabcity</v>
          </cell>
        </row>
        <row r="1315">
          <cell r="A1315" t="str">
            <v>PEIPL0735</v>
          </cell>
          <cell r="AB1315" t="str">
            <v>Fabcity</v>
          </cell>
        </row>
        <row r="1316">
          <cell r="A1316" t="str">
            <v>PSS1138</v>
          </cell>
          <cell r="AB1316" t="str">
            <v>Beed</v>
          </cell>
        </row>
        <row r="1317">
          <cell r="A1317" t="str">
            <v>PSS0782</v>
          </cell>
          <cell r="AB1317" t="str">
            <v>Fabcity</v>
          </cell>
        </row>
        <row r="1318">
          <cell r="A1318" t="str">
            <v>PEIPL0779</v>
          </cell>
          <cell r="AB1318" t="str">
            <v>Fabcity</v>
          </cell>
        </row>
        <row r="1319">
          <cell r="A1319" t="str">
            <v>P0269</v>
          </cell>
          <cell r="AB1319" t="str">
            <v>Vikas Nagar</v>
          </cell>
        </row>
        <row r="1320">
          <cell r="A1320" t="str">
            <v>PEPPL0247</v>
          </cell>
          <cell r="AB1320" t="str">
            <v>Fabcity</v>
          </cell>
        </row>
        <row r="1321">
          <cell r="A1321" t="str">
            <v>PEPPL0308</v>
          </cell>
          <cell r="AB1321" t="str">
            <v>Fabcity</v>
          </cell>
        </row>
        <row r="1322">
          <cell r="A1322" t="str">
            <v>PEPPL0334</v>
          </cell>
          <cell r="AB1322" t="str">
            <v>Fabcity</v>
          </cell>
        </row>
        <row r="1323">
          <cell r="A1323" t="str">
            <v>BDPL0027</v>
          </cell>
          <cell r="AB1323" t="str">
            <v>Hubli</v>
          </cell>
        </row>
        <row r="1324">
          <cell r="A1324" t="str">
            <v>P0432</v>
          </cell>
          <cell r="AB1324" t="str">
            <v>Hubli</v>
          </cell>
        </row>
        <row r="1325">
          <cell r="A1325" t="str">
            <v>PEIPL0151</v>
          </cell>
          <cell r="AB1325" t="str">
            <v>Fabcity</v>
          </cell>
        </row>
        <row r="1326">
          <cell r="A1326" t="str">
            <v>PEPPL0807</v>
          </cell>
          <cell r="AB1326" t="str">
            <v>Fabcity</v>
          </cell>
        </row>
        <row r="1327">
          <cell r="A1327" t="str">
            <v>PEGEPL0098</v>
          </cell>
          <cell r="AB1327" t="str">
            <v>Fabcity</v>
          </cell>
        </row>
        <row r="1328">
          <cell r="A1328" t="str">
            <v>PEPPL0862</v>
          </cell>
          <cell r="AB1328" t="str">
            <v>Fabcity</v>
          </cell>
        </row>
        <row r="1329">
          <cell r="A1329" t="str">
            <v>PEPPL0724</v>
          </cell>
          <cell r="AB1329" t="str">
            <v>Fabcity</v>
          </cell>
        </row>
        <row r="1330">
          <cell r="A1330" t="str">
            <v>PEIPL0129</v>
          </cell>
          <cell r="AB1330" t="str">
            <v>Fabcity</v>
          </cell>
        </row>
        <row r="1331">
          <cell r="A1331" t="str">
            <v>PEPPL0091</v>
          </cell>
          <cell r="AB1331" t="str">
            <v>Fabcity</v>
          </cell>
        </row>
        <row r="1332">
          <cell r="A1332" t="str">
            <v>PEPPL0102</v>
          </cell>
          <cell r="AB1332" t="str">
            <v>Fabcity</v>
          </cell>
        </row>
        <row r="1333">
          <cell r="A1333" t="str">
            <v>PEIPL0562</v>
          </cell>
          <cell r="AB1333" t="str">
            <v>Fabcity</v>
          </cell>
        </row>
        <row r="1334">
          <cell r="A1334" t="str">
            <v>BDPL0031</v>
          </cell>
          <cell r="AB1334" t="str">
            <v>Corporate Office</v>
          </cell>
        </row>
        <row r="1335">
          <cell r="A1335" t="str">
            <v>P0409</v>
          </cell>
          <cell r="AB1335" t="str">
            <v>Corporate Office</v>
          </cell>
        </row>
        <row r="1336">
          <cell r="A1336" t="str">
            <v>PEIPL0608</v>
          </cell>
          <cell r="AB1336" t="str">
            <v>Fabcity</v>
          </cell>
        </row>
        <row r="1337">
          <cell r="A1337" t="str">
            <v>PEPPL0485</v>
          </cell>
          <cell r="AB1337" t="str">
            <v>Corporate Office</v>
          </cell>
        </row>
        <row r="1338">
          <cell r="A1338" t="str">
            <v>PEIPL0632</v>
          </cell>
          <cell r="AB1338" t="str">
            <v>Fabcity</v>
          </cell>
        </row>
        <row r="1339">
          <cell r="A1339" t="str">
            <v>PEPPL0200</v>
          </cell>
          <cell r="AB1339" t="str">
            <v>Fabcity</v>
          </cell>
        </row>
        <row r="1340">
          <cell r="A1340" t="str">
            <v>PEIPL0638</v>
          </cell>
          <cell r="AB1340" t="str">
            <v>Fabcity</v>
          </cell>
        </row>
        <row r="1341">
          <cell r="A1341" t="str">
            <v>PSS0656</v>
          </cell>
          <cell r="AB1341" t="str">
            <v>Factory-Annaram</v>
          </cell>
        </row>
        <row r="1342">
          <cell r="A1342" t="str">
            <v>PEIPL0250</v>
          </cell>
          <cell r="AB1342" t="str">
            <v>Fabcity</v>
          </cell>
        </row>
        <row r="1343">
          <cell r="A1343" t="str">
            <v>PSS0903</v>
          </cell>
          <cell r="AB1343" t="str">
            <v>Factory-Annaram</v>
          </cell>
        </row>
        <row r="1344">
          <cell r="A1344" t="str">
            <v>PEPPL0301</v>
          </cell>
          <cell r="AB1344" t="str">
            <v>Fabcity</v>
          </cell>
        </row>
        <row r="1345">
          <cell r="A1345" t="str">
            <v>PSS0988</v>
          </cell>
          <cell r="AB1345" t="str">
            <v>Corporate Office</v>
          </cell>
        </row>
        <row r="1346">
          <cell r="A1346" t="str">
            <v>PEPPL0712</v>
          </cell>
          <cell r="AB1346" t="str">
            <v>Fabcity</v>
          </cell>
        </row>
        <row r="1347">
          <cell r="A1347" t="str">
            <v>PSS1365</v>
          </cell>
          <cell r="AB1347" t="str">
            <v>Corporate Office</v>
          </cell>
        </row>
        <row r="1348">
          <cell r="A1348" t="str">
            <v>PEIPL0466</v>
          </cell>
          <cell r="AB1348" t="str">
            <v>Fabcity</v>
          </cell>
        </row>
        <row r="1349">
          <cell r="A1349" t="str">
            <v>PEPPL0173</v>
          </cell>
          <cell r="AB1349" t="str">
            <v>Fabcity</v>
          </cell>
        </row>
        <row r="1350">
          <cell r="A1350" t="str">
            <v>PSS1147</v>
          </cell>
          <cell r="AB1350" t="str">
            <v>Yavatmal</v>
          </cell>
        </row>
        <row r="1351">
          <cell r="A1351" t="str">
            <v>PSS1414</v>
          </cell>
          <cell r="AB1351" t="str">
            <v>Corporate Office</v>
          </cell>
        </row>
        <row r="1352">
          <cell r="A1352" t="str">
            <v>PEPPL0608</v>
          </cell>
          <cell r="AB1352" t="str">
            <v>Fabcity</v>
          </cell>
        </row>
        <row r="1353">
          <cell r="A1353" t="str">
            <v>PEPPL0869</v>
          </cell>
          <cell r="AB1353" t="str">
            <v>Fabcity</v>
          </cell>
        </row>
        <row r="1354">
          <cell r="A1354" t="str">
            <v>PEPPL0606</v>
          </cell>
          <cell r="AB1354" t="str">
            <v>Fabcity</v>
          </cell>
        </row>
        <row r="1355">
          <cell r="A1355" t="str">
            <v>PEPPL0799</v>
          </cell>
          <cell r="AB1355" t="str">
            <v>Fabcity</v>
          </cell>
        </row>
        <row r="1356">
          <cell r="A1356" t="str">
            <v>PEIPL0414</v>
          </cell>
          <cell r="AB1356" t="str">
            <v>Fabcity</v>
          </cell>
        </row>
        <row r="1357">
          <cell r="A1357" t="str">
            <v>PEGEPL0058</v>
          </cell>
          <cell r="AB1357" t="str">
            <v>Fabcity</v>
          </cell>
        </row>
        <row r="1358">
          <cell r="A1358" t="str">
            <v>P0404</v>
          </cell>
          <cell r="AB1358" t="str">
            <v>City Office</v>
          </cell>
        </row>
        <row r="1359">
          <cell r="A1359" t="str">
            <v>PSS0303</v>
          </cell>
          <cell r="AB1359" t="str">
            <v>Factory-Annaram</v>
          </cell>
        </row>
        <row r="1360">
          <cell r="A1360" t="str">
            <v>PSS0304</v>
          </cell>
          <cell r="AB1360" t="str">
            <v>Factory-Annaram</v>
          </cell>
        </row>
        <row r="1361">
          <cell r="A1361" t="str">
            <v>PEIPL0485</v>
          </cell>
          <cell r="AB1361" t="str">
            <v>Fabcity</v>
          </cell>
        </row>
        <row r="1362">
          <cell r="A1362" t="str">
            <v>PEIPL0386</v>
          </cell>
          <cell r="AB1362" t="str">
            <v>Fabcity</v>
          </cell>
        </row>
        <row r="1363">
          <cell r="A1363" t="str">
            <v>PSS1368</v>
          </cell>
          <cell r="AB1363" t="str">
            <v>City Office</v>
          </cell>
        </row>
        <row r="1364">
          <cell r="A1364" t="str">
            <v>PEIPL0701</v>
          </cell>
          <cell r="AB1364" t="str">
            <v>Fabcity</v>
          </cell>
        </row>
        <row r="1365">
          <cell r="A1365" t="str">
            <v>PEPPL0257</v>
          </cell>
          <cell r="AB1365" t="str">
            <v>Fabcity</v>
          </cell>
        </row>
        <row r="1366">
          <cell r="A1366" t="str">
            <v>BDPL0029</v>
          </cell>
          <cell r="AB1366" t="str">
            <v>Shigli</v>
          </cell>
        </row>
        <row r="1367">
          <cell r="A1367" t="str">
            <v>P0311</v>
          </cell>
          <cell r="AB1367" t="str">
            <v>Shigli</v>
          </cell>
        </row>
        <row r="1368">
          <cell r="A1368" t="str">
            <v>P0434</v>
          </cell>
          <cell r="AB1368" t="str">
            <v>Shigli</v>
          </cell>
        </row>
        <row r="1369">
          <cell r="A1369" t="str">
            <v>P0476</v>
          </cell>
          <cell r="AB1369" t="str">
            <v>Shigli</v>
          </cell>
        </row>
        <row r="1370">
          <cell r="A1370" t="str">
            <v>PEPPL0773</v>
          </cell>
          <cell r="AB1370" t="str">
            <v>Fabcity</v>
          </cell>
        </row>
        <row r="1371">
          <cell r="A1371" t="str">
            <v>PEPPL0853</v>
          </cell>
          <cell r="AB1371" t="str">
            <v>Fabcity</v>
          </cell>
        </row>
        <row r="1372">
          <cell r="A1372" t="str">
            <v>PEPPL0775</v>
          </cell>
          <cell r="AB1372" t="str">
            <v>Fabcity</v>
          </cell>
        </row>
        <row r="1373">
          <cell r="A1373" t="str">
            <v>PEGEPL0129</v>
          </cell>
          <cell r="AB1373" t="str">
            <v>Fabcity</v>
          </cell>
        </row>
        <row r="1374">
          <cell r="A1374" t="str">
            <v>PEIPL0075</v>
          </cell>
          <cell r="AB1374" t="str">
            <v>Fabcity</v>
          </cell>
        </row>
        <row r="1375">
          <cell r="A1375" t="str">
            <v>PEPPL0746</v>
          </cell>
          <cell r="AB1375" t="str">
            <v>Fabcity</v>
          </cell>
        </row>
        <row r="1376">
          <cell r="A1376" t="str">
            <v>PEPPL0132</v>
          </cell>
          <cell r="AB1376" t="str">
            <v>Fabcity</v>
          </cell>
        </row>
        <row r="1377">
          <cell r="A1377" t="str">
            <v>PEPPL0818</v>
          </cell>
          <cell r="AB1377" t="str">
            <v>Fabcity</v>
          </cell>
        </row>
        <row r="1378">
          <cell r="A1378" t="str">
            <v>PEIPL0007</v>
          </cell>
          <cell r="AB1378" t="str">
            <v>Fabcity</v>
          </cell>
        </row>
        <row r="1379">
          <cell r="A1379" t="str">
            <v>PEPPL0058</v>
          </cell>
          <cell r="AB1379" t="str">
            <v>Fabcity</v>
          </cell>
        </row>
        <row r="1380">
          <cell r="A1380" t="str">
            <v>PEIPL0063</v>
          </cell>
          <cell r="AB1380" t="str">
            <v>Fabcity</v>
          </cell>
        </row>
        <row r="1381">
          <cell r="A1381" t="str">
            <v>PSS0159</v>
          </cell>
          <cell r="AB1381" t="str">
            <v>Factory-Annaram</v>
          </cell>
        </row>
        <row r="1382">
          <cell r="A1382" t="str">
            <v>PSS0993</v>
          </cell>
          <cell r="AB1382" t="str">
            <v>Corporate Office</v>
          </cell>
        </row>
        <row r="1383">
          <cell r="A1383" t="str">
            <v>PEPPL0255</v>
          </cell>
          <cell r="AB1383" t="str">
            <v>Fabcity</v>
          </cell>
        </row>
        <row r="1384">
          <cell r="A1384" t="str">
            <v>PEGEPL0137</v>
          </cell>
          <cell r="AB1384" t="str">
            <v>Fabcity</v>
          </cell>
        </row>
        <row r="1385">
          <cell r="A1385" t="str">
            <v>PEIPL0142</v>
          </cell>
          <cell r="AB1385" t="str">
            <v>City Office</v>
          </cell>
        </row>
        <row r="1386">
          <cell r="A1386" t="str">
            <v>PEPPL0717</v>
          </cell>
          <cell r="AB1386" t="str">
            <v>Fabcity</v>
          </cell>
        </row>
        <row r="1387">
          <cell r="A1387" t="str">
            <v>P0500</v>
          </cell>
          <cell r="AB1387" t="str">
            <v>Kalinga</v>
          </cell>
        </row>
        <row r="1388">
          <cell r="A1388" t="str">
            <v>PEPPL0785</v>
          </cell>
          <cell r="AB1388" t="str">
            <v>Fabcity</v>
          </cell>
        </row>
        <row r="1389">
          <cell r="A1389" t="str">
            <v>PEGEPL0109</v>
          </cell>
          <cell r="AB1389" t="str">
            <v>Fabcity</v>
          </cell>
        </row>
        <row r="1390">
          <cell r="A1390" t="str">
            <v>PEPPL0464</v>
          </cell>
          <cell r="AB1390" t="str">
            <v>Fabcity</v>
          </cell>
        </row>
        <row r="1391">
          <cell r="A1391" t="str">
            <v>PEPPL0382</v>
          </cell>
          <cell r="AB1391" t="str">
            <v>Fabcity</v>
          </cell>
        </row>
        <row r="1392">
          <cell r="A1392" t="str">
            <v>PEIPL0749</v>
          </cell>
          <cell r="AB1392" t="str">
            <v>Fabcity</v>
          </cell>
        </row>
        <row r="1393">
          <cell r="A1393" t="str">
            <v>PEIPL0136</v>
          </cell>
          <cell r="AB1393" t="str">
            <v>Fabcity</v>
          </cell>
        </row>
        <row r="1394">
          <cell r="A1394" t="str">
            <v>PEPPL0422</v>
          </cell>
          <cell r="AB1394" t="str">
            <v>Fabcity</v>
          </cell>
        </row>
        <row r="1395">
          <cell r="A1395" t="str">
            <v>PEPPL0258</v>
          </cell>
          <cell r="AB1395" t="str">
            <v>Fabcity</v>
          </cell>
        </row>
        <row r="1396">
          <cell r="A1396" t="str">
            <v>P0121</v>
          </cell>
          <cell r="AB1396" t="str">
            <v>Deoghars</v>
          </cell>
        </row>
        <row r="1397">
          <cell r="A1397" t="str">
            <v>PEPPL0629</v>
          </cell>
          <cell r="AB1397" t="str">
            <v>Fabcity</v>
          </cell>
        </row>
        <row r="1398">
          <cell r="A1398" t="str">
            <v>P0431</v>
          </cell>
          <cell r="AB1398" t="str">
            <v>CEMCOT</v>
          </cell>
        </row>
        <row r="1399">
          <cell r="A1399" t="str">
            <v>PEIPL0138</v>
          </cell>
          <cell r="AB1399" t="str">
            <v>Fabcity</v>
          </cell>
        </row>
        <row r="1400">
          <cell r="A1400" t="str">
            <v>BDPL0017</v>
          </cell>
          <cell r="AB1400" t="str">
            <v>Nirna</v>
          </cell>
        </row>
        <row r="1401">
          <cell r="A1401" t="str">
            <v>P0358</v>
          </cell>
          <cell r="AB1401" t="str">
            <v>Karnataka</v>
          </cell>
        </row>
        <row r="1402">
          <cell r="A1402" t="str">
            <v>P0492</v>
          </cell>
          <cell r="AB1402" t="str">
            <v>Nirna</v>
          </cell>
        </row>
        <row r="1403">
          <cell r="A1403" t="str">
            <v>PSS1324</v>
          </cell>
          <cell r="AB1403" t="str">
            <v>Lucknow</v>
          </cell>
        </row>
        <row r="1404">
          <cell r="A1404" t="str">
            <v>PEIPL0590</v>
          </cell>
          <cell r="AB1404" t="str">
            <v>Fabcity</v>
          </cell>
        </row>
        <row r="1405">
          <cell r="A1405" t="str">
            <v>PEIPL0458</v>
          </cell>
          <cell r="AB1405" t="str">
            <v>Fabcity</v>
          </cell>
        </row>
        <row r="1406">
          <cell r="A1406" t="str">
            <v>PEPPL0421</v>
          </cell>
          <cell r="AB1406" t="str">
            <v>Fabcity</v>
          </cell>
        </row>
        <row r="1407">
          <cell r="A1407" t="str">
            <v>PEGEPL0107</v>
          </cell>
          <cell r="AB1407" t="str">
            <v>Fabcity</v>
          </cell>
        </row>
        <row r="1408">
          <cell r="A1408" t="str">
            <v>BDPL0026</v>
          </cell>
          <cell r="AB1408" t="str">
            <v>Shigli</v>
          </cell>
        </row>
        <row r="1409">
          <cell r="A1409" t="str">
            <v>P0469</v>
          </cell>
          <cell r="AB1409" t="str">
            <v>Shigli</v>
          </cell>
        </row>
        <row r="1410">
          <cell r="A1410" t="str">
            <v>BDPL0028</v>
          </cell>
          <cell r="AB1410" t="str">
            <v>Nirna</v>
          </cell>
        </row>
        <row r="1411">
          <cell r="A1411" t="str">
            <v>P0495</v>
          </cell>
          <cell r="AB1411" t="str">
            <v>Nirna</v>
          </cell>
        </row>
        <row r="1412">
          <cell r="A1412" t="str">
            <v>BDPL0008</v>
          </cell>
          <cell r="AB1412" t="str">
            <v>Shigli</v>
          </cell>
        </row>
        <row r="1413">
          <cell r="A1413" t="str">
            <v>P0348</v>
          </cell>
          <cell r="AB1413" t="str">
            <v>Shigli</v>
          </cell>
        </row>
        <row r="1414">
          <cell r="A1414" t="str">
            <v>P0479</v>
          </cell>
          <cell r="AB1414" t="str">
            <v>Shigli</v>
          </cell>
        </row>
        <row r="1415">
          <cell r="A1415" t="str">
            <v>PEPPL0813</v>
          </cell>
          <cell r="AB1415" t="str">
            <v>Fabcity</v>
          </cell>
        </row>
        <row r="1416">
          <cell r="A1416" t="str">
            <v>PEIPL0329</v>
          </cell>
          <cell r="AB1416" t="str">
            <v>Fabcity</v>
          </cell>
        </row>
        <row r="1417">
          <cell r="A1417" t="str">
            <v>PEIPL0240</v>
          </cell>
          <cell r="AB1417" t="str">
            <v>Fabcity</v>
          </cell>
        </row>
        <row r="1418">
          <cell r="A1418" t="str">
            <v>PEPPL0313</v>
          </cell>
          <cell r="AB1418" t="str">
            <v>Fabcity</v>
          </cell>
        </row>
        <row r="1419">
          <cell r="A1419" t="str">
            <v>PEGEPL0004</v>
          </cell>
          <cell r="AB1419" t="str">
            <v>Fabcity</v>
          </cell>
        </row>
        <row r="1420">
          <cell r="A1420" t="str">
            <v>PSS0051</v>
          </cell>
          <cell r="AB1420" t="str">
            <v>Factory-Annaram</v>
          </cell>
        </row>
        <row r="1421">
          <cell r="A1421" t="str">
            <v>PEPPL0506</v>
          </cell>
          <cell r="AB1421" t="str">
            <v>Fabcity</v>
          </cell>
        </row>
        <row r="1422">
          <cell r="A1422" t="str">
            <v>PEPPL0154</v>
          </cell>
          <cell r="AB1422" t="str">
            <v>Fabcity</v>
          </cell>
        </row>
        <row r="1423">
          <cell r="A1423" t="str">
            <v>PEPPL0059</v>
          </cell>
          <cell r="AB1423" t="str">
            <v>Corporate Office</v>
          </cell>
        </row>
        <row r="1424">
          <cell r="A1424" t="str">
            <v>PEPPL0289</v>
          </cell>
          <cell r="AB1424" t="str">
            <v>Fabcity</v>
          </cell>
        </row>
        <row r="1425">
          <cell r="A1425" t="str">
            <v>PEPPL0236</v>
          </cell>
          <cell r="AB1425" t="str">
            <v>Fabcity</v>
          </cell>
        </row>
        <row r="1426">
          <cell r="A1426" t="str">
            <v>PSS1210</v>
          </cell>
          <cell r="AB1426" t="str">
            <v>Factory-Annaram</v>
          </cell>
        </row>
        <row r="1427">
          <cell r="A1427" t="str">
            <v>PSS1330</v>
          </cell>
          <cell r="AB1427" t="str">
            <v>Corporate Office</v>
          </cell>
        </row>
        <row r="1428">
          <cell r="A1428" t="str">
            <v>PSS0676</v>
          </cell>
          <cell r="AB1428" t="str">
            <v>Corporate Office</v>
          </cell>
        </row>
        <row r="1429">
          <cell r="A1429" t="str">
            <v>PSS0370</v>
          </cell>
          <cell r="AB1429" t="str">
            <v>Factory-Annaram</v>
          </cell>
        </row>
        <row r="1430">
          <cell r="A1430" t="str">
            <v>PEIPL0576</v>
          </cell>
          <cell r="AB1430" t="str">
            <v>Fabcity</v>
          </cell>
        </row>
        <row r="1431">
          <cell r="A1431" t="str">
            <v>PEPPL0263</v>
          </cell>
          <cell r="AB1431" t="str">
            <v>Fabcity</v>
          </cell>
        </row>
        <row r="1432">
          <cell r="A1432" t="str">
            <v>PEPPL0294</v>
          </cell>
          <cell r="AB1432" t="str">
            <v>Fabcity</v>
          </cell>
        </row>
        <row r="1433">
          <cell r="A1433" t="str">
            <v>PEPPL0623</v>
          </cell>
          <cell r="AB1433" t="str">
            <v>Fabcity</v>
          </cell>
        </row>
        <row r="1434">
          <cell r="A1434" t="str">
            <v>PEIPL0721</v>
          </cell>
          <cell r="AB1434" t="str">
            <v>Fabcity</v>
          </cell>
        </row>
        <row r="1435">
          <cell r="A1435" t="str">
            <v>PSS0096</v>
          </cell>
          <cell r="AB1435" t="str">
            <v>Factory-Annaram</v>
          </cell>
        </row>
        <row r="1436">
          <cell r="A1436" t="str">
            <v>PEIPL0523</v>
          </cell>
          <cell r="AB1436" t="str">
            <v>Fabcity</v>
          </cell>
        </row>
        <row r="1437">
          <cell r="A1437" t="str">
            <v>PEPPL0465</v>
          </cell>
          <cell r="AB1437" t="str">
            <v>Fabcity</v>
          </cell>
        </row>
        <row r="1438">
          <cell r="A1438" t="str">
            <v>P0286</v>
          </cell>
          <cell r="AB1438" t="str">
            <v>Vikas Nagar</v>
          </cell>
        </row>
        <row r="1439">
          <cell r="A1439" t="str">
            <v>PEIPL0195</v>
          </cell>
          <cell r="AB1439" t="str">
            <v>Fabcity</v>
          </cell>
        </row>
        <row r="1440">
          <cell r="A1440" t="str">
            <v>PEIPL0062</v>
          </cell>
          <cell r="AB1440" t="str">
            <v>Fabcity</v>
          </cell>
        </row>
        <row r="1441">
          <cell r="A1441" t="str">
            <v>PEIPL0243</v>
          </cell>
          <cell r="AB1441" t="str">
            <v>Fabcity</v>
          </cell>
        </row>
        <row r="1442">
          <cell r="A1442" t="str">
            <v>P0403</v>
          </cell>
          <cell r="AB1442" t="str">
            <v>Corporate Office</v>
          </cell>
        </row>
        <row r="1443">
          <cell r="A1443" t="str">
            <v>PSS0777</v>
          </cell>
          <cell r="AB1443" t="str">
            <v>Corporate Office</v>
          </cell>
        </row>
        <row r="1444">
          <cell r="A1444" t="str">
            <v>PSS0587</v>
          </cell>
          <cell r="AB1444" t="str">
            <v>Corporate Office</v>
          </cell>
        </row>
        <row r="1445">
          <cell r="A1445" t="str">
            <v>PEIPL0474</v>
          </cell>
          <cell r="AB1445" t="str">
            <v>Fabcity</v>
          </cell>
        </row>
        <row r="1446">
          <cell r="A1446" t="str">
            <v>PSS0867</v>
          </cell>
          <cell r="AB1446" t="str">
            <v>Factory-Annaram</v>
          </cell>
        </row>
        <row r="1447">
          <cell r="A1447" t="str">
            <v>PEIPL0628</v>
          </cell>
          <cell r="AB1447" t="str">
            <v>Fabcity</v>
          </cell>
        </row>
        <row r="1448">
          <cell r="A1448" t="str">
            <v>PEIPL0445</v>
          </cell>
          <cell r="AB1448" t="str">
            <v>Fabcity</v>
          </cell>
        </row>
        <row r="1449">
          <cell r="A1449" t="str">
            <v>PSS1304</v>
          </cell>
          <cell r="AB1449" t="str">
            <v>Corporate Office</v>
          </cell>
        </row>
        <row r="1450">
          <cell r="A1450" t="str">
            <v>PEIPL0181</v>
          </cell>
          <cell r="AB1450" t="str">
            <v>Fabcity</v>
          </cell>
        </row>
        <row r="1451">
          <cell r="A1451" t="str">
            <v>PSS1247</v>
          </cell>
          <cell r="AB1451" t="str">
            <v>Purnia</v>
          </cell>
        </row>
        <row r="1452">
          <cell r="A1452" t="str">
            <v>PSS0093</v>
          </cell>
          <cell r="AB1452" t="str">
            <v>Factory-Annaram</v>
          </cell>
        </row>
        <row r="1453">
          <cell r="A1453" t="str">
            <v>PEIPL0017</v>
          </cell>
          <cell r="AB1453" t="str">
            <v>Fabcity</v>
          </cell>
        </row>
        <row r="1454">
          <cell r="A1454" t="str">
            <v>PEPPL0147</v>
          </cell>
          <cell r="AB1454" t="str">
            <v>Corporate Office</v>
          </cell>
        </row>
        <row r="1455">
          <cell r="A1455" t="str">
            <v>PSS1222</v>
          </cell>
          <cell r="AB1455" t="str">
            <v>Corporate Office</v>
          </cell>
        </row>
        <row r="1456">
          <cell r="A1456" t="str">
            <v>PEGEPL0046</v>
          </cell>
          <cell r="AB1456" t="str">
            <v>Fabcity</v>
          </cell>
        </row>
        <row r="1457">
          <cell r="A1457" t="str">
            <v>PSS1373</v>
          </cell>
          <cell r="AB1457" t="str">
            <v>Corporate Office</v>
          </cell>
        </row>
        <row r="1458">
          <cell r="A1458" t="str">
            <v>PEIPL0511</v>
          </cell>
          <cell r="AB1458" t="str">
            <v>Fabcity</v>
          </cell>
        </row>
        <row r="1459">
          <cell r="A1459" t="str">
            <v>PSS1166</v>
          </cell>
          <cell r="AB1459" t="str">
            <v>Factory-Annaram</v>
          </cell>
        </row>
        <row r="1460">
          <cell r="A1460" t="str">
            <v>PSS1196</v>
          </cell>
          <cell r="AB1460" t="str">
            <v>Corporate Office</v>
          </cell>
        </row>
        <row r="1461">
          <cell r="A1461" t="str">
            <v>PSS1334</v>
          </cell>
          <cell r="AB1461" t="str">
            <v>Corporate Office</v>
          </cell>
        </row>
        <row r="1462">
          <cell r="A1462" t="str">
            <v>PSS1189</v>
          </cell>
          <cell r="AB1462" t="str">
            <v>Factory-Annaram</v>
          </cell>
        </row>
        <row r="1463">
          <cell r="A1463" t="str">
            <v>PEGEPL0092</v>
          </cell>
          <cell r="AB1463" t="str">
            <v>City Office</v>
          </cell>
        </row>
        <row r="1464">
          <cell r="A1464" t="str">
            <v>PSS1116</v>
          </cell>
          <cell r="AB1464" t="str">
            <v>Corporate Office</v>
          </cell>
        </row>
        <row r="1465">
          <cell r="A1465" t="str">
            <v>PEPPL0737</v>
          </cell>
          <cell r="AB1465" t="str">
            <v>Corporate Office</v>
          </cell>
        </row>
        <row r="1466">
          <cell r="A1466" t="str">
            <v>PSS0199</v>
          </cell>
          <cell r="AB1466" t="str">
            <v>Corporate Office</v>
          </cell>
        </row>
        <row r="1467">
          <cell r="A1467" t="str">
            <v>PEIPL0115</v>
          </cell>
          <cell r="AB1467" t="str">
            <v>Fabcity</v>
          </cell>
        </row>
        <row r="1468">
          <cell r="A1468" t="str">
            <v>PEIPL0426</v>
          </cell>
          <cell r="AB1468" t="str">
            <v>Fabcity</v>
          </cell>
        </row>
        <row r="1469">
          <cell r="A1469" t="str">
            <v>PEIPL0788</v>
          </cell>
          <cell r="AB1469" t="str">
            <v>Fabcity</v>
          </cell>
        </row>
        <row r="1470">
          <cell r="A1470" t="str">
            <v>PEGEPL0006</v>
          </cell>
          <cell r="AB1470" t="str">
            <v>Fabcity</v>
          </cell>
        </row>
        <row r="1471">
          <cell r="A1471" t="str">
            <v>PSS0039</v>
          </cell>
          <cell r="AB1471" t="str">
            <v>Factory-Annaram</v>
          </cell>
        </row>
        <row r="1472">
          <cell r="A1472" t="str">
            <v>PSS1049</v>
          </cell>
          <cell r="AB1472" t="str">
            <v>City Office</v>
          </cell>
        </row>
        <row r="1473">
          <cell r="A1473" t="str">
            <v>PEPPL0518</v>
          </cell>
          <cell r="AB1473" t="str">
            <v>Fabcity</v>
          </cell>
        </row>
        <row r="1474">
          <cell r="A1474" t="str">
            <v>PSS1358</v>
          </cell>
          <cell r="AB1474" t="str">
            <v>Corporate Office</v>
          </cell>
        </row>
        <row r="1475">
          <cell r="A1475" t="str">
            <v>P0239</v>
          </cell>
          <cell r="AB1475" t="str">
            <v>Kalinga</v>
          </cell>
        </row>
        <row r="1476">
          <cell r="A1476" t="str">
            <v>PEGEPL0100</v>
          </cell>
          <cell r="AB1476" t="str">
            <v>Corporate Office</v>
          </cell>
        </row>
        <row r="1477">
          <cell r="A1477" t="str">
            <v>P0242</v>
          </cell>
          <cell r="AB1477" t="str">
            <v>Corporate Office</v>
          </cell>
        </row>
        <row r="1478">
          <cell r="A1478" t="str">
            <v>PEPPL0252</v>
          </cell>
          <cell r="AB1478" t="str">
            <v>Fabcity</v>
          </cell>
        </row>
        <row r="1479">
          <cell r="A1479" t="str">
            <v>PEIPL0011</v>
          </cell>
          <cell r="AB1479" t="str">
            <v>Fabcity</v>
          </cell>
        </row>
        <row r="1480">
          <cell r="A1480" t="str">
            <v>P0170</v>
          </cell>
          <cell r="AB1480" t="str">
            <v>City Office</v>
          </cell>
        </row>
        <row r="1481">
          <cell r="A1481" t="str">
            <v>PSS1221</v>
          </cell>
          <cell r="AB1481" t="str">
            <v>Corporate Office</v>
          </cell>
        </row>
        <row r="1482">
          <cell r="A1482" t="str">
            <v>PSS1096</v>
          </cell>
          <cell r="AB1482" t="str">
            <v>Corporate Office</v>
          </cell>
        </row>
        <row r="1483">
          <cell r="A1483" t="str">
            <v>PEIPL0054</v>
          </cell>
          <cell r="AB1483" t="str">
            <v>Fabcity</v>
          </cell>
        </row>
        <row r="1484">
          <cell r="A1484" t="str">
            <v>P0465</v>
          </cell>
          <cell r="AB1484" t="str">
            <v>NLC</v>
          </cell>
        </row>
        <row r="1485">
          <cell r="A1485" t="str">
            <v>PSS1280</v>
          </cell>
          <cell r="AB1485" t="str">
            <v>Sonbhadra</v>
          </cell>
        </row>
        <row r="1486">
          <cell r="A1486" t="str">
            <v>PEGEPL0045</v>
          </cell>
          <cell r="AB1486" t="str">
            <v>Fabcity</v>
          </cell>
        </row>
        <row r="1487">
          <cell r="A1487" t="str">
            <v>PEPPL0781</v>
          </cell>
          <cell r="AB1487" t="str">
            <v>Fabcity</v>
          </cell>
        </row>
        <row r="1488">
          <cell r="A1488" t="str">
            <v>PEIPL0716</v>
          </cell>
          <cell r="AB1488" t="str">
            <v>Fabcity</v>
          </cell>
        </row>
        <row r="1489">
          <cell r="A1489" t="str">
            <v>PEPPL0291</v>
          </cell>
          <cell r="AB1489" t="str">
            <v>Fabcity</v>
          </cell>
        </row>
        <row r="1490">
          <cell r="A1490" t="str">
            <v>BDPL0025</v>
          </cell>
          <cell r="AB1490" t="str">
            <v>Shigli</v>
          </cell>
        </row>
        <row r="1491">
          <cell r="A1491" t="str">
            <v>P0425</v>
          </cell>
          <cell r="AB1491" t="str">
            <v>Karnataka</v>
          </cell>
        </row>
        <row r="1492">
          <cell r="A1492" t="str">
            <v>P0494</v>
          </cell>
          <cell r="AB1492" t="str">
            <v>Shigli</v>
          </cell>
        </row>
        <row r="1493">
          <cell r="A1493" t="str">
            <v>BDPL0006</v>
          </cell>
          <cell r="AB1493" t="str">
            <v>Shigli</v>
          </cell>
        </row>
        <row r="1494">
          <cell r="A1494" t="str">
            <v>P0346</v>
          </cell>
          <cell r="AB1494" t="str">
            <v>Shigli</v>
          </cell>
        </row>
        <row r="1495">
          <cell r="A1495" t="str">
            <v>P0477</v>
          </cell>
          <cell r="AB1495" t="str">
            <v>Shigli</v>
          </cell>
        </row>
        <row r="1496">
          <cell r="A1496" t="str">
            <v>PEPPL0861</v>
          </cell>
          <cell r="AB1496" t="str">
            <v>Fabcity</v>
          </cell>
        </row>
        <row r="1497">
          <cell r="A1497" t="str">
            <v>PEIPL0155</v>
          </cell>
          <cell r="AB1497" t="str">
            <v>Fabcity</v>
          </cell>
        </row>
        <row r="1498">
          <cell r="A1498" t="str">
            <v>PSS0068</v>
          </cell>
          <cell r="AB1498" t="str">
            <v>City Office</v>
          </cell>
        </row>
        <row r="1499">
          <cell r="A1499" t="str">
            <v>PEIPL0309</v>
          </cell>
          <cell r="AB1499" t="str">
            <v>Fabcity</v>
          </cell>
        </row>
        <row r="1500">
          <cell r="A1500" t="str">
            <v>PEIPL0288</v>
          </cell>
          <cell r="AB1500" t="str">
            <v>Fabcity</v>
          </cell>
        </row>
        <row r="1501">
          <cell r="A1501" t="str">
            <v>PEPPL0463</v>
          </cell>
          <cell r="AB1501" t="str">
            <v>Fabcity</v>
          </cell>
        </row>
        <row r="1502">
          <cell r="A1502" t="str">
            <v>PEPPL0269</v>
          </cell>
          <cell r="AB1502" t="str">
            <v>Fabcity</v>
          </cell>
        </row>
        <row r="1503">
          <cell r="A1503" t="str">
            <v>P0504</v>
          </cell>
          <cell r="AB1503" t="str">
            <v>Fabcity</v>
          </cell>
        </row>
        <row r="1504">
          <cell r="A1504" t="str">
            <v>PEGEPL0112</v>
          </cell>
          <cell r="AB1504" t="str">
            <v>Fabcity</v>
          </cell>
        </row>
        <row r="1505">
          <cell r="A1505" t="str">
            <v>PSS1294</v>
          </cell>
          <cell r="AB1505" t="str">
            <v>Corporate Office</v>
          </cell>
        </row>
        <row r="1506">
          <cell r="A1506" t="str">
            <v>PEIPL0201</v>
          </cell>
          <cell r="AB1506" t="str">
            <v>Fabcity</v>
          </cell>
        </row>
        <row r="1507">
          <cell r="A1507" t="str">
            <v>PSS0505</v>
          </cell>
          <cell r="AB1507" t="str">
            <v>Factory-Annaram</v>
          </cell>
        </row>
        <row r="1508">
          <cell r="A1508" t="str">
            <v>PEPPL0383</v>
          </cell>
          <cell r="AB1508" t="str">
            <v>Fabcity</v>
          </cell>
        </row>
        <row r="1509">
          <cell r="A1509" t="str">
            <v>PEIPL0100</v>
          </cell>
          <cell r="AB1509" t="str">
            <v>Fabcity</v>
          </cell>
        </row>
        <row r="1510">
          <cell r="A1510" t="str">
            <v>PSS1381</v>
          </cell>
          <cell r="AB1510" t="str">
            <v>Fabcity</v>
          </cell>
        </row>
        <row r="1511">
          <cell r="A1511" t="str">
            <v>PEIPL0311</v>
          </cell>
          <cell r="AB1511" t="str">
            <v>Fabcity</v>
          </cell>
        </row>
        <row r="1512">
          <cell r="A1512" t="str">
            <v>PEIPL0783</v>
          </cell>
          <cell r="AB1512" t="str">
            <v>Fabcity</v>
          </cell>
        </row>
        <row r="1513">
          <cell r="A1513" t="str">
            <v>PSS1390</v>
          </cell>
          <cell r="AB1513" t="str">
            <v>Corporate Office</v>
          </cell>
        </row>
        <row r="1514">
          <cell r="A1514" t="str">
            <v>PEPPL0709</v>
          </cell>
          <cell r="AB1514" t="str">
            <v>Fabcity</v>
          </cell>
        </row>
        <row r="1515">
          <cell r="A1515" t="str">
            <v>PSS0203</v>
          </cell>
          <cell r="AB1515" t="str">
            <v>Factory-Annaram</v>
          </cell>
        </row>
        <row r="1516">
          <cell r="A1516" t="str">
            <v>PSS1071</v>
          </cell>
          <cell r="AB1516" t="str">
            <v>City Office</v>
          </cell>
        </row>
        <row r="1517">
          <cell r="A1517" t="str">
            <v>PEPPL0204</v>
          </cell>
          <cell r="AB1517" t="str">
            <v>Fabcity</v>
          </cell>
        </row>
        <row r="1518">
          <cell r="A1518" t="str">
            <v>P0448</v>
          </cell>
          <cell r="AB1518" t="str">
            <v>CEMCOT</v>
          </cell>
        </row>
        <row r="1519">
          <cell r="A1519" t="str">
            <v>PEPPL0846</v>
          </cell>
          <cell r="AB1519" t="str">
            <v>Lucknow</v>
          </cell>
        </row>
        <row r="1520">
          <cell r="A1520" t="str">
            <v>PEIPL0215</v>
          </cell>
          <cell r="AB1520" t="str">
            <v>Fabcity</v>
          </cell>
        </row>
        <row r="1521">
          <cell r="A1521" t="str">
            <v>P0362</v>
          </cell>
          <cell r="AB1521" t="str">
            <v>Hubli</v>
          </cell>
        </row>
        <row r="1522">
          <cell r="A1522" t="str">
            <v>P0254</v>
          </cell>
          <cell r="AB1522" t="str">
            <v>Vikas Nagar</v>
          </cell>
        </row>
        <row r="1523">
          <cell r="A1523" t="str">
            <v>PSS1011</v>
          </cell>
          <cell r="AB1523" t="str">
            <v>Corporate Office</v>
          </cell>
        </row>
        <row r="1524">
          <cell r="A1524" t="str">
            <v>PSS0690</v>
          </cell>
          <cell r="AB1524" t="str">
            <v>Fabcity</v>
          </cell>
        </row>
        <row r="1525">
          <cell r="A1525" t="str">
            <v>PEPPL0653</v>
          </cell>
          <cell r="AB1525" t="str">
            <v>Corporate Office</v>
          </cell>
        </row>
        <row r="1526">
          <cell r="A1526" t="str">
            <v>PSS0932</v>
          </cell>
          <cell r="AB1526" t="str">
            <v>Corporate Office</v>
          </cell>
        </row>
        <row r="1527">
          <cell r="A1527" t="str">
            <v>PSS1249</v>
          </cell>
          <cell r="AB1527" t="str">
            <v>Corporate Office</v>
          </cell>
        </row>
        <row r="1528">
          <cell r="A1528" t="str">
            <v>PEPPL0238</v>
          </cell>
          <cell r="AB1528" t="str">
            <v>Fabcity</v>
          </cell>
        </row>
        <row r="1529">
          <cell r="A1529" t="str">
            <v>PSS1209</v>
          </cell>
          <cell r="AB1529" t="str">
            <v>Factory-Annaram</v>
          </cell>
        </row>
        <row r="1530">
          <cell r="A1530" t="str">
            <v>PEIPL0679</v>
          </cell>
          <cell r="AB1530" t="str">
            <v>City Office</v>
          </cell>
        </row>
        <row r="1531">
          <cell r="A1531" t="str">
            <v>P0167</v>
          </cell>
          <cell r="AB1531" t="str">
            <v>Kalinga</v>
          </cell>
        </row>
        <row r="1532">
          <cell r="A1532" t="str">
            <v>PEPPL0604</v>
          </cell>
          <cell r="AB1532" t="str">
            <v>Fabcity</v>
          </cell>
        </row>
        <row r="1533">
          <cell r="A1533" t="str">
            <v>PEIPL0786</v>
          </cell>
          <cell r="AB1533" t="str">
            <v>Fabcity</v>
          </cell>
        </row>
        <row r="1534">
          <cell r="A1534" t="str">
            <v>PEPPL0692</v>
          </cell>
          <cell r="AB1534" t="str">
            <v>Fabcity</v>
          </cell>
        </row>
        <row r="1535">
          <cell r="A1535" t="str">
            <v>PEIPL0441</v>
          </cell>
          <cell r="AB1535" t="str">
            <v>Fabcity</v>
          </cell>
        </row>
        <row r="1536">
          <cell r="A1536" t="str">
            <v>BDPL0003</v>
          </cell>
          <cell r="AB1536" t="str">
            <v>Bidar</v>
          </cell>
        </row>
        <row r="1537">
          <cell r="A1537" t="str">
            <v>P0380</v>
          </cell>
          <cell r="AB1537" t="str">
            <v>Bidar</v>
          </cell>
        </row>
        <row r="1538">
          <cell r="A1538" t="str">
            <v>P0484</v>
          </cell>
          <cell r="AB1538" t="str">
            <v>Bidar</v>
          </cell>
        </row>
        <row r="1539">
          <cell r="A1539" t="str">
            <v>PSS0818</v>
          </cell>
          <cell r="AB1539" t="str">
            <v>City Office</v>
          </cell>
        </row>
        <row r="1540">
          <cell r="A1540" t="str">
            <v>PEPPL0547</v>
          </cell>
          <cell r="AB1540" t="str">
            <v>Corporate Office</v>
          </cell>
        </row>
        <row r="1541">
          <cell r="A1541" t="str">
            <v>PSS1270</v>
          </cell>
          <cell r="AB1541" t="str">
            <v>Corporate Office</v>
          </cell>
        </row>
        <row r="1542">
          <cell r="A1542" t="str">
            <v>P0412</v>
          </cell>
          <cell r="AB1542" t="str">
            <v>Jamnagar</v>
          </cell>
        </row>
        <row r="1543">
          <cell r="A1543" t="str">
            <v>PEPPL0647</v>
          </cell>
          <cell r="AB1543" t="str">
            <v>Fabcity</v>
          </cell>
        </row>
        <row r="1544">
          <cell r="A1544" t="str">
            <v>PEIPL0082</v>
          </cell>
          <cell r="AB1544" t="str">
            <v>Fabcity</v>
          </cell>
        </row>
        <row r="1545">
          <cell r="A1545" t="str">
            <v>PSS1142</v>
          </cell>
          <cell r="AB1545" t="str">
            <v>Purnia</v>
          </cell>
        </row>
        <row r="1546">
          <cell r="A1546" t="str">
            <v>PEIPL0180</v>
          </cell>
          <cell r="AB1546" t="str">
            <v>Fabcity</v>
          </cell>
        </row>
        <row r="1547">
          <cell r="A1547" t="str">
            <v>PEIPL0305</v>
          </cell>
          <cell r="AB1547" t="str">
            <v>Fabcity</v>
          </cell>
        </row>
        <row r="1548">
          <cell r="A1548" t="str">
            <v>PEPPL0114</v>
          </cell>
          <cell r="AB1548" t="str">
            <v>Fabcity</v>
          </cell>
        </row>
        <row r="1549">
          <cell r="A1549" t="str">
            <v>P0505</v>
          </cell>
          <cell r="AB1549" t="str">
            <v>Vikas Nagar</v>
          </cell>
        </row>
        <row r="1550">
          <cell r="A1550" t="str">
            <v>PEPPL0681</v>
          </cell>
          <cell r="AB1550" t="str">
            <v>Fabcity</v>
          </cell>
        </row>
        <row r="1551">
          <cell r="A1551" t="str">
            <v>PEIPL0419</v>
          </cell>
          <cell r="AB1551" t="str">
            <v>Fabcity</v>
          </cell>
        </row>
        <row r="1552">
          <cell r="A1552" t="str">
            <v>PEPPL0442</v>
          </cell>
          <cell r="AB1552" t="str">
            <v>Fabcity</v>
          </cell>
        </row>
        <row r="1553">
          <cell r="A1553" t="str">
            <v>PEGEPL0001</v>
          </cell>
          <cell r="AB1553" t="str">
            <v>Fabcity</v>
          </cell>
        </row>
        <row r="1554">
          <cell r="A1554" t="str">
            <v>PEPPL0626</v>
          </cell>
          <cell r="AB1554" t="str">
            <v>Fabcity</v>
          </cell>
        </row>
        <row r="1555">
          <cell r="A1555" t="str">
            <v>PSS0947</v>
          </cell>
          <cell r="AB1555" t="str">
            <v>Goa</v>
          </cell>
        </row>
        <row r="1556">
          <cell r="A1556" t="str">
            <v>PEIPL0316</v>
          </cell>
          <cell r="AB1556" t="str">
            <v>Fabcity</v>
          </cell>
        </row>
        <row r="1557">
          <cell r="A1557" t="str">
            <v>PEIPL0589</v>
          </cell>
          <cell r="AB1557" t="str">
            <v>Fabcity</v>
          </cell>
        </row>
        <row r="1558">
          <cell r="A1558" t="str">
            <v>PEPPL0227</v>
          </cell>
          <cell r="AB1558" t="str">
            <v>Fabcity</v>
          </cell>
        </row>
        <row r="1559">
          <cell r="A1559" t="str">
            <v>PEIPL0772</v>
          </cell>
          <cell r="AB1559" t="str">
            <v>Fabcity</v>
          </cell>
        </row>
        <row r="1560">
          <cell r="A1560" t="str">
            <v>PEGEPL0110</v>
          </cell>
          <cell r="AB1560" t="str">
            <v>Fabcity</v>
          </cell>
        </row>
        <row r="1561">
          <cell r="A1561" t="str">
            <v>PSS1264</v>
          </cell>
          <cell r="AB1561" t="str">
            <v>City Office</v>
          </cell>
        </row>
        <row r="1562">
          <cell r="A1562" t="str">
            <v>PEGEPL0007</v>
          </cell>
          <cell r="AB1562" t="str">
            <v>Fabcity</v>
          </cell>
        </row>
        <row r="1563">
          <cell r="A1563" t="str">
            <v>PSS0052</v>
          </cell>
          <cell r="AB1563" t="str">
            <v>Factory-Annaram</v>
          </cell>
        </row>
        <row r="1564">
          <cell r="A1564" t="str">
            <v>PSS1181</v>
          </cell>
          <cell r="AB1564" t="str">
            <v>Factory-Annaram</v>
          </cell>
        </row>
        <row r="1565">
          <cell r="A1565" t="str">
            <v>P0211</v>
          </cell>
          <cell r="AB1565" t="str">
            <v>Corporate Office</v>
          </cell>
        </row>
        <row r="1566">
          <cell r="A1566" t="str">
            <v>P0458</v>
          </cell>
          <cell r="AB1566" t="str">
            <v>Fabcity</v>
          </cell>
        </row>
        <row r="1567">
          <cell r="A1567" t="str">
            <v>PEPPL0466</v>
          </cell>
          <cell r="AB1567" t="str">
            <v>Fabcity</v>
          </cell>
        </row>
        <row r="1568">
          <cell r="A1568" t="str">
            <v>PEPPL0094</v>
          </cell>
          <cell r="AB1568" t="str">
            <v>Fabcity</v>
          </cell>
        </row>
        <row r="1569">
          <cell r="A1569" t="str">
            <v>PEIPL0108</v>
          </cell>
          <cell r="AB1569" t="str">
            <v>Fabcity</v>
          </cell>
        </row>
        <row r="1570">
          <cell r="A1570" t="str">
            <v>PSS1380</v>
          </cell>
          <cell r="AB1570" t="str">
            <v>City Office</v>
          </cell>
        </row>
        <row r="1571">
          <cell r="A1571" t="str">
            <v>PSS1179</v>
          </cell>
          <cell r="AB1571" t="str">
            <v>Factory-Annaram</v>
          </cell>
        </row>
        <row r="1572">
          <cell r="A1572" t="str">
            <v>PEPPL0183</v>
          </cell>
          <cell r="AB1572" t="str">
            <v>Fabcity</v>
          </cell>
        </row>
        <row r="1573">
          <cell r="A1573" t="str">
            <v>PSS1359</v>
          </cell>
          <cell r="AB1573" t="str">
            <v>Factory-Annaram</v>
          </cell>
        </row>
        <row r="1574">
          <cell r="A1574" t="str">
            <v>PEPPL0462</v>
          </cell>
          <cell r="AB1574" t="str">
            <v>Fabcity</v>
          </cell>
        </row>
        <row r="1575">
          <cell r="A1575" t="str">
            <v>PEGEPL0114</v>
          </cell>
          <cell r="AB1575" t="str">
            <v>Fabcity</v>
          </cell>
        </row>
        <row r="1576">
          <cell r="A1576" t="str">
            <v>PSS1057</v>
          </cell>
          <cell r="AB1576" t="str">
            <v>Factory-Annaram</v>
          </cell>
        </row>
        <row r="1577">
          <cell r="A1577" t="str">
            <v>PSS1098</v>
          </cell>
          <cell r="AB1577" t="str">
            <v>Corporate Office</v>
          </cell>
        </row>
        <row r="1578">
          <cell r="A1578" t="str">
            <v>PEPPL0517</v>
          </cell>
          <cell r="AB1578" t="str">
            <v>Fabcity</v>
          </cell>
        </row>
        <row r="1579">
          <cell r="A1579" t="str">
            <v>PEPPL0649</v>
          </cell>
          <cell r="AB1579" t="str">
            <v>Fabcity</v>
          </cell>
        </row>
        <row r="1580">
          <cell r="A1580" t="str">
            <v>PEPPL0714</v>
          </cell>
          <cell r="AB1580" t="str">
            <v>Fabcity</v>
          </cell>
        </row>
        <row r="1581">
          <cell r="A1581" t="str">
            <v>PEIPL0048</v>
          </cell>
          <cell r="AB1581" t="str">
            <v>Fabcity</v>
          </cell>
        </row>
        <row r="1582">
          <cell r="A1582" t="str">
            <v>PEPPL0793</v>
          </cell>
          <cell r="AB1582" t="str">
            <v>Fabcity</v>
          </cell>
        </row>
        <row r="1583">
          <cell r="A1583" t="str">
            <v>PSS1106</v>
          </cell>
          <cell r="AB1583" t="str">
            <v>Lucknow</v>
          </cell>
        </row>
        <row r="1584">
          <cell r="A1584" t="str">
            <v>PSS1262</v>
          </cell>
          <cell r="AB1584" t="str">
            <v>Lucknow</v>
          </cell>
        </row>
        <row r="1585">
          <cell r="A1585" t="str">
            <v>PEIPL0127</v>
          </cell>
          <cell r="AB1585" t="str">
            <v>Fabcity</v>
          </cell>
        </row>
        <row r="1586">
          <cell r="A1586" t="str">
            <v>PEPPL0166</v>
          </cell>
          <cell r="AB1586" t="str">
            <v>Fabcity</v>
          </cell>
        </row>
        <row r="1587">
          <cell r="A1587" t="str">
            <v>PEIPL0642</v>
          </cell>
          <cell r="AB1587" t="str">
            <v>Fabcity</v>
          </cell>
        </row>
        <row r="1588">
          <cell r="A1588" t="str">
            <v>PSS1083</v>
          </cell>
          <cell r="AB1588" t="str">
            <v>Factory-Annaram</v>
          </cell>
        </row>
        <row r="1589">
          <cell r="A1589" t="str">
            <v>PEIPL0069</v>
          </cell>
          <cell r="AB1589" t="str">
            <v>Fabcity</v>
          </cell>
        </row>
        <row r="1590">
          <cell r="A1590" t="str">
            <v>PEIPL0124</v>
          </cell>
          <cell r="AB1590" t="str">
            <v>Fabcity</v>
          </cell>
        </row>
        <row r="1591">
          <cell r="A1591" t="str">
            <v>PEIPL0160</v>
          </cell>
          <cell r="AB1591" t="str">
            <v>Fabcity</v>
          </cell>
        </row>
        <row r="1592">
          <cell r="A1592" t="str">
            <v>PEIPL0111</v>
          </cell>
          <cell r="AB1592" t="str">
            <v>Fabcity</v>
          </cell>
        </row>
        <row r="1593">
          <cell r="A1593" t="str">
            <v>PEPPL0619</v>
          </cell>
          <cell r="AB1593" t="str">
            <v>Fabcity</v>
          </cell>
        </row>
        <row r="1594">
          <cell r="A1594" t="str">
            <v>PEIPL0027</v>
          </cell>
          <cell r="AB1594" t="str">
            <v>Fabcity</v>
          </cell>
        </row>
        <row r="1595">
          <cell r="A1595" t="str">
            <v>PEIPL0322</v>
          </cell>
          <cell r="AB1595" t="str">
            <v>Fabcity</v>
          </cell>
        </row>
        <row r="1596">
          <cell r="A1596" t="str">
            <v>PEGEPL0074</v>
          </cell>
          <cell r="AB1596" t="str">
            <v>Fabcity</v>
          </cell>
        </row>
        <row r="1597">
          <cell r="A1597" t="str">
            <v>PEIPL0141</v>
          </cell>
          <cell r="AB1597" t="str">
            <v>Fabcity</v>
          </cell>
        </row>
        <row r="1598">
          <cell r="A1598" t="str">
            <v>PEPPL0380</v>
          </cell>
          <cell r="AB1598" t="str">
            <v>Fabcity</v>
          </cell>
        </row>
        <row r="1599">
          <cell r="A1599" t="str">
            <v>PEIPL0042</v>
          </cell>
          <cell r="AB1599" t="str">
            <v>Fabcity</v>
          </cell>
        </row>
        <row r="1600">
          <cell r="A1600" t="str">
            <v>PSS1407</v>
          </cell>
          <cell r="AB1600" t="str">
            <v>Corporate Office</v>
          </cell>
        </row>
        <row r="1601">
          <cell r="A1601" t="str">
            <v>PEPPL0149</v>
          </cell>
          <cell r="AB1601" t="str">
            <v>Fabcity</v>
          </cell>
        </row>
        <row r="1602">
          <cell r="A1602" t="str">
            <v>PEPPL0740</v>
          </cell>
          <cell r="AB1602" t="str">
            <v>Fabcity</v>
          </cell>
        </row>
        <row r="1603">
          <cell r="A1603" t="str">
            <v>PEPPL0411</v>
          </cell>
          <cell r="AB1603" t="str">
            <v>Fabcity</v>
          </cell>
        </row>
        <row r="1604">
          <cell r="A1604" t="str">
            <v>PEPPL0613</v>
          </cell>
          <cell r="AB1604" t="str">
            <v>Fabcity</v>
          </cell>
        </row>
        <row r="1605">
          <cell r="A1605" t="str">
            <v>PSS0440</v>
          </cell>
          <cell r="AB1605" t="str">
            <v>Corporate Office</v>
          </cell>
        </row>
        <row r="1606">
          <cell r="A1606" t="str">
            <v>P0381</v>
          </cell>
          <cell r="AB1606" t="str">
            <v>Fabcity</v>
          </cell>
        </row>
        <row r="1607">
          <cell r="A1607" t="str">
            <v>P0139</v>
          </cell>
          <cell r="AB1607" t="str">
            <v>Fabcity</v>
          </cell>
        </row>
        <row r="1608">
          <cell r="A1608" t="str">
            <v>PEIPL0650</v>
          </cell>
          <cell r="AB1608" t="str">
            <v>Fabcity</v>
          </cell>
        </row>
        <row r="1609">
          <cell r="A1609" t="str">
            <v>PSS0648</v>
          </cell>
          <cell r="AB1609" t="str">
            <v>City Office</v>
          </cell>
        </row>
        <row r="1610">
          <cell r="A1610" t="str">
            <v>PSS0155</v>
          </cell>
          <cell r="AB1610" t="str">
            <v>Corporate Office</v>
          </cell>
        </row>
        <row r="1611">
          <cell r="A1611" t="str">
            <v>PEPPL0207</v>
          </cell>
          <cell r="AB1611" t="str">
            <v>Corporate Office</v>
          </cell>
        </row>
        <row r="1612">
          <cell r="A1612" t="str">
            <v>PEIPL0521</v>
          </cell>
          <cell r="AB1612" t="str">
            <v>Fabcity</v>
          </cell>
        </row>
        <row r="1613">
          <cell r="A1613" t="str">
            <v>PEIPL0778</v>
          </cell>
          <cell r="AB1613" t="str">
            <v>Corporate Office</v>
          </cell>
        </row>
        <row r="1614">
          <cell r="A1614" t="str">
            <v>PSS0222</v>
          </cell>
          <cell r="AB1614" t="str">
            <v>Factory-Annaram</v>
          </cell>
        </row>
        <row r="1615">
          <cell r="A1615" t="str">
            <v>PEIPL0503</v>
          </cell>
          <cell r="AB1615" t="str">
            <v>Fabcity</v>
          </cell>
        </row>
        <row r="1616">
          <cell r="A1616" t="str">
            <v>PSS0778</v>
          </cell>
          <cell r="AB1616" t="str">
            <v>City Office</v>
          </cell>
        </row>
        <row r="1617">
          <cell r="A1617" t="str">
            <v>PEPPL0312</v>
          </cell>
          <cell r="AB1617" t="str">
            <v>Fabcity</v>
          </cell>
        </row>
        <row r="1618">
          <cell r="A1618" t="str">
            <v>PSS0329</v>
          </cell>
          <cell r="AB1618" t="str">
            <v>Factory-Annaram</v>
          </cell>
        </row>
        <row r="1619">
          <cell r="A1619" t="str">
            <v>PEIPL0494</v>
          </cell>
          <cell r="AB1619" t="str">
            <v>Fabcity</v>
          </cell>
        </row>
        <row r="1620">
          <cell r="A1620" t="str">
            <v>PEPPL0460</v>
          </cell>
          <cell r="AB1620" t="str">
            <v>Fabcity</v>
          </cell>
        </row>
        <row r="1621">
          <cell r="A1621" t="str">
            <v>PEPPL0553</v>
          </cell>
          <cell r="AB1621" t="str">
            <v>Fabcity</v>
          </cell>
        </row>
        <row r="1622">
          <cell r="A1622" t="str">
            <v>PEPPL0333</v>
          </cell>
          <cell r="AB1622" t="str">
            <v>Fabcity</v>
          </cell>
        </row>
        <row r="1623">
          <cell r="A1623" t="str">
            <v>PSS0257</v>
          </cell>
          <cell r="AB1623" t="str">
            <v>Factory-Annaram</v>
          </cell>
        </row>
        <row r="1624">
          <cell r="A1624" t="str">
            <v>PSS1174</v>
          </cell>
          <cell r="AB1624" t="str">
            <v>Corporate Office</v>
          </cell>
        </row>
        <row r="1625">
          <cell r="A1625" t="str">
            <v>PSS1234</v>
          </cell>
          <cell r="AB1625" t="str">
            <v>Corporate Office</v>
          </cell>
        </row>
        <row r="1626">
          <cell r="A1626" t="str">
            <v>P0140</v>
          </cell>
          <cell r="AB1626" t="str">
            <v>Corporate Office</v>
          </cell>
        </row>
        <row r="1627">
          <cell r="A1627" t="str">
            <v>P0145</v>
          </cell>
          <cell r="AB1627" t="str">
            <v>Corporate Office</v>
          </cell>
        </row>
        <row r="1628">
          <cell r="A1628" t="str">
            <v>P0387</v>
          </cell>
          <cell r="AB1628" t="str">
            <v>Corporate Office</v>
          </cell>
        </row>
        <row r="1629">
          <cell r="A1629" t="str">
            <v>PSS1170</v>
          </cell>
          <cell r="AB1629" t="str">
            <v>Araria</v>
          </cell>
        </row>
        <row r="1630">
          <cell r="A1630" t="str">
            <v>PEIPL0044</v>
          </cell>
          <cell r="AB1630" t="str">
            <v>Fabcity</v>
          </cell>
        </row>
        <row r="1631">
          <cell r="A1631" t="str">
            <v>PEIPL0736</v>
          </cell>
          <cell r="AB1631" t="str">
            <v>Fabcity</v>
          </cell>
        </row>
        <row r="1632">
          <cell r="A1632" t="str">
            <v>PSS1261</v>
          </cell>
          <cell r="AB1632" t="str">
            <v>Bhopal</v>
          </cell>
        </row>
        <row r="1633">
          <cell r="A1633" t="str">
            <v>PEGEPL0099</v>
          </cell>
          <cell r="AB1633" t="str">
            <v>Fabcity</v>
          </cell>
        </row>
        <row r="1634">
          <cell r="A1634" t="str">
            <v>PEPPL0701</v>
          </cell>
          <cell r="AB1634" t="str">
            <v>Fabcity</v>
          </cell>
        </row>
        <row r="1635">
          <cell r="A1635" t="str">
            <v>PSS0436</v>
          </cell>
          <cell r="AB1635" t="str">
            <v>Factory-Annaram</v>
          </cell>
        </row>
        <row r="1636">
          <cell r="A1636" t="str">
            <v>PEIPL0197</v>
          </cell>
          <cell r="AB1636" t="str">
            <v>Fabcity</v>
          </cell>
        </row>
        <row r="1637">
          <cell r="A1637" t="str">
            <v>PEPPL0790</v>
          </cell>
          <cell r="AB1637" t="str">
            <v>Fabcity</v>
          </cell>
        </row>
        <row r="1638">
          <cell r="A1638" t="str">
            <v>P0106</v>
          </cell>
          <cell r="AB1638" t="str">
            <v>Deoghars</v>
          </cell>
        </row>
        <row r="1639">
          <cell r="A1639" t="str">
            <v>PEPPL0843</v>
          </cell>
          <cell r="AB1639" t="str">
            <v>Fabcity</v>
          </cell>
        </row>
        <row r="1640">
          <cell r="A1640" t="str">
            <v>P0439</v>
          </cell>
          <cell r="AB1640" t="str">
            <v>Deoghar</v>
          </cell>
        </row>
        <row r="1641">
          <cell r="A1641" t="str">
            <v>P0443</v>
          </cell>
          <cell r="AB1641" t="str">
            <v>Deoghar</v>
          </cell>
        </row>
        <row r="1642">
          <cell r="A1642" t="str">
            <v>PSS1228</v>
          </cell>
          <cell r="AB1642" t="str">
            <v>Araria</v>
          </cell>
        </row>
        <row r="1643">
          <cell r="A1643" t="str">
            <v>PEIPL0637</v>
          </cell>
          <cell r="AB1643" t="str">
            <v>Fabcity</v>
          </cell>
        </row>
        <row r="1644">
          <cell r="A1644" t="str">
            <v>PEIPL0351</v>
          </cell>
          <cell r="AB1644" t="str">
            <v>Fabcity</v>
          </cell>
        </row>
        <row r="1645">
          <cell r="A1645" t="str">
            <v>PEPPL0820</v>
          </cell>
          <cell r="AB1645" t="str">
            <v>Fabcity</v>
          </cell>
        </row>
        <row r="1646">
          <cell r="A1646" t="str">
            <v>PSS0252</v>
          </cell>
          <cell r="AB1646" t="str">
            <v>Factory-Annaram</v>
          </cell>
        </row>
        <row r="1647">
          <cell r="A1647" t="str">
            <v>PEPPL0300</v>
          </cell>
          <cell r="AB1647" t="str">
            <v>Fabcity</v>
          </cell>
        </row>
        <row r="1648">
          <cell r="A1648" t="str">
            <v>PSS1371</v>
          </cell>
          <cell r="AB1648" t="str">
            <v>Corporate Office</v>
          </cell>
        </row>
        <row r="1649">
          <cell r="A1649" t="str">
            <v>PEPPL0499</v>
          </cell>
          <cell r="AB1649" t="str">
            <v>Fabcity</v>
          </cell>
        </row>
        <row r="1650">
          <cell r="A1650" t="str">
            <v>PEPPL0311</v>
          </cell>
          <cell r="AB1650" t="str">
            <v>Fabcity</v>
          </cell>
        </row>
        <row r="1651">
          <cell r="A1651" t="str">
            <v>PEPPL0202</v>
          </cell>
          <cell r="AB1651" t="str">
            <v>Fabcity</v>
          </cell>
        </row>
        <row r="1652">
          <cell r="A1652" t="str">
            <v>PEPPL0731</v>
          </cell>
          <cell r="AB1652" t="str">
            <v>Fabcity</v>
          </cell>
        </row>
        <row r="1653">
          <cell r="A1653" t="str">
            <v>PEPPL0277</v>
          </cell>
          <cell r="AB1653" t="str">
            <v>Fabcity</v>
          </cell>
        </row>
        <row r="1654">
          <cell r="A1654" t="str">
            <v>PEPPL0771</v>
          </cell>
          <cell r="AB1654" t="str">
            <v>Fabcity</v>
          </cell>
        </row>
        <row r="1655">
          <cell r="A1655" t="str">
            <v>PEIPL0096</v>
          </cell>
          <cell r="AB1655" t="str">
            <v>Fabcity</v>
          </cell>
        </row>
        <row r="1656">
          <cell r="A1656" t="str">
            <v>PEPPL0156</v>
          </cell>
          <cell r="AB1656" t="str">
            <v>Fabcity</v>
          </cell>
        </row>
        <row r="1657">
          <cell r="A1657" t="str">
            <v>PSS1171</v>
          </cell>
          <cell r="AB1657" t="str">
            <v>Bainsa</v>
          </cell>
        </row>
        <row r="1658">
          <cell r="A1658" t="str">
            <v>PEIPL0797</v>
          </cell>
          <cell r="AB1658" t="str">
            <v>Corporate Office</v>
          </cell>
        </row>
        <row r="1659">
          <cell r="A1659" t="str">
            <v>PEPPL0576</v>
          </cell>
          <cell r="AB1659" t="str">
            <v>Fabcity</v>
          </cell>
        </row>
        <row r="1660">
          <cell r="A1660" t="str">
            <v>PEPPL0867</v>
          </cell>
          <cell r="AB1660" t="str">
            <v>Fabcity</v>
          </cell>
        </row>
        <row r="1661">
          <cell r="A1661" t="str">
            <v>PSS0362</v>
          </cell>
          <cell r="AB1661" t="str">
            <v>Factory-Annaram</v>
          </cell>
        </row>
        <row r="1662">
          <cell r="A1662" t="str">
            <v>PEPPL0318</v>
          </cell>
          <cell r="AB1662" t="str">
            <v>Fabcity</v>
          </cell>
        </row>
        <row r="1663">
          <cell r="A1663" t="str">
            <v>PEPPL0195</v>
          </cell>
          <cell r="AB1663" t="str">
            <v>Fabcity</v>
          </cell>
        </row>
        <row r="1664">
          <cell r="A1664" t="str">
            <v>PEPPL0344</v>
          </cell>
          <cell r="AB1664" t="str">
            <v>Fabcity</v>
          </cell>
        </row>
        <row r="1665">
          <cell r="A1665" t="str">
            <v>PEIPL0658</v>
          </cell>
          <cell r="AB1665" t="str">
            <v>Fabcity</v>
          </cell>
        </row>
        <row r="1666">
          <cell r="A1666" t="str">
            <v>PEPPL0475</v>
          </cell>
          <cell r="AB1666" t="str">
            <v>Fabcity</v>
          </cell>
        </row>
        <row r="1667">
          <cell r="A1667" t="str">
            <v>PEPPL0497</v>
          </cell>
          <cell r="AB1667" t="str">
            <v>Fabcity</v>
          </cell>
        </row>
        <row r="1668">
          <cell r="A1668" t="str">
            <v>PSS1265</v>
          </cell>
          <cell r="AB1668" t="str">
            <v>Corporate Office</v>
          </cell>
        </row>
        <row r="1669">
          <cell r="A1669" t="str">
            <v>PEPPL0266</v>
          </cell>
          <cell r="AB1669" t="str">
            <v>Fabcity</v>
          </cell>
        </row>
        <row r="1670">
          <cell r="A1670" t="str">
            <v>PSS0824</v>
          </cell>
          <cell r="AB1670" t="str">
            <v>Factory-Annaram</v>
          </cell>
        </row>
        <row r="1671">
          <cell r="A1671" t="str">
            <v>PSS1317</v>
          </cell>
          <cell r="AB1671" t="str">
            <v>Factory-Annaram</v>
          </cell>
        </row>
        <row r="1672">
          <cell r="A1672" t="str">
            <v>PEIPL0484</v>
          </cell>
          <cell r="AB1672" t="str">
            <v>Fabcity</v>
          </cell>
        </row>
        <row r="1673">
          <cell r="A1673" t="str">
            <v>PEIPL0469</v>
          </cell>
          <cell r="AB1673" t="str">
            <v>Fabcity</v>
          </cell>
        </row>
        <row r="1674">
          <cell r="A1674" t="str">
            <v>PEIPL0152</v>
          </cell>
          <cell r="AB1674" t="str">
            <v>Fabcity</v>
          </cell>
        </row>
        <row r="1675">
          <cell r="A1675" t="str">
            <v>PEPPL0285</v>
          </cell>
          <cell r="AB1675" t="str">
            <v>Fabcity</v>
          </cell>
        </row>
        <row r="1676">
          <cell r="A1676" t="str">
            <v>PEPPL0416</v>
          </cell>
          <cell r="AB1676" t="str">
            <v>Fabcity</v>
          </cell>
        </row>
        <row r="1677">
          <cell r="A1677" t="str">
            <v>PEIPL0358</v>
          </cell>
          <cell r="AB1677" t="str">
            <v>Fabcity</v>
          </cell>
        </row>
        <row r="1678">
          <cell r="A1678" t="str">
            <v>PEPPL0350</v>
          </cell>
          <cell r="AB1678" t="str">
            <v>Fabcity</v>
          </cell>
        </row>
        <row r="1679">
          <cell r="A1679" t="str">
            <v>P0401</v>
          </cell>
          <cell r="AB1679" t="str">
            <v>City Office</v>
          </cell>
        </row>
        <row r="1680">
          <cell r="A1680" t="str">
            <v>PSS1097</v>
          </cell>
          <cell r="AB1680" t="str">
            <v>Corporate Office</v>
          </cell>
        </row>
        <row r="1681">
          <cell r="A1681" t="str">
            <v>PSS1335</v>
          </cell>
          <cell r="AB1681" t="str">
            <v>Corporate Office</v>
          </cell>
        </row>
        <row r="1682">
          <cell r="A1682" t="str">
            <v>PSS0200</v>
          </cell>
          <cell r="AB1682" t="str">
            <v>Corporate Office</v>
          </cell>
        </row>
        <row r="1683">
          <cell r="A1683" t="str">
            <v>PSS1199</v>
          </cell>
          <cell r="AB1683" t="str">
            <v>Factory-Annaram</v>
          </cell>
        </row>
        <row r="1684">
          <cell r="A1684" t="str">
            <v>PEPPL0456</v>
          </cell>
          <cell r="AB1684" t="str">
            <v>Fabcity</v>
          </cell>
        </row>
        <row r="1685">
          <cell r="A1685" t="str">
            <v>PEPPL0176</v>
          </cell>
          <cell r="AB1685" t="str">
            <v>Fabcity</v>
          </cell>
        </row>
        <row r="1686">
          <cell r="A1686" t="str">
            <v>PSS0198</v>
          </cell>
          <cell r="AB1686" t="str">
            <v>Corporate Office</v>
          </cell>
        </row>
        <row r="1687">
          <cell r="A1687" t="str">
            <v>PSS1266</v>
          </cell>
          <cell r="AB1687" t="str">
            <v>City Office</v>
          </cell>
        </row>
        <row r="1688">
          <cell r="A1688" t="str">
            <v>PEIPL0702</v>
          </cell>
          <cell r="AB1688" t="str">
            <v>Fabcity</v>
          </cell>
        </row>
        <row r="1689">
          <cell r="A1689" t="str">
            <v>PSS0822</v>
          </cell>
          <cell r="AB1689" t="str">
            <v>Factory-Annaram</v>
          </cell>
        </row>
        <row r="1690">
          <cell r="A1690" t="str">
            <v>PSS0927</v>
          </cell>
          <cell r="AB1690" t="str">
            <v>Factory-Annaram</v>
          </cell>
        </row>
        <row r="1691">
          <cell r="A1691" t="str">
            <v>PSS1419</v>
          </cell>
          <cell r="AB1691" t="str">
            <v>Corporate Office</v>
          </cell>
        </row>
        <row r="1692">
          <cell r="A1692" t="str">
            <v>PEGEPL0103</v>
          </cell>
          <cell r="AB1692" t="str">
            <v>Fabcity</v>
          </cell>
        </row>
        <row r="1693">
          <cell r="A1693" t="str">
            <v>PEIPL0541</v>
          </cell>
          <cell r="AB1693" t="str">
            <v>Fabcity</v>
          </cell>
        </row>
        <row r="1694">
          <cell r="A1694" t="str">
            <v>P0420</v>
          </cell>
          <cell r="AB1694" t="str">
            <v>Fabcity</v>
          </cell>
        </row>
        <row r="1695">
          <cell r="A1695" t="str">
            <v>PEIPL0635</v>
          </cell>
          <cell r="AB1695" t="str">
            <v>Fabcity</v>
          </cell>
        </row>
        <row r="1696">
          <cell r="A1696" t="str">
            <v>PEIPL0671</v>
          </cell>
          <cell r="AB1696" t="str">
            <v>Fabcity</v>
          </cell>
        </row>
        <row r="1697">
          <cell r="A1697" t="str">
            <v>PEIPL0267</v>
          </cell>
          <cell r="AB1697" t="str">
            <v>Fabcity</v>
          </cell>
        </row>
        <row r="1698">
          <cell r="A1698" t="str">
            <v>PEPPL0324</v>
          </cell>
          <cell r="AB1698" t="str">
            <v>Fabcity</v>
          </cell>
        </row>
        <row r="1699">
          <cell r="A1699" t="str">
            <v>PEPPL0129</v>
          </cell>
          <cell r="AB1699" t="str">
            <v>Fabcity</v>
          </cell>
        </row>
        <row r="1700">
          <cell r="A1700" t="str">
            <v>PEIPL0220</v>
          </cell>
          <cell r="AB1700" t="str">
            <v>Fabcity</v>
          </cell>
        </row>
        <row r="1701">
          <cell r="A1701" t="str">
            <v>PSS0805</v>
          </cell>
          <cell r="AB1701" t="str">
            <v>Corporate Office</v>
          </cell>
        </row>
        <row r="1702">
          <cell r="A1702" t="str">
            <v>P0400</v>
          </cell>
          <cell r="AB1702" t="str">
            <v>Corporate Office</v>
          </cell>
        </row>
        <row r="1703">
          <cell r="A1703" t="str">
            <v>PEPPL0248</v>
          </cell>
          <cell r="AB1703" t="str">
            <v>Fabcity</v>
          </cell>
        </row>
        <row r="1704">
          <cell r="A1704" t="str">
            <v>P0447</v>
          </cell>
          <cell r="AB1704" t="str">
            <v>Fabcity</v>
          </cell>
        </row>
        <row r="1705">
          <cell r="A1705" t="str">
            <v>PSS1173</v>
          </cell>
          <cell r="AB1705" t="str">
            <v>Factory-Annaram</v>
          </cell>
        </row>
        <row r="1706">
          <cell r="A1706" t="str">
            <v>PEGEPL0054</v>
          </cell>
          <cell r="AB1706" t="str">
            <v>Fabcity</v>
          </cell>
        </row>
        <row r="1707">
          <cell r="A1707" t="str">
            <v>PEIPL0689</v>
          </cell>
          <cell r="AB1707" t="str">
            <v>Fabcity</v>
          </cell>
        </row>
        <row r="1708">
          <cell r="A1708" t="str">
            <v>PSS0896</v>
          </cell>
          <cell r="AB1708" t="str">
            <v>Factory-Annaram</v>
          </cell>
        </row>
        <row r="1709">
          <cell r="A1709" t="str">
            <v>PEIPL0649</v>
          </cell>
          <cell r="AB1709" t="str">
            <v>Fabcity</v>
          </cell>
        </row>
        <row r="1710">
          <cell r="A1710" t="str">
            <v>PSS0925</v>
          </cell>
          <cell r="AB1710" t="str">
            <v>Factory-Annaram</v>
          </cell>
        </row>
        <row r="1711">
          <cell r="A1711" t="str">
            <v>PSS0072</v>
          </cell>
          <cell r="AB1711" t="str">
            <v>Factory-Annaram</v>
          </cell>
        </row>
        <row r="1712">
          <cell r="A1712" t="str">
            <v>PSS1165</v>
          </cell>
          <cell r="AB1712" t="str">
            <v>Corporate Office</v>
          </cell>
        </row>
        <row r="1713">
          <cell r="A1713" t="str">
            <v>PSS0989</v>
          </cell>
          <cell r="AB1713" t="str">
            <v>Corporate Office</v>
          </cell>
        </row>
        <row r="1714">
          <cell r="A1714" t="str">
            <v>PSS1027</v>
          </cell>
          <cell r="AB1714" t="str">
            <v>Factory-Annaram</v>
          </cell>
        </row>
        <row r="1715">
          <cell r="A1715" t="str">
            <v>PEPPL0404</v>
          </cell>
          <cell r="AB1715" t="str">
            <v>Fabcity</v>
          </cell>
        </row>
        <row r="1716">
          <cell r="A1716" t="str">
            <v>PSS0708</v>
          </cell>
          <cell r="AB1716" t="str">
            <v>Factory-Annaram</v>
          </cell>
        </row>
        <row r="1717">
          <cell r="A1717" t="str">
            <v>PEIPL0366</v>
          </cell>
          <cell r="AB1717" t="str">
            <v>Fabcity</v>
          </cell>
        </row>
        <row r="1718">
          <cell r="A1718" t="str">
            <v>PEIPL0430</v>
          </cell>
          <cell r="AB1718" t="str">
            <v>Fabcity</v>
          </cell>
        </row>
        <row r="1719">
          <cell r="A1719" t="str">
            <v>PSS0978</v>
          </cell>
          <cell r="AB1719" t="str">
            <v>Corporate Office</v>
          </cell>
        </row>
        <row r="1720">
          <cell r="A1720" t="str">
            <v>PEIPL0299</v>
          </cell>
          <cell r="AB1720" t="str">
            <v>Fabcity</v>
          </cell>
        </row>
        <row r="1721">
          <cell r="A1721" t="str">
            <v>PEIPL0455</v>
          </cell>
          <cell r="AB1721" t="str">
            <v>Fabcity</v>
          </cell>
        </row>
        <row r="1722">
          <cell r="A1722" t="str">
            <v>PSS0156</v>
          </cell>
          <cell r="AB1722" t="str">
            <v>Corporate Office</v>
          </cell>
        </row>
        <row r="1723">
          <cell r="A1723" t="str">
            <v>PEIPL0182</v>
          </cell>
          <cell r="AB1723" t="str">
            <v>Fabcity</v>
          </cell>
        </row>
        <row r="1724">
          <cell r="A1724" t="str">
            <v>PEIPL0012</v>
          </cell>
          <cell r="AB1724" t="str">
            <v>Fabcity</v>
          </cell>
        </row>
        <row r="1725">
          <cell r="A1725" t="str">
            <v>PSS1421</v>
          </cell>
          <cell r="AB1725" t="str">
            <v>City Office</v>
          </cell>
        </row>
        <row r="1726">
          <cell r="A1726" t="str">
            <v>PSS1104</v>
          </cell>
          <cell r="AB1726" t="str">
            <v>Corporate Office</v>
          </cell>
        </row>
        <row r="1727">
          <cell r="A1727" t="str">
            <v>PEGEPL0003</v>
          </cell>
          <cell r="AB1727" t="str">
            <v>Fabcity</v>
          </cell>
        </row>
        <row r="1728">
          <cell r="A1728" t="str">
            <v>PEIPL0677</v>
          </cell>
          <cell r="AB1728" t="str">
            <v>Fabcity</v>
          </cell>
        </row>
        <row r="1729">
          <cell r="A1729" t="str">
            <v>PEIPL0383</v>
          </cell>
          <cell r="AB1729" t="str">
            <v>Fabcity</v>
          </cell>
        </row>
        <row r="1730">
          <cell r="A1730" t="str">
            <v>PEIPL0374</v>
          </cell>
          <cell r="AB1730" t="str">
            <v>Fabcity</v>
          </cell>
        </row>
        <row r="1731">
          <cell r="A1731" t="str">
            <v>PSS0556</v>
          </cell>
          <cell r="AB1731" t="str">
            <v>Factory-Annaram</v>
          </cell>
        </row>
        <row r="1732">
          <cell r="A1732" t="str">
            <v>PSS1403</v>
          </cell>
          <cell r="AB1732" t="str">
            <v>City Office</v>
          </cell>
        </row>
        <row r="1733">
          <cell r="A1733" t="str">
            <v>PEIPL0625</v>
          </cell>
          <cell r="AB1733" t="str">
            <v>Fabcity</v>
          </cell>
        </row>
        <row r="1734">
          <cell r="A1734" t="str">
            <v>PEPPL0643</v>
          </cell>
          <cell r="AB1734" t="str">
            <v>Fabcity</v>
          </cell>
        </row>
        <row r="1735">
          <cell r="A1735" t="str">
            <v>PSS1176</v>
          </cell>
          <cell r="AB1735" t="str">
            <v>Corporate Office</v>
          </cell>
        </row>
        <row r="1736">
          <cell r="A1736" t="str">
            <v>P0461</v>
          </cell>
          <cell r="AB1736" t="str">
            <v>Fabcity</v>
          </cell>
        </row>
        <row r="1737">
          <cell r="A1737" t="str">
            <v>PEIPL0313</v>
          </cell>
          <cell r="AB1737" t="str">
            <v>Fabcity</v>
          </cell>
        </row>
        <row r="1738">
          <cell r="A1738" t="str">
            <v>PEIPL0529</v>
          </cell>
          <cell r="AB1738" t="str">
            <v>Fabcity</v>
          </cell>
        </row>
        <row r="1739">
          <cell r="A1739" t="str">
            <v>P0445</v>
          </cell>
          <cell r="AB1739" t="str">
            <v>Deoghar</v>
          </cell>
        </row>
        <row r="1740">
          <cell r="A1740" t="str">
            <v>PEPPL0032</v>
          </cell>
          <cell r="AB1740" t="str">
            <v>Fabcity</v>
          </cell>
        </row>
        <row r="1741">
          <cell r="A1741" t="str">
            <v>PEPPL0801</v>
          </cell>
          <cell r="AB1741" t="str">
            <v>Fabcity</v>
          </cell>
        </row>
        <row r="1742">
          <cell r="A1742" t="str">
            <v>BDPL0032</v>
          </cell>
          <cell r="AB1742" t="str">
            <v>City Office</v>
          </cell>
        </row>
        <row r="1743">
          <cell r="A1743" t="str">
            <v>P0410</v>
          </cell>
          <cell r="AB1743" t="str">
            <v>Corporate Office</v>
          </cell>
        </row>
        <row r="1744">
          <cell r="A1744" t="str">
            <v>PSS1187</v>
          </cell>
          <cell r="AB1744" t="str">
            <v>City Office</v>
          </cell>
        </row>
        <row r="1745">
          <cell r="A1745" t="str">
            <v>PEIPL0235</v>
          </cell>
          <cell r="AB1745" t="str">
            <v>Fabcity</v>
          </cell>
        </row>
        <row r="1746">
          <cell r="A1746" t="str">
            <v>PEPPL0020</v>
          </cell>
          <cell r="AB1746" t="str">
            <v>Fabcity</v>
          </cell>
        </row>
        <row r="1747">
          <cell r="A1747" t="str">
            <v>PSS1161</v>
          </cell>
          <cell r="AB1747" t="str">
            <v>Corporate Office</v>
          </cell>
        </row>
        <row r="1748">
          <cell r="A1748" t="str">
            <v>PEIPL0753</v>
          </cell>
          <cell r="AB1748" t="str">
            <v>Fabcity</v>
          </cell>
        </row>
        <row r="1749">
          <cell r="A1749" t="str">
            <v>PEPPL0076</v>
          </cell>
          <cell r="AB1749" t="str">
            <v>Fabcity</v>
          </cell>
        </row>
        <row r="1750">
          <cell r="A1750" t="str">
            <v>PSS1308</v>
          </cell>
          <cell r="AB1750" t="str">
            <v>Yavatmal</v>
          </cell>
        </row>
        <row r="1751">
          <cell r="A1751" t="str">
            <v>PSS1353</v>
          </cell>
          <cell r="AB1751" t="str">
            <v>Yavatmal</v>
          </cell>
        </row>
        <row r="1752">
          <cell r="A1752" t="str">
            <v>PEPPL0850</v>
          </cell>
          <cell r="AB1752" t="str">
            <v>Fabcity</v>
          </cell>
        </row>
        <row r="1753">
          <cell r="A1753" t="str">
            <v>PEIPL0670</v>
          </cell>
          <cell r="AB1753" t="str">
            <v>Corporate Office</v>
          </cell>
        </row>
        <row r="1754">
          <cell r="A1754" t="str">
            <v>PEPPL0707</v>
          </cell>
          <cell r="AB1754" t="str">
            <v>Fabcity</v>
          </cell>
        </row>
        <row r="1755">
          <cell r="A1755" t="str">
            <v>PEIPL0102</v>
          </cell>
          <cell r="AB1755" t="str">
            <v>Fabcity</v>
          </cell>
        </row>
        <row r="1756">
          <cell r="A1756" t="str">
            <v>P0111</v>
          </cell>
          <cell r="AB1756" t="str">
            <v>Deoghars</v>
          </cell>
        </row>
        <row r="1757">
          <cell r="A1757" t="str">
            <v>PEIPL0668</v>
          </cell>
          <cell r="AB1757" t="str">
            <v>Fabcity</v>
          </cell>
        </row>
        <row r="1758">
          <cell r="A1758" t="str">
            <v>PSS0592</v>
          </cell>
          <cell r="AB1758" t="str">
            <v>Purnia</v>
          </cell>
        </row>
        <row r="1759">
          <cell r="A1759" t="str">
            <v>PEPPL0864</v>
          </cell>
          <cell r="AB1759" t="str">
            <v>Fabcity</v>
          </cell>
        </row>
        <row r="1760">
          <cell r="A1760" t="str">
            <v>PEPPL0169</v>
          </cell>
          <cell r="AB1760" t="str">
            <v>Fabcity</v>
          </cell>
        </row>
        <row r="1761">
          <cell r="A1761" t="str">
            <v>PEPPL0002</v>
          </cell>
          <cell r="AB1761" t="str">
            <v>Fabcity</v>
          </cell>
        </row>
        <row r="1762">
          <cell r="A1762" t="str">
            <v>PEIPL0339</v>
          </cell>
          <cell r="AB1762" t="str">
            <v>Fabcity</v>
          </cell>
        </row>
        <row r="1763">
          <cell r="A1763" t="str">
            <v>PEIPL0655</v>
          </cell>
          <cell r="AB1763" t="str">
            <v>Fabcity</v>
          </cell>
        </row>
        <row r="1764">
          <cell r="A1764" t="str">
            <v>PEPPL0521</v>
          </cell>
          <cell r="AB1764" t="str">
            <v>Fabcity</v>
          </cell>
        </row>
        <row r="1765">
          <cell r="A1765" t="str">
            <v>PEPPL0500</v>
          </cell>
          <cell r="AB1765" t="str">
            <v>Fabcity</v>
          </cell>
        </row>
        <row r="1766">
          <cell r="A1766" t="str">
            <v>PEIPL0436</v>
          </cell>
          <cell r="AB1766" t="str">
            <v>Fabcity</v>
          </cell>
        </row>
        <row r="1767">
          <cell r="A1767" t="str">
            <v>PEIPL0278</v>
          </cell>
          <cell r="AB1767" t="str">
            <v>Corporate Office</v>
          </cell>
        </row>
        <row r="1768">
          <cell r="A1768" t="str">
            <v>PEIPL0539</v>
          </cell>
          <cell r="AB1768" t="str">
            <v>Fabcity</v>
          </cell>
        </row>
        <row r="1769">
          <cell r="A1769" t="str">
            <v>PEPPL0379</v>
          </cell>
          <cell r="AB1769" t="str">
            <v>Fabcity</v>
          </cell>
        </row>
        <row r="1770">
          <cell r="A1770" t="str">
            <v>PEPPL0571</v>
          </cell>
          <cell r="AB1770" t="str">
            <v>Fabcity</v>
          </cell>
        </row>
        <row r="1771">
          <cell r="A1771" t="str">
            <v>PEIPL0145</v>
          </cell>
          <cell r="AB1771" t="str">
            <v>Fabcity</v>
          </cell>
        </row>
        <row r="1772">
          <cell r="A1772" t="str">
            <v>PEIPL0286</v>
          </cell>
          <cell r="AB1772" t="str">
            <v>Fabcity</v>
          </cell>
        </row>
        <row r="1773">
          <cell r="A1773" t="str">
            <v>PEIPL0107</v>
          </cell>
          <cell r="AB1773" t="str">
            <v>Fabcity</v>
          </cell>
        </row>
        <row r="1774">
          <cell r="A1774" t="str">
            <v>PEIPL0410</v>
          </cell>
          <cell r="AB1774" t="str">
            <v>Fabcity</v>
          </cell>
        </row>
        <row r="1775">
          <cell r="A1775" t="str">
            <v>PEIPL0314</v>
          </cell>
          <cell r="AB1775" t="str">
            <v>Fabcity</v>
          </cell>
        </row>
        <row r="1776">
          <cell r="A1776" t="str">
            <v>PEGEPL0124</v>
          </cell>
          <cell r="AB1776" t="str">
            <v>Fabcity</v>
          </cell>
        </row>
        <row r="1777">
          <cell r="A1777" t="str">
            <v>PEIPL0037</v>
          </cell>
          <cell r="AB1777" t="str">
            <v>Fabcity</v>
          </cell>
        </row>
        <row r="1778">
          <cell r="A1778" t="str">
            <v>PEPPL0889</v>
          </cell>
          <cell r="AB1778" t="str">
            <v>Fabcity</v>
          </cell>
        </row>
        <row r="1779">
          <cell r="A1779" t="str">
            <v>PEIPL0584</v>
          </cell>
          <cell r="AB1779" t="str">
            <v>Fabcity</v>
          </cell>
        </row>
        <row r="1780">
          <cell r="A1780" t="str">
            <v>PEIPL0367</v>
          </cell>
          <cell r="AB1780" t="str">
            <v>Fabcity</v>
          </cell>
        </row>
        <row r="1781">
          <cell r="A1781" t="str">
            <v>PEIPL0452</v>
          </cell>
          <cell r="AB1781" t="str">
            <v>Fabcity</v>
          </cell>
        </row>
        <row r="1782">
          <cell r="A1782" t="str">
            <v>PEGEPL0118</v>
          </cell>
          <cell r="AB1782" t="str">
            <v>Fabcity</v>
          </cell>
        </row>
        <row r="1783">
          <cell r="A1783" t="str">
            <v>PEPPL0676</v>
          </cell>
          <cell r="AB1783" t="str">
            <v>Fabcity</v>
          </cell>
        </row>
        <row r="1784">
          <cell r="A1784" t="str">
            <v>PSS1215</v>
          </cell>
          <cell r="AB1784" t="str">
            <v>Factory-Annaram</v>
          </cell>
        </row>
        <row r="1785">
          <cell r="A1785" t="str">
            <v>PEPPL0490</v>
          </cell>
          <cell r="AB1785" t="str">
            <v>Fabcity</v>
          </cell>
        </row>
        <row r="1786">
          <cell r="A1786" t="str">
            <v>PEPPL0556</v>
          </cell>
          <cell r="AB1786" t="str">
            <v>Fabcity</v>
          </cell>
        </row>
        <row r="1787">
          <cell r="A1787" t="str">
            <v>PEIPL0581</v>
          </cell>
          <cell r="AB1787" t="str">
            <v>Fabcity</v>
          </cell>
        </row>
        <row r="1788">
          <cell r="A1788" t="str">
            <v>PSS1349</v>
          </cell>
          <cell r="AB1788" t="str">
            <v>Corporate Office</v>
          </cell>
        </row>
        <row r="1789">
          <cell r="A1789" t="str">
            <v>PSS1357</v>
          </cell>
          <cell r="AB1789" t="str">
            <v>City Office</v>
          </cell>
        </row>
        <row r="1790">
          <cell r="A1790" t="str">
            <v>PSS1290</v>
          </cell>
          <cell r="AB1790" t="str">
            <v>Corporate Office</v>
          </cell>
        </row>
        <row r="1791">
          <cell r="A1791" t="str">
            <v>PEPPL0368</v>
          </cell>
          <cell r="AB1791" t="str">
            <v>Fabcity</v>
          </cell>
        </row>
        <row r="1792">
          <cell r="A1792" t="str">
            <v>PEPPL0302</v>
          </cell>
          <cell r="AB1792" t="str">
            <v>Fabcity</v>
          </cell>
        </row>
        <row r="1793">
          <cell r="A1793" t="str">
            <v>PEIPL0375</v>
          </cell>
          <cell r="AB1793" t="str">
            <v>Fabcity</v>
          </cell>
        </row>
        <row r="1794">
          <cell r="A1794" t="str">
            <v>PEPPL0361</v>
          </cell>
          <cell r="AB1794" t="str">
            <v>Fabcity</v>
          </cell>
        </row>
        <row r="1795">
          <cell r="A1795" t="str">
            <v>PEIPL0423</v>
          </cell>
          <cell r="AB1795" t="str">
            <v>Fabcity</v>
          </cell>
        </row>
        <row r="1796">
          <cell r="A1796" t="str">
            <v>PEIPL0550</v>
          </cell>
          <cell r="AB1796" t="str">
            <v>Fabcity</v>
          </cell>
        </row>
        <row r="1797">
          <cell r="A1797" t="str">
            <v>PEPPL0501</v>
          </cell>
          <cell r="AB1797" t="str">
            <v>Fabcity</v>
          </cell>
        </row>
        <row r="1798">
          <cell r="A1798" t="str">
            <v>PEPPL0863</v>
          </cell>
          <cell r="AB1798" t="str">
            <v>Fabcity</v>
          </cell>
        </row>
        <row r="1799">
          <cell r="A1799" t="str">
            <v>PEPPL0232</v>
          </cell>
          <cell r="AB1799" t="str">
            <v>Fabcity</v>
          </cell>
        </row>
        <row r="1800">
          <cell r="A1800" t="str">
            <v>PEPPL0708</v>
          </cell>
          <cell r="AB1800" t="str">
            <v>Fabcity</v>
          </cell>
        </row>
        <row r="1801">
          <cell r="A1801" t="str">
            <v>PSS1177</v>
          </cell>
          <cell r="AB1801" t="str">
            <v>Corporate Office</v>
          </cell>
        </row>
        <row r="1802">
          <cell r="A1802" t="str">
            <v>P0277</v>
          </cell>
          <cell r="AB1802" t="str">
            <v>Vikas Nagar</v>
          </cell>
        </row>
        <row r="1803">
          <cell r="A1803" t="str">
            <v>PEIPL0759</v>
          </cell>
          <cell r="AB1803" t="str">
            <v>Fabcity</v>
          </cell>
        </row>
        <row r="1804">
          <cell r="A1804" t="str">
            <v>PSS1279</v>
          </cell>
          <cell r="AB1804" t="str">
            <v>Sonbhadra</v>
          </cell>
        </row>
        <row r="1805">
          <cell r="A1805" t="str">
            <v>PEIPL0103</v>
          </cell>
          <cell r="AB1805" t="str">
            <v>Fabcity</v>
          </cell>
        </row>
        <row r="1806">
          <cell r="A1806" t="str">
            <v>BDPL0024</v>
          </cell>
          <cell r="AB1806" t="str">
            <v>Shigli</v>
          </cell>
        </row>
        <row r="1807">
          <cell r="A1807" t="str">
            <v>P0415</v>
          </cell>
          <cell r="AB1807" t="str">
            <v>Shigli</v>
          </cell>
        </row>
        <row r="1808">
          <cell r="A1808" t="str">
            <v>P0475</v>
          </cell>
          <cell r="AB1808" t="str">
            <v>Shigli</v>
          </cell>
        </row>
        <row r="1809">
          <cell r="A1809" t="str">
            <v>BDPL0019</v>
          </cell>
          <cell r="AB1809" t="str">
            <v>Hubli</v>
          </cell>
        </row>
        <row r="1810">
          <cell r="A1810" t="str">
            <v>P0360</v>
          </cell>
          <cell r="AB1810" t="str">
            <v>Hubli</v>
          </cell>
        </row>
        <row r="1811">
          <cell r="A1811" t="str">
            <v>PEIPL0219</v>
          </cell>
          <cell r="AB1811" t="str">
            <v>Fabcity</v>
          </cell>
        </row>
        <row r="1812">
          <cell r="A1812" t="str">
            <v>P0382</v>
          </cell>
          <cell r="AB1812" t="str">
            <v>City Office</v>
          </cell>
        </row>
        <row r="1813">
          <cell r="A1813" t="str">
            <v>PEPPL0683</v>
          </cell>
          <cell r="AB1813" t="str">
            <v>Fabcity</v>
          </cell>
        </row>
        <row r="1814">
          <cell r="A1814" t="str">
            <v>PEPPL0348</v>
          </cell>
          <cell r="AB1814" t="str">
            <v>Fabcity</v>
          </cell>
        </row>
        <row r="1815">
          <cell r="A1815" t="str">
            <v>PEIPL0769</v>
          </cell>
          <cell r="AB1815" t="str">
            <v>Fabcity</v>
          </cell>
        </row>
        <row r="1816">
          <cell r="A1816" t="str">
            <v>PEIPL0665</v>
          </cell>
          <cell r="AB1816" t="str">
            <v>Fabcity</v>
          </cell>
        </row>
        <row r="1817">
          <cell r="A1817" t="str">
            <v>PEPPL0587</v>
          </cell>
          <cell r="AB1817" t="str">
            <v>Fabcity</v>
          </cell>
        </row>
        <row r="1818">
          <cell r="A1818" t="str">
            <v>PEPPL0809</v>
          </cell>
          <cell r="AB1818" t="str">
            <v>Fabcity</v>
          </cell>
        </row>
        <row r="1819">
          <cell r="A1819" t="str">
            <v>PSS1042</v>
          </cell>
          <cell r="AB1819" t="str">
            <v>Corporate Office</v>
          </cell>
        </row>
        <row r="1820">
          <cell r="A1820" t="str">
            <v>PEPPL0729</v>
          </cell>
          <cell r="AB1820" t="str">
            <v>Fabcity</v>
          </cell>
        </row>
        <row r="1821">
          <cell r="A1821" t="str">
            <v>PSS0864</v>
          </cell>
          <cell r="AB1821" t="str">
            <v>Factory-Annaram</v>
          </cell>
        </row>
        <row r="1822">
          <cell r="A1822" t="str">
            <v>10001</v>
          </cell>
          <cell r="AB1822" t="str">
            <v>Corporate Office</v>
          </cell>
        </row>
        <row r="1823">
          <cell r="A1823" t="str">
            <v>PEGEPL0104</v>
          </cell>
          <cell r="AB1823" t="str">
            <v>Fabcity</v>
          </cell>
        </row>
        <row r="1824">
          <cell r="A1824" t="str">
            <v>PEIPL0412</v>
          </cell>
          <cell r="AB1824" t="str">
            <v>Fabcity</v>
          </cell>
        </row>
        <row r="1825">
          <cell r="A1825" t="str">
            <v>PEGEPL0005</v>
          </cell>
          <cell r="AB1825" t="str">
            <v>Fabcity</v>
          </cell>
        </row>
        <row r="1826">
          <cell r="A1826" t="str">
            <v>PSS0047</v>
          </cell>
          <cell r="AB1826" t="str">
            <v>Factory-Annaram</v>
          </cell>
        </row>
        <row r="1827">
          <cell r="A1827" t="str">
            <v>PEPPL0584</v>
          </cell>
          <cell r="AB1827" t="str">
            <v>Fabcity</v>
          </cell>
        </row>
        <row r="1828">
          <cell r="A1828" t="str">
            <v>PEGEPL0115</v>
          </cell>
          <cell r="AB1828" t="str">
            <v>Fabcity</v>
          </cell>
        </row>
        <row r="1829">
          <cell r="A1829" t="str">
            <v>PEIPL0394</v>
          </cell>
          <cell r="AB1829" t="str">
            <v>Fabcity</v>
          </cell>
        </row>
        <row r="1830">
          <cell r="A1830" t="str">
            <v>PEIPL0204</v>
          </cell>
          <cell r="AB1830" t="str">
            <v>Fabcity</v>
          </cell>
        </row>
        <row r="1831">
          <cell r="A1831" t="str">
            <v>PEPPL0439</v>
          </cell>
          <cell r="AB1831" t="str">
            <v>Fabcity</v>
          </cell>
        </row>
        <row r="1832">
          <cell r="A1832" t="str">
            <v>PEPPL0886</v>
          </cell>
          <cell r="AB1832" t="str">
            <v>Fabcity</v>
          </cell>
        </row>
        <row r="1833">
          <cell r="A1833" t="str">
            <v>PEPPL0244</v>
          </cell>
          <cell r="AB1833" t="str">
            <v>Fabcity</v>
          </cell>
        </row>
        <row r="1834">
          <cell r="A1834" t="str">
            <v>PSS0721</v>
          </cell>
          <cell r="AB1834" t="str">
            <v>Factory-Annaram</v>
          </cell>
        </row>
        <row r="1835">
          <cell r="A1835" t="str">
            <v>PEPPL0261</v>
          </cell>
          <cell r="AB1835" t="str">
            <v>Fabcity</v>
          </cell>
        </row>
        <row r="1836">
          <cell r="A1836" t="str">
            <v>PEPPL0251</v>
          </cell>
          <cell r="AB1836" t="str">
            <v>Fabcity</v>
          </cell>
        </row>
        <row r="1837">
          <cell r="A1837" t="str">
            <v>PEPPL0256</v>
          </cell>
          <cell r="AB1837" t="str">
            <v>Fabcity</v>
          </cell>
        </row>
        <row r="1838">
          <cell r="A1838" t="str">
            <v>PEPPL0877</v>
          </cell>
          <cell r="AB1838" t="str">
            <v>Fabcity</v>
          </cell>
        </row>
        <row r="1839">
          <cell r="A1839" t="str">
            <v>PEPPL0197</v>
          </cell>
          <cell r="AB1839" t="str">
            <v>Fabcity</v>
          </cell>
        </row>
        <row r="1840">
          <cell r="A1840" t="str">
            <v>PEGEPL0015</v>
          </cell>
          <cell r="AB1840" t="str">
            <v>Fabcity</v>
          </cell>
        </row>
        <row r="1841">
          <cell r="A1841" t="str">
            <v>PSS0530</v>
          </cell>
          <cell r="AB1841" t="str">
            <v>Factory-Annaram</v>
          </cell>
        </row>
        <row r="1842">
          <cell r="A1842" t="str">
            <v>PSS1186</v>
          </cell>
          <cell r="AB1842" t="str">
            <v>Corporate Office</v>
          </cell>
        </row>
        <row r="1843">
          <cell r="A1843" t="str">
            <v>PEIPL0656</v>
          </cell>
          <cell r="AB1843" t="str">
            <v>Fabcity</v>
          </cell>
        </row>
        <row r="1844">
          <cell r="A1844" t="str">
            <v>PEIPL0707</v>
          </cell>
          <cell r="AB1844" t="str">
            <v>Fabcity</v>
          </cell>
        </row>
        <row r="1845">
          <cell r="A1845" t="str">
            <v>PEPPL0672</v>
          </cell>
          <cell r="AB1845" t="str">
            <v>City Office</v>
          </cell>
        </row>
        <row r="1846">
          <cell r="A1846" t="str">
            <v>PEGEPL0065</v>
          </cell>
          <cell r="AB1846" t="str">
            <v>Fabcity</v>
          </cell>
        </row>
        <row r="1847">
          <cell r="A1847" t="str">
            <v>PEIPL0459</v>
          </cell>
          <cell r="AB1847" t="str">
            <v>Fabcity</v>
          </cell>
        </row>
        <row r="1848">
          <cell r="A1848" t="str">
            <v>PEPPL0092</v>
          </cell>
          <cell r="AB1848" t="str">
            <v>Fabcity</v>
          </cell>
        </row>
        <row r="1849">
          <cell r="A1849" t="str">
            <v>PSS1121</v>
          </cell>
          <cell r="AB1849" t="str">
            <v>Fabcity</v>
          </cell>
        </row>
        <row r="1850">
          <cell r="A1850" t="str">
            <v>PEPPL0077</v>
          </cell>
          <cell r="AB1850" t="str">
            <v>Fabcity</v>
          </cell>
        </row>
        <row r="1851">
          <cell r="A1851" t="str">
            <v>PEPPL0720</v>
          </cell>
          <cell r="AB1851" t="str">
            <v>Mumbai</v>
          </cell>
        </row>
        <row r="1852">
          <cell r="A1852" t="str">
            <v>PEPPL0680</v>
          </cell>
          <cell r="AB1852" t="str">
            <v>Fabcity</v>
          </cell>
        </row>
        <row r="1853">
          <cell r="A1853" t="str">
            <v>PEIPL0324</v>
          </cell>
          <cell r="AB1853" t="str">
            <v>Fabcity</v>
          </cell>
        </row>
        <row r="1854">
          <cell r="A1854" t="str">
            <v>PEPPL0384</v>
          </cell>
          <cell r="AB1854" t="str">
            <v>Fabcity</v>
          </cell>
        </row>
        <row r="1855">
          <cell r="A1855" t="str">
            <v>P0398</v>
          </cell>
          <cell r="AB1855" t="str">
            <v>Jamnagar</v>
          </cell>
        </row>
        <row r="1856">
          <cell r="A1856" t="str">
            <v>P0506</v>
          </cell>
          <cell r="AB1856" t="str">
            <v>Jamnagar</v>
          </cell>
        </row>
        <row r="1857">
          <cell r="A1857" t="str">
            <v>PEIPL0158</v>
          </cell>
          <cell r="AB1857" t="str">
            <v>Fabcity</v>
          </cell>
        </row>
        <row r="1858">
          <cell r="A1858" t="str">
            <v>PEPPL0079</v>
          </cell>
          <cell r="AB1858" t="str">
            <v>Fabcity</v>
          </cell>
        </row>
        <row r="1859">
          <cell r="A1859" t="str">
            <v>PEPPL0593</v>
          </cell>
          <cell r="AB1859" t="str">
            <v>Fabcity</v>
          </cell>
        </row>
        <row r="1860">
          <cell r="A1860" t="str">
            <v>PSS1287</v>
          </cell>
          <cell r="AB1860" t="str">
            <v>Factory-Annaram</v>
          </cell>
        </row>
        <row r="1861">
          <cell r="A1861" t="str">
            <v>PEPPL0243</v>
          </cell>
          <cell r="AB1861" t="str">
            <v>Fabcity</v>
          </cell>
        </row>
        <row r="1862">
          <cell r="A1862" t="str">
            <v>PSS0631</v>
          </cell>
          <cell r="AB1862" t="str">
            <v>Factory-Annaram</v>
          </cell>
        </row>
        <row r="1863">
          <cell r="A1863" t="str">
            <v>PEIPL0200</v>
          </cell>
          <cell r="AB1863" t="str">
            <v>Fabcity</v>
          </cell>
        </row>
        <row r="1864">
          <cell r="A1864" t="str">
            <v>PEIPL0133</v>
          </cell>
          <cell r="AB1864" t="str">
            <v>Fabcity</v>
          </cell>
        </row>
        <row r="1865">
          <cell r="A1865" t="str">
            <v>PSS0001</v>
          </cell>
          <cell r="AB1865" t="str">
            <v>Factory-Annaram</v>
          </cell>
        </row>
        <row r="1866">
          <cell r="A1866" t="str">
            <v>PEGEPL0023</v>
          </cell>
          <cell r="AB1866" t="str">
            <v>Fabcity</v>
          </cell>
        </row>
        <row r="1867">
          <cell r="A1867" t="str">
            <v>PEPPL0191</v>
          </cell>
          <cell r="AB1867" t="str">
            <v>Fabcity</v>
          </cell>
        </row>
        <row r="1868">
          <cell r="A1868" t="str">
            <v>PEIPL0609</v>
          </cell>
          <cell r="AB1868" t="str">
            <v>Fabcity</v>
          </cell>
        </row>
        <row r="1869">
          <cell r="A1869" t="str">
            <v>PSS1217</v>
          </cell>
          <cell r="AB1869" t="str">
            <v>Factory-Annaram</v>
          </cell>
        </row>
        <row r="1870">
          <cell r="A1870" t="str">
            <v>PEPPL0514</v>
          </cell>
          <cell r="AB1870" t="str">
            <v>Fabcity</v>
          </cell>
        </row>
        <row r="1871">
          <cell r="A1871" t="str">
            <v>PSS1214</v>
          </cell>
          <cell r="AB1871" t="str">
            <v>Corporate Office</v>
          </cell>
        </row>
        <row r="1872">
          <cell r="A1872" t="str">
            <v>PEGEPL0012</v>
          </cell>
          <cell r="AB1872" t="str">
            <v>Fabcity</v>
          </cell>
        </row>
        <row r="1873">
          <cell r="A1873" t="str">
            <v>PSS1316</v>
          </cell>
          <cell r="AB1873" t="str">
            <v>Factory-Annaram</v>
          </cell>
        </row>
        <row r="1874">
          <cell r="A1874" t="str">
            <v>PEPPL0126</v>
          </cell>
          <cell r="AB1874" t="str">
            <v>Fabcity</v>
          </cell>
        </row>
        <row r="1875">
          <cell r="A1875" t="str">
            <v>PEPPL0632</v>
          </cell>
          <cell r="AB1875" t="str">
            <v>Fabcity</v>
          </cell>
        </row>
        <row r="1876">
          <cell r="A1876" t="str">
            <v>P0374</v>
          </cell>
          <cell r="AB1876" t="str">
            <v>Vikas Nagar</v>
          </cell>
        </row>
        <row r="1877">
          <cell r="A1877" t="str">
            <v>PEPPL0272</v>
          </cell>
          <cell r="AB1877" t="str">
            <v>Fabcity</v>
          </cell>
        </row>
        <row r="1878">
          <cell r="A1878" t="str">
            <v>PEIPL0280</v>
          </cell>
          <cell r="AB1878" t="str">
            <v>Fabcity</v>
          </cell>
        </row>
        <row r="1879">
          <cell r="A1879" t="str">
            <v>PEPPL0537</v>
          </cell>
          <cell r="AB1879" t="str">
            <v>Fabcity</v>
          </cell>
        </row>
        <row r="1880">
          <cell r="A1880" t="str">
            <v>PEIPL0771</v>
          </cell>
          <cell r="AB1880" t="str">
            <v>Fabcity</v>
          </cell>
        </row>
        <row r="1881">
          <cell r="A1881" t="str">
            <v>P0418</v>
          </cell>
          <cell r="AB1881" t="str">
            <v>Deoghars</v>
          </cell>
        </row>
        <row r="1882">
          <cell r="A1882" t="str">
            <v>PEPPL0371</v>
          </cell>
          <cell r="AB1882" t="str">
            <v>Fabcity</v>
          </cell>
        </row>
        <row r="1883">
          <cell r="A1883" t="str">
            <v>PEIPL0672</v>
          </cell>
          <cell r="AB1883" t="str">
            <v>Fabcity</v>
          </cell>
        </row>
        <row r="1884">
          <cell r="A1884" t="str">
            <v>PEPPL0116</v>
          </cell>
          <cell r="AB1884" t="str">
            <v>Fabcity</v>
          </cell>
        </row>
        <row r="1885">
          <cell r="A1885" t="str">
            <v>PEIPL0239</v>
          </cell>
          <cell r="AB1885" t="str">
            <v>Fabcity</v>
          </cell>
        </row>
        <row r="1886">
          <cell r="A1886" t="str">
            <v>PEPPL0146</v>
          </cell>
          <cell r="AB1886" t="str">
            <v>Fabcity</v>
          </cell>
        </row>
        <row r="1887">
          <cell r="A1887" t="str">
            <v>PEIPL0162</v>
          </cell>
          <cell r="AB1887" t="str">
            <v>Fabcity</v>
          </cell>
        </row>
        <row r="1888">
          <cell r="A1888" t="str">
            <v>BDPL0030</v>
          </cell>
          <cell r="AB1888" t="str">
            <v>Hubli</v>
          </cell>
        </row>
        <row r="1889">
          <cell r="A1889" t="str">
            <v>P0325</v>
          </cell>
          <cell r="AB1889" t="str">
            <v>Hubli</v>
          </cell>
        </row>
        <row r="1890">
          <cell r="A1890" t="str">
            <v>P0435</v>
          </cell>
          <cell r="AB1890" t="str">
            <v>Hubli</v>
          </cell>
        </row>
        <row r="1891">
          <cell r="A1891" t="str">
            <v>P0470</v>
          </cell>
          <cell r="AB1891" t="str">
            <v>Hubli</v>
          </cell>
        </row>
        <row r="1892">
          <cell r="A1892" t="str">
            <v>PEPPL0394</v>
          </cell>
          <cell r="AB1892" t="str">
            <v>Fabcity</v>
          </cell>
        </row>
        <row r="1893">
          <cell r="A1893" t="str">
            <v>P0460</v>
          </cell>
          <cell r="AB1893" t="str">
            <v>NLC</v>
          </cell>
        </row>
        <row r="1894">
          <cell r="A1894" t="str">
            <v>PSS1377</v>
          </cell>
          <cell r="AB1894" t="str">
            <v>Corporate Office</v>
          </cell>
        </row>
        <row r="1895">
          <cell r="A1895" t="str">
            <v>PSS1220</v>
          </cell>
          <cell r="AB1895" t="str">
            <v>Corporate Office</v>
          </cell>
        </row>
        <row r="1896">
          <cell r="A1896" t="str">
            <v>PEIPL0565</v>
          </cell>
          <cell r="AB1896" t="str">
            <v>Fabcity</v>
          </cell>
        </row>
        <row r="1897">
          <cell r="A1897" t="str">
            <v>PSS1301</v>
          </cell>
          <cell r="AB1897" t="str">
            <v>Corporate Office</v>
          </cell>
        </row>
        <row r="1898">
          <cell r="A1898" t="str">
            <v>PSS0175</v>
          </cell>
          <cell r="AB1898" t="str">
            <v>Corporate Office</v>
          </cell>
        </row>
        <row r="1899">
          <cell r="A1899" t="str">
            <v>PSS1168</v>
          </cell>
          <cell r="AB1899" t="str">
            <v>Corporate Office</v>
          </cell>
        </row>
        <row r="1900">
          <cell r="A1900" t="str">
            <v>PEPPL0010</v>
          </cell>
          <cell r="AB1900" t="str">
            <v>Fabcity</v>
          </cell>
        </row>
        <row r="1901">
          <cell r="A1901" t="str">
            <v>PSS0744</v>
          </cell>
          <cell r="AB1901" t="str">
            <v>Factory-Annaram</v>
          </cell>
        </row>
        <row r="1902">
          <cell r="A1902" t="str">
            <v>PEGEPL0024</v>
          </cell>
          <cell r="AB1902" t="str">
            <v>Fabcity</v>
          </cell>
        </row>
        <row r="1903">
          <cell r="A1903" t="str">
            <v>PSS0482</v>
          </cell>
          <cell r="AB1903" t="str">
            <v>Factory-Annaram</v>
          </cell>
        </row>
        <row r="1904">
          <cell r="A1904" t="str">
            <v>PEPPL0057</v>
          </cell>
          <cell r="AB1904" t="str">
            <v>Fabcity</v>
          </cell>
        </row>
        <row r="1905">
          <cell r="A1905" t="str">
            <v>PEIPL0086</v>
          </cell>
          <cell r="AB1905" t="str">
            <v>Fabcity</v>
          </cell>
        </row>
        <row r="1906">
          <cell r="A1906" t="str">
            <v>PSS1433</v>
          </cell>
          <cell r="AB1906" t="str">
            <v>Corporate Office</v>
          </cell>
        </row>
        <row r="1907">
          <cell r="A1907" t="str">
            <v>PSS1103</v>
          </cell>
          <cell r="AB1907" t="str">
            <v>Corporate Office</v>
          </cell>
        </row>
        <row r="1908">
          <cell r="A1908" t="str">
            <v>PEIPL0002</v>
          </cell>
          <cell r="AB1908" t="str">
            <v>City Office</v>
          </cell>
        </row>
        <row r="1909">
          <cell r="A1909" t="str">
            <v>PEIPL0187</v>
          </cell>
          <cell r="AB1909" t="str">
            <v>Fabcity</v>
          </cell>
        </row>
        <row r="1910">
          <cell r="A1910" t="str">
            <v>PSS0942</v>
          </cell>
          <cell r="AB1910" t="str">
            <v>Factory-Annaram</v>
          </cell>
        </row>
        <row r="1911">
          <cell r="A1911" t="str">
            <v>PEIPL0666</v>
          </cell>
          <cell r="AB1911" t="str">
            <v>Fabcity</v>
          </cell>
        </row>
        <row r="1912">
          <cell r="A1912" t="str">
            <v>PSS1192</v>
          </cell>
          <cell r="AB1912" t="str">
            <v>Factory-Annaram</v>
          </cell>
        </row>
        <row r="1913">
          <cell r="A1913" t="str">
            <v>PSS1416</v>
          </cell>
          <cell r="AB1913" t="str">
            <v>Corporate Office</v>
          </cell>
        </row>
        <row r="1914">
          <cell r="A1914" t="str">
            <v>PEPPL0511</v>
          </cell>
          <cell r="AB1914" t="str">
            <v>Fabcity</v>
          </cell>
        </row>
        <row r="1915">
          <cell r="A1915" t="str">
            <v>PSS1382</v>
          </cell>
          <cell r="AB1915" t="str">
            <v>Corporate Office</v>
          </cell>
        </row>
        <row r="1916">
          <cell r="A1916" t="str">
            <v>PEIPL0008</v>
          </cell>
          <cell r="AB1916" t="str">
            <v>Fabcity</v>
          </cell>
        </row>
        <row r="1917">
          <cell r="A1917" t="str">
            <v>PSS1283</v>
          </cell>
          <cell r="AB1917" t="str">
            <v>Bihar</v>
          </cell>
        </row>
        <row r="1918">
          <cell r="A1918" t="str">
            <v>P0337</v>
          </cell>
          <cell r="AB1918" t="str">
            <v>Kanva</v>
          </cell>
        </row>
        <row r="1919">
          <cell r="A1919" t="str">
            <v>PEPPL0449</v>
          </cell>
          <cell r="AB1919" t="str">
            <v>Fabcity</v>
          </cell>
        </row>
        <row r="1920">
          <cell r="A1920" t="str">
            <v>PEIPL0209</v>
          </cell>
          <cell r="AB1920" t="str">
            <v>Fabcity</v>
          </cell>
        </row>
        <row r="1921">
          <cell r="A1921" t="str">
            <v>PEGEPL0066</v>
          </cell>
          <cell r="AB1921" t="str">
            <v>Fabcity</v>
          </cell>
        </row>
        <row r="1922">
          <cell r="A1922" t="str">
            <v>PEIPL0391</v>
          </cell>
          <cell r="AB1922" t="str">
            <v>Fabcity</v>
          </cell>
        </row>
        <row r="1923">
          <cell r="A1923" t="str">
            <v>PEPPL0583</v>
          </cell>
          <cell r="AB1923" t="str">
            <v>Fabcity</v>
          </cell>
        </row>
        <row r="1924">
          <cell r="A1924" t="str">
            <v>PSS0662</v>
          </cell>
          <cell r="AB1924" t="str">
            <v>Corporate Office</v>
          </cell>
        </row>
        <row r="1925">
          <cell r="A1925" t="str">
            <v>PSS1060</v>
          </cell>
          <cell r="AB1925" t="str">
            <v>Factory-Annaram</v>
          </cell>
        </row>
        <row r="1926">
          <cell r="A1926" t="str">
            <v>PEPPL0656</v>
          </cell>
          <cell r="AB1926" t="str">
            <v>Thiruvananthapuram</v>
          </cell>
        </row>
        <row r="1927">
          <cell r="A1927" t="str">
            <v>P0433</v>
          </cell>
          <cell r="AB1927" t="str">
            <v>CEMCOT</v>
          </cell>
        </row>
        <row r="1928">
          <cell r="A1928" t="str">
            <v>P0188</v>
          </cell>
          <cell r="AB1928" t="str">
            <v>Corporate Office</v>
          </cell>
        </row>
        <row r="1929">
          <cell r="A1929" t="str">
            <v>PEIPL0263</v>
          </cell>
          <cell r="AB1929" t="str">
            <v>Fabcity</v>
          </cell>
        </row>
        <row r="1930">
          <cell r="A1930" t="str">
            <v>PEIPL0592</v>
          </cell>
          <cell r="AB1930" t="str">
            <v>Fabcity</v>
          </cell>
        </row>
        <row r="1931">
          <cell r="A1931" t="str">
            <v>PSS1393</v>
          </cell>
          <cell r="AB1931" t="str">
            <v>Corporate Office</v>
          </cell>
        </row>
        <row r="1932">
          <cell r="A1932" t="str">
            <v>PEIPL0724</v>
          </cell>
          <cell r="AB1932" t="str">
            <v>Fabcity</v>
          </cell>
        </row>
        <row r="1933">
          <cell r="A1933" t="str">
            <v>PEPPL0635</v>
          </cell>
          <cell r="AB1933" t="str">
            <v>Fabcity</v>
          </cell>
        </row>
        <row r="1934">
          <cell r="A1934" t="str">
            <v>PEPPL0342</v>
          </cell>
          <cell r="AB1934" t="str">
            <v>Fabcity</v>
          </cell>
        </row>
        <row r="1935">
          <cell r="A1935" t="str">
            <v>PSS1240</v>
          </cell>
          <cell r="AB1935" t="str">
            <v>Corporate Office</v>
          </cell>
        </row>
        <row r="1936">
          <cell r="A1936" t="str">
            <v>PSS0347</v>
          </cell>
          <cell r="AB1936" t="str">
            <v>Factory-Annaram</v>
          </cell>
        </row>
        <row r="1937">
          <cell r="A1937" t="str">
            <v>PEIPL0691</v>
          </cell>
          <cell r="AB1937" t="str">
            <v>Fabcity</v>
          </cell>
        </row>
        <row r="1938">
          <cell r="A1938" t="str">
            <v>PEIPL0578</v>
          </cell>
          <cell r="AB1938" t="str">
            <v>Fabcity</v>
          </cell>
        </row>
        <row r="1939">
          <cell r="A1939" t="str">
            <v>PEPPL0083</v>
          </cell>
          <cell r="AB1939" t="str">
            <v>Fabcity</v>
          </cell>
        </row>
        <row r="1940">
          <cell r="A1940" t="str">
            <v>PEIPL0370</v>
          </cell>
          <cell r="AB1940" t="str">
            <v>Fabcity</v>
          </cell>
        </row>
        <row r="1941">
          <cell r="A1941" t="str">
            <v>P0192</v>
          </cell>
          <cell r="AB1941" t="str">
            <v>Corporate Office</v>
          </cell>
        </row>
        <row r="1942">
          <cell r="A1942" t="str">
            <v>PSS0017</v>
          </cell>
          <cell r="AB1942" t="str">
            <v>Corporate Office</v>
          </cell>
        </row>
        <row r="1943">
          <cell r="A1943" t="str">
            <v>PSS1184</v>
          </cell>
          <cell r="AB1943" t="str">
            <v>Factory-Annaram</v>
          </cell>
        </row>
        <row r="1944">
          <cell r="A1944" t="str">
            <v>PEPPL0163</v>
          </cell>
          <cell r="AB1944" t="str">
            <v>Fabcity</v>
          </cell>
        </row>
        <row r="1945">
          <cell r="A1945" t="str">
            <v>PSS1231</v>
          </cell>
          <cell r="AB1945" t="str">
            <v>Factory-Annaram</v>
          </cell>
        </row>
        <row r="1946">
          <cell r="A1946" t="str">
            <v>PSS1111</v>
          </cell>
          <cell r="AB1946" t="str">
            <v>Factory-Annaram</v>
          </cell>
        </row>
        <row r="1947">
          <cell r="A1947" t="str">
            <v>PEIPL0154</v>
          </cell>
          <cell r="AB1947" t="str">
            <v>Fabcity</v>
          </cell>
        </row>
        <row r="1948">
          <cell r="A1948" t="str">
            <v>P0421</v>
          </cell>
          <cell r="AB1948" t="str">
            <v>Corporate Office</v>
          </cell>
        </row>
        <row r="1949">
          <cell r="A1949" t="str">
            <v>PEGEPL0140</v>
          </cell>
          <cell r="AB1949" t="str">
            <v>Fabcity</v>
          </cell>
        </row>
        <row r="1950">
          <cell r="A1950" t="str">
            <v>PSS0913</v>
          </cell>
          <cell r="AB1950" t="str">
            <v>Factory-Annaram</v>
          </cell>
        </row>
        <row r="1951">
          <cell r="A1951" t="str">
            <v>PSS0797</v>
          </cell>
          <cell r="AB1951" t="str">
            <v>Factory-Annaram</v>
          </cell>
        </row>
        <row r="1952">
          <cell r="A1952" t="str">
            <v>PEIPL0264</v>
          </cell>
          <cell r="AB1952" t="str">
            <v>Fabcity</v>
          </cell>
        </row>
        <row r="1953">
          <cell r="A1953" t="str">
            <v>PSS1086</v>
          </cell>
          <cell r="AB1953" t="str">
            <v>Factory-Annaram</v>
          </cell>
        </row>
        <row r="1954">
          <cell r="A1954" t="str">
            <v>PEPPL0410</v>
          </cell>
          <cell r="AB1954" t="str">
            <v>Fabcity</v>
          </cell>
        </row>
        <row r="1955">
          <cell r="A1955" t="str">
            <v>PEIPL0109</v>
          </cell>
          <cell r="AB1955" t="str">
            <v>Fabcity</v>
          </cell>
        </row>
        <row r="1956">
          <cell r="A1956" t="str">
            <v>PEIPL0548</v>
          </cell>
          <cell r="AB1956" t="str">
            <v>Fabcity</v>
          </cell>
        </row>
        <row r="1957">
          <cell r="A1957" t="str">
            <v>PEPPL0844</v>
          </cell>
          <cell r="AB1957" t="str">
            <v>Fabcity</v>
          </cell>
        </row>
        <row r="1958">
          <cell r="A1958" t="str">
            <v>PSS1074</v>
          </cell>
          <cell r="AB1958" t="str">
            <v>Banswara</v>
          </cell>
        </row>
        <row r="1959">
          <cell r="A1959" t="str">
            <v>PSS1105</v>
          </cell>
          <cell r="AB1959" t="str">
            <v>Purnia</v>
          </cell>
        </row>
        <row r="1960">
          <cell r="A1960" t="str">
            <v>PEIPL0613</v>
          </cell>
          <cell r="AB1960" t="str">
            <v>Fabcity</v>
          </cell>
        </row>
        <row r="1961">
          <cell r="A1961" t="str">
            <v>PEIPL0575</v>
          </cell>
          <cell r="AB1961" t="str">
            <v>Fabcity</v>
          </cell>
        </row>
        <row r="1962">
          <cell r="A1962" t="str">
            <v>PEIPL0491</v>
          </cell>
          <cell r="AB1962" t="str">
            <v>Fabcity</v>
          </cell>
        </row>
        <row r="1963">
          <cell r="A1963" t="str">
            <v>PSS0980</v>
          </cell>
          <cell r="AB1963" t="str">
            <v>Factory-Annaram</v>
          </cell>
        </row>
        <row r="1964">
          <cell r="A1964" t="str">
            <v>PEPPL0398</v>
          </cell>
          <cell r="AB1964" t="str">
            <v>Fabcity</v>
          </cell>
        </row>
        <row r="1965">
          <cell r="A1965" t="str">
            <v>P0324</v>
          </cell>
          <cell r="AB1965" t="str">
            <v>Fabcity</v>
          </cell>
        </row>
        <row r="1966">
          <cell r="A1966" t="str">
            <v>PSS1112</v>
          </cell>
          <cell r="AB1966" t="str">
            <v>Corporate Office</v>
          </cell>
        </row>
        <row r="1967">
          <cell r="A1967" t="str">
            <v>PEIPL0077</v>
          </cell>
          <cell r="AB1967" t="str">
            <v>Fabcity</v>
          </cell>
        </row>
        <row r="1968">
          <cell r="A1968" t="str">
            <v>PEIPL0199</v>
          </cell>
          <cell r="AB1968" t="str">
            <v>Fabcity</v>
          </cell>
        </row>
        <row r="1969">
          <cell r="A1969" t="str">
            <v>BDPL0034</v>
          </cell>
          <cell r="AB1969" t="str">
            <v>Corporate Office</v>
          </cell>
        </row>
        <row r="1970">
          <cell r="A1970" t="str">
            <v>P0483</v>
          </cell>
          <cell r="AB1970" t="str">
            <v>Corporate Office</v>
          </cell>
        </row>
        <row r="1971">
          <cell r="A1971" t="str">
            <v>PEIPL0312</v>
          </cell>
          <cell r="AB1971" t="str">
            <v>Fabcity</v>
          </cell>
        </row>
        <row r="1972">
          <cell r="A1972" t="str">
            <v>PEPPL0322</v>
          </cell>
          <cell r="AB1972" t="str">
            <v>Fabcity</v>
          </cell>
        </row>
        <row r="1973">
          <cell r="A1973" t="str">
            <v>PEIPL0397</v>
          </cell>
          <cell r="AB1973" t="str">
            <v>Fabcity</v>
          </cell>
        </row>
        <row r="1974">
          <cell r="A1974" t="str">
            <v>PEIPL0746</v>
          </cell>
          <cell r="AB1974" t="str">
            <v>Fabcity</v>
          </cell>
        </row>
        <row r="1975">
          <cell r="A1975" t="str">
            <v>PEPPL0136</v>
          </cell>
          <cell r="AB1975" t="str">
            <v>Fabcity</v>
          </cell>
        </row>
        <row r="1976">
          <cell r="A1976" t="str">
            <v>PSS0969</v>
          </cell>
          <cell r="AB1976" t="str">
            <v>Factory-Annaram</v>
          </cell>
        </row>
        <row r="1977">
          <cell r="A1977" t="str">
            <v>PEPPL0786</v>
          </cell>
          <cell r="AB1977" t="str">
            <v>Fabcity</v>
          </cell>
        </row>
        <row r="1978">
          <cell r="A1978" t="str">
            <v>PEGEPL0126</v>
          </cell>
          <cell r="AB1978" t="str">
            <v>Fabcity</v>
          </cell>
        </row>
        <row r="1979">
          <cell r="A1979" t="str">
            <v>PEPPL0551</v>
          </cell>
          <cell r="AB1979" t="str">
            <v>Fabcity</v>
          </cell>
        </row>
        <row r="1980">
          <cell r="A1980" t="str">
            <v>PEIPL0732</v>
          </cell>
          <cell r="AB1980" t="str">
            <v>City Office</v>
          </cell>
        </row>
        <row r="1981">
          <cell r="A1981" t="str">
            <v>PSS0909</v>
          </cell>
          <cell r="AB1981" t="str">
            <v>Factory-Annaram</v>
          </cell>
        </row>
        <row r="1982">
          <cell r="A1982" t="str">
            <v>PEIPL0614</v>
          </cell>
          <cell r="AB1982" t="str">
            <v>Fabcity</v>
          </cell>
        </row>
        <row r="1983">
          <cell r="A1983" t="str">
            <v>PEPPL0182</v>
          </cell>
          <cell r="AB1983" t="str">
            <v>Fabcity</v>
          </cell>
        </row>
        <row r="1984">
          <cell r="A1984" t="str">
            <v>PEPPL0761</v>
          </cell>
          <cell r="AB1984" t="str">
            <v>Fabcity</v>
          </cell>
        </row>
        <row r="1985">
          <cell r="A1985" t="str">
            <v>PEPPL0320</v>
          </cell>
          <cell r="AB1985" t="str">
            <v>Fabcity</v>
          </cell>
        </row>
        <row r="1986">
          <cell r="A1986" t="str">
            <v>PEIPL0018</v>
          </cell>
          <cell r="AB1986" t="str">
            <v>Corporate Office</v>
          </cell>
        </row>
        <row r="1987">
          <cell r="A1987" t="str">
            <v>PSS0826</v>
          </cell>
          <cell r="AB1987" t="str">
            <v>Factory-Annaram</v>
          </cell>
        </row>
        <row r="1988">
          <cell r="A1988" t="str">
            <v>PEIPL0297</v>
          </cell>
          <cell r="AB1988" t="str">
            <v>Fabcity</v>
          </cell>
        </row>
        <row r="1989">
          <cell r="A1989" t="str">
            <v>PSS0084</v>
          </cell>
          <cell r="AB1989" t="str">
            <v>Factory-Annaram</v>
          </cell>
        </row>
        <row r="1990">
          <cell r="A1990" t="str">
            <v>PSS1195</v>
          </cell>
          <cell r="AB1990" t="str">
            <v>Corporate Office</v>
          </cell>
        </row>
        <row r="1991">
          <cell r="A1991" t="str">
            <v>PEPPL0186</v>
          </cell>
          <cell r="AB1991" t="str">
            <v>Fabcity</v>
          </cell>
        </row>
        <row r="1992">
          <cell r="A1992" t="str">
            <v>PEIPL0257</v>
          </cell>
          <cell r="AB1992" t="str">
            <v>Fabcity</v>
          </cell>
        </row>
        <row r="1993">
          <cell r="A1993" t="str">
            <v>PEIPL0619</v>
          </cell>
          <cell r="AB1993" t="str">
            <v>Fabcity</v>
          </cell>
        </row>
        <row r="1994">
          <cell r="A1994" t="str">
            <v>P0371</v>
          </cell>
          <cell r="AB1994" t="str">
            <v>Vikas Nagar</v>
          </cell>
        </row>
        <row r="1995">
          <cell r="A1995" t="str">
            <v>PEIPL0623</v>
          </cell>
          <cell r="AB1995" t="str">
            <v>Fabcity</v>
          </cell>
        </row>
        <row r="1996">
          <cell r="A1996" t="str">
            <v>PEPPL0373</v>
          </cell>
          <cell r="AB1996" t="str">
            <v>Fabcity</v>
          </cell>
        </row>
        <row r="1997">
          <cell r="A1997" t="str">
            <v>PSS0573</v>
          </cell>
          <cell r="AB1997" t="str">
            <v>Factory-Annaram</v>
          </cell>
        </row>
        <row r="1998">
          <cell r="A1998" t="str">
            <v>PEPPL0290</v>
          </cell>
          <cell r="AB1998" t="str">
            <v>Fabcity</v>
          </cell>
        </row>
        <row r="1999">
          <cell r="A1999" t="str">
            <v>PSS0483</v>
          </cell>
          <cell r="AB1999" t="str">
            <v>Factory-Annaram</v>
          </cell>
        </row>
        <row r="2000">
          <cell r="A2000" t="str">
            <v>PEIPL0514</v>
          </cell>
          <cell r="AB2000" t="str">
            <v>Fabcity</v>
          </cell>
        </row>
        <row r="2001">
          <cell r="A2001" t="str">
            <v>PEIPL0493</v>
          </cell>
          <cell r="AB2001" t="str">
            <v>Fabcity</v>
          </cell>
        </row>
        <row r="2002">
          <cell r="A2002" t="str">
            <v>PSS1314</v>
          </cell>
          <cell r="AB2002" t="str">
            <v>Factory-Annaram</v>
          </cell>
        </row>
        <row r="2003">
          <cell r="A2003" t="str">
            <v>PSPT002</v>
          </cell>
          <cell r="AB2003" t="str">
            <v>Corporate Office</v>
          </cell>
        </row>
        <row r="2004">
          <cell r="A2004" t="str">
            <v>PEPPL0387</v>
          </cell>
          <cell r="AB2004" t="str">
            <v>Fabcity</v>
          </cell>
        </row>
        <row r="2005">
          <cell r="A2005" t="str">
            <v>PEPPL0158</v>
          </cell>
          <cell r="AB2005" t="str">
            <v>Corporate Office</v>
          </cell>
        </row>
        <row r="2006">
          <cell r="A2006" t="str">
            <v>PEIPL0157</v>
          </cell>
          <cell r="AB2006" t="str">
            <v>Fabcity</v>
          </cell>
        </row>
        <row r="2007">
          <cell r="A2007" t="str">
            <v>PEIPL0752</v>
          </cell>
          <cell r="AB2007" t="str">
            <v>Fabcity</v>
          </cell>
        </row>
        <row r="2008">
          <cell r="A2008" t="str">
            <v>PSS1216</v>
          </cell>
          <cell r="AB2008" t="str">
            <v>Factory-Annaram</v>
          </cell>
        </row>
        <row r="2009">
          <cell r="A2009" t="str">
            <v>PEPPL0552</v>
          </cell>
          <cell r="AB2009" t="str">
            <v>Fabcity</v>
          </cell>
        </row>
        <row r="2010">
          <cell r="A2010" t="str">
            <v>PSS0521</v>
          </cell>
          <cell r="AB2010" t="str">
            <v>Factory-Annaram</v>
          </cell>
        </row>
        <row r="2011">
          <cell r="A2011" t="str">
            <v>PEPPL0339</v>
          </cell>
          <cell r="AB2011" t="str">
            <v>Fabcity</v>
          </cell>
        </row>
        <row r="2012">
          <cell r="A2012" t="str">
            <v>PSS1131</v>
          </cell>
          <cell r="AB2012" t="str">
            <v>Corporate Office</v>
          </cell>
        </row>
        <row r="2013">
          <cell r="A2013" t="str">
            <v>PSS0076</v>
          </cell>
          <cell r="AB2013" t="str">
            <v>Factory-Annaram</v>
          </cell>
        </row>
        <row r="2014">
          <cell r="A2014" t="str">
            <v>PEIPL0643</v>
          </cell>
          <cell r="AB2014" t="str">
            <v>Fabcity</v>
          </cell>
        </row>
        <row r="2015">
          <cell r="A2015" t="str">
            <v>PEPPL0498</v>
          </cell>
          <cell r="AB2015" t="str">
            <v>Fabcity</v>
          </cell>
        </row>
        <row r="2016">
          <cell r="A2016" t="str">
            <v>PEIPL0533</v>
          </cell>
          <cell r="AB2016" t="str">
            <v>Fabcity</v>
          </cell>
        </row>
        <row r="2017">
          <cell r="A2017" t="str">
            <v>PEPPL0516</v>
          </cell>
          <cell r="AB2017" t="str">
            <v>Fabcity</v>
          </cell>
        </row>
        <row r="2018">
          <cell r="A2018" t="str">
            <v>PEIPL0342</v>
          </cell>
          <cell r="AB2018" t="str">
            <v>Fabcity</v>
          </cell>
        </row>
        <row r="2019">
          <cell r="A2019" t="str">
            <v>PEPPL0376</v>
          </cell>
          <cell r="AB2019" t="str">
            <v>Fabcity</v>
          </cell>
        </row>
        <row r="2020">
          <cell r="A2020" t="str">
            <v>PSS1346</v>
          </cell>
          <cell r="AB2020" t="str">
            <v>Corporate Office</v>
          </cell>
        </row>
        <row r="2021">
          <cell r="A2021" t="str">
            <v>PEIPL0729</v>
          </cell>
          <cell r="AB2021" t="str">
            <v>Fabcity</v>
          </cell>
        </row>
        <row r="2022">
          <cell r="A2022" t="str">
            <v>PEPPL0385</v>
          </cell>
          <cell r="AB2022" t="str">
            <v>Fabcity</v>
          </cell>
        </row>
        <row r="2023">
          <cell r="A2023" t="str">
            <v>PEPPL0230</v>
          </cell>
          <cell r="AB2023" t="str">
            <v>Fabcity</v>
          </cell>
        </row>
        <row r="2024">
          <cell r="A2024" t="str">
            <v>PSS1146</v>
          </cell>
          <cell r="AB2024" t="str">
            <v>Factory-Annaram</v>
          </cell>
        </row>
        <row r="2025">
          <cell r="A2025" t="str">
            <v>PSS1413</v>
          </cell>
          <cell r="AB2025" t="str">
            <v>Corporate Office</v>
          </cell>
        </row>
        <row r="2026">
          <cell r="A2026" t="str">
            <v>PEIPL0221</v>
          </cell>
          <cell r="AB2026" t="str">
            <v>Fabcity</v>
          </cell>
        </row>
        <row r="2027">
          <cell r="A2027" t="str">
            <v>PSS0854</v>
          </cell>
          <cell r="AB2027" t="str">
            <v>Factory-Annaram</v>
          </cell>
        </row>
        <row r="2028">
          <cell r="A2028" t="str">
            <v>PEIPL0080</v>
          </cell>
          <cell r="AB2028" t="str">
            <v>Fabcity</v>
          </cell>
        </row>
        <row r="2029">
          <cell r="A2029" t="str">
            <v>PEPPL0406</v>
          </cell>
          <cell r="AB2029" t="str">
            <v>Fabcity</v>
          </cell>
        </row>
        <row r="2030">
          <cell r="A2030" t="str">
            <v>PEPPL0296</v>
          </cell>
          <cell r="AB2030" t="str">
            <v>Fabcity</v>
          </cell>
        </row>
        <row r="2031">
          <cell r="A2031" t="str">
            <v>PEPPL0612</v>
          </cell>
          <cell r="AB2031" t="str">
            <v>Fabcity</v>
          </cell>
        </row>
        <row r="2032">
          <cell r="A2032" t="str">
            <v>PEIPL0178</v>
          </cell>
          <cell r="AB2032" t="str">
            <v>Fabcity</v>
          </cell>
        </row>
        <row r="2033">
          <cell r="A2033" t="str">
            <v>PEPPL0700</v>
          </cell>
          <cell r="AB2033" t="str">
            <v>Fabcity</v>
          </cell>
        </row>
        <row r="2034">
          <cell r="A2034" t="str">
            <v>P0369</v>
          </cell>
          <cell r="AB2034" t="str">
            <v>Vikas Nagar</v>
          </cell>
        </row>
        <row r="2035">
          <cell r="A2035" t="str">
            <v>P0274</v>
          </cell>
          <cell r="AB2035" t="str">
            <v>Vikas Nagar</v>
          </cell>
        </row>
        <row r="2036">
          <cell r="A2036" t="str">
            <v>PSS1225</v>
          </cell>
          <cell r="AB2036" t="str">
            <v>Fabcity</v>
          </cell>
        </row>
        <row r="2037">
          <cell r="A2037" t="str">
            <v>P0441</v>
          </cell>
          <cell r="AB2037" t="str">
            <v>Deoghar</v>
          </cell>
        </row>
        <row r="2038">
          <cell r="A2038" t="str">
            <v>P0323</v>
          </cell>
          <cell r="AB2038" t="str">
            <v>Fabcity</v>
          </cell>
        </row>
        <row r="2039">
          <cell r="A2039" t="str">
            <v>PEPPL0201</v>
          </cell>
          <cell r="AB2039" t="str">
            <v>Fabcity</v>
          </cell>
        </row>
        <row r="2040">
          <cell r="A2040" t="str">
            <v>PEPPL0510</v>
          </cell>
          <cell r="AB2040" t="str">
            <v>Fabcity</v>
          </cell>
        </row>
        <row r="2041">
          <cell r="A2041" t="str">
            <v>PEIPL0703</v>
          </cell>
          <cell r="AB2041" t="str">
            <v>Fabcity</v>
          </cell>
        </row>
        <row r="2042">
          <cell r="A2042" t="str">
            <v>PSS0923</v>
          </cell>
          <cell r="AB2042" t="str">
            <v>Factory-Annaram</v>
          </cell>
        </row>
        <row r="2043">
          <cell r="A2043" t="str">
            <v>PEPPL0722</v>
          </cell>
          <cell r="AB2043" t="str">
            <v>Fabcity</v>
          </cell>
        </row>
        <row r="2044">
          <cell r="A2044" t="str">
            <v>PEGEPL0135</v>
          </cell>
          <cell r="AB2044" t="str">
            <v>Corporate Office</v>
          </cell>
        </row>
        <row r="2045">
          <cell r="A2045" t="str">
            <v>PSS0719</v>
          </cell>
          <cell r="AB2045" t="str">
            <v>Factory-Annaram</v>
          </cell>
        </row>
        <row r="2046">
          <cell r="A2046" t="str">
            <v>PEPPL0727</v>
          </cell>
          <cell r="AB2046" t="str">
            <v>Fabcity</v>
          </cell>
        </row>
        <row r="2047">
          <cell r="A2047" t="str">
            <v>PEPPL0131</v>
          </cell>
          <cell r="AB2047" t="str">
            <v>Fabcity</v>
          </cell>
        </row>
        <row r="2048">
          <cell r="A2048" t="str">
            <v>PEIPL0084</v>
          </cell>
          <cell r="AB2048" t="str">
            <v>Fabcity</v>
          </cell>
        </row>
        <row r="2049">
          <cell r="A2049" t="str">
            <v>PSS0241</v>
          </cell>
          <cell r="AB2049" t="str">
            <v>Corporate Office</v>
          </cell>
        </row>
        <row r="2050">
          <cell r="A2050" t="str">
            <v>PEIPL0473</v>
          </cell>
          <cell r="AB2050" t="str">
            <v>Fabcity</v>
          </cell>
        </row>
        <row r="2051">
          <cell r="A2051" t="str">
            <v>PEPPL0441</v>
          </cell>
          <cell r="AB2051" t="str">
            <v>Fabcity</v>
          </cell>
        </row>
        <row r="2052">
          <cell r="A2052" t="str">
            <v>PSS0288</v>
          </cell>
          <cell r="AB2052" t="str">
            <v>City Office</v>
          </cell>
        </row>
        <row r="2053">
          <cell r="A2053" t="str">
            <v>PEGEPL0008</v>
          </cell>
          <cell r="AB2053" t="str">
            <v>Fabcity</v>
          </cell>
        </row>
        <row r="2054">
          <cell r="A2054" t="str">
            <v>PSS1048</v>
          </cell>
          <cell r="AB2054" t="str">
            <v>Factory-Annaram</v>
          </cell>
        </row>
        <row r="2055">
          <cell r="A2055" t="str">
            <v>PEPPL0644</v>
          </cell>
          <cell r="AB2055" t="str">
            <v>Fabcity</v>
          </cell>
        </row>
        <row r="2056">
          <cell r="A2056" t="str">
            <v>PEIPL0770</v>
          </cell>
          <cell r="AB2056" t="str">
            <v>Fabcity</v>
          </cell>
        </row>
        <row r="2057">
          <cell r="A2057" t="str">
            <v>PEGEPL0111</v>
          </cell>
          <cell r="AB2057" t="str">
            <v>Fabcity</v>
          </cell>
        </row>
        <row r="2058">
          <cell r="A2058" t="str">
            <v>PEIPL0626</v>
          </cell>
          <cell r="AB2058" t="str">
            <v>Corporate Office</v>
          </cell>
        </row>
        <row r="2059">
          <cell r="A2059" t="str">
            <v>PSS0212</v>
          </cell>
          <cell r="AB2059" t="str">
            <v>Factory-Annaram</v>
          </cell>
        </row>
        <row r="2060">
          <cell r="A2060" t="str">
            <v>PSS0977</v>
          </cell>
          <cell r="AB2060" t="str">
            <v>Corporate Office</v>
          </cell>
        </row>
        <row r="2061">
          <cell r="A2061" t="str">
            <v>PSS1352</v>
          </cell>
          <cell r="AB2061" t="str">
            <v>Corporate Office</v>
          </cell>
        </row>
        <row r="2062">
          <cell r="A2062" t="str">
            <v>PSS0152</v>
          </cell>
          <cell r="AB2062" t="str">
            <v>Corporate Office</v>
          </cell>
        </row>
        <row r="2063">
          <cell r="A2063" t="str">
            <v>PEGEPL0116</v>
          </cell>
          <cell r="AB2063" t="str">
            <v>Fabcity</v>
          </cell>
        </row>
        <row r="2064">
          <cell r="A2064" t="str">
            <v>PSS1031</v>
          </cell>
          <cell r="AB2064" t="str">
            <v>Corporate Office</v>
          </cell>
        </row>
        <row r="2065">
          <cell r="A2065" t="str">
            <v>PEPPL0508</v>
          </cell>
          <cell r="AB2065" t="str">
            <v>Fabcity</v>
          </cell>
        </row>
        <row r="2066">
          <cell r="A2066" t="str">
            <v>PEIPL0330</v>
          </cell>
          <cell r="AB2066" t="str">
            <v>Fabcity</v>
          </cell>
        </row>
        <row r="2067">
          <cell r="A2067" t="str">
            <v>PSS1119</v>
          </cell>
          <cell r="AB2067" t="str">
            <v>Lucknow</v>
          </cell>
        </row>
        <row r="2068">
          <cell r="A2068" t="str">
            <v>PEPPL0780</v>
          </cell>
          <cell r="AB2068" t="str">
            <v>Fabcity</v>
          </cell>
        </row>
        <row r="2069">
          <cell r="A2069" t="str">
            <v>PEIPL0156</v>
          </cell>
          <cell r="AB2069" t="str">
            <v>Fabcity</v>
          </cell>
        </row>
        <row r="2070">
          <cell r="A2070" t="str">
            <v>PEIPL0217</v>
          </cell>
          <cell r="AB2070" t="str">
            <v>Fabcity</v>
          </cell>
        </row>
        <row r="2071">
          <cell r="A2071" t="str">
            <v>PEPPL0070</v>
          </cell>
          <cell r="AB2071" t="str">
            <v>Fabcity</v>
          </cell>
        </row>
        <row r="2072">
          <cell r="A2072" t="str">
            <v>PEIPL0185</v>
          </cell>
          <cell r="AB2072" t="str">
            <v>Fabcity</v>
          </cell>
        </row>
        <row r="2073">
          <cell r="A2073" t="str">
            <v>PSS1409</v>
          </cell>
          <cell r="AB2073" t="str">
            <v>Corporate Office</v>
          </cell>
        </row>
        <row r="2074">
          <cell r="A2074" t="str">
            <v>PEIPL0029</v>
          </cell>
          <cell r="AB2074" t="str">
            <v>Fabcity</v>
          </cell>
        </row>
        <row r="2075">
          <cell r="A2075" t="str">
            <v>PEPPL0245</v>
          </cell>
          <cell r="AB2075" t="str">
            <v>Fabcity</v>
          </cell>
        </row>
        <row r="2076">
          <cell r="A2076" t="str">
            <v>BDPL0014</v>
          </cell>
          <cell r="AB2076" t="str">
            <v>Bidar</v>
          </cell>
        </row>
        <row r="2077">
          <cell r="A2077" t="str">
            <v>P0354</v>
          </cell>
          <cell r="AB2077" t="str">
            <v>Bidar</v>
          </cell>
        </row>
        <row r="2078">
          <cell r="A2078" t="str">
            <v>P0497</v>
          </cell>
          <cell r="AB2078" t="str">
            <v>Bidar</v>
          </cell>
        </row>
        <row r="2079">
          <cell r="A2079" t="str">
            <v>PEPPL0075</v>
          </cell>
          <cell r="AB2079" t="str">
            <v>Fabcity</v>
          </cell>
        </row>
        <row r="2080">
          <cell r="A2080" t="str">
            <v>PEIPL0806</v>
          </cell>
          <cell r="AB2080" t="str">
            <v>Fabcity</v>
          </cell>
        </row>
        <row r="2081">
          <cell r="A2081" t="str">
            <v>PSS1418</v>
          </cell>
          <cell r="AB2081" t="str">
            <v>Corporate Office</v>
          </cell>
        </row>
        <row r="2082">
          <cell r="A2082" t="str">
            <v>PSS1127</v>
          </cell>
          <cell r="AB2082" t="str">
            <v>Sonbhadra</v>
          </cell>
        </row>
        <row r="2083">
          <cell r="A2083" t="str">
            <v>PEIPL0416</v>
          </cell>
          <cell r="AB2083" t="str">
            <v>Fabcity</v>
          </cell>
        </row>
        <row r="2084">
          <cell r="A2084" t="str">
            <v>PEPPL0374</v>
          </cell>
          <cell r="AB2084" t="str">
            <v>Fabcity</v>
          </cell>
        </row>
        <row r="2085">
          <cell r="A2085" t="str">
            <v>PSS1212</v>
          </cell>
          <cell r="AB2085" t="str">
            <v>City Office</v>
          </cell>
        </row>
        <row r="2086">
          <cell r="A2086" t="str">
            <v>PEIPL0722</v>
          </cell>
          <cell r="AB2086" t="str">
            <v>Fabcity</v>
          </cell>
        </row>
        <row r="2087">
          <cell r="A2087" t="str">
            <v>PEIPL0501</v>
          </cell>
          <cell r="AB2087" t="str">
            <v>Fabcity</v>
          </cell>
        </row>
        <row r="2088">
          <cell r="A2088" t="str">
            <v>PSS1299</v>
          </cell>
          <cell r="AB2088" t="str">
            <v>Factory-Annaram</v>
          </cell>
        </row>
        <row r="2089">
          <cell r="A2089" t="str">
            <v>PSS0485</v>
          </cell>
          <cell r="AB2089" t="str">
            <v>Factory-Annaram</v>
          </cell>
        </row>
        <row r="2090">
          <cell r="A2090" t="str">
            <v>PEGEPL0075</v>
          </cell>
          <cell r="AB2090" t="str">
            <v>Fabcity</v>
          </cell>
        </row>
        <row r="2091">
          <cell r="A2091" t="str">
            <v>PEIPL0390</v>
          </cell>
          <cell r="AB2091" t="str">
            <v>Fabcity</v>
          </cell>
        </row>
        <row r="2092">
          <cell r="A2092" t="str">
            <v>PSS1277</v>
          </cell>
          <cell r="AB2092" t="str">
            <v>Corporate Office</v>
          </cell>
        </row>
        <row r="2093">
          <cell r="A2093" t="str">
            <v>PEPPL0211</v>
          </cell>
          <cell r="AB2093" t="str">
            <v>Fabcity</v>
          </cell>
        </row>
        <row r="2094">
          <cell r="A2094" t="str">
            <v>PEIPL0553</v>
          </cell>
          <cell r="AB2094" t="str">
            <v>Fabcity</v>
          </cell>
        </row>
        <row r="2095">
          <cell r="A2095" t="str">
            <v>PEPPL0264</v>
          </cell>
          <cell r="AB2095" t="str">
            <v>Fabcity</v>
          </cell>
        </row>
        <row r="2096">
          <cell r="A2096" t="str">
            <v>PEIPL0238</v>
          </cell>
          <cell r="AB2096" t="str">
            <v>Fabcity</v>
          </cell>
        </row>
        <row r="2097">
          <cell r="A2097" t="str">
            <v>PEPPL0751</v>
          </cell>
          <cell r="AB2097" t="str">
            <v>Fabcity</v>
          </cell>
        </row>
        <row r="2098">
          <cell r="A2098" t="str">
            <v>PEIPL0652</v>
          </cell>
          <cell r="AB2098" t="str">
            <v>Fabcity</v>
          </cell>
        </row>
        <row r="2099">
          <cell r="A2099" t="str">
            <v>BDPL0004</v>
          </cell>
          <cell r="AB2099" t="str">
            <v>Bidar</v>
          </cell>
        </row>
        <row r="2100">
          <cell r="A2100" t="str">
            <v>P0331</v>
          </cell>
          <cell r="AB2100" t="str">
            <v>Bidar</v>
          </cell>
        </row>
        <row r="2101">
          <cell r="A2101" t="str">
            <v>P0485</v>
          </cell>
          <cell r="AB2101" t="str">
            <v>Bidar</v>
          </cell>
        </row>
        <row r="2102">
          <cell r="A2102" t="str">
            <v>PEIPL0684</v>
          </cell>
          <cell r="AB2102" t="str">
            <v>Fabcity</v>
          </cell>
        </row>
        <row r="2103">
          <cell r="A2103" t="str">
            <v>PEIPL0338</v>
          </cell>
          <cell r="AB2103" t="str">
            <v>Fabcity</v>
          </cell>
        </row>
        <row r="2104">
          <cell r="A2104" t="str">
            <v>PEIPL0406</v>
          </cell>
          <cell r="AB2104" t="str">
            <v>Fabcity</v>
          </cell>
        </row>
        <row r="2105">
          <cell r="A2105" t="str">
            <v>PEIPL0003</v>
          </cell>
          <cell r="AB2105" t="str">
            <v>Fabcity</v>
          </cell>
        </row>
        <row r="2106">
          <cell r="A2106" t="str">
            <v>PSS1100</v>
          </cell>
          <cell r="AB2106" t="str">
            <v>Lucknow</v>
          </cell>
        </row>
        <row r="2107">
          <cell r="A2107" t="str">
            <v>PSS0781</v>
          </cell>
          <cell r="AB2107" t="str">
            <v>Corporate Office</v>
          </cell>
        </row>
        <row r="2108">
          <cell r="A2108" t="str">
            <v>P0391</v>
          </cell>
          <cell r="AB2108" t="str">
            <v>Kalinga</v>
          </cell>
        </row>
        <row r="2109">
          <cell r="A2109" t="str">
            <v>PEIPL0530</v>
          </cell>
          <cell r="AB2109" t="str">
            <v>Fabcity</v>
          </cell>
        </row>
        <row r="2110">
          <cell r="A2110" t="str">
            <v>PEIPL0088</v>
          </cell>
          <cell r="AB2110" t="str">
            <v>Fabcity</v>
          </cell>
        </row>
        <row r="2111">
          <cell r="A2111" t="str">
            <v>PSS0234</v>
          </cell>
          <cell r="AB2111" t="str">
            <v>Factory-Annaram</v>
          </cell>
        </row>
        <row r="2112">
          <cell r="A2112" t="str">
            <v>PEIPL0479</v>
          </cell>
          <cell r="AB2112" t="str">
            <v>Fabcity</v>
          </cell>
        </row>
        <row r="2113">
          <cell r="A2113" t="str">
            <v>PEPPL0144</v>
          </cell>
          <cell r="AB2113" t="str">
            <v>Fabcity</v>
          </cell>
        </row>
        <row r="2114">
          <cell r="A2114" t="str">
            <v>PEIPL0194</v>
          </cell>
          <cell r="AB2114" t="str">
            <v>Fabcity</v>
          </cell>
        </row>
        <row r="2115">
          <cell r="A2115" t="str">
            <v>PSS0388</v>
          </cell>
          <cell r="AB2115" t="str">
            <v>Factory-Annaram</v>
          </cell>
        </row>
        <row r="2116">
          <cell r="A2116" t="str">
            <v>PEIPL0644</v>
          </cell>
          <cell r="AB2116" t="str">
            <v>Fabcity</v>
          </cell>
        </row>
        <row r="2117">
          <cell r="A2117" t="str">
            <v>PSS0553</v>
          </cell>
          <cell r="AB2117" t="str">
            <v>Factory-Annaram</v>
          </cell>
        </row>
        <row r="2118">
          <cell r="A2118" t="str">
            <v>PSS0620</v>
          </cell>
          <cell r="AB2118" t="str">
            <v>Factory-Annaram</v>
          </cell>
        </row>
        <row r="2119">
          <cell r="A2119" t="str">
            <v>PEIPL0228</v>
          </cell>
          <cell r="AB2119" t="str">
            <v>Fabcity</v>
          </cell>
        </row>
        <row r="2120">
          <cell r="A2120" t="str">
            <v>PEPPL0321</v>
          </cell>
          <cell r="AB2120" t="str">
            <v>Fabcity</v>
          </cell>
        </row>
        <row r="2121">
          <cell r="A2121" t="str">
            <v>PEPPL0338</v>
          </cell>
          <cell r="AB2121" t="str">
            <v>Fabcity</v>
          </cell>
        </row>
        <row r="2122">
          <cell r="A2122" t="str">
            <v>PEPPL0434</v>
          </cell>
          <cell r="AB2122" t="str">
            <v>Fabcity</v>
          </cell>
        </row>
        <row r="2123">
          <cell r="A2123" t="str">
            <v>PSS1431</v>
          </cell>
          <cell r="AB2123" t="str">
            <v>Corporate Office</v>
          </cell>
        </row>
        <row r="2124">
          <cell r="A2124" t="str">
            <v>PEGEPL0139</v>
          </cell>
          <cell r="AB2124" t="str">
            <v>City Office</v>
          </cell>
        </row>
        <row r="2125">
          <cell r="A2125" t="str">
            <v>PEIPL0697</v>
          </cell>
          <cell r="AB2125" t="str">
            <v>Fabcity</v>
          </cell>
        </row>
        <row r="2126">
          <cell r="A2126" t="str">
            <v>PEPPL0759</v>
          </cell>
          <cell r="AB2126" t="str">
            <v>Mumbai</v>
          </cell>
        </row>
        <row r="2127">
          <cell r="A2127" t="str">
            <v>PEPPL0659</v>
          </cell>
          <cell r="AB2127" t="str">
            <v>City Office</v>
          </cell>
        </row>
        <row r="2128">
          <cell r="A2128" t="str">
            <v>PEIPL0591</v>
          </cell>
          <cell r="AB2128" t="str">
            <v>Fabcity</v>
          </cell>
        </row>
        <row r="2129">
          <cell r="A2129" t="str">
            <v>PEPPL0638</v>
          </cell>
          <cell r="AB2129" t="str">
            <v>Fabcity</v>
          </cell>
        </row>
        <row r="2130">
          <cell r="A2130" t="str">
            <v>P0263</v>
          </cell>
          <cell r="AB2130" t="str">
            <v>Vikas Nagar</v>
          </cell>
        </row>
        <row r="2131">
          <cell r="A2131" t="str">
            <v>PEIPL0291</v>
          </cell>
          <cell r="AB2131" t="str">
            <v>Fabcity</v>
          </cell>
        </row>
        <row r="2132">
          <cell r="A2132" t="str">
            <v>PEIPL0451</v>
          </cell>
          <cell r="AB2132" t="str">
            <v>Fabcity</v>
          </cell>
        </row>
        <row r="2133">
          <cell r="A2133" t="str">
            <v>PEPPL0096</v>
          </cell>
          <cell r="AB2133" t="str">
            <v>Fabcity</v>
          </cell>
        </row>
        <row r="2134">
          <cell r="A2134" t="str">
            <v>PEPPL0767</v>
          </cell>
          <cell r="AB2134" t="str">
            <v>Fabcity</v>
          </cell>
        </row>
        <row r="2135">
          <cell r="A2135" t="str">
            <v>PEIPL0405</v>
          </cell>
          <cell r="AB2135" t="str">
            <v>Fabcity</v>
          </cell>
        </row>
        <row r="2136">
          <cell r="A2136" t="str">
            <v>PEGEPL0133</v>
          </cell>
          <cell r="AB2136" t="str">
            <v>Fabcity</v>
          </cell>
        </row>
        <row r="2137">
          <cell r="A2137" t="str">
            <v>BDPL0013</v>
          </cell>
          <cell r="AB2137" t="str">
            <v>Bidar</v>
          </cell>
        </row>
        <row r="2138">
          <cell r="A2138" t="str">
            <v>P0489</v>
          </cell>
          <cell r="AB2138" t="str">
            <v>Bidar</v>
          </cell>
        </row>
        <row r="2139">
          <cell r="A2139" t="str">
            <v>P0352</v>
          </cell>
          <cell r="AB2139" t="str">
            <v>Bidar</v>
          </cell>
        </row>
        <row r="2140">
          <cell r="A2140" t="str">
            <v>BDPL0033</v>
          </cell>
          <cell r="AB2140" t="str">
            <v>Hubli</v>
          </cell>
        </row>
        <row r="2141">
          <cell r="A2141" t="str">
            <v>P0482</v>
          </cell>
          <cell r="AB2141" t="str">
            <v>Hubli</v>
          </cell>
        </row>
        <row r="2142">
          <cell r="A2142" t="str">
            <v>PEIPL0432</v>
          </cell>
          <cell r="AB2142" t="str">
            <v>Fabcity</v>
          </cell>
        </row>
        <row r="2143">
          <cell r="A2143" t="str">
            <v>PEPPL0106</v>
          </cell>
          <cell r="AB2143" t="str">
            <v>Fabcity</v>
          </cell>
        </row>
        <row r="2144">
          <cell r="A2144" t="str">
            <v>P0294</v>
          </cell>
          <cell r="AB2144" t="str">
            <v>Vikas Nagar</v>
          </cell>
        </row>
        <row r="2145">
          <cell r="A2145" t="str">
            <v>PEPPL0365</v>
          </cell>
          <cell r="AB2145" t="str">
            <v>Fabcity</v>
          </cell>
        </row>
        <row r="2146">
          <cell r="A2146" t="str">
            <v>PEPPL0100</v>
          </cell>
          <cell r="AB2146" t="str">
            <v>Fabcity</v>
          </cell>
        </row>
        <row r="2147">
          <cell r="A2147" t="str">
            <v>PEPPL0412</v>
          </cell>
          <cell r="AB2147" t="str">
            <v>Fabcity</v>
          </cell>
        </row>
        <row r="2148">
          <cell r="A2148" t="str">
            <v>PEIPL0682</v>
          </cell>
          <cell r="AB2148" t="str">
            <v>Fabcity</v>
          </cell>
        </row>
        <row r="2149">
          <cell r="A2149" t="str">
            <v>PEPPL0037</v>
          </cell>
          <cell r="AB2149" t="str">
            <v>Fabcity</v>
          </cell>
        </row>
        <row r="2150">
          <cell r="A2150" t="str">
            <v>PEIPL0245</v>
          </cell>
          <cell r="AB2150" t="str">
            <v>Fabcity</v>
          </cell>
        </row>
        <row r="2151">
          <cell r="A2151" t="str">
            <v>PEPPL0068</v>
          </cell>
          <cell r="AB2151" t="str">
            <v>Fabcity</v>
          </cell>
        </row>
        <row r="2152">
          <cell r="A2152" t="str">
            <v>PEPPL0732</v>
          </cell>
          <cell r="AB2152" t="str">
            <v>Fabcity</v>
          </cell>
        </row>
        <row r="2153">
          <cell r="A2153" t="str">
            <v>PSS1384</v>
          </cell>
          <cell r="AB2153" t="str">
            <v>Fabcity</v>
          </cell>
        </row>
        <row r="2154">
          <cell r="A2154" t="str">
            <v>PEGEPL0079</v>
          </cell>
          <cell r="AB2154" t="str">
            <v>Fabcity</v>
          </cell>
        </row>
        <row r="2155">
          <cell r="A2155" t="str">
            <v>PEPPL0650</v>
          </cell>
          <cell r="AB2155" t="str">
            <v>Corporate Office</v>
          </cell>
        </row>
        <row r="2156">
          <cell r="A2156" t="str">
            <v>PEPPL0262</v>
          </cell>
          <cell r="AB2156" t="str">
            <v>Fabcity</v>
          </cell>
        </row>
        <row r="2157">
          <cell r="A2157" t="str">
            <v>PEPPL0718</v>
          </cell>
          <cell r="AB2157" t="str">
            <v>Fabcity</v>
          </cell>
        </row>
        <row r="2158">
          <cell r="A2158" t="str">
            <v>PEIPL0544</v>
          </cell>
          <cell r="AB2158" t="str">
            <v>Fabcity</v>
          </cell>
        </row>
        <row r="2159">
          <cell r="A2159" t="str">
            <v>PSS0884</v>
          </cell>
          <cell r="AB2159" t="str">
            <v>Factory-Annaram</v>
          </cell>
        </row>
        <row r="2160">
          <cell r="A2160" t="str">
            <v>PEPPL0431</v>
          </cell>
          <cell r="AB2160" t="str">
            <v>Fabcity</v>
          </cell>
        </row>
        <row r="2161">
          <cell r="A2161" t="str">
            <v>PEPPL0401</v>
          </cell>
          <cell r="AB2161" t="str">
            <v>Fabcity</v>
          </cell>
        </row>
        <row r="2162">
          <cell r="A2162" t="str">
            <v>PEIPL0768</v>
          </cell>
          <cell r="AB2162" t="str">
            <v>Fabcity</v>
          </cell>
        </row>
        <row r="2163">
          <cell r="A2163" t="str">
            <v>PSS0315</v>
          </cell>
          <cell r="AB2163" t="str">
            <v>Factory-Annaram</v>
          </cell>
        </row>
        <row r="2164">
          <cell r="A2164" t="str">
            <v>PEPPL0596</v>
          </cell>
          <cell r="AB2164" t="str">
            <v>Fabcity</v>
          </cell>
        </row>
        <row r="2165">
          <cell r="A2165" t="str">
            <v>PEPPL0555</v>
          </cell>
          <cell r="AB2165" t="str">
            <v>Fabcity</v>
          </cell>
        </row>
        <row r="2166">
          <cell r="A2166" t="str">
            <v>PEIPL0070</v>
          </cell>
          <cell r="AB2166" t="str">
            <v>Fabcity</v>
          </cell>
        </row>
        <row r="2167">
          <cell r="A2167" t="str">
            <v>PEIPL0090</v>
          </cell>
          <cell r="AB2167" t="str">
            <v>Fabcity</v>
          </cell>
        </row>
        <row r="2168">
          <cell r="A2168" t="str">
            <v>PEIPL0606</v>
          </cell>
          <cell r="AB2168" t="str">
            <v>Fabcity</v>
          </cell>
        </row>
        <row r="2169">
          <cell r="A2169" t="str">
            <v>PEPPL0140</v>
          </cell>
          <cell r="AB2169" t="str">
            <v>Fabcity</v>
          </cell>
        </row>
        <row r="2170">
          <cell r="A2170" t="str">
            <v>PSS1123</v>
          </cell>
          <cell r="AB2170" t="str">
            <v>Corporate Office</v>
          </cell>
        </row>
        <row r="2171">
          <cell r="A2171" t="str">
            <v>PEPPL0702</v>
          </cell>
          <cell r="AB2171" t="str">
            <v>Fabcity</v>
          </cell>
        </row>
        <row r="2172">
          <cell r="A2172" t="str">
            <v>PEPPL0399</v>
          </cell>
          <cell r="AB2172" t="str">
            <v>Fabcity</v>
          </cell>
        </row>
        <row r="2173">
          <cell r="A2173" t="str">
            <v>P0329</v>
          </cell>
          <cell r="AB2173" t="str">
            <v>Corporate Office</v>
          </cell>
        </row>
        <row r="2174">
          <cell r="A2174" t="str">
            <v>PSS1326</v>
          </cell>
          <cell r="AB2174" t="str">
            <v>New Delhi</v>
          </cell>
        </row>
        <row r="2175">
          <cell r="A2175" t="str">
            <v>PSS1347</v>
          </cell>
          <cell r="AB2175" t="str">
            <v>New Delhi</v>
          </cell>
        </row>
        <row r="2176">
          <cell r="A2176" t="str">
            <v>PEIPL0206</v>
          </cell>
          <cell r="AB2176" t="str">
            <v>Fabcity</v>
          </cell>
        </row>
        <row r="2177">
          <cell r="A2177" t="str">
            <v>PEIPL0549</v>
          </cell>
          <cell r="AB2177" t="str">
            <v>Fabcity</v>
          </cell>
        </row>
        <row r="2178">
          <cell r="A2178" t="str">
            <v>PEIPL0030</v>
          </cell>
          <cell r="AB2178" t="str">
            <v>Fabcity</v>
          </cell>
        </row>
        <row r="2179">
          <cell r="A2179" t="str">
            <v>PEPPL0768</v>
          </cell>
          <cell r="AB2179" t="str">
            <v>Fabcity</v>
          </cell>
        </row>
        <row r="2180">
          <cell r="A2180" t="str">
            <v>PSS1248</v>
          </cell>
          <cell r="AB2180" t="str">
            <v>Lucknow</v>
          </cell>
        </row>
        <row r="2181">
          <cell r="A2181" t="str">
            <v>PEPPL0046</v>
          </cell>
          <cell r="AB2181" t="str">
            <v>Corporate Office</v>
          </cell>
        </row>
        <row r="2182">
          <cell r="A2182" t="str">
            <v>PEGEPL0010</v>
          </cell>
          <cell r="AB2182" t="str">
            <v>Fabcity</v>
          </cell>
        </row>
        <row r="2183">
          <cell r="A2183" t="str">
            <v>PSS0540</v>
          </cell>
          <cell r="AB2183" t="str">
            <v>Factory-Annaram</v>
          </cell>
        </row>
        <row r="2184">
          <cell r="A2184" t="str">
            <v>PEPPL0303</v>
          </cell>
          <cell r="AB2184" t="str">
            <v>Fabcity</v>
          </cell>
        </row>
        <row r="2185">
          <cell r="A2185" t="str">
            <v>PEPPL0652</v>
          </cell>
          <cell r="AB2185" t="str">
            <v>Corporate Office</v>
          </cell>
        </row>
        <row r="2186">
          <cell r="A2186" t="str">
            <v>PSS1385</v>
          </cell>
          <cell r="AB2186" t="str">
            <v>Corporate Office</v>
          </cell>
        </row>
        <row r="2187">
          <cell r="A2187" t="str">
            <v>PEIPL0475</v>
          </cell>
          <cell r="AB2187" t="str">
            <v>Fabcity</v>
          </cell>
        </row>
        <row r="2188">
          <cell r="A2188" t="str">
            <v>PSS0049</v>
          </cell>
          <cell r="AB2188" t="str">
            <v>Factory-Annaram</v>
          </cell>
        </row>
        <row r="2189">
          <cell r="A2189" t="str">
            <v>PEIPL0488</v>
          </cell>
          <cell r="AB2189" t="str">
            <v>Fabcity</v>
          </cell>
        </row>
        <row r="2190">
          <cell r="A2190" t="str">
            <v>PSS0685</v>
          </cell>
          <cell r="AB2190" t="str">
            <v>City Office</v>
          </cell>
        </row>
        <row r="2191">
          <cell r="A2191" t="str">
            <v>P0123</v>
          </cell>
          <cell r="AB2191" t="str">
            <v>Corporate Office</v>
          </cell>
        </row>
        <row r="2192">
          <cell r="A2192" t="str">
            <v>PSS0061</v>
          </cell>
          <cell r="AB2192" t="str">
            <v>Factory-Annaram</v>
          </cell>
        </row>
        <row r="2193">
          <cell r="A2193" t="str">
            <v>PEIPL0572</v>
          </cell>
          <cell r="AB2193" t="str">
            <v>Fabcity</v>
          </cell>
        </row>
        <row r="2194">
          <cell r="A2194" t="str">
            <v>PEPPL0806</v>
          </cell>
          <cell r="AB2194" t="str">
            <v>Fabcity</v>
          </cell>
        </row>
        <row r="2195">
          <cell r="A2195" t="str">
            <v>P0436</v>
          </cell>
          <cell r="AB2195" t="str">
            <v>CEMCOT</v>
          </cell>
        </row>
        <row r="2196">
          <cell r="A2196" t="str">
            <v>PEIPL0148</v>
          </cell>
          <cell r="AB2196" t="str">
            <v>Fabcity</v>
          </cell>
        </row>
        <row r="2197">
          <cell r="A2197" t="str">
            <v>PEPPL0595</v>
          </cell>
          <cell r="AB2197" t="str">
            <v>Fabcity</v>
          </cell>
        </row>
        <row r="2198">
          <cell r="A2198" t="str">
            <v>PEIPL0259</v>
          </cell>
          <cell r="AB2198" t="str">
            <v>Fabcity</v>
          </cell>
        </row>
        <row r="2199">
          <cell r="A2199" t="str">
            <v>PEPPL0779</v>
          </cell>
          <cell r="AB2199" t="str">
            <v>Fabcity</v>
          </cell>
        </row>
        <row r="2200">
          <cell r="A2200" t="str">
            <v>PSS1424</v>
          </cell>
          <cell r="AB2200" t="str">
            <v>Corporate Office</v>
          </cell>
        </row>
        <row r="2201">
          <cell r="A2201" t="str">
            <v>PEGEPL0057</v>
          </cell>
          <cell r="AB2201" t="str">
            <v>Fabcity</v>
          </cell>
        </row>
        <row r="2202">
          <cell r="A2202" t="str">
            <v>PEPPL0548</v>
          </cell>
          <cell r="AB2202" t="str">
            <v>Fabcity</v>
          </cell>
        </row>
        <row r="2203">
          <cell r="A2203" t="str">
            <v>PEIPL0398</v>
          </cell>
          <cell r="AB2203" t="str">
            <v>Fabcity</v>
          </cell>
        </row>
        <row r="2204">
          <cell r="A2204" t="str">
            <v>PEPPL0757</v>
          </cell>
          <cell r="AB2204" t="str">
            <v>Fabcity</v>
          </cell>
        </row>
        <row r="2205">
          <cell r="A2205" t="str">
            <v>PEPPL0493</v>
          </cell>
          <cell r="AB2205" t="str">
            <v>Fabcity</v>
          </cell>
        </row>
        <row r="2206">
          <cell r="A2206" t="str">
            <v>PEIPL0447</v>
          </cell>
          <cell r="AB2206" t="str">
            <v>Fabcity</v>
          </cell>
        </row>
        <row r="2207">
          <cell r="A2207" t="str">
            <v>PEGEPL0051</v>
          </cell>
          <cell r="AB2207" t="str">
            <v>Fabcity</v>
          </cell>
        </row>
        <row r="2208">
          <cell r="A2208" t="str">
            <v>PEGEPL0081</v>
          </cell>
          <cell r="AB2208" t="str">
            <v>Fabcity</v>
          </cell>
        </row>
        <row r="2209">
          <cell r="A2209" t="str">
            <v>PEPPL0391</v>
          </cell>
          <cell r="AB2209" t="str">
            <v>Fabcity</v>
          </cell>
        </row>
        <row r="2210">
          <cell r="A2210" t="str">
            <v>PEIPL0560</v>
          </cell>
          <cell r="AB2210" t="str">
            <v>Fabcity</v>
          </cell>
        </row>
        <row r="2211">
          <cell r="A2211" t="str">
            <v>PEIPL0719</v>
          </cell>
          <cell r="AB2211" t="str">
            <v>Fabcity</v>
          </cell>
        </row>
        <row r="2212">
          <cell r="A2212" t="str">
            <v>PEPPL0795</v>
          </cell>
          <cell r="AB2212" t="str">
            <v>Fabcity</v>
          </cell>
        </row>
        <row r="2213">
          <cell r="A2213" t="str">
            <v>PEPPL0355</v>
          </cell>
          <cell r="AB2213" t="str">
            <v>Fabcity</v>
          </cell>
        </row>
        <row r="2214">
          <cell r="A2214" t="str">
            <v>PSS0629</v>
          </cell>
          <cell r="AB2214" t="str">
            <v>Factory-Annaram</v>
          </cell>
        </row>
        <row r="2215">
          <cell r="A2215" t="str">
            <v>PSS0851</v>
          </cell>
          <cell r="AB2215" t="str">
            <v>Corporate Office</v>
          </cell>
        </row>
        <row r="2216">
          <cell r="A2216" t="str">
            <v>PEPPL0484</v>
          </cell>
          <cell r="AB2216" t="str">
            <v>Fabcity</v>
          </cell>
        </row>
        <row r="2217">
          <cell r="A2217" t="str">
            <v>PEPPL0578</v>
          </cell>
          <cell r="AB2217" t="str">
            <v>Fabcity</v>
          </cell>
        </row>
        <row r="2218">
          <cell r="A2218" t="str">
            <v>PEPPL0073</v>
          </cell>
          <cell r="AB2218" t="str">
            <v>Fabcity</v>
          </cell>
        </row>
        <row r="2219">
          <cell r="A2219" t="str">
            <v>PEGEPL0056</v>
          </cell>
          <cell r="AB2219" t="str">
            <v>Fabcity</v>
          </cell>
        </row>
        <row r="2220">
          <cell r="A2220" t="str">
            <v>PSS0423</v>
          </cell>
          <cell r="AB2220" t="str">
            <v>Factory-Annaram</v>
          </cell>
        </row>
        <row r="2221">
          <cell r="A2221" t="str">
            <v>PEIPL0334</v>
          </cell>
          <cell r="AB2221" t="str">
            <v>Fabcity</v>
          </cell>
        </row>
        <row r="2222">
          <cell r="A2222" t="str">
            <v>PEPPL0199</v>
          </cell>
          <cell r="AB2222" t="str">
            <v>Fabcity</v>
          </cell>
        </row>
        <row r="2223">
          <cell r="A2223" t="str">
            <v>PSS1137</v>
          </cell>
          <cell r="AB2223" t="str">
            <v>City Office</v>
          </cell>
        </row>
        <row r="2224">
          <cell r="A2224" t="str">
            <v>PSS1185</v>
          </cell>
          <cell r="AB2224" t="str">
            <v>Factory-Annaram</v>
          </cell>
        </row>
        <row r="2225">
          <cell r="A2225" t="str">
            <v>PSS0918</v>
          </cell>
          <cell r="AB2225" t="str">
            <v>Factory-Annaram</v>
          </cell>
        </row>
        <row r="2226">
          <cell r="A2226" t="str">
            <v>PEPPL0142</v>
          </cell>
          <cell r="AB2226" t="str">
            <v>Fabcity</v>
          </cell>
        </row>
        <row r="2227">
          <cell r="A2227" t="str">
            <v>PSS1320</v>
          </cell>
          <cell r="AB2227" t="str">
            <v>Lucknow</v>
          </cell>
        </row>
        <row r="2228">
          <cell r="A2228" t="str">
            <v>PEPPL0090</v>
          </cell>
          <cell r="AB2228" t="str">
            <v>Fabcity</v>
          </cell>
        </row>
        <row r="2229">
          <cell r="A2229" t="str">
            <v>PEIPL0303</v>
          </cell>
          <cell r="AB2229" t="str">
            <v>Fabcity</v>
          </cell>
        </row>
        <row r="2230">
          <cell r="A2230" t="str">
            <v>PSS1296</v>
          </cell>
          <cell r="AB2230" t="str">
            <v>Factory-Annaram</v>
          </cell>
        </row>
        <row r="2231">
          <cell r="A2231" t="str">
            <v>PEPPL0025</v>
          </cell>
          <cell r="AB2231" t="str">
            <v>Fabcity</v>
          </cell>
        </row>
        <row r="2232">
          <cell r="A2232" t="str">
            <v>P0463</v>
          </cell>
          <cell r="AB2232" t="str">
            <v>Vikas Nagar</v>
          </cell>
        </row>
        <row r="2233">
          <cell r="A2233" t="str">
            <v>P0464</v>
          </cell>
          <cell r="AB2233" t="str">
            <v>Vikas Nagar</v>
          </cell>
        </row>
        <row r="2234">
          <cell r="A2234" t="str">
            <v>P0379</v>
          </cell>
          <cell r="AB2234" t="str">
            <v>Vikas Nagar</v>
          </cell>
        </row>
        <row r="2235">
          <cell r="A2235" t="str">
            <v>PEIPL0808</v>
          </cell>
          <cell r="AB2235" t="str">
            <v>Corporate Office</v>
          </cell>
        </row>
        <row r="2236">
          <cell r="A2236" t="str">
            <v>PEIPL0169</v>
          </cell>
          <cell r="AB2236" t="str">
            <v>Fabcity</v>
          </cell>
        </row>
        <row r="2237">
          <cell r="A2237" t="str">
            <v>PSS0354</v>
          </cell>
          <cell r="AB2237" t="str">
            <v>Factory-Annaram</v>
          </cell>
        </row>
        <row r="2238">
          <cell r="A2238" t="str">
            <v>PEIPL0265</v>
          </cell>
          <cell r="AB2238" t="str">
            <v>Fabcity</v>
          </cell>
        </row>
        <row r="2239">
          <cell r="A2239" t="str">
            <v>PEPPL0866</v>
          </cell>
          <cell r="AB2239" t="str">
            <v>Corporate Office</v>
          </cell>
        </row>
        <row r="2240">
          <cell r="A2240" t="str">
            <v>PSS1202</v>
          </cell>
          <cell r="AB2240" t="str">
            <v>Factory-Annaram</v>
          </cell>
        </row>
        <row r="2241">
          <cell r="A2241" t="str">
            <v>PEIPL0120</v>
          </cell>
          <cell r="AB2241" t="str">
            <v>City Office</v>
          </cell>
        </row>
        <row r="2242">
          <cell r="A2242" t="str">
            <v>PSS0013</v>
          </cell>
          <cell r="AB2242" t="str">
            <v>Corporate Office</v>
          </cell>
        </row>
        <row r="2243">
          <cell r="A2243" t="str">
            <v>PSS0143</v>
          </cell>
          <cell r="AB2243" t="str">
            <v>Factory-Annaram</v>
          </cell>
        </row>
        <row r="2244">
          <cell r="A2244" t="str">
            <v>PSS0147</v>
          </cell>
          <cell r="AB2244" t="str">
            <v>Factory-Annaram</v>
          </cell>
        </row>
        <row r="2245">
          <cell r="A2245" t="str">
            <v>PSS0532</v>
          </cell>
          <cell r="AB2245" t="str">
            <v>Factory-Annaram</v>
          </cell>
        </row>
        <row r="2246">
          <cell r="A2246" t="str">
            <v>PEPPL0527</v>
          </cell>
          <cell r="AB2246" t="str">
            <v>Corporate Office</v>
          </cell>
        </row>
        <row r="2247">
          <cell r="A2247" t="str">
            <v>PSS0250</v>
          </cell>
          <cell r="AB2247" t="str">
            <v>Factory-Annaram</v>
          </cell>
        </row>
        <row r="2248">
          <cell r="A2248" t="str">
            <v>PSS0207</v>
          </cell>
          <cell r="AB2248" t="str">
            <v>Factory-Annaram</v>
          </cell>
        </row>
        <row r="2249">
          <cell r="A2249" t="str">
            <v>PSS1430</v>
          </cell>
          <cell r="AB2249" t="str">
            <v>Corporate Office</v>
          </cell>
        </row>
        <row r="2250">
          <cell r="A2250" t="str">
            <v>PSS0142</v>
          </cell>
          <cell r="AB2250" t="str">
            <v>Factory-Annaram</v>
          </cell>
        </row>
        <row r="2251">
          <cell r="A2251" t="str">
            <v>PSS0065</v>
          </cell>
          <cell r="AB2251" t="str">
            <v>City Office</v>
          </cell>
        </row>
        <row r="2252">
          <cell r="A2252" t="str">
            <v>PSS0063</v>
          </cell>
          <cell r="AB2252" t="str">
            <v>Corporate Office</v>
          </cell>
        </row>
        <row r="2253">
          <cell r="A2253" t="str">
            <v>PSS0712</v>
          </cell>
          <cell r="AB2253" t="str">
            <v>Corporate Office</v>
          </cell>
        </row>
        <row r="2254">
          <cell r="A2254" t="str">
            <v>PEPPL0710</v>
          </cell>
          <cell r="AB2254" t="str">
            <v>Fabcity</v>
          </cell>
        </row>
        <row r="2255">
          <cell r="A2255" t="str">
            <v>PEIPL0021</v>
          </cell>
          <cell r="AB2255" t="str">
            <v>Fabcity</v>
          </cell>
        </row>
        <row r="2256">
          <cell r="A2256" t="str">
            <v>PEIPL0601</v>
          </cell>
          <cell r="AB2256" t="str">
            <v>Fabcity</v>
          </cell>
        </row>
        <row r="2257">
          <cell r="A2257" t="str">
            <v>PEIPL0680</v>
          </cell>
          <cell r="AB2257" t="str">
            <v>Fabcity</v>
          </cell>
        </row>
        <row r="2258">
          <cell r="A2258" t="str">
            <v>PEGEPL0026</v>
          </cell>
          <cell r="AB2258" t="str">
            <v>Fabcity</v>
          </cell>
        </row>
        <row r="2259">
          <cell r="A2259" t="str">
            <v>PEIPL0212</v>
          </cell>
          <cell r="AB2259" t="str">
            <v>Fabcity</v>
          </cell>
        </row>
        <row r="2260">
          <cell r="A2260" t="str">
            <v>PEPPL0546</v>
          </cell>
          <cell r="AB2260" t="str">
            <v>Corporate Office</v>
          </cell>
        </row>
        <row r="2261">
          <cell r="A2261" t="str">
            <v>PSS1213</v>
          </cell>
          <cell r="AB2261" t="str">
            <v>Corporate Office</v>
          </cell>
        </row>
        <row r="2262">
          <cell r="A2262" t="str">
            <v>PSS0214</v>
          </cell>
          <cell r="AB2262" t="str">
            <v>Factory-Annaram</v>
          </cell>
        </row>
        <row r="2263">
          <cell r="A2263" t="str">
            <v>PEIPL0223</v>
          </cell>
          <cell r="AB2263" t="str">
            <v>Fabcity</v>
          </cell>
        </row>
        <row r="2264">
          <cell r="A2264" t="str">
            <v>PSS0410</v>
          </cell>
          <cell r="AB2264" t="str">
            <v>Factory-Annaram</v>
          </cell>
        </row>
        <row r="2265">
          <cell r="A2265" t="str">
            <v>PEIPL0489</v>
          </cell>
          <cell r="AB2265" t="str">
            <v>Fabcity</v>
          </cell>
        </row>
        <row r="2266">
          <cell r="A2266" t="str">
            <v>P0336</v>
          </cell>
          <cell r="AB2266" t="str">
            <v>Assam</v>
          </cell>
        </row>
        <row r="2267">
          <cell r="A2267" t="str">
            <v>PEIPL0289</v>
          </cell>
          <cell r="AB2267" t="str">
            <v>Fabcity</v>
          </cell>
        </row>
        <row r="2268">
          <cell r="A2268" t="str">
            <v>PEIPL0762</v>
          </cell>
          <cell r="AB2268" t="str">
            <v>Fabcity</v>
          </cell>
        </row>
        <row r="2269">
          <cell r="A2269" t="str">
            <v>PEPPL0108</v>
          </cell>
          <cell r="AB2269" t="str">
            <v>Fabcity</v>
          </cell>
        </row>
        <row r="2270">
          <cell r="A2270" t="str">
            <v>PEIPL0049</v>
          </cell>
          <cell r="AB2270" t="str">
            <v>Fabcity</v>
          </cell>
        </row>
        <row r="2271">
          <cell r="A2271" t="str">
            <v>BDPL0022</v>
          </cell>
          <cell r="AB2271" t="str">
            <v>Nirna</v>
          </cell>
        </row>
        <row r="2272">
          <cell r="A2272" t="str">
            <v>P0378</v>
          </cell>
          <cell r="AB2272" t="str">
            <v>Karnataka</v>
          </cell>
        </row>
        <row r="2273">
          <cell r="A2273" t="str">
            <v>P0493</v>
          </cell>
          <cell r="AB2273" t="str">
            <v>Nirna</v>
          </cell>
        </row>
        <row r="2274">
          <cell r="A2274" t="str">
            <v>PSS0273</v>
          </cell>
          <cell r="AB2274" t="str">
            <v>Raipur</v>
          </cell>
        </row>
        <row r="2275">
          <cell r="A2275" t="str">
            <v>PEPPL0074</v>
          </cell>
          <cell r="AB2275" t="str">
            <v>Fabcity</v>
          </cell>
        </row>
        <row r="2276">
          <cell r="A2276" t="str">
            <v>PEIPL0360</v>
          </cell>
          <cell r="AB2276" t="str">
            <v>Fabcity</v>
          </cell>
        </row>
        <row r="2277">
          <cell r="A2277" t="str">
            <v>PEIPL0028</v>
          </cell>
          <cell r="AB2277" t="str">
            <v>Fabcity</v>
          </cell>
        </row>
        <row r="2278">
          <cell r="A2278" t="str">
            <v>PEPPL0028</v>
          </cell>
          <cell r="AB2278" t="str">
            <v>Fabcity</v>
          </cell>
        </row>
        <row r="2279">
          <cell r="A2279" t="str">
            <v>PEIPL0743</v>
          </cell>
          <cell r="AB2279" t="str">
            <v>Fabcity</v>
          </cell>
        </row>
        <row r="2280">
          <cell r="A2280" t="str">
            <v>PEGEPL0088</v>
          </cell>
          <cell r="AB2280" t="str">
            <v>Fabcity</v>
          </cell>
        </row>
        <row r="2281">
          <cell r="A2281" t="str">
            <v>PEPPL0782</v>
          </cell>
          <cell r="AB2281" t="str">
            <v>Fabcity</v>
          </cell>
        </row>
        <row r="2282">
          <cell r="A2282" t="str">
            <v>PEIPL0354</v>
          </cell>
          <cell r="AB2282" t="str">
            <v>Fabcity</v>
          </cell>
        </row>
        <row r="2283">
          <cell r="A2283" t="str">
            <v>PEPPL0105</v>
          </cell>
          <cell r="AB2283" t="str">
            <v>Fabcity</v>
          </cell>
        </row>
        <row r="2284">
          <cell r="A2284" t="str">
            <v>PEIPL0758</v>
          </cell>
          <cell r="AB2284" t="str">
            <v>Fabcity</v>
          </cell>
        </row>
        <row r="2285">
          <cell r="A2285" t="str">
            <v>PEPPL0487</v>
          </cell>
          <cell r="AB2285" t="str">
            <v>Fabcity</v>
          </cell>
        </row>
        <row r="2286">
          <cell r="A2286" t="str">
            <v>PSS0004</v>
          </cell>
          <cell r="AB2286" t="str">
            <v>UGANDA</v>
          </cell>
        </row>
        <row r="2287">
          <cell r="A2287" t="str">
            <v>PEIPL0224</v>
          </cell>
          <cell r="AB2287" t="str">
            <v>Fabcity</v>
          </cell>
        </row>
        <row r="2288">
          <cell r="A2288" t="str">
            <v>PEIPL0433</v>
          </cell>
          <cell r="AB2288" t="str">
            <v>Fabcity</v>
          </cell>
        </row>
        <row r="2289">
          <cell r="A2289" t="str">
            <v>PEPPL0164</v>
          </cell>
          <cell r="AB2289" t="str">
            <v>Fabcity</v>
          </cell>
        </row>
        <row r="2290">
          <cell r="A2290" t="str">
            <v>PSS1286</v>
          </cell>
          <cell r="AB2290" t="str">
            <v>Corporate Office</v>
          </cell>
        </row>
        <row r="2291">
          <cell r="A2291" t="str">
            <v>PEPPL0280</v>
          </cell>
          <cell r="AB2291" t="str">
            <v>Fabcity</v>
          </cell>
        </row>
        <row r="2292">
          <cell r="A2292" t="str">
            <v>PEPPL0486</v>
          </cell>
          <cell r="AB2292" t="str">
            <v>Fabcity</v>
          </cell>
        </row>
        <row r="2293">
          <cell r="A2293" t="str">
            <v>P0291</v>
          </cell>
          <cell r="AB2293" t="str">
            <v>Vikas Nagar</v>
          </cell>
        </row>
        <row r="2294">
          <cell r="A2294" t="str">
            <v>P0335</v>
          </cell>
          <cell r="AB2294" t="str">
            <v>Kanva</v>
          </cell>
        </row>
        <row r="2295">
          <cell r="A2295" t="str">
            <v>PSS1035</v>
          </cell>
          <cell r="AB2295" t="str">
            <v>Corporate Office</v>
          </cell>
        </row>
        <row r="2296">
          <cell r="A2296" t="str">
            <v>PSS0890</v>
          </cell>
          <cell r="AB2296" t="str">
            <v>Factory-Annaram</v>
          </cell>
        </row>
        <row r="2297">
          <cell r="A2297" t="str">
            <v>PEPPL0120</v>
          </cell>
          <cell r="AB2297" t="str">
            <v>Fabcity</v>
          </cell>
        </row>
        <row r="2298">
          <cell r="A2298" t="str">
            <v>PEIPL0442</v>
          </cell>
          <cell r="AB2298" t="str">
            <v>Fabcity</v>
          </cell>
        </row>
        <row r="2299">
          <cell r="A2299" t="str">
            <v>PEPPL0734</v>
          </cell>
          <cell r="AB2299" t="str">
            <v>Fabcity</v>
          </cell>
        </row>
        <row r="2300">
          <cell r="A2300" t="str">
            <v>PEGEPL0009</v>
          </cell>
          <cell r="AB2300" t="str">
            <v>Fabcity</v>
          </cell>
        </row>
        <row r="2301">
          <cell r="A2301" t="str">
            <v>PSS1134</v>
          </cell>
          <cell r="AB2301" t="str">
            <v>Factory-Annaram</v>
          </cell>
        </row>
        <row r="2302">
          <cell r="A2302" t="str">
            <v>PEIPL0633</v>
          </cell>
          <cell r="AB2302" t="str">
            <v>Fabcity</v>
          </cell>
        </row>
        <row r="2303">
          <cell r="A2303" t="str">
            <v>PSS0464</v>
          </cell>
          <cell r="AB2303" t="str">
            <v>Corporate Office</v>
          </cell>
        </row>
        <row r="2304">
          <cell r="A2304" t="str">
            <v>PSS1251</v>
          </cell>
          <cell r="AB2304" t="str">
            <v>Corporate Office</v>
          </cell>
        </row>
        <row r="2305">
          <cell r="A2305" t="str">
            <v>PEIPL0236</v>
          </cell>
          <cell r="AB2305" t="str">
            <v>Fabcity</v>
          </cell>
        </row>
        <row r="2306">
          <cell r="A2306" t="str">
            <v>PSS0181</v>
          </cell>
          <cell r="AB2306" t="str">
            <v>Factory-Annaram</v>
          </cell>
        </row>
        <row r="2307">
          <cell r="A2307" t="str">
            <v>PEIPL0502</v>
          </cell>
          <cell r="AB2307" t="str">
            <v>Fabcity</v>
          </cell>
        </row>
        <row r="2308">
          <cell r="A2308" t="str">
            <v>PSS1327</v>
          </cell>
          <cell r="AB2308" t="str">
            <v>City Office</v>
          </cell>
        </row>
        <row r="2309">
          <cell r="A2309" t="str">
            <v>PSS0120</v>
          </cell>
          <cell r="AB2309" t="str">
            <v>Factory-Annaram</v>
          </cell>
        </row>
        <row r="2310">
          <cell r="A2310" t="str">
            <v>PSS0121</v>
          </cell>
          <cell r="AB2310" t="str">
            <v>City Office</v>
          </cell>
        </row>
        <row r="2311">
          <cell r="A2311" t="str">
            <v>PSS0055</v>
          </cell>
          <cell r="AB2311" t="str">
            <v>Factory-Annaram</v>
          </cell>
        </row>
        <row r="2312">
          <cell r="A2312" t="str">
            <v>PEIPL0639</v>
          </cell>
          <cell r="AB2312" t="str">
            <v>Fabcity</v>
          </cell>
        </row>
        <row r="2313">
          <cell r="A2313" t="str">
            <v>PSS0117</v>
          </cell>
          <cell r="AB2313" t="str">
            <v>City Office</v>
          </cell>
        </row>
        <row r="2314">
          <cell r="A2314" t="str">
            <v>PEPPL0150</v>
          </cell>
          <cell r="AB2314" t="str">
            <v>Corporate Office</v>
          </cell>
        </row>
        <row r="2315">
          <cell r="A2315" t="str">
            <v>PEIPL0698</v>
          </cell>
          <cell r="AB2315" t="str">
            <v>Fabcity</v>
          </cell>
        </row>
        <row r="2316">
          <cell r="A2316" t="str">
            <v>PSS0028</v>
          </cell>
          <cell r="AB2316" t="str">
            <v>Factory-Annaram</v>
          </cell>
        </row>
        <row r="2317">
          <cell r="A2317" t="str">
            <v>PSS0135</v>
          </cell>
          <cell r="AB2317" t="str">
            <v>Corporate Office</v>
          </cell>
        </row>
        <row r="2318">
          <cell r="A2318" t="str">
            <v>PSS0154</v>
          </cell>
          <cell r="AB2318" t="str">
            <v>Corporate Office</v>
          </cell>
        </row>
        <row r="2319">
          <cell r="A2319" t="str">
            <v>PSS0248</v>
          </cell>
          <cell r="AB2319" t="str">
            <v>Lucknow</v>
          </cell>
        </row>
        <row r="2320">
          <cell r="A2320" t="str">
            <v>PSS0467</v>
          </cell>
          <cell r="AB2320" t="str">
            <v>Karnataka</v>
          </cell>
        </row>
        <row r="2321">
          <cell r="A2321" t="str">
            <v>PSS0660</v>
          </cell>
          <cell r="AB2321" t="str">
            <v>New Delhi</v>
          </cell>
        </row>
        <row r="2322">
          <cell r="A2322" t="str">
            <v>PSS0664</v>
          </cell>
          <cell r="AB2322" t="str">
            <v>New Delhi</v>
          </cell>
        </row>
        <row r="2323">
          <cell r="A2323" t="str">
            <v>PSS0681</v>
          </cell>
          <cell r="AB2323" t="str">
            <v>Corporate Office</v>
          </cell>
        </row>
        <row r="2324">
          <cell r="A2324" t="str">
            <v>PSS0729</v>
          </cell>
          <cell r="AB2324" t="str">
            <v>Corporate Office</v>
          </cell>
        </row>
        <row r="2325">
          <cell r="A2325" t="str">
            <v>PSS0741</v>
          </cell>
          <cell r="AB2325" t="str">
            <v>Corporate Office</v>
          </cell>
        </row>
        <row r="2326">
          <cell r="A2326" t="str">
            <v>PSS0779</v>
          </cell>
          <cell r="AB2326" t="str">
            <v>New Delhi</v>
          </cell>
        </row>
        <row r="2327">
          <cell r="A2327" t="str">
            <v>PSS1224</v>
          </cell>
          <cell r="AB2327" t="str">
            <v>City Office</v>
          </cell>
        </row>
        <row r="2328">
          <cell r="A2328" t="str">
            <v>PSS0852</v>
          </cell>
          <cell r="AB2328" t="str">
            <v>New Delhi</v>
          </cell>
        </row>
        <row r="2329">
          <cell r="A2329" t="str">
            <v>PSS0878</v>
          </cell>
          <cell r="AB2329" t="str">
            <v>Factory-Annaram</v>
          </cell>
        </row>
        <row r="2330">
          <cell r="A2330" t="str">
            <v>PSS0922</v>
          </cell>
          <cell r="AB2330" t="str">
            <v>Factory-Annaram</v>
          </cell>
        </row>
        <row r="2331">
          <cell r="A2331" t="str">
            <v>PSS0951</v>
          </cell>
          <cell r="AB2331" t="str">
            <v>Mandsaur</v>
          </cell>
        </row>
        <row r="2332">
          <cell r="A2332" t="str">
            <v>PSS0964</v>
          </cell>
          <cell r="AB2332" t="str">
            <v>Factory-Annaram</v>
          </cell>
        </row>
        <row r="2333">
          <cell r="A2333" t="str">
            <v>PSS0984</v>
          </cell>
          <cell r="AB2333" t="str">
            <v>Bhawanipur</v>
          </cell>
        </row>
        <row r="2334">
          <cell r="A2334" t="str">
            <v>PSS1030</v>
          </cell>
          <cell r="AB2334" t="str">
            <v>Corporate Office</v>
          </cell>
        </row>
        <row r="2335">
          <cell r="A2335" t="str">
            <v>PSS1067</v>
          </cell>
          <cell r="AB2335" t="str">
            <v>Factory-Annaram</v>
          </cell>
        </row>
        <row r="2336">
          <cell r="A2336" t="str">
            <v>PSS1068</v>
          </cell>
          <cell r="AB2336" t="str">
            <v>Corporate Office</v>
          </cell>
        </row>
        <row r="2337">
          <cell r="A2337" t="str">
            <v>PEPPL0015</v>
          </cell>
          <cell r="AB2337" t="str">
            <v>Corporate Office</v>
          </cell>
        </row>
        <row r="2338">
          <cell r="A2338" t="str">
            <v>PSS0946</v>
          </cell>
          <cell r="AB2338" t="str">
            <v>Corporate Office</v>
          </cell>
        </row>
        <row r="2339">
          <cell r="A2339" t="str">
            <v>PSS1046</v>
          </cell>
          <cell r="AB2339" t="str">
            <v>Belhar</v>
          </cell>
        </row>
        <row r="2340">
          <cell r="A2340" t="str">
            <v>PSS1075</v>
          </cell>
          <cell r="AB2340" t="str">
            <v>Banka</v>
          </cell>
        </row>
        <row r="2341">
          <cell r="A2341" t="str">
            <v>PSS1107</v>
          </cell>
          <cell r="AB2341" t="str">
            <v>Purnia</v>
          </cell>
        </row>
        <row r="2342">
          <cell r="A2342" t="str">
            <v>PSS1124</v>
          </cell>
          <cell r="AB2342" t="str">
            <v>Begusarai</v>
          </cell>
        </row>
        <row r="2343">
          <cell r="A2343" t="str">
            <v>PSS1172</v>
          </cell>
          <cell r="AB2343" t="str">
            <v>Araria</v>
          </cell>
        </row>
        <row r="2344">
          <cell r="A2344" t="str">
            <v>PEPPL0040</v>
          </cell>
          <cell r="AB2344" t="str">
            <v>Mumbai</v>
          </cell>
        </row>
        <row r="2345">
          <cell r="A2345" t="str">
            <v>P0115</v>
          </cell>
          <cell r="AB2345" t="str">
            <v>Deoghars</v>
          </cell>
        </row>
        <row r="2346">
          <cell r="A2346" t="str">
            <v>P0229</v>
          </cell>
          <cell r="AB2346" t="str">
            <v>Corporate Office</v>
          </cell>
        </row>
        <row r="2347">
          <cell r="A2347" t="str">
            <v>P0244</v>
          </cell>
          <cell r="AB2347" t="str">
            <v>Allahabad</v>
          </cell>
        </row>
        <row r="2348">
          <cell r="A2348" t="str">
            <v>P0256</v>
          </cell>
          <cell r="AB2348" t="str">
            <v>Vikas Nagar</v>
          </cell>
        </row>
        <row r="2349">
          <cell r="A2349" t="str">
            <v>P0258</v>
          </cell>
          <cell r="AB2349" t="str">
            <v>Vikas Nagar</v>
          </cell>
        </row>
        <row r="2350">
          <cell r="A2350" t="str">
            <v>P0262</v>
          </cell>
          <cell r="AB2350" t="str">
            <v>Vikas Nagar</v>
          </cell>
        </row>
        <row r="2351">
          <cell r="A2351" t="str">
            <v>P0265</v>
          </cell>
          <cell r="AB2351" t="str">
            <v>Vikas Nagar</v>
          </cell>
        </row>
        <row r="2352">
          <cell r="A2352" t="str">
            <v>P0270</v>
          </cell>
          <cell r="AB2352" t="str">
            <v>Vikas Nagar</v>
          </cell>
        </row>
        <row r="2353">
          <cell r="A2353" t="str">
            <v>P0292</v>
          </cell>
          <cell r="AB2353" t="str">
            <v>Vikas Nagar</v>
          </cell>
        </row>
        <row r="2354">
          <cell r="A2354" t="str">
            <v>P0343</v>
          </cell>
          <cell r="AB2354" t="str">
            <v>Vikas Nagar</v>
          </cell>
        </row>
        <row r="2355">
          <cell r="A2355" t="str">
            <v>P0345</v>
          </cell>
          <cell r="AB2355" t="str">
            <v>Corporate Office</v>
          </cell>
        </row>
        <row r="2356">
          <cell r="A2356" t="str">
            <v>P0405</v>
          </cell>
          <cell r="AB2356" t="str">
            <v>City Office</v>
          </cell>
        </row>
        <row r="2357">
          <cell r="A2357" t="str">
            <v>PEPPL0250</v>
          </cell>
          <cell r="AB2357" t="str">
            <v>Fabcity</v>
          </cell>
        </row>
        <row r="2358">
          <cell r="A2358" t="str">
            <v>P0408</v>
          </cell>
          <cell r="AB2358" t="str">
            <v>Corporate Office</v>
          </cell>
        </row>
        <row r="2359">
          <cell r="A2359" t="str">
            <v>PSS0714</v>
          </cell>
          <cell r="AB2359" t="str">
            <v>Corporate Office</v>
          </cell>
        </row>
        <row r="2360">
          <cell r="A2360" t="str">
            <v>PSS1023</v>
          </cell>
          <cell r="AB2360" t="str">
            <v>Corporate Office</v>
          </cell>
        </row>
        <row r="2361">
          <cell r="A2361" t="str">
            <v>PSS1072</v>
          </cell>
          <cell r="AB2361" t="str">
            <v>Corporate Office</v>
          </cell>
        </row>
        <row r="2362">
          <cell r="A2362" t="str">
            <v>PSS1032</v>
          </cell>
          <cell r="AB2362" t="str">
            <v>Corporate Office</v>
          </cell>
        </row>
        <row r="2363">
          <cell r="A2363" t="str">
            <v>PSS0711</v>
          </cell>
          <cell r="AB2363" t="str">
            <v>Corporate Office</v>
          </cell>
        </row>
        <row r="2364">
          <cell r="A2364" t="str">
            <v>PSS0094</v>
          </cell>
          <cell r="AB2364" t="str">
            <v>Factory-Annaram</v>
          </cell>
        </row>
        <row r="2365">
          <cell r="A2365" t="str">
            <v>PSS0100</v>
          </cell>
          <cell r="AB2365" t="str">
            <v>Factory-Annaram</v>
          </cell>
        </row>
        <row r="2366">
          <cell r="A2366" t="str">
            <v>PSS0369</v>
          </cell>
          <cell r="AB2366" t="str">
            <v>Factory-Annaram</v>
          </cell>
        </row>
        <row r="2367">
          <cell r="A2367" t="str">
            <v>PSS0431</v>
          </cell>
          <cell r="AB2367" t="str">
            <v>Factory-Annaram</v>
          </cell>
        </row>
        <row r="2368">
          <cell r="A2368" t="str">
            <v>PSS0450</v>
          </cell>
          <cell r="AB2368" t="str">
            <v>Factory-Annaram</v>
          </cell>
        </row>
        <row r="2369">
          <cell r="A2369" t="str">
            <v>PSS0452</v>
          </cell>
          <cell r="AB2369" t="str">
            <v>Factory-Annaram</v>
          </cell>
        </row>
        <row r="2370">
          <cell r="A2370" t="str">
            <v>PSS0497</v>
          </cell>
          <cell r="AB2370" t="str">
            <v>Corporate Office</v>
          </cell>
        </row>
        <row r="2371">
          <cell r="A2371" t="str">
            <v>PSS0751</v>
          </cell>
          <cell r="AB2371" t="str">
            <v>Lucknow</v>
          </cell>
        </row>
        <row r="2372">
          <cell r="A2372" t="str">
            <v>PSS1065</v>
          </cell>
          <cell r="AB2372" t="str">
            <v>Corporate Office</v>
          </cell>
        </row>
        <row r="2373">
          <cell r="A2373" t="str">
            <v>PSS1089</v>
          </cell>
          <cell r="AB2373" t="str">
            <v>Factory-Annaram</v>
          </cell>
        </row>
        <row r="2374">
          <cell r="A2374" t="str">
            <v>PSS0882</v>
          </cell>
          <cell r="AB2374" t="str">
            <v>Factory-Annaram</v>
          </cell>
        </row>
        <row r="2375">
          <cell r="A2375" t="str">
            <v>PSS0895</v>
          </cell>
          <cell r="AB2375" t="str">
            <v>Factory-Annaram</v>
          </cell>
        </row>
        <row r="2376">
          <cell r="A2376" t="str">
            <v>PSS0966</v>
          </cell>
          <cell r="AB2376" t="str">
            <v>Corporate Office</v>
          </cell>
        </row>
        <row r="2377">
          <cell r="A2377" t="str">
            <v>PSS0308</v>
          </cell>
          <cell r="AB2377" t="str">
            <v>Factory-Annaram</v>
          </cell>
        </row>
        <row r="2378">
          <cell r="A2378" t="str">
            <v>PSS0331</v>
          </cell>
          <cell r="AB2378" t="str">
            <v>Factory-Annaram</v>
          </cell>
        </row>
        <row r="2379">
          <cell r="A2379" t="str">
            <v>PSS0368</v>
          </cell>
          <cell r="AB2379" t="str">
            <v>Factory-Annaram</v>
          </cell>
        </row>
        <row r="2380">
          <cell r="A2380" t="str">
            <v>PSS0442</v>
          </cell>
          <cell r="AB2380" t="str">
            <v>Factory-Annaram</v>
          </cell>
        </row>
        <row r="2381">
          <cell r="A2381" t="str">
            <v>PSS0694</v>
          </cell>
          <cell r="AB2381" t="str">
            <v>Factory-Annaram</v>
          </cell>
        </row>
        <row r="2382">
          <cell r="A2382" t="str">
            <v>PSS0770</v>
          </cell>
          <cell r="AB2382" t="str">
            <v>Factory-Annaram</v>
          </cell>
        </row>
        <row r="2383">
          <cell r="A2383" t="str">
            <v>PSS0871</v>
          </cell>
          <cell r="AB2383" t="str">
            <v>Factory-Annaram</v>
          </cell>
        </row>
        <row r="2384">
          <cell r="A2384" t="str">
            <v>PSS0889</v>
          </cell>
          <cell r="AB2384" t="str">
            <v>Factory-Annaram</v>
          </cell>
        </row>
        <row r="2385">
          <cell r="A2385" t="str">
            <v>PSS0892</v>
          </cell>
          <cell r="AB2385" t="str">
            <v>Factory-Annaram</v>
          </cell>
        </row>
        <row r="2386">
          <cell r="A2386" t="str">
            <v>PSS0894</v>
          </cell>
          <cell r="AB2386" t="str">
            <v>Factory-Annaram</v>
          </cell>
        </row>
        <row r="2387">
          <cell r="A2387" t="str">
            <v>PSS0901</v>
          </cell>
          <cell r="AB2387" t="str">
            <v>Factory-Annaram</v>
          </cell>
        </row>
        <row r="2388">
          <cell r="A2388" t="str">
            <v>PSS0955</v>
          </cell>
          <cell r="AB2388" t="str">
            <v>Factory-Annaram</v>
          </cell>
        </row>
        <row r="2389">
          <cell r="A2389" t="str">
            <v>PSS1013</v>
          </cell>
          <cell r="AB2389" t="str">
            <v>Factory-Annaram</v>
          </cell>
        </row>
        <row r="2390">
          <cell r="A2390" t="str">
            <v>PSS1079</v>
          </cell>
          <cell r="AB2390" t="str">
            <v>Factory-Annaram</v>
          </cell>
        </row>
        <row r="2391">
          <cell r="A2391" t="str">
            <v>PSS1085</v>
          </cell>
          <cell r="AB2391" t="str">
            <v>Factory-Annaram</v>
          </cell>
        </row>
        <row r="2392">
          <cell r="A2392" t="str">
            <v>PSS1087</v>
          </cell>
          <cell r="AB2392" t="str">
            <v>Factory-Annaram</v>
          </cell>
        </row>
        <row r="2393">
          <cell r="A2393" t="str">
            <v>PSS1088</v>
          </cell>
          <cell r="AB2393" t="str">
            <v>Factory-Annaram</v>
          </cell>
        </row>
        <row r="2394">
          <cell r="A2394" t="str">
            <v>PSS1091</v>
          </cell>
          <cell r="AB2394" t="str">
            <v>Factory-Annaram</v>
          </cell>
        </row>
        <row r="2395">
          <cell r="A2395" t="str">
            <v>PSS0750</v>
          </cell>
          <cell r="AB2395" t="str">
            <v>New Delhi</v>
          </cell>
        </row>
        <row r="2396">
          <cell r="A2396" t="str">
            <v>PSS0738</v>
          </cell>
          <cell r="AB2396" t="str">
            <v>Lucknow</v>
          </cell>
        </row>
        <row r="2397">
          <cell r="A2397" t="str">
            <v>PSS0740</v>
          </cell>
          <cell r="AB2397" t="str">
            <v>Lucknow</v>
          </cell>
        </row>
        <row r="2398">
          <cell r="A2398" t="str">
            <v>PSS0846</v>
          </cell>
          <cell r="AB2398" t="str">
            <v>Factory-Annaram</v>
          </cell>
        </row>
        <row r="2399">
          <cell r="A2399" t="str">
            <v>PSS0912</v>
          </cell>
          <cell r="AB2399" t="str">
            <v>Factory-Annaram</v>
          </cell>
        </row>
        <row r="2400">
          <cell r="A2400" t="str">
            <v>PSS0914</v>
          </cell>
          <cell r="AB2400" t="str">
            <v>Factory-Annaram</v>
          </cell>
        </row>
        <row r="2401">
          <cell r="A2401" t="str">
            <v>PSS0737</v>
          </cell>
          <cell r="AB2401" t="str">
            <v>Chhattisgarh</v>
          </cell>
        </row>
        <row r="2402">
          <cell r="A2402" t="str">
            <v>PSS0793</v>
          </cell>
          <cell r="AB2402" t="str">
            <v>Purnia</v>
          </cell>
        </row>
        <row r="2403">
          <cell r="A2403" t="str">
            <v>PSS1021</v>
          </cell>
          <cell r="AB2403" t="str">
            <v>Begusarai</v>
          </cell>
        </row>
        <row r="2404">
          <cell r="A2404" t="str">
            <v>PSS0501</v>
          </cell>
          <cell r="AB2404" t="str">
            <v>Factory-Annaram</v>
          </cell>
        </row>
        <row r="2405">
          <cell r="A2405" t="str">
            <v>PSS1078</v>
          </cell>
          <cell r="AB2405" t="str">
            <v>Factory-Annaram</v>
          </cell>
        </row>
        <row r="2406">
          <cell r="A2406" t="str">
            <v>PSS0570</v>
          </cell>
          <cell r="AB2406" t="str">
            <v>Factory-Annaram</v>
          </cell>
        </row>
        <row r="2407">
          <cell r="A2407" t="str">
            <v>PEIPL0477</v>
          </cell>
          <cell r="AB2407" t="str">
            <v>Fabcity</v>
          </cell>
        </row>
        <row r="2408">
          <cell r="A2408" t="str">
            <v>PEIPL0380</v>
          </cell>
          <cell r="AB2408" t="str">
            <v>Fabcity</v>
          </cell>
        </row>
        <row r="2409">
          <cell r="A2409" t="str">
            <v>PEPPL0217</v>
          </cell>
          <cell r="AB2409" t="str">
            <v>Fabcity</v>
          </cell>
        </row>
        <row r="2410">
          <cell r="A2410" t="str">
            <v>PEIPL0193</v>
          </cell>
          <cell r="AB2410" t="str">
            <v>Fabcity</v>
          </cell>
        </row>
        <row r="2411">
          <cell r="A2411" t="str">
            <v>PSS0433</v>
          </cell>
          <cell r="AB2411" t="str">
            <v>Factory-Annaram</v>
          </cell>
        </row>
        <row r="2412">
          <cell r="A2412" t="str">
            <v>PEPPL0627</v>
          </cell>
          <cell r="AB2412" t="str">
            <v>Fabcity</v>
          </cell>
        </row>
        <row r="2413">
          <cell r="A2413" t="str">
            <v>PSS1245</v>
          </cell>
          <cell r="AB2413" t="str">
            <v>Corporate Office</v>
          </cell>
        </row>
        <row r="2414">
          <cell r="A2414" t="str">
            <v>PSS0177</v>
          </cell>
          <cell r="AB2414" t="str">
            <v>Corporate Office</v>
          </cell>
        </row>
        <row r="2415">
          <cell r="A2415" t="str">
            <v>PEPPL0594</v>
          </cell>
          <cell r="AB2415" t="str">
            <v>City Office</v>
          </cell>
        </row>
        <row r="2416">
          <cell r="A2416" t="str">
            <v>PSS1237</v>
          </cell>
          <cell r="AB2416" t="str">
            <v>Factory-Annaram</v>
          </cell>
        </row>
        <row r="2417">
          <cell r="A2417" t="str">
            <v>PEPPL0763</v>
          </cell>
          <cell r="AB2417" t="str">
            <v>Fabcity</v>
          </cell>
        </row>
        <row r="2418">
          <cell r="A2418" t="str">
            <v>PSS1175</v>
          </cell>
          <cell r="AB2418" t="str">
            <v>Corporate Office</v>
          </cell>
        </row>
        <row r="2419">
          <cell r="A2419" t="str">
            <v>PSS0472</v>
          </cell>
          <cell r="AB2419" t="str">
            <v>Factory-Annaram</v>
          </cell>
        </row>
        <row r="2420">
          <cell r="A2420" t="str">
            <v>PEPPL0117</v>
          </cell>
          <cell r="AB2420" t="str">
            <v>Fabcity</v>
          </cell>
        </row>
        <row r="2421">
          <cell r="A2421" t="str">
            <v>PSS0225</v>
          </cell>
          <cell r="AB2421" t="str">
            <v>Factory-Annaram</v>
          </cell>
        </row>
        <row r="2422">
          <cell r="A2422" t="str">
            <v>PEIPL0486</v>
          </cell>
          <cell r="AB2422" t="str">
            <v>Fabcity</v>
          </cell>
        </row>
        <row r="2423">
          <cell r="A2423" t="str">
            <v>PEPPL0756</v>
          </cell>
          <cell r="AB2423" t="str">
            <v>Fabcity</v>
          </cell>
        </row>
        <row r="2424">
          <cell r="A2424" t="str">
            <v>PEIPL0179</v>
          </cell>
          <cell r="AB2424" t="str">
            <v>Fabcity</v>
          </cell>
        </row>
        <row r="2425">
          <cell r="A2425" t="str">
            <v>PSS0551</v>
          </cell>
          <cell r="AB2425" t="str">
            <v>Factory-Annaram</v>
          </cell>
        </row>
        <row r="2426">
          <cell r="A2426" t="str">
            <v>PEIPL0704</v>
          </cell>
          <cell r="AB2426" t="str">
            <v>Fabcity</v>
          </cell>
        </row>
        <row r="2427">
          <cell r="A2427" t="str">
            <v>PSS1236</v>
          </cell>
          <cell r="AB2427" t="str">
            <v>Factory-Annaram</v>
          </cell>
        </row>
        <row r="2428">
          <cell r="A2428" t="str">
            <v>P0142</v>
          </cell>
          <cell r="AB2428" t="str">
            <v>Fabcity</v>
          </cell>
        </row>
        <row r="2429">
          <cell r="A2429" t="str">
            <v>PSS1269</v>
          </cell>
          <cell r="AB2429" t="str">
            <v>Corporate Office</v>
          </cell>
        </row>
        <row r="2430">
          <cell r="A2430" t="str">
            <v>PEPPL0810</v>
          </cell>
          <cell r="AB2430" t="str">
            <v>Fabcity</v>
          </cell>
        </row>
        <row r="2431">
          <cell r="A2431" t="str">
            <v>PSS1056</v>
          </cell>
          <cell r="AB2431" t="str">
            <v>Factory-Annaram</v>
          </cell>
        </row>
        <row r="2432">
          <cell r="A2432" t="str">
            <v>PEIPL0536</v>
          </cell>
          <cell r="AB2432" t="str">
            <v>Fabcity</v>
          </cell>
        </row>
        <row r="2433">
          <cell r="A2433" t="str">
            <v>PEPPL0187</v>
          </cell>
          <cell r="AB2433" t="str">
            <v>Fabcity</v>
          </cell>
        </row>
        <row r="2434">
          <cell r="A2434" t="str">
            <v>10000</v>
          </cell>
          <cell r="AB2434" t="str">
            <v>Corporate Office</v>
          </cell>
        </row>
        <row r="2435">
          <cell r="A2435" t="str">
            <v>PEPPL0496</v>
          </cell>
          <cell r="AB2435" t="str">
            <v>Fabcity</v>
          </cell>
        </row>
        <row r="2436">
          <cell r="A2436" t="str">
            <v>PSS1343</v>
          </cell>
          <cell r="AB2436" t="str">
            <v>Corporate Office</v>
          </cell>
        </row>
        <row r="2437">
          <cell r="A2437" t="str">
            <v>PEGEPL0038</v>
          </cell>
          <cell r="AB2437" t="str">
            <v>Fabcity</v>
          </cell>
        </row>
        <row r="2438">
          <cell r="A2438" t="str">
            <v>PEGEPL0013</v>
          </cell>
          <cell r="AB2438" t="str">
            <v>Fabcity</v>
          </cell>
        </row>
        <row r="2439">
          <cell r="A2439" t="str">
            <v>PSS0089</v>
          </cell>
          <cell r="AB2439" t="str">
            <v>Factory-Annaram</v>
          </cell>
        </row>
        <row r="2440">
          <cell r="A2440" t="str">
            <v>PSS0128</v>
          </cell>
          <cell r="AB2440" t="str">
            <v>Factory-Annaram</v>
          </cell>
        </row>
        <row r="2441">
          <cell r="A2441" t="str">
            <v>PEPPL0127</v>
          </cell>
          <cell r="AB2441" t="str">
            <v>Fabcity</v>
          </cell>
        </row>
        <row r="2442">
          <cell r="A2442" t="str">
            <v>PEPPL0233</v>
          </cell>
          <cell r="AB2442" t="str">
            <v>Fabcity</v>
          </cell>
        </row>
        <row r="2443">
          <cell r="A2443" t="str">
            <v>PEIPL0438</v>
          </cell>
          <cell r="AB2443" t="str">
            <v>Fabcity</v>
          </cell>
        </row>
        <row r="2444">
          <cell r="A2444" t="str">
            <v>PSS1159</v>
          </cell>
          <cell r="AB2444" t="str">
            <v>Factory-Annaram</v>
          </cell>
        </row>
        <row r="2445">
          <cell r="A2445" t="str">
            <v>PEIPL0310</v>
          </cell>
          <cell r="AB2445" t="str">
            <v>Fabcity</v>
          </cell>
        </row>
        <row r="2446">
          <cell r="A2446" t="str">
            <v>P0122</v>
          </cell>
          <cell r="AB2446" t="str">
            <v>Deoghars</v>
          </cell>
        </row>
        <row r="2447">
          <cell r="A2447" t="str">
            <v>PEPPL0031</v>
          </cell>
          <cell r="AB2447" t="str">
            <v>Fabcity</v>
          </cell>
        </row>
        <row r="2448">
          <cell r="A2448" t="str">
            <v>PSS0875</v>
          </cell>
          <cell r="AB2448" t="str">
            <v>New Delhi</v>
          </cell>
        </row>
        <row r="2449">
          <cell r="A2449" t="str">
            <v>PEPPL0882</v>
          </cell>
          <cell r="AB2449" t="str">
            <v>New Delhi</v>
          </cell>
        </row>
        <row r="2450">
          <cell r="A2450" t="str">
            <v>PEPPL0043</v>
          </cell>
          <cell r="AB2450" t="str">
            <v>Fabcity</v>
          </cell>
        </row>
        <row r="2451">
          <cell r="A2451" t="str">
            <v>PEIPL0283</v>
          </cell>
          <cell r="AB2451" t="str">
            <v>Fabcity</v>
          </cell>
        </row>
        <row r="2452">
          <cell r="A2452" t="str">
            <v>PEIPL0144</v>
          </cell>
          <cell r="AB2452" t="str">
            <v>Fabcity</v>
          </cell>
        </row>
        <row r="2453">
          <cell r="A2453" t="str">
            <v>PEIPL0163</v>
          </cell>
          <cell r="AB2453" t="str">
            <v>Fabcity</v>
          </cell>
        </row>
        <row r="2454">
          <cell r="A2454" t="str">
            <v>PEIPL0183</v>
          </cell>
          <cell r="AB2454" t="str">
            <v>Fabcity</v>
          </cell>
        </row>
        <row r="2455">
          <cell r="A2455" t="str">
            <v>PEPPL0580</v>
          </cell>
          <cell r="AB2455" t="str">
            <v>Fabcity</v>
          </cell>
        </row>
        <row r="2456">
          <cell r="A2456" t="str">
            <v>PEPPL0550</v>
          </cell>
          <cell r="AB2456" t="str">
            <v>Fabcity</v>
          </cell>
        </row>
        <row r="2457">
          <cell r="A2457" t="str">
            <v>PEPPL0654</v>
          </cell>
          <cell r="AB2457" t="str">
            <v>City Office</v>
          </cell>
        </row>
        <row r="2458">
          <cell r="A2458" t="str">
            <v>PEIPL0130</v>
          </cell>
          <cell r="AB2458" t="str">
            <v>Fabcity</v>
          </cell>
        </row>
        <row r="2459">
          <cell r="A2459" t="str">
            <v>P0280</v>
          </cell>
          <cell r="AB2459" t="str">
            <v>Vikas Nagar</v>
          </cell>
        </row>
        <row r="2460">
          <cell r="A2460" t="str">
            <v>P0228</v>
          </cell>
          <cell r="AB2460" t="str">
            <v>Greater Noida BPCL</v>
          </cell>
        </row>
        <row r="2461">
          <cell r="A2461" t="str">
            <v>P0257</v>
          </cell>
          <cell r="AB2461" t="str">
            <v>Vikas Nagar</v>
          </cell>
        </row>
        <row r="2462">
          <cell r="A2462" t="str">
            <v>P0376</v>
          </cell>
          <cell r="AB2462" t="str">
            <v>Vikas Nagar</v>
          </cell>
        </row>
        <row r="2463">
          <cell r="A2463" t="str">
            <v>P0397</v>
          </cell>
          <cell r="AB2463" t="str">
            <v>Jamnagar</v>
          </cell>
        </row>
        <row r="2464">
          <cell r="A2464" t="str">
            <v>PEGEPL0080</v>
          </cell>
          <cell r="AB2464" t="str">
            <v>Fabcity</v>
          </cell>
        </row>
        <row r="2465">
          <cell r="A2465" t="str">
            <v>PEIPL0031</v>
          </cell>
          <cell r="AB2465" t="str">
            <v>Fabcity</v>
          </cell>
        </row>
        <row r="2466">
          <cell r="A2466" t="str">
            <v>PSS1285</v>
          </cell>
          <cell r="AB2466" t="str">
            <v>Hisar - Haryana</v>
          </cell>
        </row>
        <row r="2467">
          <cell r="A2467" t="str">
            <v>PSS1322</v>
          </cell>
          <cell r="AB2467" t="str">
            <v>Hisar - Haryana</v>
          </cell>
        </row>
        <row r="2468">
          <cell r="A2468" t="str">
            <v>PSS1383</v>
          </cell>
          <cell r="AB2468" t="str">
            <v>Hisar - Haryana</v>
          </cell>
        </row>
        <row r="2469">
          <cell r="A2469" t="str">
            <v>BDPL0023</v>
          </cell>
          <cell r="AB2469" t="str">
            <v>Bidar</v>
          </cell>
        </row>
        <row r="2470">
          <cell r="A2470" t="str">
            <v>P0399</v>
          </cell>
          <cell r="AB2470" t="str">
            <v>Bidar</v>
          </cell>
        </row>
        <row r="2471">
          <cell r="A2471" t="str">
            <v>P0357</v>
          </cell>
          <cell r="AB2471" t="str">
            <v>Karnataka</v>
          </cell>
        </row>
        <row r="2472">
          <cell r="A2472" t="str">
            <v>PEIPL0434</v>
          </cell>
          <cell r="AB2472" t="str">
            <v>Fabcity</v>
          </cell>
        </row>
        <row r="2473">
          <cell r="A2473" t="str">
            <v>PEIPL0010</v>
          </cell>
          <cell r="AB2473" t="str">
            <v>Fabcity</v>
          </cell>
        </row>
        <row r="2474">
          <cell r="A2474" t="str">
            <v>PEPPL0402</v>
          </cell>
          <cell r="AB2474" t="str">
            <v>Fabcity</v>
          </cell>
        </row>
        <row r="2475">
          <cell r="A2475" t="str">
            <v>PEPPL0641</v>
          </cell>
          <cell r="AB2475" t="str">
            <v>Fabcity</v>
          </cell>
        </row>
        <row r="2476">
          <cell r="A2476" t="str">
            <v>PEIPL0113</v>
          </cell>
          <cell r="AB2476" t="str">
            <v>Fabcity</v>
          </cell>
        </row>
        <row r="2477">
          <cell r="A2477" t="str">
            <v>PEPPL0093</v>
          </cell>
          <cell r="AB2477" t="str">
            <v>Fabcity</v>
          </cell>
        </row>
        <row r="2478">
          <cell r="A2478" t="str">
            <v>PEIPL0520</v>
          </cell>
          <cell r="AB2478" t="str">
            <v>Fabcity</v>
          </cell>
        </row>
        <row r="2479">
          <cell r="A2479" t="str">
            <v>PEIPL0561</v>
          </cell>
          <cell r="AB2479" t="str">
            <v>Fabcity</v>
          </cell>
        </row>
        <row r="2480">
          <cell r="A2480" t="str">
            <v>PEIPL0258</v>
          </cell>
          <cell r="AB2480" t="str">
            <v>Fabcity</v>
          </cell>
        </row>
        <row r="2481">
          <cell r="A2481" t="str">
            <v>PEGEPL0048</v>
          </cell>
          <cell r="AB2481" t="str">
            <v>Fabcity</v>
          </cell>
        </row>
        <row r="2482">
          <cell r="A2482" t="str">
            <v>BDPL0010</v>
          </cell>
          <cell r="AB2482" t="str">
            <v>Bidar</v>
          </cell>
        </row>
        <row r="2483">
          <cell r="A2483" t="str">
            <v>P0351</v>
          </cell>
          <cell r="AB2483" t="str">
            <v>Bidar</v>
          </cell>
        </row>
        <row r="2484">
          <cell r="A2484" t="str">
            <v>P0496</v>
          </cell>
          <cell r="AB2484" t="str">
            <v>Bidar</v>
          </cell>
        </row>
        <row r="2485">
          <cell r="A2485" t="str">
            <v>PEGEPL0050</v>
          </cell>
          <cell r="AB2485" t="str">
            <v>Fabcity</v>
          </cell>
        </row>
        <row r="2486">
          <cell r="A2486" t="str">
            <v>BDPL0016</v>
          </cell>
          <cell r="AB2486" t="str">
            <v>Nirna</v>
          </cell>
        </row>
        <row r="2487">
          <cell r="A2487" t="str">
            <v>P0356</v>
          </cell>
          <cell r="AB2487" t="str">
            <v>Karnataka</v>
          </cell>
        </row>
        <row r="2488">
          <cell r="A2488" t="str">
            <v>P0491</v>
          </cell>
          <cell r="AB2488" t="str">
            <v>Nirna</v>
          </cell>
        </row>
        <row r="2489">
          <cell r="A2489" t="str">
            <v>PEIPL0106</v>
          </cell>
          <cell r="AB2489" t="str">
            <v>Fabcity</v>
          </cell>
        </row>
        <row r="2490">
          <cell r="A2490" t="str">
            <v>PEPPL0836</v>
          </cell>
          <cell r="AB2490" t="str">
            <v>Fabcity</v>
          </cell>
        </row>
        <row r="2491">
          <cell r="A2491" t="str">
            <v>PEPPL0036</v>
          </cell>
          <cell r="AB2491" t="str">
            <v>Fabcity</v>
          </cell>
        </row>
        <row r="2492">
          <cell r="A2492" t="str">
            <v>PEPPL0531</v>
          </cell>
          <cell r="AB2492" t="str">
            <v>Fabcity</v>
          </cell>
        </row>
        <row r="2493">
          <cell r="A2493" t="str">
            <v>PEIPL0800</v>
          </cell>
          <cell r="AB2493" t="str">
            <v>Fabcity</v>
          </cell>
        </row>
        <row r="2494">
          <cell r="A2494" t="str">
            <v>PEIPL0053</v>
          </cell>
          <cell r="AB2494" t="str">
            <v>Fabcity</v>
          </cell>
        </row>
        <row r="2495">
          <cell r="A2495" t="str">
            <v>PEIPL0376</v>
          </cell>
          <cell r="AB2495" t="str">
            <v>Fabcity</v>
          </cell>
        </row>
        <row r="2496">
          <cell r="A2496" t="str">
            <v>PEPPL0598</v>
          </cell>
          <cell r="AB2496" t="str">
            <v>Fabcity</v>
          </cell>
        </row>
        <row r="2497">
          <cell r="A2497" t="str">
            <v>PEPPL0847</v>
          </cell>
          <cell r="AB2497" t="str">
            <v>Fabcity</v>
          </cell>
        </row>
        <row r="2498">
          <cell r="A2498" t="str">
            <v>PEIPL0234</v>
          </cell>
          <cell r="AB2498" t="str">
            <v>Fabcity</v>
          </cell>
        </row>
        <row r="2499">
          <cell r="A2499" t="str">
            <v>PEPPL0860</v>
          </cell>
          <cell r="AB2499" t="str">
            <v>Fabcity</v>
          </cell>
        </row>
        <row r="2500">
          <cell r="A2500" t="str">
            <v>PEPPL0777</v>
          </cell>
          <cell r="AB2500" t="str">
            <v>Fabcity</v>
          </cell>
        </row>
        <row r="2501">
          <cell r="A2501" t="str">
            <v>PEPPL0549</v>
          </cell>
          <cell r="AB2501" t="str">
            <v>Fabcity</v>
          </cell>
        </row>
        <row r="2502">
          <cell r="A2502" t="str">
            <v>PEIPL0014</v>
          </cell>
          <cell r="AB2502" t="str">
            <v>Fabcity</v>
          </cell>
        </row>
        <row r="2503">
          <cell r="A2503" t="str">
            <v>PEIPL0273</v>
          </cell>
          <cell r="AB2503" t="str">
            <v>Fabcity</v>
          </cell>
        </row>
        <row r="2504">
          <cell r="A2504" t="str">
            <v>P0272</v>
          </cell>
          <cell r="AB2504" t="str">
            <v>Vikas Nagar</v>
          </cell>
        </row>
        <row r="2505">
          <cell r="A2505" t="str">
            <v>P0284</v>
          </cell>
          <cell r="AB2505" t="str">
            <v>Vikas Nagar</v>
          </cell>
        </row>
        <row r="2506">
          <cell r="A2506" t="str">
            <v>P0273</v>
          </cell>
          <cell r="AB2506" t="str">
            <v>Vikas Nagar</v>
          </cell>
        </row>
        <row r="2507">
          <cell r="A2507" t="str">
            <v>PSS0759</v>
          </cell>
          <cell r="AB2507" t="str">
            <v>Lucknow</v>
          </cell>
        </row>
        <row r="2508">
          <cell r="A2508" t="str">
            <v>PEPPL0012</v>
          </cell>
          <cell r="AB2508" t="str">
            <v>Fabcity</v>
          </cell>
        </row>
        <row r="2509">
          <cell r="A2509" t="str">
            <v>P0303</v>
          </cell>
          <cell r="AB2509" t="str">
            <v>Vikas Nagar</v>
          </cell>
        </row>
        <row r="2510">
          <cell r="A2510" t="str">
            <v>P0271</v>
          </cell>
          <cell r="AB2510" t="str">
            <v>Vikas Nagar</v>
          </cell>
        </row>
        <row r="2511">
          <cell r="A2511" t="str">
            <v>PSS1203</v>
          </cell>
          <cell r="AB2511" t="str">
            <v>Corporate Office</v>
          </cell>
        </row>
        <row r="2512">
          <cell r="A2512" t="str">
            <v>PEPPL0019</v>
          </cell>
          <cell r="AB2512" t="str">
            <v>Fabcity</v>
          </cell>
        </row>
        <row r="2513">
          <cell r="A2513" t="str">
            <v>PEPPL0671</v>
          </cell>
          <cell r="AB2513" t="str">
            <v>Fabcity</v>
          </cell>
        </row>
        <row r="2514">
          <cell r="A2514" t="str">
            <v>PEGEPL0040</v>
          </cell>
          <cell r="AB2514" t="str">
            <v>Fabcity</v>
          </cell>
        </row>
        <row r="2515">
          <cell r="A2515" t="str">
            <v>PEGEPL0077</v>
          </cell>
          <cell r="AB2515" t="str">
            <v>Fabcity</v>
          </cell>
        </row>
        <row r="2516">
          <cell r="A2516" t="str">
            <v>P0109</v>
          </cell>
          <cell r="AB2516" t="str">
            <v>Deoghars</v>
          </cell>
        </row>
        <row r="2517">
          <cell r="A2517" t="str">
            <v>PSS1238</v>
          </cell>
          <cell r="AB2517" t="str">
            <v>Bainsa</v>
          </cell>
        </row>
        <row r="2518">
          <cell r="A2518" t="str">
            <v>PEGEPL0037</v>
          </cell>
          <cell r="AB2518" t="str">
            <v>Fabcity</v>
          </cell>
        </row>
        <row r="2519">
          <cell r="A2519" t="str">
            <v>PEIPL0188</v>
          </cell>
          <cell r="AB2519" t="str">
            <v>Fabcity</v>
          </cell>
        </row>
        <row r="2520">
          <cell r="A2520" t="str">
            <v>PEPPL0673</v>
          </cell>
          <cell r="AB2520" t="str">
            <v>City Office</v>
          </cell>
        </row>
        <row r="2521">
          <cell r="A2521" t="str">
            <v>PEGEPL0031</v>
          </cell>
          <cell r="AB2521" t="str">
            <v>Fabcity</v>
          </cell>
        </row>
        <row r="2522">
          <cell r="A2522" t="str">
            <v>PEIPL0208</v>
          </cell>
          <cell r="AB2522" t="str">
            <v>Fabcity</v>
          </cell>
        </row>
        <row r="2523">
          <cell r="A2523" t="str">
            <v>PEPPL0066</v>
          </cell>
          <cell r="AB2523" t="str">
            <v>Fabcity</v>
          </cell>
        </row>
        <row r="2524">
          <cell r="A2524" t="str">
            <v>PEPPL0167</v>
          </cell>
          <cell r="AB2524" t="str">
            <v>Fabcity</v>
          </cell>
        </row>
        <row r="2525">
          <cell r="A2525" t="str">
            <v>PEIPL0340</v>
          </cell>
          <cell r="AB2525" t="str">
            <v>Fabcity</v>
          </cell>
        </row>
        <row r="2526">
          <cell r="A2526" t="str">
            <v>PEPPL0067</v>
          </cell>
          <cell r="AB2526" t="str">
            <v>Fabcity</v>
          </cell>
        </row>
        <row r="2527">
          <cell r="A2527" t="str">
            <v>PEPPL0364</v>
          </cell>
          <cell r="AB2527" t="str">
            <v>Fabcity</v>
          </cell>
        </row>
        <row r="2528">
          <cell r="A2528" t="str">
            <v>PEIPL0715</v>
          </cell>
          <cell r="AB2528" t="str">
            <v>Fabcity</v>
          </cell>
        </row>
        <row r="2529">
          <cell r="A2529" t="str">
            <v>PEIPL0568</v>
          </cell>
          <cell r="AB2529" t="str">
            <v>Fabcity</v>
          </cell>
        </row>
        <row r="2530">
          <cell r="A2530" t="str">
            <v>PEIPL0734</v>
          </cell>
          <cell r="AB2530" t="str">
            <v>Fabcity</v>
          </cell>
        </row>
        <row r="2531">
          <cell r="A2531" t="str">
            <v>PEPPL0298</v>
          </cell>
          <cell r="AB2531" t="str">
            <v>Fabcity</v>
          </cell>
        </row>
        <row r="2532">
          <cell r="A2532" t="str">
            <v>P0455</v>
          </cell>
          <cell r="AB2532" t="str">
            <v>CEMCOT</v>
          </cell>
        </row>
        <row r="2533">
          <cell r="A2533" t="str">
            <v>PEPPL0532</v>
          </cell>
          <cell r="AB2533" t="str">
            <v>Fabcity</v>
          </cell>
        </row>
        <row r="2534">
          <cell r="A2534" t="str">
            <v>PSS1302</v>
          </cell>
          <cell r="AB2534" t="str">
            <v>CEMCOT</v>
          </cell>
        </row>
        <row r="2535">
          <cell r="A2535" t="str">
            <v>P0428</v>
          </cell>
          <cell r="AB2535" t="str">
            <v>NLC</v>
          </cell>
        </row>
        <row r="2536">
          <cell r="A2536" t="str">
            <v>PEIPL0731</v>
          </cell>
          <cell r="AB2536" t="str">
            <v>Fabcity</v>
          </cell>
        </row>
        <row r="2537">
          <cell r="A2537" t="str">
            <v>PSS0755</v>
          </cell>
          <cell r="AB2537" t="str">
            <v>Lucknow</v>
          </cell>
        </row>
        <row r="2538">
          <cell r="A2538" t="str">
            <v>PSS1094</v>
          </cell>
          <cell r="AB2538" t="str">
            <v>Lucknow</v>
          </cell>
        </row>
        <row r="2539">
          <cell r="A2539" t="str">
            <v>PEPPL0603</v>
          </cell>
          <cell r="AB2539" t="str">
            <v>Fabcity</v>
          </cell>
        </row>
        <row r="2540">
          <cell r="A2540" t="str">
            <v>PEPPL0749</v>
          </cell>
          <cell r="AB2540" t="str">
            <v>Fabcity</v>
          </cell>
        </row>
        <row r="2541">
          <cell r="A2541" t="str">
            <v>PSS1129</v>
          </cell>
          <cell r="AB2541" t="str">
            <v>Bihar</v>
          </cell>
        </row>
        <row r="2542">
          <cell r="A2542" t="str">
            <v>PEIPL0611</v>
          </cell>
          <cell r="AB2542" t="str">
            <v>Fabcity</v>
          </cell>
        </row>
        <row r="2543">
          <cell r="A2543" t="str">
            <v>PEIPL0793</v>
          </cell>
          <cell r="AB2543" t="str">
            <v>Fabcity</v>
          </cell>
        </row>
        <row r="2544">
          <cell r="A2544" t="str">
            <v>PEPPL0006</v>
          </cell>
          <cell r="AB2544" t="str">
            <v>Fabcity</v>
          </cell>
        </row>
        <row r="2545">
          <cell r="A2545" t="str">
            <v>P0259</v>
          </cell>
          <cell r="AB2545" t="str">
            <v>Vikas Nagar</v>
          </cell>
        </row>
        <row r="2546">
          <cell r="A2546" t="str">
            <v>PSS1271</v>
          </cell>
          <cell r="AB2546" t="str">
            <v>New Delhi</v>
          </cell>
        </row>
        <row r="2547">
          <cell r="A2547" t="str">
            <v>PSS1291</v>
          </cell>
          <cell r="AB2547" t="str">
            <v>New Delhi</v>
          </cell>
        </row>
        <row r="2548">
          <cell r="A2548" t="str">
            <v>PEPPL0026</v>
          </cell>
          <cell r="AB2548" t="str">
            <v>Fabcity</v>
          </cell>
        </row>
        <row r="2549">
          <cell r="A2549" t="str">
            <v>PSS0663</v>
          </cell>
          <cell r="AB2549" t="str">
            <v>New Delhi</v>
          </cell>
        </row>
        <row r="2550">
          <cell r="A2550" t="str">
            <v>PEPPL0881</v>
          </cell>
          <cell r="AB2550" t="str">
            <v>New Delhi</v>
          </cell>
        </row>
        <row r="2551">
          <cell r="A2551" t="str">
            <v>PEPPL0003</v>
          </cell>
          <cell r="AB2551" t="str">
            <v>Fabcity</v>
          </cell>
        </row>
        <row r="2552">
          <cell r="A2552" t="str">
            <v>PEPPL0033</v>
          </cell>
          <cell r="AB2552" t="str">
            <v>Fabcity</v>
          </cell>
        </row>
        <row r="2553">
          <cell r="A2553" t="str">
            <v>PEPPL0072</v>
          </cell>
          <cell r="AB2553" t="str">
            <v>Fabcity</v>
          </cell>
        </row>
        <row r="2554">
          <cell r="A2554" t="str">
            <v>PEGEPL0120</v>
          </cell>
          <cell r="AB2554" t="str">
            <v>Fabcity</v>
          </cell>
        </row>
        <row r="2555">
          <cell r="A2555" t="str">
            <v>PEIPL0301</v>
          </cell>
          <cell r="AB2555" t="str">
            <v>Fabcity</v>
          </cell>
        </row>
        <row r="2556">
          <cell r="A2556" t="str">
            <v>PEIPL0726</v>
          </cell>
          <cell r="AB2556" t="str">
            <v>Fabcity</v>
          </cell>
        </row>
        <row r="2557">
          <cell r="A2557" t="str">
            <v>PEPPL0119</v>
          </cell>
          <cell r="AB2557" t="str">
            <v>Fabcity</v>
          </cell>
        </row>
        <row r="2558">
          <cell r="A2558" t="str">
            <v>PSS1426</v>
          </cell>
          <cell r="AB2558" t="str">
            <v>Corporate Office</v>
          </cell>
        </row>
        <row r="2559">
          <cell r="A2559" t="str">
            <v>PSS1337</v>
          </cell>
          <cell r="AB2559" t="str">
            <v>Corporate Office</v>
          </cell>
        </row>
        <row r="2560">
          <cell r="A2560" t="str">
            <v>PEPPL0478</v>
          </cell>
          <cell r="AB2560" t="str">
            <v>Fabcity</v>
          </cell>
        </row>
        <row r="2561">
          <cell r="A2561" t="str">
            <v>P0377</v>
          </cell>
          <cell r="AB2561" t="str">
            <v>Vikas Nagar</v>
          </cell>
        </row>
        <row r="2562">
          <cell r="A2562" t="str">
            <v>PSS0753</v>
          </cell>
          <cell r="AB2562" t="str">
            <v>Lucknow</v>
          </cell>
        </row>
        <row r="2563">
          <cell r="A2563" t="str">
            <v>PSS1256</v>
          </cell>
          <cell r="AB2563" t="str">
            <v>Sonbhadra</v>
          </cell>
        </row>
        <row r="2564">
          <cell r="A2564" t="str">
            <v>PEIPL0537</v>
          </cell>
          <cell r="AB2564" t="str">
            <v>Fabcity</v>
          </cell>
        </row>
        <row r="2565">
          <cell r="A2565" t="str">
            <v>PSS1412</v>
          </cell>
          <cell r="AB2565" t="str">
            <v>Corporate Office</v>
          </cell>
        </row>
        <row r="2566">
          <cell r="A2566" t="str">
            <v>PEPPL0162</v>
          </cell>
          <cell r="AB2566" t="str">
            <v>Fabcity</v>
          </cell>
        </row>
        <row r="2567">
          <cell r="A2567" t="str">
            <v>PEPPL0082</v>
          </cell>
          <cell r="AB2567" t="str">
            <v>Fabcity</v>
          </cell>
        </row>
        <row r="2568">
          <cell r="A2568" t="str">
            <v>PEPPL0001</v>
          </cell>
          <cell r="AB2568" t="str">
            <v>Fabcity</v>
          </cell>
        </row>
        <row r="2569">
          <cell r="A2569" t="str">
            <v>PEPPL0444</v>
          </cell>
          <cell r="AB2569" t="str">
            <v>Fabcity</v>
          </cell>
        </row>
        <row r="2570">
          <cell r="A2570" t="str">
            <v>PEPPL0769</v>
          </cell>
          <cell r="AB2570" t="str">
            <v>Fabcity</v>
          </cell>
        </row>
        <row r="2571">
          <cell r="A2571" t="str">
            <v>PEIPL0711</v>
          </cell>
          <cell r="AB2571" t="str">
            <v>Fabcity</v>
          </cell>
        </row>
        <row r="2572">
          <cell r="A2572" t="str">
            <v>PEPPL0352</v>
          </cell>
          <cell r="AB2572" t="str">
            <v>Fabcity</v>
          </cell>
        </row>
        <row r="2573">
          <cell r="A2573" t="str">
            <v>PEIPL0604</v>
          </cell>
          <cell r="AB2573" t="str">
            <v>Fabcity</v>
          </cell>
        </row>
        <row r="2574">
          <cell r="A2574" t="str">
            <v>PSS1160</v>
          </cell>
          <cell r="AB2574" t="str">
            <v>Corporate Office</v>
          </cell>
        </row>
        <row r="2575">
          <cell r="A2575" t="str">
            <v>PSS1115</v>
          </cell>
          <cell r="AB2575" t="str">
            <v>Factory-Annaram</v>
          </cell>
        </row>
        <row r="2576">
          <cell r="A2576" t="str">
            <v>PEPPL0812</v>
          </cell>
          <cell r="AB2576" t="str">
            <v>Fabcity</v>
          </cell>
        </row>
        <row r="2577">
          <cell r="A2577" t="str">
            <v>PSS1379</v>
          </cell>
          <cell r="AB2577" t="str">
            <v>Corporate Office</v>
          </cell>
        </row>
        <row r="2578">
          <cell r="A2578" t="str">
            <v>PEIPL0427</v>
          </cell>
          <cell r="AB2578" t="str">
            <v>Fabcity</v>
          </cell>
        </row>
        <row r="2579">
          <cell r="A2579" t="str">
            <v>PEPPL0524</v>
          </cell>
          <cell r="AB2579" t="str">
            <v>Fabcity</v>
          </cell>
        </row>
        <row r="2580">
          <cell r="A2580" t="str">
            <v>PEPPL0742</v>
          </cell>
          <cell r="AB2580" t="str">
            <v>Fabcity</v>
          </cell>
        </row>
        <row r="2581">
          <cell r="A2581" t="str">
            <v>PEIPL0559</v>
          </cell>
          <cell r="AB2581" t="str">
            <v>Fabcity</v>
          </cell>
        </row>
        <row r="2582">
          <cell r="A2582" t="str">
            <v>PEPPL0369</v>
          </cell>
          <cell r="AB2582" t="str">
            <v>Fabcity</v>
          </cell>
        </row>
        <row r="2583">
          <cell r="A2583" t="str">
            <v>PEIPL0091</v>
          </cell>
          <cell r="AB2583" t="str">
            <v>Fabcity</v>
          </cell>
        </row>
        <row r="2584">
          <cell r="A2584" t="str">
            <v>P0182</v>
          </cell>
          <cell r="AB2584" t="str">
            <v>Assam</v>
          </cell>
        </row>
        <row r="2585">
          <cell r="A2585" t="str">
            <v>PEPPL0655</v>
          </cell>
          <cell r="AB2585" t="str">
            <v>Corporate Office</v>
          </cell>
        </row>
        <row r="2586">
          <cell r="A2586" t="str">
            <v>PEPPL0440</v>
          </cell>
          <cell r="AB2586" t="str">
            <v>Fabcity</v>
          </cell>
        </row>
        <row r="2587">
          <cell r="A2587" t="str">
            <v>PEGEPL0062</v>
          </cell>
          <cell r="AB2587" t="str">
            <v>Fabcity</v>
          </cell>
        </row>
        <row r="2588">
          <cell r="A2588" t="str">
            <v>PEIPL0496</v>
          </cell>
          <cell r="AB2588" t="str">
            <v>Fabcity</v>
          </cell>
        </row>
        <row r="2589">
          <cell r="A2589" t="str">
            <v>PSS1082</v>
          </cell>
          <cell r="AB2589" t="str">
            <v>Factory-Annaram</v>
          </cell>
        </row>
        <row r="2590">
          <cell r="A2590" t="str">
            <v>PEPPL0845</v>
          </cell>
          <cell r="AB2590" t="str">
            <v>Fabcity</v>
          </cell>
        </row>
        <row r="2591">
          <cell r="A2591" t="str">
            <v>PEIPL0139</v>
          </cell>
          <cell r="AB2591" t="str">
            <v>Fabcity</v>
          </cell>
        </row>
        <row r="2592">
          <cell r="A2592" t="str">
            <v>PEIPL0172</v>
          </cell>
          <cell r="AB2592" t="str">
            <v>Fabcity</v>
          </cell>
        </row>
        <row r="2593">
          <cell r="A2593" t="str">
            <v>PEPPL0492</v>
          </cell>
          <cell r="AB2593" t="str">
            <v>Fabcity</v>
          </cell>
        </row>
        <row r="2594">
          <cell r="A2594" t="str">
            <v>PEGEPL0089</v>
          </cell>
          <cell r="AB2594" t="str">
            <v>Fabcity</v>
          </cell>
        </row>
        <row r="2595">
          <cell r="A2595" t="str">
            <v>PSS0651</v>
          </cell>
          <cell r="AB2595" t="str">
            <v>Factory-Annaram</v>
          </cell>
        </row>
        <row r="2596">
          <cell r="A2596" t="str">
            <v>PEIPL0564</v>
          </cell>
          <cell r="AB2596" t="str">
            <v>Fabcity</v>
          </cell>
        </row>
        <row r="2597">
          <cell r="A2597" t="str">
            <v>PEIPL0532</v>
          </cell>
          <cell r="AB2597" t="str">
            <v>Fabcity</v>
          </cell>
        </row>
        <row r="2598">
          <cell r="A2598" t="str">
            <v>PEPPL0541</v>
          </cell>
          <cell r="AB2598" t="str">
            <v>Fabcity</v>
          </cell>
        </row>
        <row r="2599">
          <cell r="A2599" t="str">
            <v>PEPPL0356</v>
          </cell>
          <cell r="AB2599" t="str">
            <v>Fabcity</v>
          </cell>
        </row>
        <row r="2600">
          <cell r="A2600" t="str">
            <v>PEPPL0515</v>
          </cell>
          <cell r="AB2600" t="str">
            <v>Fabcity</v>
          </cell>
        </row>
        <row r="2601">
          <cell r="A2601" t="str">
            <v>PEPPL0316</v>
          </cell>
          <cell r="AB2601" t="str">
            <v>Fabcity</v>
          </cell>
        </row>
        <row r="2602">
          <cell r="A2602" t="str">
            <v>PSS1139</v>
          </cell>
          <cell r="AB2602" t="str">
            <v>Factory-Annaram</v>
          </cell>
        </row>
        <row r="2603">
          <cell r="A2603" t="str">
            <v>PEIPL0482</v>
          </cell>
          <cell r="AB2603" t="str">
            <v>Fabcity</v>
          </cell>
        </row>
        <row r="2604">
          <cell r="A2604" t="str">
            <v>PSS1429</v>
          </cell>
          <cell r="AB2604" t="str">
            <v>Corporate Office</v>
          </cell>
        </row>
        <row r="2605">
          <cell r="A2605" t="str">
            <v>PSS1362</v>
          </cell>
          <cell r="AB2605" t="str">
            <v>Corporate Office</v>
          </cell>
        </row>
        <row r="2606">
          <cell r="A2606" t="str">
            <v>PEGEPL0042</v>
          </cell>
          <cell r="AB2606" t="str">
            <v>Fabcity</v>
          </cell>
        </row>
        <row r="2607">
          <cell r="A2607" t="str">
            <v>PEPPL0512</v>
          </cell>
          <cell r="AB2607" t="str">
            <v>Fabcity</v>
          </cell>
        </row>
        <row r="2608">
          <cell r="A2608" t="str">
            <v>P0499</v>
          </cell>
          <cell r="AB2608" t="str">
            <v>Vizag</v>
          </cell>
        </row>
        <row r="2609">
          <cell r="A2609" t="str">
            <v>PEIPL0035</v>
          </cell>
          <cell r="AB2609" t="str">
            <v>Fabcity</v>
          </cell>
        </row>
        <row r="2610">
          <cell r="A2610" t="str">
            <v>PEIPL0186</v>
          </cell>
          <cell r="AB2610" t="str">
            <v>Fabcity</v>
          </cell>
        </row>
        <row r="2611">
          <cell r="A2611" t="str">
            <v>PEPPL0111</v>
          </cell>
          <cell r="AB2611" t="str">
            <v>Fabcity</v>
          </cell>
        </row>
        <row r="2612">
          <cell r="A2612" t="str">
            <v>P0413</v>
          </cell>
          <cell r="AB2612" t="str">
            <v>Greater Noida BPCL</v>
          </cell>
        </row>
        <row r="2613">
          <cell r="A2613" t="str">
            <v>PEPPL0504</v>
          </cell>
          <cell r="AB2613" t="str">
            <v>Fabcity</v>
          </cell>
        </row>
        <row r="2614">
          <cell r="A2614" t="str">
            <v>PEPPL0674</v>
          </cell>
          <cell r="AB2614" t="str">
            <v>Corporate Office</v>
          </cell>
        </row>
        <row r="2615">
          <cell r="A2615" t="str">
            <v>PEPPL0304</v>
          </cell>
          <cell r="AB2615" t="str">
            <v>Fabcity</v>
          </cell>
        </row>
        <row r="2616">
          <cell r="A2616" t="str">
            <v>PEPPL0871</v>
          </cell>
          <cell r="AB2616" t="str">
            <v>Kolkata</v>
          </cell>
        </row>
        <row r="2617">
          <cell r="A2617" t="str">
            <v>PEPPL0295</v>
          </cell>
          <cell r="AB2617" t="str">
            <v>Fabcity</v>
          </cell>
        </row>
        <row r="2618">
          <cell r="A2618" t="str">
            <v>PEIPL0791</v>
          </cell>
          <cell r="AB2618" t="str">
            <v>Fabcity</v>
          </cell>
        </row>
        <row r="2619">
          <cell r="A2619" t="str">
            <v>PEIPL0449</v>
          </cell>
          <cell r="AB2619" t="str">
            <v>Fabcity</v>
          </cell>
        </row>
        <row r="2620">
          <cell r="A2620" t="str">
            <v>PEIPL0135</v>
          </cell>
          <cell r="AB2620" t="str">
            <v>Fabcity</v>
          </cell>
        </row>
        <row r="2621">
          <cell r="A2621" t="str">
            <v>PEPPL0561</v>
          </cell>
          <cell r="AB2621" t="str">
            <v>Fabcity</v>
          </cell>
        </row>
        <row r="2622">
          <cell r="A2622" t="str">
            <v>PEPPL0562</v>
          </cell>
          <cell r="AB2622" t="str">
            <v>Fabcity</v>
          </cell>
        </row>
        <row r="2623">
          <cell r="A2623" t="str">
            <v>PSS1303</v>
          </cell>
          <cell r="AB2623" t="str">
            <v>Fabcity</v>
          </cell>
        </row>
        <row r="2624">
          <cell r="A2624" t="str">
            <v>PEPPL0563</v>
          </cell>
          <cell r="AB2624" t="str">
            <v>Fabcity</v>
          </cell>
        </row>
        <row r="2625">
          <cell r="A2625" t="str">
            <v>PEPPL0835</v>
          </cell>
          <cell r="AB2625" t="str">
            <v>Fabcity</v>
          </cell>
        </row>
        <row r="2626">
          <cell r="A2626" t="str">
            <v>PEPPL0564</v>
          </cell>
          <cell r="AB2626" t="str">
            <v>Fabcity</v>
          </cell>
        </row>
        <row r="2627">
          <cell r="A2627" t="str">
            <v>PEPPL0565</v>
          </cell>
          <cell r="AB2627" t="str">
            <v>Fabcity</v>
          </cell>
        </row>
        <row r="2628">
          <cell r="A2628" t="str">
            <v>PEPPL0566</v>
          </cell>
          <cell r="AB2628" t="str">
            <v>Fabcity</v>
          </cell>
        </row>
        <row r="2629">
          <cell r="A2629" t="str">
            <v>PEPPL0567</v>
          </cell>
          <cell r="AB2629" t="str">
            <v>Fabcity</v>
          </cell>
        </row>
        <row r="2630">
          <cell r="A2630" t="str">
            <v>PEPPL0570</v>
          </cell>
          <cell r="AB2630" t="str">
            <v>Fabcity</v>
          </cell>
        </row>
        <row r="2631">
          <cell r="A2631" t="str">
            <v>PEPPL0568</v>
          </cell>
          <cell r="AB2631" t="str">
            <v>Fabcity</v>
          </cell>
        </row>
        <row r="2632">
          <cell r="A2632" t="str">
            <v>PEPPL0716</v>
          </cell>
          <cell r="AB2632" t="str">
            <v>Fabcity</v>
          </cell>
        </row>
        <row r="2633">
          <cell r="A2633" t="str">
            <v>PSS1244</v>
          </cell>
          <cell r="AB2633" t="str">
            <v>Corporate Office</v>
          </cell>
        </row>
        <row r="2634">
          <cell r="A2634" t="str">
            <v>PEPPL0607</v>
          </cell>
          <cell r="AB2634" t="str">
            <v>Fabcity</v>
          </cell>
        </row>
        <row r="2635">
          <cell r="A2635" t="str">
            <v>PSS0904</v>
          </cell>
          <cell r="AB2635" t="str">
            <v>Factory-Annaram</v>
          </cell>
        </row>
        <row r="2636">
          <cell r="A2636" t="str">
            <v>PEIPL0673</v>
          </cell>
          <cell r="AB2636" t="str">
            <v>Fabcity</v>
          </cell>
        </row>
        <row r="2637">
          <cell r="A2637" t="str">
            <v>PEPPL0569</v>
          </cell>
          <cell r="AB2637" t="str">
            <v>City Office</v>
          </cell>
        </row>
        <row r="2638">
          <cell r="A2638" t="str">
            <v>PEPPL0208</v>
          </cell>
          <cell r="AB2638" t="str">
            <v>Fabcity</v>
          </cell>
        </row>
        <row r="2639">
          <cell r="A2639" t="str">
            <v>PEPPL0151</v>
          </cell>
          <cell r="AB2639" t="str">
            <v>Fabcity</v>
          </cell>
        </row>
        <row r="2640">
          <cell r="A2640" t="str">
            <v>PEIPL0531</v>
          </cell>
          <cell r="AB2640" t="str">
            <v>Fabcity</v>
          </cell>
        </row>
        <row r="2641">
          <cell r="A2641" t="str">
            <v>PEIPL0262</v>
          </cell>
          <cell r="AB2641" t="str">
            <v>Fabcity</v>
          </cell>
        </row>
        <row r="2642">
          <cell r="A2642" t="str">
            <v>P0328</v>
          </cell>
          <cell r="AB2642" t="str">
            <v>Greater Noida BPCL</v>
          </cell>
        </row>
        <row r="2643">
          <cell r="A2643" t="str">
            <v>PSS1333</v>
          </cell>
          <cell r="AB2643" t="str">
            <v>Corporate Office</v>
          </cell>
        </row>
        <row r="2644">
          <cell r="A2644" t="str">
            <v>PEIPL0046</v>
          </cell>
          <cell r="AB2644" t="str">
            <v>Fabcity</v>
          </cell>
        </row>
        <row r="2645">
          <cell r="A2645" t="str">
            <v>PEIPL0173</v>
          </cell>
          <cell r="AB2645" t="str">
            <v>Fabcity</v>
          </cell>
        </row>
        <row r="2646">
          <cell r="A2646" t="str">
            <v>PEIPL0700</v>
          </cell>
          <cell r="AB2646" t="str">
            <v>Fabcity</v>
          </cell>
        </row>
        <row r="2647">
          <cell r="A2647" t="str">
            <v>PEIPL0461</v>
          </cell>
          <cell r="AB2647" t="str">
            <v>Fabcity</v>
          </cell>
        </row>
        <row r="2648">
          <cell r="A2648" t="str">
            <v>P0462</v>
          </cell>
          <cell r="AB2648" t="str">
            <v>NLC</v>
          </cell>
        </row>
        <row r="2649">
          <cell r="A2649" t="str">
            <v>PEIPL0079</v>
          </cell>
          <cell r="AB2649" t="str">
            <v>Fabcity</v>
          </cell>
        </row>
        <row r="2650">
          <cell r="A2650" t="str">
            <v>PSS1267</v>
          </cell>
          <cell r="AB2650" t="str">
            <v>New Delhi</v>
          </cell>
        </row>
        <row r="2651">
          <cell r="A2651" t="str">
            <v>BDPL0012</v>
          </cell>
          <cell r="AB2651" t="str">
            <v>Nirna</v>
          </cell>
        </row>
        <row r="2652">
          <cell r="A2652" t="str">
            <v>P0349</v>
          </cell>
          <cell r="AB2652" t="str">
            <v>Karnataka</v>
          </cell>
        </row>
        <row r="2653">
          <cell r="A2653" t="str">
            <v>P0488</v>
          </cell>
          <cell r="AB2653" t="str">
            <v>Nirna</v>
          </cell>
        </row>
        <row r="2654">
          <cell r="A2654" t="str">
            <v>PEPPL0879</v>
          </cell>
          <cell r="AB2654" t="str">
            <v>Fabcity</v>
          </cell>
        </row>
        <row r="2655">
          <cell r="A2655" t="str">
            <v>PEPPL0417</v>
          </cell>
          <cell r="AB2655" t="str">
            <v>Fabcity</v>
          </cell>
        </row>
        <row r="2656">
          <cell r="A2656" t="str">
            <v>PEPPL0314</v>
          </cell>
          <cell r="AB2656" t="str">
            <v>Fabcity</v>
          </cell>
        </row>
        <row r="2657">
          <cell r="A2657" t="str">
            <v>PEIPL0112</v>
          </cell>
          <cell r="AB2657" t="str">
            <v>Fabcity</v>
          </cell>
        </row>
        <row r="2658">
          <cell r="A2658" t="str">
            <v>PSS1318</v>
          </cell>
          <cell r="AB2658" t="str">
            <v>Factory-Annaram</v>
          </cell>
        </row>
        <row r="2659">
          <cell r="A2659" t="str">
            <v>PEPPL0109</v>
          </cell>
          <cell r="AB2659" t="str">
            <v>Fabcity</v>
          </cell>
        </row>
        <row r="2660">
          <cell r="A2660" t="str">
            <v>PSS0877</v>
          </cell>
          <cell r="AB2660" t="str">
            <v>Factory-Annaram</v>
          </cell>
        </row>
        <row r="2661">
          <cell r="A2661" t="str">
            <v>PEPPL0363</v>
          </cell>
          <cell r="AB2661" t="str">
            <v>Fabcity</v>
          </cell>
        </row>
        <row r="2662">
          <cell r="A2662" t="str">
            <v>PEPPL0354</v>
          </cell>
          <cell r="AB2662" t="str">
            <v>Fabcity</v>
          </cell>
        </row>
        <row r="2663">
          <cell r="A2663" t="str">
            <v>PSS0522</v>
          </cell>
          <cell r="AB2663" t="str">
            <v>Corporate Office</v>
          </cell>
        </row>
        <row r="2664">
          <cell r="A2664" t="str">
            <v>PEGEPL0117</v>
          </cell>
          <cell r="AB2664" t="str">
            <v>Fabcity</v>
          </cell>
        </row>
        <row r="2665">
          <cell r="A2665" t="str">
            <v>PEIPL0518</v>
          </cell>
          <cell r="AB2665" t="str">
            <v>Fabcity</v>
          </cell>
        </row>
        <row r="2666">
          <cell r="A2666" t="str">
            <v>PSS0809</v>
          </cell>
          <cell r="AB2666" t="str">
            <v>Factory-Annaram</v>
          </cell>
        </row>
        <row r="2667">
          <cell r="A2667" t="str">
            <v>PEPPL0331</v>
          </cell>
          <cell r="AB2667" t="str">
            <v>Fabcity</v>
          </cell>
        </row>
        <row r="2668">
          <cell r="A2668" t="str">
            <v>P0383</v>
          </cell>
          <cell r="AB2668" t="str">
            <v>Corporate Office</v>
          </cell>
        </row>
        <row r="2669">
          <cell r="A2669" t="str">
            <v>PEIPL0476</v>
          </cell>
          <cell r="AB2669" t="str">
            <v>Fabcity</v>
          </cell>
        </row>
        <row r="2670">
          <cell r="A2670" t="str">
            <v>P0227</v>
          </cell>
          <cell r="AB2670" t="str">
            <v>Greater Noida BPCL</v>
          </cell>
        </row>
        <row r="2671">
          <cell r="A2671" t="str">
            <v>PSS0564</v>
          </cell>
          <cell r="AB2671" t="str">
            <v>Factory-Annaram</v>
          </cell>
        </row>
        <row r="2672">
          <cell r="A2672" t="str">
            <v>PEPPL0534</v>
          </cell>
          <cell r="AB2672" t="str">
            <v>Fabcity</v>
          </cell>
        </row>
        <row r="2673">
          <cell r="A2673" t="str">
            <v>PEGEPL0068</v>
          </cell>
          <cell r="AB2673" t="str">
            <v>Fabcity</v>
          </cell>
        </row>
        <row r="2674">
          <cell r="A2674" t="str">
            <v>PEPPL0159</v>
          </cell>
          <cell r="AB2674" t="str">
            <v>Fabcity</v>
          </cell>
        </row>
        <row r="2675">
          <cell r="A2675" t="str">
            <v>PEIPL0595</v>
          </cell>
          <cell r="AB2675" t="str">
            <v>Fabcity</v>
          </cell>
        </row>
        <row r="2676">
          <cell r="A2676" t="str">
            <v>PEPPL0133</v>
          </cell>
          <cell r="AB2676" t="str">
            <v>Fabcity</v>
          </cell>
        </row>
        <row r="2677">
          <cell r="A2677" t="str">
            <v>PEPPL0661</v>
          </cell>
          <cell r="AB2677" t="str">
            <v>Corporate Office</v>
          </cell>
        </row>
        <row r="2678">
          <cell r="A2678" t="str">
            <v>PEIPL0804</v>
          </cell>
          <cell r="AB2678" t="str">
            <v>Fabcity</v>
          </cell>
        </row>
        <row r="2679">
          <cell r="A2679" t="str">
            <v>PEIPL0344</v>
          </cell>
          <cell r="AB2679" t="str">
            <v>Fabcity</v>
          </cell>
        </row>
        <row r="2680">
          <cell r="A2680" t="str">
            <v>PEIPL0345</v>
          </cell>
          <cell r="AB2680" t="str">
            <v>Fabcity</v>
          </cell>
        </row>
        <row r="2681">
          <cell r="A2681" t="str">
            <v>PEIPL0355</v>
          </cell>
          <cell r="AB2681" t="str">
            <v>Fabcity</v>
          </cell>
        </row>
        <row r="2682">
          <cell r="A2682" t="str">
            <v>PEPPL0053</v>
          </cell>
          <cell r="AB2682" t="str">
            <v>Fabcity</v>
          </cell>
        </row>
        <row r="2683">
          <cell r="A2683" t="str">
            <v>PEIPL0525</v>
          </cell>
          <cell r="AB2683" t="str">
            <v>Fabcity</v>
          </cell>
        </row>
        <row r="2684">
          <cell r="A2684" t="str">
            <v>PEGEPL0039</v>
          </cell>
          <cell r="AB2684" t="str">
            <v>Fabcity</v>
          </cell>
        </row>
        <row r="2685">
          <cell r="A2685" t="str">
            <v>PEPPL0738</v>
          </cell>
          <cell r="AB2685" t="str">
            <v>Ahmedabad</v>
          </cell>
        </row>
        <row r="2686">
          <cell r="A2686" t="str">
            <v>PEIPL0105</v>
          </cell>
          <cell r="AB2686" t="str">
            <v>Fabcity</v>
          </cell>
        </row>
        <row r="2687">
          <cell r="A2687" t="str">
            <v>PSS1295</v>
          </cell>
          <cell r="AB2687" t="str">
            <v>Corporate Office</v>
          </cell>
        </row>
        <row r="2688">
          <cell r="A2688" t="str">
            <v>PEIPL0118</v>
          </cell>
          <cell r="AB2688" t="str">
            <v>Fabcity</v>
          </cell>
        </row>
        <row r="2689">
          <cell r="A2689" t="str">
            <v>PEIPL0092</v>
          </cell>
          <cell r="AB2689" t="str">
            <v>Fabcity</v>
          </cell>
        </row>
        <row r="2690">
          <cell r="A2690" t="str">
            <v>PEPPL0520</v>
          </cell>
          <cell r="AB2690" t="str">
            <v>Fabcity</v>
          </cell>
        </row>
        <row r="2691">
          <cell r="A2691" t="str">
            <v>PEIPL0038</v>
          </cell>
          <cell r="AB2691" t="str">
            <v>Fabcity</v>
          </cell>
        </row>
        <row r="2692">
          <cell r="A2692" t="str">
            <v>P0442</v>
          </cell>
          <cell r="AB2692" t="str">
            <v>Deoghar</v>
          </cell>
        </row>
        <row r="2693">
          <cell r="A2693" t="str">
            <v>PEIPL0304</v>
          </cell>
          <cell r="AB2693" t="str">
            <v>Fabcity</v>
          </cell>
        </row>
        <row r="2694">
          <cell r="A2694" t="str">
            <v>PEGEPL0093</v>
          </cell>
          <cell r="AB2694" t="str">
            <v>Fabcity</v>
          </cell>
        </row>
        <row r="2695">
          <cell r="A2695" t="str">
            <v>PEIPL0727</v>
          </cell>
          <cell r="AB2695" t="str">
            <v>Fabcity</v>
          </cell>
        </row>
        <row r="2696">
          <cell r="A2696" t="str">
            <v>PEIPL0153</v>
          </cell>
          <cell r="AB2696" t="str">
            <v>Fabcity</v>
          </cell>
        </row>
        <row r="2697">
          <cell r="A2697" t="str">
            <v>PEIPL0450</v>
          </cell>
          <cell r="AB2697" t="str">
            <v>Fabcity</v>
          </cell>
        </row>
        <row r="2698">
          <cell r="A2698" t="str">
            <v>PEIPL0254</v>
          </cell>
          <cell r="AB2698" t="str">
            <v>Fabcity</v>
          </cell>
        </row>
        <row r="2699">
          <cell r="A2699" t="str">
            <v>P0168</v>
          </cell>
          <cell r="AB2699" t="str">
            <v>Bihar</v>
          </cell>
        </row>
        <row r="2700">
          <cell r="A2700" t="str">
            <v>PEIPL0315</v>
          </cell>
          <cell r="AB2700" t="str">
            <v>Fabcity</v>
          </cell>
        </row>
        <row r="2701">
          <cell r="A2701" t="str">
            <v>PSS1395</v>
          </cell>
          <cell r="AB2701" t="str">
            <v>Kalinga</v>
          </cell>
        </row>
        <row r="2702">
          <cell r="A2702" t="str">
            <v>PEIPL0085</v>
          </cell>
          <cell r="AB2702" t="str">
            <v>Fabcity</v>
          </cell>
        </row>
        <row r="2703">
          <cell r="A2703" t="str">
            <v>PEIPL0246</v>
          </cell>
          <cell r="AB2703" t="str">
            <v>Fabcity</v>
          </cell>
        </row>
        <row r="2704">
          <cell r="A2704" t="str">
            <v>PSS1350</v>
          </cell>
          <cell r="AB2704" t="str">
            <v>Fabcity</v>
          </cell>
        </row>
        <row r="2705">
          <cell r="A2705" t="str">
            <v>PSS1399</v>
          </cell>
          <cell r="AB2705" t="str">
            <v>City Office</v>
          </cell>
        </row>
        <row r="2706">
          <cell r="A2706" t="str">
            <v>PEGEPL0128</v>
          </cell>
          <cell r="AB2706" t="str">
            <v>Fabcity</v>
          </cell>
        </row>
        <row r="2707">
          <cell r="A2707" t="str">
            <v>PEPPL0428</v>
          </cell>
          <cell r="AB2707" t="str">
            <v>Fabcity</v>
          </cell>
        </row>
        <row r="2708">
          <cell r="A2708" t="str">
            <v>PEIPL0292</v>
          </cell>
          <cell r="AB2708" t="str">
            <v>Fabcity</v>
          </cell>
        </row>
        <row r="2709">
          <cell r="A2709" t="str">
            <v>P0116</v>
          </cell>
          <cell r="AB2709" t="str">
            <v>Deoghars</v>
          </cell>
        </row>
        <row r="2710">
          <cell r="A2710" t="str">
            <v>P0440</v>
          </cell>
          <cell r="AB2710" t="str">
            <v>Deoghar</v>
          </cell>
        </row>
        <row r="2711">
          <cell r="A2711" t="str">
            <v>P0112</v>
          </cell>
          <cell r="AB2711" t="str">
            <v>Deoghars</v>
          </cell>
        </row>
        <row r="2712">
          <cell r="A2712" t="str">
            <v>PEPPL0152</v>
          </cell>
          <cell r="AB2712" t="str">
            <v>Fabcity</v>
          </cell>
        </row>
        <row r="2713">
          <cell r="A2713" t="str">
            <v>PEIPL0429</v>
          </cell>
          <cell r="AB2713" t="str">
            <v>Fabcity</v>
          </cell>
        </row>
        <row r="2714">
          <cell r="A2714" t="str">
            <v>PEPPL0198</v>
          </cell>
          <cell r="AB2714" t="str">
            <v>Fabcity</v>
          </cell>
        </row>
        <row r="2715">
          <cell r="A2715" t="str">
            <v>PEGEPL0043</v>
          </cell>
          <cell r="AB2715" t="str">
            <v>Fabcity</v>
          </cell>
        </row>
        <row r="2716">
          <cell r="A2716" t="str">
            <v>PEIPL0738</v>
          </cell>
          <cell r="AB2716" t="str">
            <v>Fabcity</v>
          </cell>
        </row>
        <row r="2717">
          <cell r="A2717" t="str">
            <v>PEPPL0054</v>
          </cell>
          <cell r="AB2717" t="str">
            <v>Corporate Office</v>
          </cell>
        </row>
        <row r="2718">
          <cell r="A2718" t="str">
            <v>PEPPL0189</v>
          </cell>
          <cell r="AB2718" t="str">
            <v>Fabcity</v>
          </cell>
        </row>
        <row r="2719">
          <cell r="A2719" t="str">
            <v>PEIPL0516</v>
          </cell>
          <cell r="AB2719" t="str">
            <v>Fabcity</v>
          </cell>
        </row>
        <row r="2720">
          <cell r="A2720" t="str">
            <v>PSS1232</v>
          </cell>
          <cell r="AB2720" t="str">
            <v>Factory-Annaram</v>
          </cell>
        </row>
        <row r="2721">
          <cell r="A2721" t="str">
            <v>PEPPL0018</v>
          </cell>
          <cell r="AB2721" t="str">
            <v>Fabcity</v>
          </cell>
        </row>
        <row r="2722">
          <cell r="A2722" t="str">
            <v>PEIPL0507</v>
          </cell>
          <cell r="AB2722" t="str">
            <v>Fabcity</v>
          </cell>
        </row>
        <row r="2723">
          <cell r="A2723" t="str">
            <v>PSS1120</v>
          </cell>
          <cell r="AB2723" t="str">
            <v>Factory-Annaram</v>
          </cell>
        </row>
        <row r="2724">
          <cell r="A2724" t="str">
            <v>P0388</v>
          </cell>
          <cell r="AB2724" t="str">
            <v>Corporate Office</v>
          </cell>
        </row>
        <row r="2725">
          <cell r="A2725" t="str">
            <v>PEPPL0572</v>
          </cell>
          <cell r="AB2725" t="str">
            <v>Fabcity</v>
          </cell>
        </row>
        <row r="2726">
          <cell r="A2726" t="str">
            <v>PEGEPL0102</v>
          </cell>
          <cell r="AB2726" t="str">
            <v>Fabcity</v>
          </cell>
        </row>
        <row r="2727">
          <cell r="A2727" t="str">
            <v>PSS1194</v>
          </cell>
          <cell r="AB2727" t="str">
            <v>Corporate Office</v>
          </cell>
        </row>
        <row r="2728">
          <cell r="A2728" t="str">
            <v>PSS0137</v>
          </cell>
          <cell r="AB2728" t="str">
            <v>Corporate Office</v>
          </cell>
        </row>
        <row r="2729">
          <cell r="A2729" t="str">
            <v>PSS1392</v>
          </cell>
          <cell r="AB2729" t="str">
            <v>Corporate Office</v>
          </cell>
        </row>
        <row r="2730">
          <cell r="A2730" t="str">
            <v>PEIPL0285</v>
          </cell>
          <cell r="AB2730" t="str">
            <v>Fabcity</v>
          </cell>
        </row>
        <row r="2731">
          <cell r="A2731" t="str">
            <v>PSS1404</v>
          </cell>
          <cell r="AB2731" t="str">
            <v>Corporate Office</v>
          </cell>
        </row>
        <row r="2732">
          <cell r="A2732" t="str">
            <v>PEPPL0124</v>
          </cell>
          <cell r="AB2732" t="str">
            <v>Fabcity</v>
          </cell>
        </row>
        <row r="2733">
          <cell r="A2733" t="str">
            <v>PEPPL0282</v>
          </cell>
          <cell r="AB2733" t="str">
            <v>Fabcity</v>
          </cell>
        </row>
        <row r="2734">
          <cell r="A2734" t="str">
            <v>PSS0042</v>
          </cell>
          <cell r="AB2734" t="str">
            <v>Factory-Annaram</v>
          </cell>
        </row>
        <row r="2735">
          <cell r="A2735" t="str">
            <v>PSS0193</v>
          </cell>
          <cell r="AB2735" t="str">
            <v>City Office</v>
          </cell>
        </row>
        <row r="2736">
          <cell r="A2736" t="str">
            <v>PEIPL0555</v>
          </cell>
          <cell r="AB2736" t="str">
            <v>City Office</v>
          </cell>
        </row>
        <row r="2737">
          <cell r="A2737" t="str">
            <v>PEIPL0483</v>
          </cell>
          <cell r="AB2737" t="str">
            <v>Fabcity</v>
          </cell>
        </row>
        <row r="2738">
          <cell r="A2738" t="str">
            <v>PSS1010</v>
          </cell>
          <cell r="AB2738" t="str">
            <v>Factory-Annaram</v>
          </cell>
        </row>
        <row r="2739">
          <cell r="A2739" t="str">
            <v>PEPPL0415</v>
          </cell>
          <cell r="AB2739" t="str">
            <v>Fabcity</v>
          </cell>
        </row>
        <row r="2740">
          <cell r="A2740" t="str">
            <v>PSS0469</v>
          </cell>
          <cell r="AB2740" t="str">
            <v>Factory-Annaram</v>
          </cell>
        </row>
        <row r="2741">
          <cell r="A2741" t="str">
            <v>PEPPL0125</v>
          </cell>
          <cell r="AB2741" t="str">
            <v>Fabcity</v>
          </cell>
        </row>
        <row r="2742">
          <cell r="A2742" t="str">
            <v>PEPPL0153</v>
          </cell>
          <cell r="AB2742" t="str">
            <v>Fabcity</v>
          </cell>
        </row>
        <row r="2743">
          <cell r="A2743" t="str">
            <v>PSS1003</v>
          </cell>
          <cell r="AB2743" t="str">
            <v>Factory-Annaram</v>
          </cell>
        </row>
        <row r="2744">
          <cell r="A2744" t="str">
            <v>PEPPL0822</v>
          </cell>
          <cell r="AB2744" t="str">
            <v>Fabcity</v>
          </cell>
        </row>
        <row r="2745">
          <cell r="A2745" t="str">
            <v>PSS0659</v>
          </cell>
          <cell r="AB2745" t="str">
            <v>Corporate Office</v>
          </cell>
        </row>
        <row r="2746">
          <cell r="A2746" t="str">
            <v>PEPPL0270</v>
          </cell>
          <cell r="AB2746" t="str">
            <v>Fabcity</v>
          </cell>
        </row>
        <row r="2747">
          <cell r="A2747" t="str">
            <v>PEIPL0563</v>
          </cell>
          <cell r="AB2747" t="str">
            <v>Fabcity</v>
          </cell>
        </row>
        <row r="2748">
          <cell r="A2748" t="str">
            <v>PEPPL0419</v>
          </cell>
          <cell r="AB2748" t="str">
            <v>Fabcity</v>
          </cell>
        </row>
        <row r="2749">
          <cell r="A2749" t="str">
            <v>PSS1114</v>
          </cell>
          <cell r="AB2749" t="str">
            <v>City Office</v>
          </cell>
        </row>
        <row r="2750">
          <cell r="A2750" t="str">
            <v>PEIPL0583</v>
          </cell>
          <cell r="AB2750" t="str">
            <v>Fabcity</v>
          </cell>
        </row>
        <row r="2751">
          <cell r="A2751" t="str">
            <v>PEGEPL0030</v>
          </cell>
          <cell r="AB2751" t="str">
            <v>Fabcity</v>
          </cell>
        </row>
        <row r="2752">
          <cell r="A2752" t="str">
            <v>PSS0972</v>
          </cell>
          <cell r="AB2752" t="str">
            <v>Factory-Annaram</v>
          </cell>
        </row>
        <row r="2753">
          <cell r="A2753" t="str">
            <v>PEIPL0001</v>
          </cell>
          <cell r="AB2753" t="str">
            <v>Fabcity</v>
          </cell>
        </row>
        <row r="2754">
          <cell r="A2754" t="str">
            <v>PEPPL0630</v>
          </cell>
          <cell r="AB2754" t="str">
            <v>Fabcity</v>
          </cell>
        </row>
        <row r="2755">
          <cell r="A2755" t="str">
            <v>PEPPL0274</v>
          </cell>
          <cell r="AB2755" t="str">
            <v>Fabcity</v>
          </cell>
        </row>
        <row r="2756">
          <cell r="A2756" t="str">
            <v>PEIPL0600</v>
          </cell>
          <cell r="AB2756" t="str">
            <v>Fabcity</v>
          </cell>
        </row>
        <row r="2757">
          <cell r="A2757" t="str">
            <v>PSS0916</v>
          </cell>
          <cell r="AB2757" t="str">
            <v>Factory-Annaram</v>
          </cell>
        </row>
        <row r="2758">
          <cell r="A2758" t="str">
            <v>PEIPL0599</v>
          </cell>
          <cell r="AB2758" t="str">
            <v>Fabcity</v>
          </cell>
        </row>
        <row r="2759">
          <cell r="A2759" t="str">
            <v>P0411</v>
          </cell>
          <cell r="AB2759" t="str">
            <v>Corporate Office</v>
          </cell>
        </row>
        <row r="2760">
          <cell r="A2760" t="str">
            <v>PEGEPL0132</v>
          </cell>
          <cell r="AB2760" t="str">
            <v>Fabcity</v>
          </cell>
        </row>
        <row r="2761">
          <cell r="A2761" t="str">
            <v>PEPPL0221</v>
          </cell>
          <cell r="AB2761" t="str">
            <v>Fabcity</v>
          </cell>
        </row>
        <row r="2762">
          <cell r="A2762" t="str">
            <v>PEPPL0022</v>
          </cell>
          <cell r="AB2762" t="str">
            <v>Fabcity</v>
          </cell>
        </row>
        <row r="2763">
          <cell r="A2763" t="str">
            <v>PEIPL0404</v>
          </cell>
          <cell r="AB2763" t="str">
            <v>Fabcity</v>
          </cell>
        </row>
        <row r="2764">
          <cell r="A2764" t="str">
            <v>P0446</v>
          </cell>
          <cell r="AB2764" t="str">
            <v>Deoghar</v>
          </cell>
        </row>
        <row r="2765">
          <cell r="A2765" t="str">
            <v>PEPPL0646</v>
          </cell>
          <cell r="AB2765" t="str">
            <v>Fabcity</v>
          </cell>
        </row>
        <row r="2766">
          <cell r="A2766" t="str">
            <v>PEIPL0226</v>
          </cell>
          <cell r="AB2766" t="str">
            <v>Fabcity</v>
          </cell>
        </row>
        <row r="2767">
          <cell r="A2767" t="str">
            <v>PSS0242</v>
          </cell>
          <cell r="AB2767" t="str">
            <v>Lucknow</v>
          </cell>
        </row>
        <row r="2768">
          <cell r="A2768" t="str">
            <v>PEPPL0636</v>
          </cell>
          <cell r="AB2768" t="str">
            <v>Fabcity</v>
          </cell>
        </row>
        <row r="2769">
          <cell r="A2769" t="str">
            <v>P0444</v>
          </cell>
          <cell r="AB2769" t="str">
            <v>Kalinga</v>
          </cell>
        </row>
        <row r="2770">
          <cell r="A2770" t="str">
            <v>PEIPL0399</v>
          </cell>
          <cell r="AB2770" t="str">
            <v>Fabcity</v>
          </cell>
        </row>
        <row r="2771">
          <cell r="A2771" t="str">
            <v>PEPPL0675</v>
          </cell>
          <cell r="AB2771" t="str">
            <v>Fabcity</v>
          </cell>
        </row>
        <row r="2772">
          <cell r="A2772" t="str">
            <v>PEPPL0834</v>
          </cell>
          <cell r="AB2772" t="str">
            <v>Fabcity</v>
          </cell>
        </row>
        <row r="2773">
          <cell r="A2773" t="str">
            <v>PEPPL0181</v>
          </cell>
          <cell r="AB2773" t="str">
            <v>Fabcity</v>
          </cell>
        </row>
        <row r="2774">
          <cell r="A2774" t="str">
            <v>PSS1367</v>
          </cell>
          <cell r="AB2774" t="str">
            <v>City Office</v>
          </cell>
        </row>
        <row r="2775">
          <cell r="A2775" t="str">
            <v>PSS0820</v>
          </cell>
          <cell r="AB2775" t="str">
            <v>Fabcity</v>
          </cell>
        </row>
        <row r="2776">
          <cell r="A2776" t="str">
            <v>PSS1425</v>
          </cell>
          <cell r="AB2776" t="str">
            <v>Corporate Office</v>
          </cell>
        </row>
        <row r="2777">
          <cell r="A2777" t="str">
            <v>PEIPL0478</v>
          </cell>
          <cell r="AB2777" t="str">
            <v>Fabcity</v>
          </cell>
        </row>
        <row r="2778">
          <cell r="A2778" t="str">
            <v>PSS0477</v>
          </cell>
          <cell r="AB2778" t="str">
            <v>Factory-Annaram</v>
          </cell>
        </row>
        <row r="2779">
          <cell r="A2779" t="str">
            <v>PEPPL0097</v>
          </cell>
          <cell r="AB2779" t="str">
            <v>Fabcity</v>
          </cell>
        </row>
        <row r="2780">
          <cell r="A2780" t="str">
            <v>PEPPL0452</v>
          </cell>
          <cell r="AB2780" t="str">
            <v>Fabcity</v>
          </cell>
        </row>
        <row r="2781">
          <cell r="A2781" t="str">
            <v>BDPL0002</v>
          </cell>
          <cell r="AB2781" t="str">
            <v>Hubli</v>
          </cell>
        </row>
        <row r="2782">
          <cell r="A2782" t="str">
            <v>P0247</v>
          </cell>
          <cell r="AB2782" t="str">
            <v>Hubli</v>
          </cell>
        </row>
        <row r="2783">
          <cell r="A2783" t="str">
            <v>P0480</v>
          </cell>
          <cell r="AB2783" t="str">
            <v>Hubli</v>
          </cell>
        </row>
        <row r="2784">
          <cell r="A2784" t="str">
            <v>PSS0053</v>
          </cell>
          <cell r="AB2784" t="str">
            <v>Factory-Annaram</v>
          </cell>
        </row>
        <row r="2785">
          <cell r="A2785" t="str">
            <v>PEPPL0329</v>
          </cell>
          <cell r="AB2785" t="str">
            <v>Fabcity</v>
          </cell>
        </row>
        <row r="2786">
          <cell r="A2786" t="str">
            <v>PEIPL0005</v>
          </cell>
          <cell r="AB2786" t="str">
            <v>Fabcity</v>
          </cell>
        </row>
        <row r="2787">
          <cell r="A2787" t="str">
            <v>PEPPL0554</v>
          </cell>
          <cell r="AB2787" t="str">
            <v>Fabcity</v>
          </cell>
        </row>
        <row r="2788">
          <cell r="A2788" t="str">
            <v>PEIPL0686</v>
          </cell>
          <cell r="AB2788" t="str">
            <v>Fabcity</v>
          </cell>
        </row>
        <row r="2789">
          <cell r="A2789" t="str">
            <v>PEPPL0489</v>
          </cell>
          <cell r="AB2789" t="str">
            <v>Fabcity</v>
          </cell>
        </row>
        <row r="2790">
          <cell r="A2790" t="str">
            <v>PEPPL0414</v>
          </cell>
          <cell r="AB2790" t="str">
            <v>Fabcity</v>
          </cell>
        </row>
        <row r="2791">
          <cell r="A2791" t="str">
            <v>PEPPL0765</v>
          </cell>
          <cell r="AB2791" t="str">
            <v>Fabcity</v>
          </cell>
        </row>
        <row r="2792">
          <cell r="A2792" t="str">
            <v>P0100</v>
          </cell>
          <cell r="AB2792" t="str">
            <v>Corporate Office</v>
          </cell>
        </row>
        <row r="2793">
          <cell r="A2793" t="str">
            <v>PSS1268</v>
          </cell>
          <cell r="AB2793" t="str">
            <v>Corporate Office</v>
          </cell>
        </row>
        <row r="2794">
          <cell r="A2794" t="str">
            <v>PEIPL0618</v>
          </cell>
          <cell r="AB2794" t="str">
            <v>Fabcity</v>
          </cell>
        </row>
        <row r="2795">
          <cell r="A2795" t="str">
            <v>PSS0743</v>
          </cell>
          <cell r="AB2795" t="str">
            <v>Factory-Annaram</v>
          </cell>
        </row>
        <row r="2796">
          <cell r="A2796" t="str">
            <v>PEPPL0473</v>
          </cell>
          <cell r="AB2796" t="str">
            <v>Fabcity</v>
          </cell>
        </row>
        <row r="2797">
          <cell r="A2797" t="str">
            <v>PEIPL0251</v>
          </cell>
          <cell r="AB2797" t="str">
            <v>Fabcity</v>
          </cell>
        </row>
        <row r="2798">
          <cell r="A2798" t="str">
            <v>PEPPL0095</v>
          </cell>
          <cell r="AB2798" t="str">
            <v>Fabcity</v>
          </cell>
        </row>
        <row r="2799">
          <cell r="A2799" t="str">
            <v>PSS0097</v>
          </cell>
          <cell r="AB2799" t="str">
            <v>Corporate Office</v>
          </cell>
        </row>
        <row r="2800">
          <cell r="A2800" t="str">
            <v>PEIPL0522</v>
          </cell>
          <cell r="AB2800" t="str">
            <v>Fabcity</v>
          </cell>
        </row>
        <row r="2801">
          <cell r="A2801" t="str">
            <v>PEGEPL0138</v>
          </cell>
          <cell r="AB2801" t="str">
            <v>Fabcity</v>
          </cell>
        </row>
        <row r="2802">
          <cell r="A2802" t="str">
            <v>PSS1348</v>
          </cell>
          <cell r="AB2802" t="str">
            <v>Corporate Office</v>
          </cell>
        </row>
        <row r="2803">
          <cell r="A2803" t="str">
            <v>PSS1331</v>
          </cell>
          <cell r="AB2803" t="str">
            <v>Corporate Office</v>
          </cell>
        </row>
        <row r="2804">
          <cell r="A2804" t="str">
            <v>PSS0850</v>
          </cell>
          <cell r="AB2804" t="str">
            <v>Corporate Office</v>
          </cell>
        </row>
        <row r="2805">
          <cell r="A2805" t="str">
            <v>PEIPL0612</v>
          </cell>
          <cell r="AB2805" t="str">
            <v>Fabcity</v>
          </cell>
        </row>
        <row r="2806">
          <cell r="A2806" t="str">
            <v>PEGEPL0136</v>
          </cell>
          <cell r="AB2806" t="str">
            <v>Corporate Office</v>
          </cell>
        </row>
        <row r="2807">
          <cell r="A2807" t="str">
            <v>P0240</v>
          </cell>
          <cell r="AB2807" t="str">
            <v>Corporate Office</v>
          </cell>
        </row>
        <row r="2808">
          <cell r="A2808" t="str">
            <v>PEPPL0034</v>
          </cell>
          <cell r="AB2808" t="str">
            <v>Fabcity</v>
          </cell>
        </row>
        <row r="2809">
          <cell r="A2809" t="str">
            <v>PEIPL0057</v>
          </cell>
          <cell r="AB2809" t="str">
            <v>Fabcity</v>
          </cell>
        </row>
        <row r="2810">
          <cell r="A2810" t="str">
            <v>PSS1378</v>
          </cell>
          <cell r="AB2810" t="str">
            <v>New Delhi</v>
          </cell>
        </row>
        <row r="2811">
          <cell r="A2811" t="str">
            <v>P0127</v>
          </cell>
          <cell r="AB2811" t="str">
            <v>Deoghars</v>
          </cell>
        </row>
        <row r="2812">
          <cell r="A2812" t="str">
            <v>PEPPL0856</v>
          </cell>
          <cell r="AB2812" t="str">
            <v>Fabcity</v>
          </cell>
        </row>
        <row r="2813">
          <cell r="A2813" t="str">
            <v>PEPPL0772</v>
          </cell>
          <cell r="AB2813" t="str">
            <v>Fabcity</v>
          </cell>
        </row>
        <row r="2814">
          <cell r="A2814" t="str">
            <v>PSS1099</v>
          </cell>
          <cell r="AB2814" t="str">
            <v>Bhopal</v>
          </cell>
        </row>
        <row r="2815">
          <cell r="A2815" t="str">
            <v>PSS1323</v>
          </cell>
          <cell r="AB2815" t="str">
            <v>Bhopal</v>
          </cell>
        </row>
        <row r="2816">
          <cell r="A2816" t="str">
            <v>PEIPL0415</v>
          </cell>
          <cell r="AB2816" t="str">
            <v>Fabcity</v>
          </cell>
        </row>
        <row r="2817">
          <cell r="A2817" t="str">
            <v>PEIPL0741</v>
          </cell>
          <cell r="AB2817" t="str">
            <v>Fabcity</v>
          </cell>
        </row>
        <row r="2818">
          <cell r="A2818" t="str">
            <v>PEIPL0168</v>
          </cell>
          <cell r="AB2818" t="str">
            <v>Corporate Office</v>
          </cell>
        </row>
        <row r="2819">
          <cell r="A2819" t="str">
            <v>PEIPL0361</v>
          </cell>
          <cell r="AB2819" t="str">
            <v>Fabcity</v>
          </cell>
        </row>
        <row r="2820">
          <cell r="A2820" t="str">
            <v>PEIPL0605</v>
          </cell>
          <cell r="AB2820" t="str">
            <v>Fabcity</v>
          </cell>
        </row>
        <row r="2821">
          <cell r="A2821" t="str">
            <v>PEIPL0411</v>
          </cell>
          <cell r="AB2821" t="str">
            <v>Fabcity</v>
          </cell>
        </row>
        <row r="2822">
          <cell r="A2822" t="str">
            <v>PEPPL0723</v>
          </cell>
          <cell r="AB2822" t="str">
            <v>Fabcity</v>
          </cell>
        </row>
        <row r="2823">
          <cell r="A2823" t="str">
            <v>PEPPL0235</v>
          </cell>
          <cell r="AB2823" t="str">
            <v>Fabcity</v>
          </cell>
        </row>
        <row r="2824">
          <cell r="A2824" t="str">
            <v>PSS1055</v>
          </cell>
          <cell r="AB2824" t="str">
            <v>Factory-Annaram</v>
          </cell>
        </row>
        <row r="2825">
          <cell r="A2825" t="str">
            <v>PEPPL0543</v>
          </cell>
          <cell r="AB2825" t="str">
            <v>Fabcity</v>
          </cell>
        </row>
        <row r="2826">
          <cell r="A2826" t="str">
            <v>P0361</v>
          </cell>
          <cell r="AB2826" t="str">
            <v>Hubli</v>
          </cell>
        </row>
        <row r="2827">
          <cell r="A2827" t="str">
            <v>PEPPL0084</v>
          </cell>
          <cell r="AB2827" t="str">
            <v>Fabcity</v>
          </cell>
        </row>
        <row r="2828">
          <cell r="A2828" t="str">
            <v>PEPPL0542</v>
          </cell>
          <cell r="AB2828" t="str">
            <v>Fabcity</v>
          </cell>
        </row>
        <row r="2829">
          <cell r="A2829" t="str">
            <v>PEIPL0428</v>
          </cell>
          <cell r="AB2829" t="str">
            <v>Fabcity</v>
          </cell>
        </row>
        <row r="2830">
          <cell r="A2830" t="str">
            <v>PEPPL0088</v>
          </cell>
          <cell r="AB2830" t="str">
            <v>Fabcity</v>
          </cell>
        </row>
        <row r="2831">
          <cell r="A2831" t="str">
            <v>PSS0657</v>
          </cell>
          <cell r="AB2831" t="str">
            <v>Factory-Annaram</v>
          </cell>
        </row>
        <row r="2832">
          <cell r="A2832" t="str">
            <v>PSS0548</v>
          </cell>
          <cell r="AB2832" t="str">
            <v>Factory-Annaram</v>
          </cell>
        </row>
        <row r="2833">
          <cell r="A2833" t="str">
            <v>PEPPL0725</v>
          </cell>
          <cell r="AB2833" t="str">
            <v>Fabcity</v>
          </cell>
        </row>
        <row r="2834">
          <cell r="A2834" t="str">
            <v>PSS0293</v>
          </cell>
          <cell r="AB2834" t="str">
            <v>Factory-Annaram</v>
          </cell>
        </row>
        <row r="2835">
          <cell r="A2835" t="str">
            <v>PEIPL0500</v>
          </cell>
          <cell r="AB2835" t="str">
            <v>Fabcity</v>
          </cell>
        </row>
        <row r="2836">
          <cell r="A2836" t="str">
            <v>PSS1282</v>
          </cell>
          <cell r="AB2836" t="str">
            <v>Corporate Office</v>
          </cell>
        </row>
        <row r="2837">
          <cell r="A2837" t="str">
            <v>PEIPL0607</v>
          </cell>
          <cell r="AB2837" t="str">
            <v>Fabcity</v>
          </cell>
        </row>
        <row r="2838">
          <cell r="A2838" t="str">
            <v>PSS0036</v>
          </cell>
          <cell r="AB2838" t="str">
            <v>Factory-Annaram</v>
          </cell>
        </row>
        <row r="2839">
          <cell r="A2839" t="str">
            <v>PEIPL0795</v>
          </cell>
          <cell r="AB2839" t="str">
            <v>Corporate Office</v>
          </cell>
        </row>
        <row r="2840">
          <cell r="A2840" t="str">
            <v>PSS0024</v>
          </cell>
          <cell r="AB2840" t="str">
            <v>City Office</v>
          </cell>
        </row>
        <row r="2841">
          <cell r="A2841" t="str">
            <v>PSS0231</v>
          </cell>
          <cell r="AB2841" t="str">
            <v>Factory-Annaram</v>
          </cell>
        </row>
        <row r="2842">
          <cell r="A2842" t="str">
            <v>PSS0255</v>
          </cell>
          <cell r="AB2842" t="str">
            <v>Factory-Annaram</v>
          </cell>
        </row>
        <row r="2843">
          <cell r="A2843" t="str">
            <v>PEIPL0487</v>
          </cell>
          <cell r="AB2843" t="str">
            <v>Fabcity</v>
          </cell>
        </row>
        <row r="2844">
          <cell r="A2844" t="str">
            <v>PEIPL0751</v>
          </cell>
          <cell r="AB2844" t="str">
            <v>City Office</v>
          </cell>
        </row>
        <row r="2845">
          <cell r="A2845" t="str">
            <v>PEPPL0407</v>
          </cell>
          <cell r="AB2845" t="str">
            <v>Fabcity</v>
          </cell>
        </row>
        <row r="2846">
          <cell r="A2846" t="str">
            <v>PEPPL0483</v>
          </cell>
          <cell r="AB2846" t="str">
            <v>Fabcity</v>
          </cell>
        </row>
        <row r="2847">
          <cell r="A2847" t="str">
            <v>PSS0608</v>
          </cell>
          <cell r="AB2847" t="str">
            <v>Factory-Annaram</v>
          </cell>
        </row>
        <row r="2848">
          <cell r="A2848" t="str">
            <v>PEPPL0591</v>
          </cell>
          <cell r="AB2848" t="str">
            <v>Fabcity</v>
          </cell>
        </row>
        <row r="2849">
          <cell r="A2849" t="str">
            <v>PSS0524</v>
          </cell>
          <cell r="AB2849" t="str">
            <v>Factory-Annaram</v>
          </cell>
        </row>
        <row r="2850">
          <cell r="A2850" t="str">
            <v>PEIPL0688</v>
          </cell>
          <cell r="AB2850" t="str">
            <v>Fabcity</v>
          </cell>
        </row>
        <row r="2851">
          <cell r="A2851" t="str">
            <v>PEPPL0042</v>
          </cell>
          <cell r="AB2851" t="str">
            <v>Fabcity</v>
          </cell>
        </row>
        <row r="2852">
          <cell r="A2852" t="str">
            <v>PEPPL0634</v>
          </cell>
          <cell r="AB2852" t="str">
            <v>Fabcity</v>
          </cell>
        </row>
        <row r="2853">
          <cell r="A2853" t="str">
            <v>P0375</v>
          </cell>
          <cell r="AB2853" t="str">
            <v>Vikas Nagar</v>
          </cell>
        </row>
        <row r="2854">
          <cell r="A2854" t="str">
            <v>PEPPL0821</v>
          </cell>
          <cell r="AB2854" t="str">
            <v>Fabcity</v>
          </cell>
        </row>
        <row r="2855">
          <cell r="A2855" t="str">
            <v>PEIPL0015</v>
          </cell>
          <cell r="AB2855" t="str">
            <v>Fabcity</v>
          </cell>
        </row>
        <row r="2856">
          <cell r="A2856" t="str">
            <v>PEIPL0016</v>
          </cell>
          <cell r="AB2856" t="str">
            <v>Fabcity</v>
          </cell>
        </row>
        <row r="2857">
          <cell r="A2857" t="str">
            <v>PEPPL0192</v>
          </cell>
          <cell r="AB2857" t="str">
            <v>Fabcity</v>
          </cell>
        </row>
        <row r="2858">
          <cell r="A2858" t="str">
            <v>P0426</v>
          </cell>
          <cell r="AB2858" t="str">
            <v>Shigli</v>
          </cell>
        </row>
        <row r="2859">
          <cell r="A2859" t="str">
            <v>PSS1288</v>
          </cell>
          <cell r="AB2859" t="str">
            <v>Factory-Annaram</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p active employees"/>
      <sheetName val="June active employees"/>
      <sheetName val="Snapshot_details"/>
      <sheetName val="Filters"/>
    </sheetNames>
    <sheetDataSet>
      <sheetData sheetId="0"/>
      <sheetData sheetId="1"/>
      <sheetData sheetId="2">
        <row r="1">
          <cell r="A1" t="str">
            <v>Employee Code</v>
          </cell>
          <cell r="Q1" t="str">
            <v>Date of joining</v>
          </cell>
        </row>
        <row r="2">
          <cell r="A2" t="str">
            <v>PSS0001</v>
          </cell>
          <cell r="Q2">
            <v>34700</v>
          </cell>
        </row>
        <row r="3">
          <cell r="A3" t="str">
            <v>PEPPL0001</v>
          </cell>
          <cell r="Q3">
            <v>43787</v>
          </cell>
        </row>
        <row r="4">
          <cell r="A4" t="str">
            <v>PSPT01</v>
          </cell>
          <cell r="Q4">
            <v>42005</v>
          </cell>
        </row>
        <row r="5">
          <cell r="A5" t="str">
            <v>BDPL0001</v>
          </cell>
          <cell r="Q5">
            <v>44348</v>
          </cell>
        </row>
        <row r="6">
          <cell r="A6" t="str">
            <v>PEGEPL0001</v>
          </cell>
          <cell r="Q6">
            <v>44522</v>
          </cell>
        </row>
        <row r="7">
          <cell r="A7" t="str">
            <v>PEIPL0001</v>
          </cell>
          <cell r="Q7">
            <v>44749</v>
          </cell>
        </row>
        <row r="8">
          <cell r="A8" t="str">
            <v>PEIPL0002</v>
          </cell>
          <cell r="Q8">
            <v>44789</v>
          </cell>
        </row>
        <row r="9">
          <cell r="A9" t="str">
            <v>PEGEPL0002</v>
          </cell>
          <cell r="Q9">
            <v>45377</v>
          </cell>
        </row>
        <row r="10">
          <cell r="A10" t="str">
            <v>BDPL0002</v>
          </cell>
          <cell r="Q10">
            <v>44348</v>
          </cell>
        </row>
        <row r="11">
          <cell r="A11" t="str">
            <v>PSPT002</v>
          </cell>
          <cell r="Q11">
            <v>43282</v>
          </cell>
        </row>
        <row r="12">
          <cell r="A12" t="str">
            <v>PEPPL0002</v>
          </cell>
          <cell r="Q12">
            <v>43831</v>
          </cell>
        </row>
        <row r="13">
          <cell r="A13" t="str">
            <v>PEPPL0003</v>
          </cell>
          <cell r="Q13">
            <v>43831</v>
          </cell>
        </row>
        <row r="14">
          <cell r="A14" t="str">
            <v>BDPL0003</v>
          </cell>
          <cell r="Q14">
            <v>44348</v>
          </cell>
        </row>
        <row r="15">
          <cell r="A15" t="str">
            <v>PEGEPL0003</v>
          </cell>
          <cell r="Q15">
            <v>45379</v>
          </cell>
        </row>
        <row r="16">
          <cell r="A16" t="str">
            <v>PEIPL0003</v>
          </cell>
          <cell r="Q16">
            <v>44825</v>
          </cell>
        </row>
        <row r="17">
          <cell r="A17" t="str">
            <v>PEIPL0004</v>
          </cell>
          <cell r="Q17">
            <v>44826</v>
          </cell>
        </row>
        <row r="18">
          <cell r="A18" t="str">
            <v>PEGEPL0004</v>
          </cell>
          <cell r="Q18">
            <v>45383</v>
          </cell>
        </row>
        <row r="19">
          <cell r="A19" t="str">
            <v>BDPL0004</v>
          </cell>
          <cell r="Q19">
            <v>44348</v>
          </cell>
        </row>
        <row r="20">
          <cell r="A20" t="str">
            <v>PEPPL0004</v>
          </cell>
          <cell r="Q20">
            <v>43831</v>
          </cell>
        </row>
        <row r="21">
          <cell r="A21" t="str">
            <v>PSS0004</v>
          </cell>
          <cell r="Q21">
            <v>41699</v>
          </cell>
        </row>
        <row r="22">
          <cell r="A22" t="str">
            <v>PEPPL0005</v>
          </cell>
          <cell r="Q22">
            <v>44136</v>
          </cell>
        </row>
        <row r="23">
          <cell r="A23" t="str">
            <v>BDPL0005</v>
          </cell>
          <cell r="Q23">
            <v>44348</v>
          </cell>
        </row>
        <row r="24">
          <cell r="A24" t="str">
            <v>PEGEPL0005</v>
          </cell>
          <cell r="Q24">
            <v>45383</v>
          </cell>
        </row>
        <row r="25">
          <cell r="A25" t="str">
            <v>PEIPL0005</v>
          </cell>
          <cell r="Q25">
            <v>44834</v>
          </cell>
        </row>
        <row r="26">
          <cell r="A26" t="str">
            <v>PEIPL0006</v>
          </cell>
          <cell r="Q26">
            <v>44835</v>
          </cell>
        </row>
        <row r="27">
          <cell r="A27" t="str">
            <v>PEGEPL0006</v>
          </cell>
          <cell r="Q27">
            <v>45383</v>
          </cell>
        </row>
        <row r="28">
          <cell r="A28" t="str">
            <v>BDPL0006</v>
          </cell>
          <cell r="Q28">
            <v>44348</v>
          </cell>
        </row>
        <row r="29">
          <cell r="A29" t="str">
            <v>PEPPL0006</v>
          </cell>
          <cell r="Q29">
            <v>44166</v>
          </cell>
        </row>
        <row r="30">
          <cell r="A30" t="str">
            <v>BDPL0007</v>
          </cell>
          <cell r="Q30">
            <v>44348</v>
          </cell>
        </row>
        <row r="31">
          <cell r="A31" t="str">
            <v>PEGEPL0007</v>
          </cell>
          <cell r="Q31">
            <v>45383</v>
          </cell>
        </row>
        <row r="32">
          <cell r="A32" t="str">
            <v>PEIPL0007</v>
          </cell>
          <cell r="Q32">
            <v>44844</v>
          </cell>
        </row>
        <row r="33">
          <cell r="A33" t="str">
            <v>PEIPL0008</v>
          </cell>
          <cell r="Q33">
            <v>44844</v>
          </cell>
        </row>
        <row r="34">
          <cell r="A34" t="str">
            <v>PEGEPL0008</v>
          </cell>
          <cell r="Q34">
            <v>45383</v>
          </cell>
        </row>
        <row r="35">
          <cell r="A35" t="str">
            <v>BDPL0008</v>
          </cell>
          <cell r="Q35">
            <v>44348</v>
          </cell>
        </row>
        <row r="36">
          <cell r="A36" t="str">
            <v>PEPPL0008</v>
          </cell>
          <cell r="Q36">
            <v>43896</v>
          </cell>
        </row>
        <row r="37">
          <cell r="A37" t="str">
            <v>BDPL0009</v>
          </cell>
          <cell r="Q37">
            <v>44348</v>
          </cell>
        </row>
        <row r="38">
          <cell r="A38" t="str">
            <v>PEGEPL0009</v>
          </cell>
          <cell r="Q38">
            <v>45383</v>
          </cell>
        </row>
        <row r="39">
          <cell r="A39" t="str">
            <v>PEIPL0009</v>
          </cell>
          <cell r="Q39">
            <v>44844</v>
          </cell>
        </row>
        <row r="40">
          <cell r="A40" t="str">
            <v>PEIPL0010</v>
          </cell>
          <cell r="Q40">
            <v>44846</v>
          </cell>
        </row>
        <row r="41">
          <cell r="A41" t="str">
            <v>PEGEPL0010</v>
          </cell>
          <cell r="Q41">
            <v>45383</v>
          </cell>
        </row>
        <row r="42">
          <cell r="A42" t="str">
            <v>BDPL0010</v>
          </cell>
          <cell r="Q42">
            <v>44348</v>
          </cell>
        </row>
        <row r="43">
          <cell r="A43" t="str">
            <v>PEPPL0010</v>
          </cell>
          <cell r="Q43">
            <v>43983</v>
          </cell>
        </row>
        <row r="44">
          <cell r="A44" t="str">
            <v>PEPPL0011</v>
          </cell>
          <cell r="Q44">
            <v>43983</v>
          </cell>
        </row>
        <row r="45">
          <cell r="A45" t="str">
            <v>BDPL0011</v>
          </cell>
          <cell r="Q45">
            <v>44348</v>
          </cell>
        </row>
        <row r="46">
          <cell r="A46" t="str">
            <v>PEGEPL0011</v>
          </cell>
          <cell r="Q46">
            <v>45383</v>
          </cell>
        </row>
        <row r="47">
          <cell r="A47" t="str">
            <v>PEIPL0011</v>
          </cell>
          <cell r="Q47">
            <v>44856</v>
          </cell>
        </row>
        <row r="48">
          <cell r="A48" t="str">
            <v>PEIPL0012</v>
          </cell>
          <cell r="Q48">
            <v>44860</v>
          </cell>
        </row>
        <row r="49">
          <cell r="A49" t="str">
            <v>PEGEPL0012</v>
          </cell>
          <cell r="Q49">
            <v>45383</v>
          </cell>
        </row>
        <row r="50">
          <cell r="A50" t="str">
            <v>BDPL0012</v>
          </cell>
          <cell r="Q50">
            <v>44348</v>
          </cell>
        </row>
        <row r="51">
          <cell r="A51" t="str">
            <v>PEPPL0012</v>
          </cell>
          <cell r="Q51">
            <v>43983</v>
          </cell>
        </row>
        <row r="52">
          <cell r="A52" t="str">
            <v>PEPPL0013</v>
          </cell>
          <cell r="Q52">
            <v>44004</v>
          </cell>
        </row>
        <row r="53">
          <cell r="A53" t="str">
            <v>PSS0013</v>
          </cell>
          <cell r="Q53">
            <v>35521</v>
          </cell>
        </row>
        <row r="54">
          <cell r="A54" t="str">
            <v>BDPL0013</v>
          </cell>
          <cell r="Q54">
            <v>44348</v>
          </cell>
        </row>
        <row r="55">
          <cell r="A55" t="str">
            <v>PEGEPL0013</v>
          </cell>
          <cell r="Q55">
            <v>45383</v>
          </cell>
        </row>
        <row r="56">
          <cell r="A56" t="str">
            <v>PEIPL0013</v>
          </cell>
          <cell r="Q56">
            <v>44862</v>
          </cell>
        </row>
        <row r="57">
          <cell r="A57" t="str">
            <v>PEIPL0014</v>
          </cell>
          <cell r="Q57">
            <v>44865</v>
          </cell>
        </row>
        <row r="58">
          <cell r="A58" t="str">
            <v>PEGEPL0014</v>
          </cell>
          <cell r="Q58">
            <v>45383</v>
          </cell>
        </row>
        <row r="59">
          <cell r="A59" t="str">
            <v>BDPL0014</v>
          </cell>
          <cell r="Q59">
            <v>44348</v>
          </cell>
        </row>
        <row r="60">
          <cell r="A60" t="str">
            <v>BDPL0015</v>
          </cell>
          <cell r="Q60">
            <v>44348</v>
          </cell>
        </row>
        <row r="61">
          <cell r="A61" t="str">
            <v>PEPPL0015</v>
          </cell>
          <cell r="Q61">
            <v>43983</v>
          </cell>
        </row>
        <row r="62">
          <cell r="A62" t="str">
            <v>PEGEPL0015</v>
          </cell>
          <cell r="Q62">
            <v>45383</v>
          </cell>
        </row>
        <row r="63">
          <cell r="A63" t="str">
            <v>PEIPL0015</v>
          </cell>
          <cell r="Q63">
            <v>44835</v>
          </cell>
        </row>
        <row r="64">
          <cell r="A64" t="str">
            <v>PEIPL0016</v>
          </cell>
          <cell r="Q64">
            <v>44835</v>
          </cell>
        </row>
        <row r="65">
          <cell r="A65" t="str">
            <v>PEGEPL0016</v>
          </cell>
          <cell r="Q65">
            <v>45383</v>
          </cell>
        </row>
        <row r="66">
          <cell r="A66" t="str">
            <v>BDPL0016</v>
          </cell>
          <cell r="Q66">
            <v>44348</v>
          </cell>
        </row>
        <row r="67">
          <cell r="A67" t="str">
            <v>PEPPL0016</v>
          </cell>
          <cell r="Q67">
            <v>44035</v>
          </cell>
        </row>
        <row r="68">
          <cell r="A68" t="str">
            <v>PSS0017</v>
          </cell>
          <cell r="Q68">
            <v>30682</v>
          </cell>
        </row>
        <row r="69">
          <cell r="A69" t="str">
            <v>PEPPL0017</v>
          </cell>
          <cell r="Q69">
            <v>44027</v>
          </cell>
        </row>
        <row r="70">
          <cell r="A70" t="str">
            <v>BDPL0017</v>
          </cell>
          <cell r="Q70">
            <v>44348</v>
          </cell>
        </row>
        <row r="71">
          <cell r="A71" t="str">
            <v>PEGEPL0017</v>
          </cell>
          <cell r="Q71">
            <v>45383</v>
          </cell>
        </row>
        <row r="72">
          <cell r="A72" t="str">
            <v>PEIPL0017</v>
          </cell>
          <cell r="Q72">
            <v>44835</v>
          </cell>
        </row>
        <row r="73">
          <cell r="A73" t="str">
            <v>PEIPL0018</v>
          </cell>
          <cell r="Q73">
            <v>44866</v>
          </cell>
        </row>
        <row r="74">
          <cell r="A74" t="str">
            <v>PEGEPL0018</v>
          </cell>
          <cell r="Q74">
            <v>45383</v>
          </cell>
        </row>
        <row r="75">
          <cell r="A75" t="str">
            <v>BDPL0018</v>
          </cell>
          <cell r="Q75">
            <v>44348</v>
          </cell>
        </row>
        <row r="76">
          <cell r="A76" t="str">
            <v>PEPPL0018</v>
          </cell>
          <cell r="Q76">
            <v>44048</v>
          </cell>
        </row>
        <row r="77">
          <cell r="A77" t="str">
            <v>BDPL0019</v>
          </cell>
          <cell r="Q77">
            <v>44348</v>
          </cell>
        </row>
        <row r="78">
          <cell r="A78" t="str">
            <v>PEPPL0019</v>
          </cell>
          <cell r="Q78">
            <v>44046</v>
          </cell>
        </row>
        <row r="79">
          <cell r="A79" t="str">
            <v>PEGEPL0019</v>
          </cell>
          <cell r="Q79">
            <v>45383</v>
          </cell>
        </row>
        <row r="80">
          <cell r="A80" t="str">
            <v>PEIPL0019</v>
          </cell>
          <cell r="Q80">
            <v>44866</v>
          </cell>
        </row>
        <row r="81">
          <cell r="A81" t="str">
            <v>PEIPL0020</v>
          </cell>
          <cell r="Q81">
            <v>44867</v>
          </cell>
        </row>
        <row r="82">
          <cell r="A82" t="str">
            <v>PEGEPL0020</v>
          </cell>
          <cell r="Q82">
            <v>45400</v>
          </cell>
        </row>
        <row r="83">
          <cell r="A83" t="str">
            <v>BDPL0020</v>
          </cell>
          <cell r="Q83">
            <v>44348</v>
          </cell>
        </row>
        <row r="84">
          <cell r="A84" t="str">
            <v>PEPPL0020</v>
          </cell>
          <cell r="Q84">
            <v>44053</v>
          </cell>
        </row>
        <row r="85">
          <cell r="A85" t="str">
            <v>BDPL0021</v>
          </cell>
          <cell r="Q85">
            <v>44348</v>
          </cell>
        </row>
        <row r="86">
          <cell r="A86" t="str">
            <v>PEGEPL0021</v>
          </cell>
          <cell r="Q86">
            <v>45383</v>
          </cell>
        </row>
        <row r="87">
          <cell r="A87" t="str">
            <v>PEIPL0021</v>
          </cell>
          <cell r="Q87">
            <v>44868</v>
          </cell>
        </row>
        <row r="88">
          <cell r="A88" t="str">
            <v>PEIPL0022</v>
          </cell>
          <cell r="Q88">
            <v>44869</v>
          </cell>
        </row>
        <row r="89">
          <cell r="A89" t="str">
            <v>PEGEPL0022</v>
          </cell>
          <cell r="Q89">
            <v>45383</v>
          </cell>
        </row>
        <row r="90">
          <cell r="A90" t="str">
            <v>BDPL0022</v>
          </cell>
          <cell r="Q90">
            <v>44348</v>
          </cell>
        </row>
        <row r="91">
          <cell r="A91" t="str">
            <v>PEPPL0022</v>
          </cell>
          <cell r="Q91">
            <v>44056</v>
          </cell>
        </row>
        <row r="92">
          <cell r="A92" t="str">
            <v>PEPPL0023</v>
          </cell>
          <cell r="Q92">
            <v>44060</v>
          </cell>
        </row>
        <row r="93">
          <cell r="A93" t="str">
            <v>BDPL0023</v>
          </cell>
          <cell r="Q93">
            <v>44348</v>
          </cell>
        </row>
        <row r="94">
          <cell r="A94" t="str">
            <v>PEGEPL0023</v>
          </cell>
          <cell r="Q94">
            <v>45383</v>
          </cell>
        </row>
        <row r="95">
          <cell r="A95" t="str">
            <v>PEIPL0023</v>
          </cell>
          <cell r="Q95">
            <v>44869</v>
          </cell>
        </row>
        <row r="96">
          <cell r="A96" t="str">
            <v>PEIPL0024</v>
          </cell>
          <cell r="Q96">
            <v>44866</v>
          </cell>
        </row>
        <row r="97">
          <cell r="A97" t="str">
            <v>PEGEPL0024</v>
          </cell>
          <cell r="Q97">
            <v>45383</v>
          </cell>
        </row>
        <row r="98">
          <cell r="A98" t="str">
            <v>BDPL0024</v>
          </cell>
          <cell r="Q98">
            <v>44348</v>
          </cell>
        </row>
        <row r="99">
          <cell r="A99" t="str">
            <v>PEPPL0024</v>
          </cell>
          <cell r="Q99">
            <v>44060</v>
          </cell>
        </row>
        <row r="100">
          <cell r="A100" t="str">
            <v>PSS0024</v>
          </cell>
          <cell r="Q100">
            <v>39600</v>
          </cell>
        </row>
        <row r="101">
          <cell r="A101" t="str">
            <v>PEPPL0025</v>
          </cell>
          <cell r="Q101">
            <v>44053</v>
          </cell>
        </row>
        <row r="102">
          <cell r="A102" t="str">
            <v>BDPL0025</v>
          </cell>
          <cell r="Q102">
            <v>44348</v>
          </cell>
        </row>
        <row r="103">
          <cell r="A103" t="str">
            <v>PEGEPL0025</v>
          </cell>
          <cell r="Q103">
            <v>45407</v>
          </cell>
        </row>
        <row r="104">
          <cell r="A104" t="str">
            <v>PEIPL0025</v>
          </cell>
          <cell r="Q104">
            <v>44866</v>
          </cell>
        </row>
        <row r="105">
          <cell r="A105" t="str">
            <v>PEIPL0026</v>
          </cell>
          <cell r="Q105">
            <v>44880</v>
          </cell>
        </row>
        <row r="106">
          <cell r="A106" t="str">
            <v>PEGEPL0026</v>
          </cell>
          <cell r="Q106">
            <v>45383</v>
          </cell>
        </row>
        <row r="107">
          <cell r="A107" t="str">
            <v>BDPL0026</v>
          </cell>
          <cell r="Q107">
            <v>44348</v>
          </cell>
        </row>
        <row r="108">
          <cell r="A108" t="str">
            <v>PEPPL0026</v>
          </cell>
          <cell r="Q108">
            <v>44061</v>
          </cell>
        </row>
        <row r="109">
          <cell r="A109" t="str">
            <v>PEPPL0027</v>
          </cell>
          <cell r="Q109">
            <v>44060</v>
          </cell>
        </row>
        <row r="110">
          <cell r="A110" t="str">
            <v>BDPL0027</v>
          </cell>
          <cell r="Q110">
            <v>44325</v>
          </cell>
        </row>
        <row r="111">
          <cell r="A111" t="str">
            <v>PEGEPL0027</v>
          </cell>
          <cell r="Q111">
            <v>45414</v>
          </cell>
        </row>
        <row r="112">
          <cell r="A112" t="str">
            <v>PEIPL0027</v>
          </cell>
          <cell r="Q112">
            <v>44866</v>
          </cell>
        </row>
        <row r="113">
          <cell r="A113" t="str">
            <v>PEIPL0028</v>
          </cell>
          <cell r="Q113">
            <v>44866</v>
          </cell>
        </row>
        <row r="114">
          <cell r="A114" t="str">
            <v>PEGEPL0028</v>
          </cell>
          <cell r="Q114">
            <v>45414</v>
          </cell>
        </row>
        <row r="115">
          <cell r="A115" t="str">
            <v>BDPL0028</v>
          </cell>
          <cell r="Q115">
            <v>44348</v>
          </cell>
        </row>
        <row r="116">
          <cell r="A116" t="str">
            <v>PEPPL0028</v>
          </cell>
          <cell r="Q116">
            <v>44061</v>
          </cell>
        </row>
        <row r="117">
          <cell r="A117" t="str">
            <v>PSS0028</v>
          </cell>
          <cell r="Q117">
            <v>38353</v>
          </cell>
        </row>
        <row r="118">
          <cell r="A118" t="str">
            <v>PEPPL0029</v>
          </cell>
          <cell r="Q118">
            <v>44063</v>
          </cell>
        </row>
        <row r="119">
          <cell r="A119" t="str">
            <v>BDPL0029</v>
          </cell>
          <cell r="Q119">
            <v>44348</v>
          </cell>
        </row>
        <row r="120">
          <cell r="A120" t="str">
            <v>PEGEPL0029</v>
          </cell>
          <cell r="Q120">
            <v>45414</v>
          </cell>
        </row>
        <row r="121">
          <cell r="A121" t="str">
            <v>PEIPL0029</v>
          </cell>
          <cell r="Q121">
            <v>44886</v>
          </cell>
        </row>
        <row r="122">
          <cell r="A122" t="str">
            <v>PEIPL0030</v>
          </cell>
          <cell r="Q122">
            <v>44887</v>
          </cell>
        </row>
        <row r="123">
          <cell r="A123" t="str">
            <v>PEGEPL0030</v>
          </cell>
          <cell r="Q123">
            <v>45421</v>
          </cell>
        </row>
        <row r="124">
          <cell r="A124" t="str">
            <v>BDPL0030</v>
          </cell>
          <cell r="Q124">
            <v>44348</v>
          </cell>
        </row>
        <row r="125">
          <cell r="A125" t="str">
            <v>PEPPL0030</v>
          </cell>
          <cell r="Q125">
            <v>44065</v>
          </cell>
        </row>
        <row r="126">
          <cell r="A126" t="str">
            <v>PEPPL0031</v>
          </cell>
          <cell r="Q126">
            <v>44067</v>
          </cell>
        </row>
        <row r="127">
          <cell r="A127" t="str">
            <v>BDPL0031</v>
          </cell>
          <cell r="Q127">
            <v>44348</v>
          </cell>
        </row>
        <row r="128">
          <cell r="A128" t="str">
            <v>PEGEPL0031</v>
          </cell>
          <cell r="Q128">
            <v>45421</v>
          </cell>
        </row>
        <row r="129">
          <cell r="A129" t="str">
            <v>PEIPL0031</v>
          </cell>
          <cell r="Q129">
            <v>44893</v>
          </cell>
        </row>
        <row r="130">
          <cell r="A130" t="str">
            <v>PEIPL0032</v>
          </cell>
          <cell r="Q130">
            <v>44893</v>
          </cell>
        </row>
        <row r="131">
          <cell r="A131" t="str">
            <v>PEGEPL0032</v>
          </cell>
          <cell r="Q131">
            <v>45421</v>
          </cell>
        </row>
        <row r="132">
          <cell r="A132" t="str">
            <v>BDPL0032</v>
          </cell>
          <cell r="Q132">
            <v>44348</v>
          </cell>
        </row>
        <row r="133">
          <cell r="A133" t="str">
            <v>PEPPL0032</v>
          </cell>
          <cell r="Q133">
            <v>44056</v>
          </cell>
        </row>
        <row r="134">
          <cell r="A134" t="str">
            <v>BDPL0033</v>
          </cell>
          <cell r="Q134">
            <v>44378</v>
          </cell>
        </row>
        <row r="135">
          <cell r="A135" t="str">
            <v>PEPPL0033</v>
          </cell>
          <cell r="Q135">
            <v>44075</v>
          </cell>
        </row>
        <row r="136">
          <cell r="A136" t="str">
            <v>PEGEPL0033</v>
          </cell>
          <cell r="Q136">
            <v>45421</v>
          </cell>
        </row>
        <row r="137">
          <cell r="A137" t="str">
            <v>PEIPL0033</v>
          </cell>
          <cell r="Q137">
            <v>44894</v>
          </cell>
        </row>
        <row r="138">
          <cell r="A138" t="str">
            <v>PEIPL0034</v>
          </cell>
          <cell r="Q138">
            <v>44896</v>
          </cell>
        </row>
        <row r="139">
          <cell r="A139" t="str">
            <v>BDPL0034</v>
          </cell>
          <cell r="Q139">
            <v>44655</v>
          </cell>
        </row>
        <row r="140">
          <cell r="A140" t="str">
            <v>PEGEPL0034</v>
          </cell>
          <cell r="Q140">
            <v>45422</v>
          </cell>
        </row>
        <row r="141">
          <cell r="A141" t="str">
            <v>PEPPL0034</v>
          </cell>
          <cell r="Q141">
            <v>44077</v>
          </cell>
        </row>
        <row r="142">
          <cell r="A142" t="str">
            <v>PSS0034</v>
          </cell>
          <cell r="Q142">
            <v>37987</v>
          </cell>
        </row>
        <row r="143">
          <cell r="A143" t="str">
            <v>PEPPL0035</v>
          </cell>
          <cell r="Q143">
            <v>44075</v>
          </cell>
        </row>
        <row r="144">
          <cell r="A144" t="str">
            <v>PEGEPL0035</v>
          </cell>
          <cell r="Q144">
            <v>45427</v>
          </cell>
        </row>
        <row r="145">
          <cell r="A145" t="str">
            <v>PEIPL0035</v>
          </cell>
          <cell r="Q145">
            <v>44896</v>
          </cell>
        </row>
        <row r="146">
          <cell r="A146" t="str">
            <v>PEIPL0036</v>
          </cell>
          <cell r="Q146">
            <v>44896</v>
          </cell>
        </row>
        <row r="147">
          <cell r="A147" t="str">
            <v>PEGEPL0036</v>
          </cell>
          <cell r="Q147">
            <v>45428</v>
          </cell>
        </row>
        <row r="148">
          <cell r="A148" t="str">
            <v>PEPPL0036</v>
          </cell>
          <cell r="Q148">
            <v>44078</v>
          </cell>
        </row>
        <row r="149">
          <cell r="A149" t="str">
            <v>PSS0036</v>
          </cell>
          <cell r="Q149">
            <v>39448</v>
          </cell>
        </row>
        <row r="150">
          <cell r="A150" t="str">
            <v>PEPPL0037</v>
          </cell>
          <cell r="Q150">
            <v>44079</v>
          </cell>
        </row>
        <row r="151">
          <cell r="A151" t="str">
            <v>PEGEPL0037</v>
          </cell>
          <cell r="Q151">
            <v>45428</v>
          </cell>
        </row>
        <row r="152">
          <cell r="A152" t="str">
            <v>PEIPL0037</v>
          </cell>
          <cell r="Q152">
            <v>44896</v>
          </cell>
        </row>
        <row r="153">
          <cell r="A153" t="str">
            <v>PEIPL0038</v>
          </cell>
          <cell r="Q153">
            <v>44898</v>
          </cell>
        </row>
        <row r="154">
          <cell r="A154" t="str">
            <v>PEGEPL0038</v>
          </cell>
          <cell r="Q154">
            <v>45428</v>
          </cell>
        </row>
        <row r="155">
          <cell r="A155" t="str">
            <v>PEPPL0038</v>
          </cell>
          <cell r="Q155">
            <v>44078</v>
          </cell>
        </row>
        <row r="156">
          <cell r="A156" t="str">
            <v>PSS0038</v>
          </cell>
          <cell r="Q156">
            <v>38353</v>
          </cell>
        </row>
        <row r="157">
          <cell r="A157" t="str">
            <v>PSS0039</v>
          </cell>
          <cell r="Q157">
            <v>39083</v>
          </cell>
        </row>
        <row r="158">
          <cell r="A158" t="str">
            <v>PEPPL0039</v>
          </cell>
          <cell r="Q158">
            <v>44089</v>
          </cell>
        </row>
        <row r="159">
          <cell r="A159" t="str">
            <v>PEGEPL0039</v>
          </cell>
          <cell r="Q159">
            <v>45428</v>
          </cell>
        </row>
        <row r="160">
          <cell r="A160" t="str">
            <v>PEIPL0039</v>
          </cell>
          <cell r="Q160">
            <v>44900</v>
          </cell>
        </row>
        <row r="161">
          <cell r="A161" t="str">
            <v>PEIPL0040</v>
          </cell>
          <cell r="Q161">
            <v>44900</v>
          </cell>
        </row>
        <row r="162">
          <cell r="A162" t="str">
            <v>PEGEPL0040</v>
          </cell>
          <cell r="Q162">
            <v>45435</v>
          </cell>
        </row>
        <row r="163">
          <cell r="A163" t="str">
            <v>PEPPL0040</v>
          </cell>
          <cell r="Q163">
            <v>44089</v>
          </cell>
        </row>
        <row r="164">
          <cell r="A164" t="str">
            <v>PSS0040</v>
          </cell>
          <cell r="Q164">
            <v>38353</v>
          </cell>
        </row>
        <row r="165">
          <cell r="A165" t="str">
            <v>PEPPL0041</v>
          </cell>
          <cell r="Q165">
            <v>44053</v>
          </cell>
        </row>
        <row r="166">
          <cell r="A166" t="str">
            <v>PEGEPL0041</v>
          </cell>
          <cell r="Q166">
            <v>45435</v>
          </cell>
        </row>
        <row r="167">
          <cell r="A167" t="str">
            <v>PEIPL0041</v>
          </cell>
          <cell r="Q167">
            <v>44902</v>
          </cell>
        </row>
        <row r="168">
          <cell r="A168" t="str">
            <v>PEIPL0042</v>
          </cell>
          <cell r="Q168">
            <v>44902</v>
          </cell>
        </row>
        <row r="169">
          <cell r="A169" t="str">
            <v>PEGEPL0042</v>
          </cell>
          <cell r="Q169">
            <v>45435</v>
          </cell>
        </row>
        <row r="170">
          <cell r="A170" t="str">
            <v>PEPPL0042</v>
          </cell>
          <cell r="Q170">
            <v>44118</v>
          </cell>
        </row>
        <row r="171">
          <cell r="A171" t="str">
            <v>PSS0042</v>
          </cell>
          <cell r="Q171">
            <v>39083</v>
          </cell>
        </row>
        <row r="172">
          <cell r="A172" t="str">
            <v>PEPPL0043</v>
          </cell>
          <cell r="Q172">
            <v>44124</v>
          </cell>
        </row>
        <row r="173">
          <cell r="A173" t="str">
            <v>PEGEPL0043</v>
          </cell>
          <cell r="Q173">
            <v>45435</v>
          </cell>
        </row>
        <row r="174">
          <cell r="A174" t="str">
            <v>PEIPL0043</v>
          </cell>
          <cell r="Q174">
            <v>44903</v>
          </cell>
        </row>
        <row r="175">
          <cell r="A175" t="str">
            <v>PEIPL0044</v>
          </cell>
          <cell r="Q175">
            <v>44904</v>
          </cell>
        </row>
        <row r="176">
          <cell r="A176" t="str">
            <v>PEGEPL0044</v>
          </cell>
          <cell r="Q176">
            <v>45436</v>
          </cell>
        </row>
        <row r="177">
          <cell r="A177" t="str">
            <v>PEGEPL0045</v>
          </cell>
          <cell r="Q177">
            <v>45442</v>
          </cell>
        </row>
        <row r="178">
          <cell r="A178" t="str">
            <v>PEIPL0045</v>
          </cell>
          <cell r="Q178">
            <v>44904</v>
          </cell>
        </row>
        <row r="179">
          <cell r="A179" t="str">
            <v>PEPPL0045</v>
          </cell>
          <cell r="Q179">
            <v>44140</v>
          </cell>
        </row>
        <row r="180">
          <cell r="A180" t="str">
            <v>PEPPL0046</v>
          </cell>
          <cell r="Q180">
            <v>44151</v>
          </cell>
        </row>
        <row r="181">
          <cell r="A181" t="str">
            <v>PEIPL0046</v>
          </cell>
          <cell r="Q181">
            <v>44904</v>
          </cell>
        </row>
        <row r="182">
          <cell r="A182" t="str">
            <v>PEGEPL0046</v>
          </cell>
          <cell r="Q182">
            <v>45442</v>
          </cell>
        </row>
        <row r="183">
          <cell r="A183" t="str">
            <v>PEGEPL0047</v>
          </cell>
          <cell r="Q183">
            <v>45442</v>
          </cell>
        </row>
        <row r="184">
          <cell r="A184" t="str">
            <v>PEIPL0047</v>
          </cell>
          <cell r="Q184">
            <v>44905</v>
          </cell>
        </row>
        <row r="185">
          <cell r="A185" t="str">
            <v>PSS0047</v>
          </cell>
          <cell r="Q185">
            <v>39083</v>
          </cell>
        </row>
        <row r="186">
          <cell r="A186" t="str">
            <v>PEPPL0048</v>
          </cell>
          <cell r="Q186">
            <v>44154</v>
          </cell>
        </row>
        <row r="187">
          <cell r="A187" t="str">
            <v>PEIPL0048</v>
          </cell>
          <cell r="Q187">
            <v>44905</v>
          </cell>
        </row>
        <row r="188">
          <cell r="A188" t="str">
            <v>PEGEPL0048</v>
          </cell>
          <cell r="Q188">
            <v>45442</v>
          </cell>
        </row>
        <row r="189">
          <cell r="A189" t="str">
            <v>PEGEPL0049</v>
          </cell>
          <cell r="Q189">
            <v>45443</v>
          </cell>
        </row>
        <row r="190">
          <cell r="A190" t="str">
            <v>PEIPL0049</v>
          </cell>
          <cell r="Q190">
            <v>44907</v>
          </cell>
        </row>
        <row r="191">
          <cell r="A191" t="str">
            <v>PEPPL0049</v>
          </cell>
          <cell r="Q191">
            <v>44158</v>
          </cell>
        </row>
        <row r="192">
          <cell r="A192" t="str">
            <v>PSS0049</v>
          </cell>
          <cell r="Q192">
            <v>38353</v>
          </cell>
        </row>
        <row r="193">
          <cell r="A193" t="str">
            <v>PEPPL0050</v>
          </cell>
          <cell r="Q193">
            <v>44158</v>
          </cell>
        </row>
        <row r="194">
          <cell r="A194" t="str">
            <v>PEIPL0050</v>
          </cell>
          <cell r="Q194">
            <v>44907</v>
          </cell>
        </row>
        <row r="195">
          <cell r="A195" t="str">
            <v>PEGEPL0050</v>
          </cell>
          <cell r="Q195">
            <v>45449</v>
          </cell>
        </row>
        <row r="196">
          <cell r="A196" t="str">
            <v>PEGEPL0051</v>
          </cell>
          <cell r="Q196">
            <v>45449</v>
          </cell>
        </row>
        <row r="197">
          <cell r="A197" t="str">
            <v>PEIPL0051</v>
          </cell>
          <cell r="Q197">
            <v>44908</v>
          </cell>
        </row>
        <row r="198">
          <cell r="A198" t="str">
            <v>PEPPL0051</v>
          </cell>
          <cell r="Q198">
            <v>44155</v>
          </cell>
        </row>
        <row r="199">
          <cell r="A199" t="str">
            <v>PSS0051</v>
          </cell>
          <cell r="Q199">
            <v>41579</v>
          </cell>
        </row>
        <row r="200">
          <cell r="A200" t="str">
            <v>PSS0052</v>
          </cell>
          <cell r="Q200">
            <v>37987</v>
          </cell>
        </row>
        <row r="201">
          <cell r="A201" t="str">
            <v>PEPPL0052</v>
          </cell>
          <cell r="Q201">
            <v>44159</v>
          </cell>
        </row>
        <row r="202">
          <cell r="A202" t="str">
            <v>PEIPL0052</v>
          </cell>
          <cell r="Q202">
            <v>44908</v>
          </cell>
        </row>
        <row r="203">
          <cell r="A203" t="str">
            <v>PEGEPL0052</v>
          </cell>
          <cell r="Q203">
            <v>45449</v>
          </cell>
        </row>
        <row r="204">
          <cell r="A204" t="str">
            <v>PEGEPL0053</v>
          </cell>
          <cell r="Q204">
            <v>45449</v>
          </cell>
        </row>
        <row r="205">
          <cell r="A205" t="str">
            <v>PEIPL0053</v>
          </cell>
          <cell r="Q205">
            <v>44909</v>
          </cell>
        </row>
        <row r="206">
          <cell r="A206" t="str">
            <v>PEPPL0053</v>
          </cell>
          <cell r="Q206">
            <v>44165</v>
          </cell>
        </row>
        <row r="207">
          <cell r="A207" t="str">
            <v>PSS0053</v>
          </cell>
          <cell r="Q207">
            <v>37987</v>
          </cell>
        </row>
        <row r="208">
          <cell r="A208" t="str">
            <v>PEPPL0054</v>
          </cell>
          <cell r="Q208">
            <v>44167</v>
          </cell>
        </row>
        <row r="209">
          <cell r="A209" t="str">
            <v>PEIPL0054</v>
          </cell>
          <cell r="Q209">
            <v>44909</v>
          </cell>
        </row>
        <row r="210">
          <cell r="A210" t="str">
            <v>PEGEPL0054</v>
          </cell>
          <cell r="Q210">
            <v>45449</v>
          </cell>
        </row>
        <row r="211">
          <cell r="A211" t="str">
            <v>PEGEPL0055</v>
          </cell>
          <cell r="Q211">
            <v>45449</v>
          </cell>
        </row>
        <row r="212">
          <cell r="A212" t="str">
            <v>PEIPL0055</v>
          </cell>
          <cell r="Q212">
            <v>44909</v>
          </cell>
        </row>
        <row r="213">
          <cell r="A213" t="str">
            <v>PEPPL0055</v>
          </cell>
          <cell r="Q213">
            <v>44167</v>
          </cell>
        </row>
        <row r="214">
          <cell r="A214" t="str">
            <v>PSS0055</v>
          </cell>
          <cell r="Q214">
            <v>37987</v>
          </cell>
        </row>
        <row r="215">
          <cell r="A215" t="str">
            <v>PEPPL0056</v>
          </cell>
          <cell r="Q215">
            <v>44166</v>
          </cell>
        </row>
        <row r="216">
          <cell r="A216" t="str">
            <v>PEIPL0056</v>
          </cell>
          <cell r="Q216">
            <v>44909</v>
          </cell>
        </row>
        <row r="217">
          <cell r="A217" t="str">
            <v>PEGEPL0056</v>
          </cell>
          <cell r="Q217">
            <v>45449</v>
          </cell>
        </row>
        <row r="218">
          <cell r="A218" t="str">
            <v>PEGEPL0057</v>
          </cell>
          <cell r="Q218">
            <v>45449</v>
          </cell>
        </row>
        <row r="219">
          <cell r="A219" t="str">
            <v>PEIPL0057</v>
          </cell>
          <cell r="Q219">
            <v>44910</v>
          </cell>
        </row>
        <row r="220">
          <cell r="A220" t="str">
            <v>PEPPL0057</v>
          </cell>
          <cell r="Q220">
            <v>44170</v>
          </cell>
        </row>
        <row r="221">
          <cell r="A221" t="str">
            <v>PEPPL0058</v>
          </cell>
          <cell r="Q221">
            <v>44171</v>
          </cell>
        </row>
        <row r="222">
          <cell r="A222" t="str">
            <v>PEIPL0058</v>
          </cell>
          <cell r="Q222">
            <v>44910</v>
          </cell>
        </row>
        <row r="223">
          <cell r="A223" t="str">
            <v>PEGEPL0058</v>
          </cell>
          <cell r="Q223">
            <v>45450</v>
          </cell>
        </row>
        <row r="224">
          <cell r="A224" t="str">
            <v>PEGEPL0059</v>
          </cell>
          <cell r="Q224">
            <v>45453</v>
          </cell>
        </row>
        <row r="225">
          <cell r="A225" t="str">
            <v>PEIPL0059</v>
          </cell>
          <cell r="Q225">
            <v>44910</v>
          </cell>
        </row>
        <row r="226">
          <cell r="A226" t="str">
            <v>PEPPL0059</v>
          </cell>
          <cell r="Q226">
            <v>44172</v>
          </cell>
        </row>
        <row r="227">
          <cell r="A227" t="str">
            <v>PEPPL0060</v>
          </cell>
          <cell r="Q227">
            <v>44177</v>
          </cell>
        </row>
        <row r="228">
          <cell r="A228" t="str">
            <v>PEIPL0060</v>
          </cell>
          <cell r="Q228">
            <v>44910</v>
          </cell>
        </row>
        <row r="229">
          <cell r="A229" t="str">
            <v>PEGEPL0060</v>
          </cell>
          <cell r="Q229">
            <v>45454</v>
          </cell>
        </row>
        <row r="230">
          <cell r="A230" t="str">
            <v>PEGEPL0061</v>
          </cell>
          <cell r="Q230">
            <v>45454</v>
          </cell>
        </row>
        <row r="231">
          <cell r="A231" t="str">
            <v>PEIPL0061</v>
          </cell>
          <cell r="Q231">
            <v>44910</v>
          </cell>
        </row>
        <row r="232">
          <cell r="A232" t="str">
            <v>PEPPL0061</v>
          </cell>
          <cell r="Q232">
            <v>44172</v>
          </cell>
        </row>
        <row r="233">
          <cell r="A233" t="str">
            <v>PSS0061</v>
          </cell>
          <cell r="Q233">
            <v>38353</v>
          </cell>
        </row>
        <row r="234">
          <cell r="A234" t="str">
            <v>PEIPL0062</v>
          </cell>
          <cell r="Q234">
            <v>44910</v>
          </cell>
        </row>
        <row r="235">
          <cell r="A235" t="str">
            <v>PEGEPL0062</v>
          </cell>
          <cell r="Q235">
            <v>45456</v>
          </cell>
        </row>
        <row r="236">
          <cell r="A236" t="str">
            <v>PEGEPL0063</v>
          </cell>
          <cell r="Q236">
            <v>45456</v>
          </cell>
        </row>
        <row r="237">
          <cell r="A237" t="str">
            <v>PEIPL0063</v>
          </cell>
          <cell r="Q237">
            <v>44910</v>
          </cell>
        </row>
        <row r="238">
          <cell r="A238" t="str">
            <v>PSS0063</v>
          </cell>
          <cell r="Q238">
            <v>39600</v>
          </cell>
        </row>
        <row r="239">
          <cell r="A239" t="str">
            <v>PEPPL0063</v>
          </cell>
          <cell r="Q239">
            <v>44180</v>
          </cell>
        </row>
        <row r="240">
          <cell r="A240" t="str">
            <v>PEPPL0064</v>
          </cell>
          <cell r="Q240">
            <v>44180</v>
          </cell>
        </row>
        <row r="241">
          <cell r="A241" t="str">
            <v>PEIPL0064</v>
          </cell>
          <cell r="Q241">
            <v>44910</v>
          </cell>
        </row>
        <row r="242">
          <cell r="A242" t="str">
            <v>PEGEPL0064</v>
          </cell>
          <cell r="Q242">
            <v>45456</v>
          </cell>
        </row>
        <row r="243">
          <cell r="A243" t="str">
            <v>PEGEPL0065</v>
          </cell>
          <cell r="Q243">
            <v>45456</v>
          </cell>
        </row>
        <row r="244">
          <cell r="A244" t="str">
            <v>PEIPL0065</v>
          </cell>
          <cell r="Q244">
            <v>44910</v>
          </cell>
        </row>
        <row r="245">
          <cell r="A245" t="str">
            <v>PEPPL0065</v>
          </cell>
          <cell r="Q245">
            <v>44180</v>
          </cell>
        </row>
        <row r="246">
          <cell r="A246" t="str">
            <v>PSS0065</v>
          </cell>
          <cell r="Q246">
            <v>39600</v>
          </cell>
        </row>
        <row r="247">
          <cell r="A247" t="str">
            <v>PEPPL0066</v>
          </cell>
          <cell r="Q247">
            <v>44180</v>
          </cell>
        </row>
        <row r="248">
          <cell r="A248" t="str">
            <v>PEIPL0066</v>
          </cell>
          <cell r="Q248">
            <v>44910</v>
          </cell>
        </row>
        <row r="249">
          <cell r="A249" t="str">
            <v>PEGEPL0066</v>
          </cell>
          <cell r="Q249">
            <v>45456</v>
          </cell>
        </row>
        <row r="250">
          <cell r="A250" t="str">
            <v>PEGEPL0067</v>
          </cell>
          <cell r="Q250">
            <v>45456</v>
          </cell>
        </row>
        <row r="251">
          <cell r="A251" t="str">
            <v>PEIPL0067</v>
          </cell>
          <cell r="Q251">
            <v>44910</v>
          </cell>
        </row>
        <row r="252">
          <cell r="A252" t="str">
            <v>PEPPL0067</v>
          </cell>
          <cell r="Q252">
            <v>44180</v>
          </cell>
        </row>
        <row r="253">
          <cell r="A253" t="str">
            <v>PEPPL0068</v>
          </cell>
          <cell r="Q253">
            <v>44180</v>
          </cell>
        </row>
        <row r="254">
          <cell r="A254" t="str">
            <v>PSS0068</v>
          </cell>
          <cell r="Q254">
            <v>42282</v>
          </cell>
        </row>
        <row r="255">
          <cell r="A255" t="str">
            <v>PEIPL0068</v>
          </cell>
          <cell r="Q255">
            <v>44910</v>
          </cell>
        </row>
        <row r="256">
          <cell r="A256" t="str">
            <v>PEGEPL0068</v>
          </cell>
          <cell r="Q256">
            <v>45456</v>
          </cell>
        </row>
        <row r="257">
          <cell r="A257" t="str">
            <v>PEGEPL0069</v>
          </cell>
          <cell r="Q257">
            <v>45456</v>
          </cell>
        </row>
        <row r="258">
          <cell r="A258" t="str">
            <v>PEIPL0069</v>
          </cell>
          <cell r="Q258">
            <v>44910</v>
          </cell>
        </row>
        <row r="259">
          <cell r="A259" t="str">
            <v>PEPPL0069</v>
          </cell>
          <cell r="Q259">
            <v>44180</v>
          </cell>
        </row>
        <row r="260">
          <cell r="A260" t="str">
            <v>PEPPL0070</v>
          </cell>
          <cell r="Q260">
            <v>44180</v>
          </cell>
        </row>
        <row r="261">
          <cell r="A261" t="str">
            <v>PEIPL0070</v>
          </cell>
          <cell r="Q261">
            <v>44910</v>
          </cell>
        </row>
        <row r="262">
          <cell r="A262" t="str">
            <v>PEGEPL0070</v>
          </cell>
          <cell r="Q262">
            <v>45458</v>
          </cell>
        </row>
        <row r="263">
          <cell r="A263" t="str">
            <v>PEGEPL0071</v>
          </cell>
          <cell r="Q263">
            <v>45463</v>
          </cell>
        </row>
        <row r="264">
          <cell r="A264" t="str">
            <v>PEIPL0071</v>
          </cell>
          <cell r="Q264">
            <v>44910</v>
          </cell>
        </row>
        <row r="265">
          <cell r="A265" t="str">
            <v>PEPPL0071</v>
          </cell>
          <cell r="Q265">
            <v>44180</v>
          </cell>
        </row>
        <row r="266">
          <cell r="A266" t="str">
            <v>PEPPL0072</v>
          </cell>
          <cell r="Q266">
            <v>44180</v>
          </cell>
        </row>
        <row r="267">
          <cell r="A267" t="str">
            <v>PSS0072</v>
          </cell>
          <cell r="Q267">
            <v>39965</v>
          </cell>
        </row>
        <row r="268">
          <cell r="A268" t="str">
            <v>PEIPL0072</v>
          </cell>
          <cell r="Q268">
            <v>44914</v>
          </cell>
        </row>
        <row r="269">
          <cell r="A269" t="str">
            <v>PEGEPL0072</v>
          </cell>
          <cell r="Q269">
            <v>45463</v>
          </cell>
        </row>
        <row r="270">
          <cell r="A270" t="str">
            <v>PEGEPL0073</v>
          </cell>
          <cell r="Q270">
            <v>45463</v>
          </cell>
        </row>
        <row r="271">
          <cell r="A271" t="str">
            <v>PEIPL0073</v>
          </cell>
          <cell r="Q271">
            <v>44915</v>
          </cell>
        </row>
        <row r="272">
          <cell r="A272" t="str">
            <v>PEPPL0073</v>
          </cell>
          <cell r="Q272">
            <v>44180</v>
          </cell>
        </row>
        <row r="273">
          <cell r="A273" t="str">
            <v>PEPPL0074</v>
          </cell>
          <cell r="Q273">
            <v>44180</v>
          </cell>
        </row>
        <row r="274">
          <cell r="A274" t="str">
            <v>PEIPL0074</v>
          </cell>
          <cell r="Q274">
            <v>44917</v>
          </cell>
        </row>
        <row r="275">
          <cell r="A275" t="str">
            <v>PEGEPL0074</v>
          </cell>
          <cell r="Q275">
            <v>45463</v>
          </cell>
        </row>
        <row r="276">
          <cell r="A276" t="str">
            <v>PEGEPL0075</v>
          </cell>
          <cell r="Q276">
            <v>45463</v>
          </cell>
        </row>
        <row r="277">
          <cell r="A277" t="str">
            <v>PEIPL0075</v>
          </cell>
          <cell r="Q277">
            <v>44917</v>
          </cell>
        </row>
        <row r="278">
          <cell r="A278" t="str">
            <v>PEPPL0075</v>
          </cell>
          <cell r="Q278">
            <v>44180</v>
          </cell>
        </row>
        <row r="279">
          <cell r="A279" t="str">
            <v>PEPPL0076</v>
          </cell>
          <cell r="Q279">
            <v>44180</v>
          </cell>
        </row>
        <row r="280">
          <cell r="A280" t="str">
            <v>PSS0076</v>
          </cell>
          <cell r="Q280">
            <v>39692</v>
          </cell>
        </row>
        <row r="281">
          <cell r="A281" t="str">
            <v>PEIPL0076</v>
          </cell>
          <cell r="Q281">
            <v>44917</v>
          </cell>
        </row>
        <row r="282">
          <cell r="A282" t="str">
            <v>PEGEPL0076</v>
          </cell>
          <cell r="Q282">
            <v>45470</v>
          </cell>
        </row>
        <row r="283">
          <cell r="A283" t="str">
            <v>PEGEPL0077</v>
          </cell>
          <cell r="Q283">
            <v>45470</v>
          </cell>
        </row>
        <row r="284">
          <cell r="A284" t="str">
            <v>PEIPL0077</v>
          </cell>
          <cell r="Q284">
            <v>44917</v>
          </cell>
        </row>
        <row r="285">
          <cell r="A285" t="str">
            <v>PEPPL0077</v>
          </cell>
          <cell r="Q285">
            <v>44180</v>
          </cell>
        </row>
        <row r="286">
          <cell r="A286" t="str">
            <v>PEPPL0078</v>
          </cell>
          <cell r="Q286">
            <v>44180</v>
          </cell>
        </row>
        <row r="287">
          <cell r="A287" t="str">
            <v>PEIPL0078</v>
          </cell>
          <cell r="Q287">
            <v>44918</v>
          </cell>
        </row>
        <row r="288">
          <cell r="A288" t="str">
            <v>PEGEPL0078</v>
          </cell>
          <cell r="Q288">
            <v>45470</v>
          </cell>
        </row>
        <row r="289">
          <cell r="A289" t="str">
            <v>PEGEPL0079</v>
          </cell>
          <cell r="Q289">
            <v>45470</v>
          </cell>
        </row>
        <row r="290">
          <cell r="A290" t="str">
            <v>PEIPL0079</v>
          </cell>
          <cell r="Q290">
            <v>44915</v>
          </cell>
        </row>
        <row r="291">
          <cell r="A291" t="str">
            <v>PEPPL0079</v>
          </cell>
          <cell r="Q291">
            <v>44180</v>
          </cell>
        </row>
        <row r="292">
          <cell r="A292" t="str">
            <v>PEPPL0080</v>
          </cell>
          <cell r="Q292">
            <v>44185</v>
          </cell>
        </row>
        <row r="293">
          <cell r="A293" t="str">
            <v>PEIPL0080</v>
          </cell>
          <cell r="Q293">
            <v>44919</v>
          </cell>
        </row>
        <row r="294">
          <cell r="A294" t="str">
            <v>PEGEPL0080</v>
          </cell>
          <cell r="Q294">
            <v>45470</v>
          </cell>
        </row>
        <row r="295">
          <cell r="A295" t="str">
            <v>PEGEPL0081</v>
          </cell>
          <cell r="Q295">
            <v>45470</v>
          </cell>
        </row>
        <row r="296">
          <cell r="A296" t="str">
            <v>PEIPL0081</v>
          </cell>
          <cell r="Q296">
            <v>44921</v>
          </cell>
        </row>
        <row r="297">
          <cell r="A297" t="str">
            <v>PEPPL0081</v>
          </cell>
          <cell r="Q297">
            <v>44186</v>
          </cell>
        </row>
        <row r="298">
          <cell r="A298" t="str">
            <v>PEPPL0082</v>
          </cell>
          <cell r="Q298">
            <v>44186</v>
          </cell>
        </row>
        <row r="299">
          <cell r="A299" t="str">
            <v>PEIPL0082</v>
          </cell>
          <cell r="Q299">
            <v>44922</v>
          </cell>
        </row>
        <row r="300">
          <cell r="A300" t="str">
            <v>PEGEPL0082</v>
          </cell>
          <cell r="Q300">
            <v>45472</v>
          </cell>
        </row>
        <row r="301">
          <cell r="A301" t="str">
            <v>PEGEPL0083</v>
          </cell>
          <cell r="Q301">
            <v>45477</v>
          </cell>
        </row>
        <row r="302">
          <cell r="A302" t="str">
            <v>PEIPL0083</v>
          </cell>
          <cell r="Q302">
            <v>44924</v>
          </cell>
        </row>
        <row r="303">
          <cell r="A303" t="str">
            <v>PEPPL0083</v>
          </cell>
          <cell r="Q303">
            <v>44191</v>
          </cell>
        </row>
        <row r="304">
          <cell r="A304" t="str">
            <v>PEPPL0084</v>
          </cell>
          <cell r="Q304">
            <v>44191</v>
          </cell>
        </row>
        <row r="305">
          <cell r="A305" t="str">
            <v>PSS0084</v>
          </cell>
          <cell r="Q305">
            <v>39083</v>
          </cell>
        </row>
        <row r="306">
          <cell r="A306" t="str">
            <v>PEIPL0084</v>
          </cell>
          <cell r="Q306">
            <v>44928</v>
          </cell>
        </row>
        <row r="307">
          <cell r="A307" t="str">
            <v>PEGEPL0084</v>
          </cell>
          <cell r="Q307">
            <v>45477</v>
          </cell>
        </row>
        <row r="308">
          <cell r="A308" t="str">
            <v>PEGEPL0085</v>
          </cell>
          <cell r="Q308">
            <v>45477</v>
          </cell>
        </row>
        <row r="309">
          <cell r="A309" t="str">
            <v>PEIPL0085</v>
          </cell>
          <cell r="Q309">
            <v>44928</v>
          </cell>
        </row>
        <row r="310">
          <cell r="A310" t="str">
            <v>PEPPL0085</v>
          </cell>
          <cell r="Q310">
            <v>44189</v>
          </cell>
        </row>
        <row r="311">
          <cell r="A311" t="str">
            <v>PEPPL0086</v>
          </cell>
          <cell r="Q311">
            <v>44198</v>
          </cell>
        </row>
        <row r="312">
          <cell r="A312" t="str">
            <v>PEIPL0086</v>
          </cell>
          <cell r="Q312">
            <v>44930</v>
          </cell>
        </row>
        <row r="313">
          <cell r="A313" t="str">
            <v>PEGEPL0086</v>
          </cell>
          <cell r="Q313">
            <v>45477</v>
          </cell>
        </row>
        <row r="314">
          <cell r="A314" t="str">
            <v>PEGEPL0087</v>
          </cell>
          <cell r="Q314">
            <v>45477</v>
          </cell>
        </row>
        <row r="315">
          <cell r="A315" t="str">
            <v>PEIPL0087</v>
          </cell>
          <cell r="Q315">
            <v>44931</v>
          </cell>
        </row>
        <row r="316">
          <cell r="A316" t="str">
            <v>PEPPL0087</v>
          </cell>
          <cell r="Q316">
            <v>44198</v>
          </cell>
        </row>
        <row r="317">
          <cell r="A317" t="str">
            <v>PEPPL0088</v>
          </cell>
          <cell r="Q317">
            <v>44197</v>
          </cell>
        </row>
        <row r="318">
          <cell r="A318" t="str">
            <v>PEIPL0088</v>
          </cell>
          <cell r="Q318">
            <v>44931</v>
          </cell>
        </row>
        <row r="319">
          <cell r="A319" t="str">
            <v>PEGEPL0088</v>
          </cell>
          <cell r="Q319">
            <v>45477</v>
          </cell>
        </row>
        <row r="320">
          <cell r="A320" t="str">
            <v>PEGEPL0089</v>
          </cell>
          <cell r="Q320">
            <v>45474</v>
          </cell>
        </row>
        <row r="321">
          <cell r="A321" t="str">
            <v>PEIPL0089</v>
          </cell>
          <cell r="Q321">
            <v>44931</v>
          </cell>
        </row>
        <row r="322">
          <cell r="A322" t="str">
            <v>PEPPL0089</v>
          </cell>
          <cell r="Q322">
            <v>44200</v>
          </cell>
        </row>
        <row r="323">
          <cell r="A323" t="str">
            <v>PSS0089</v>
          </cell>
          <cell r="Q323">
            <v>40179</v>
          </cell>
        </row>
        <row r="324">
          <cell r="A324" t="str">
            <v>PEPPL0090</v>
          </cell>
          <cell r="Q324">
            <v>44200</v>
          </cell>
        </row>
        <row r="325">
          <cell r="A325" t="str">
            <v>PEIPL0090</v>
          </cell>
          <cell r="Q325">
            <v>44931</v>
          </cell>
        </row>
        <row r="326">
          <cell r="A326" t="str">
            <v>PEGEPL0090</v>
          </cell>
          <cell r="Q326">
            <v>45481</v>
          </cell>
        </row>
        <row r="327">
          <cell r="A327" t="str">
            <v>PEGEPL0091</v>
          </cell>
          <cell r="Q327">
            <v>45484</v>
          </cell>
        </row>
        <row r="328">
          <cell r="A328" t="str">
            <v>PEIPL0091</v>
          </cell>
          <cell r="Q328">
            <v>44931</v>
          </cell>
        </row>
        <row r="329">
          <cell r="A329" t="str">
            <v>PEPPL0091</v>
          </cell>
          <cell r="Q329">
            <v>44200</v>
          </cell>
        </row>
        <row r="330">
          <cell r="A330" t="str">
            <v>PEPPL0092</v>
          </cell>
          <cell r="Q330">
            <v>44201</v>
          </cell>
        </row>
        <row r="331">
          <cell r="A331" t="str">
            <v>PEIPL0092</v>
          </cell>
          <cell r="Q331">
            <v>44931</v>
          </cell>
        </row>
        <row r="332">
          <cell r="A332" t="str">
            <v>PEGEPL0092</v>
          </cell>
          <cell r="Q332">
            <v>45483</v>
          </cell>
        </row>
        <row r="333">
          <cell r="A333" t="str">
            <v>PEGEPL0093</v>
          </cell>
          <cell r="Q333">
            <v>45484</v>
          </cell>
        </row>
        <row r="334">
          <cell r="A334" t="str">
            <v>PEIPL0093</v>
          </cell>
          <cell r="Q334">
            <v>44935</v>
          </cell>
        </row>
        <row r="335">
          <cell r="A335" t="str">
            <v>PEPPL0093</v>
          </cell>
          <cell r="Q335">
            <v>44201</v>
          </cell>
        </row>
        <row r="336">
          <cell r="A336" t="str">
            <v>PSS0093</v>
          </cell>
          <cell r="Q336">
            <v>40179</v>
          </cell>
        </row>
        <row r="337">
          <cell r="A337" t="str">
            <v>PEPPL0094</v>
          </cell>
          <cell r="Q337">
            <v>44201</v>
          </cell>
        </row>
        <row r="338">
          <cell r="A338" t="str">
            <v>PSS0094</v>
          </cell>
          <cell r="Q338">
            <v>40179</v>
          </cell>
        </row>
        <row r="339">
          <cell r="A339" t="str">
            <v>PEIPL0094</v>
          </cell>
          <cell r="Q339">
            <v>44936</v>
          </cell>
        </row>
        <row r="340">
          <cell r="A340" t="str">
            <v>PEGEPL0094</v>
          </cell>
          <cell r="Q340">
            <v>45484</v>
          </cell>
        </row>
        <row r="341">
          <cell r="A341" t="str">
            <v>PEGEPL0095</v>
          </cell>
          <cell r="Q341">
            <v>45485</v>
          </cell>
        </row>
        <row r="342">
          <cell r="A342" t="str">
            <v>PEIPL0095</v>
          </cell>
          <cell r="Q342">
            <v>44936</v>
          </cell>
        </row>
        <row r="343">
          <cell r="A343" t="str">
            <v>PEPPL0095</v>
          </cell>
          <cell r="Q343">
            <v>44201</v>
          </cell>
        </row>
        <row r="344">
          <cell r="A344" t="str">
            <v>PEPPL0096</v>
          </cell>
          <cell r="Q344">
            <v>44205</v>
          </cell>
        </row>
        <row r="345">
          <cell r="A345" t="str">
            <v>PSS0096</v>
          </cell>
          <cell r="Q345">
            <v>40179</v>
          </cell>
        </row>
        <row r="346">
          <cell r="A346" t="str">
            <v>PEIPL0096</v>
          </cell>
          <cell r="Q346">
            <v>44936</v>
          </cell>
        </row>
        <row r="347">
          <cell r="A347" t="str">
            <v>PEGEPL0096</v>
          </cell>
          <cell r="Q347">
            <v>45488</v>
          </cell>
        </row>
        <row r="348">
          <cell r="A348" t="str">
            <v>PEGEPL0097</v>
          </cell>
          <cell r="Q348">
            <v>45490</v>
          </cell>
        </row>
        <row r="349">
          <cell r="A349" t="str">
            <v>PEIPL0097</v>
          </cell>
          <cell r="Q349">
            <v>44938</v>
          </cell>
        </row>
        <row r="350">
          <cell r="A350" t="str">
            <v>PSS0097</v>
          </cell>
          <cell r="Q350">
            <v>40725</v>
          </cell>
        </row>
        <row r="351">
          <cell r="A351" t="str">
            <v>PEPPL0097</v>
          </cell>
          <cell r="Q351">
            <v>44208</v>
          </cell>
        </row>
        <row r="352">
          <cell r="A352" t="str">
            <v>PEPPL0098</v>
          </cell>
          <cell r="Q352">
            <v>44201</v>
          </cell>
        </row>
        <row r="353">
          <cell r="A353" t="str">
            <v>PEIPL0098</v>
          </cell>
          <cell r="Q353">
            <v>44938</v>
          </cell>
        </row>
        <row r="354">
          <cell r="A354" t="str">
            <v>PEGEPL0098</v>
          </cell>
          <cell r="Q354">
            <v>45491</v>
          </cell>
        </row>
        <row r="355">
          <cell r="A355" t="str">
            <v>PEGEPL0099</v>
          </cell>
          <cell r="Q355">
            <v>45491</v>
          </cell>
        </row>
        <row r="356">
          <cell r="A356" t="str">
            <v>PEIPL0099</v>
          </cell>
          <cell r="Q356">
            <v>44938</v>
          </cell>
        </row>
        <row r="357">
          <cell r="A357" t="str">
            <v>PEPPL0099</v>
          </cell>
          <cell r="Q357">
            <v>44205</v>
          </cell>
        </row>
        <row r="358">
          <cell r="A358" t="str">
            <v>PEPPL0100</v>
          </cell>
          <cell r="Q358">
            <v>44208</v>
          </cell>
        </row>
        <row r="359">
          <cell r="A359" t="str">
            <v>P0100</v>
          </cell>
          <cell r="Q359">
            <v>40575</v>
          </cell>
        </row>
        <row r="360">
          <cell r="A360" t="str">
            <v>PSS0100</v>
          </cell>
          <cell r="Q360">
            <v>39814</v>
          </cell>
        </row>
        <row r="361">
          <cell r="A361" t="str">
            <v>PEIPL0100</v>
          </cell>
          <cell r="Q361">
            <v>44938</v>
          </cell>
        </row>
        <row r="362">
          <cell r="A362" t="str">
            <v>PEGEPL0100</v>
          </cell>
          <cell r="Q362">
            <v>45496</v>
          </cell>
        </row>
        <row r="363">
          <cell r="A363" t="str">
            <v>PEGEPL0101</v>
          </cell>
          <cell r="Q363">
            <v>45498</v>
          </cell>
        </row>
        <row r="364">
          <cell r="A364" t="str">
            <v>PEIPL0101</v>
          </cell>
          <cell r="Q364">
            <v>44942</v>
          </cell>
        </row>
        <row r="365">
          <cell r="A365" t="str">
            <v>PEPPL0101</v>
          </cell>
          <cell r="Q365">
            <v>44208</v>
          </cell>
        </row>
        <row r="366">
          <cell r="A366" t="str">
            <v>PEPPL0102</v>
          </cell>
          <cell r="Q366">
            <v>44207</v>
          </cell>
        </row>
        <row r="367">
          <cell r="A367" t="str">
            <v>PEIPL0102</v>
          </cell>
          <cell r="Q367">
            <v>44942</v>
          </cell>
        </row>
        <row r="368">
          <cell r="A368" t="str">
            <v>PEGEPL0102</v>
          </cell>
          <cell r="Q368">
            <v>45498</v>
          </cell>
        </row>
        <row r="369">
          <cell r="A369" t="str">
            <v>PEGEPL0103</v>
          </cell>
          <cell r="Q369">
            <v>45498</v>
          </cell>
        </row>
        <row r="370">
          <cell r="A370" t="str">
            <v>PEIPL0103</v>
          </cell>
          <cell r="Q370">
            <v>44942</v>
          </cell>
        </row>
        <row r="371">
          <cell r="A371" t="str">
            <v>PEPPL0103</v>
          </cell>
          <cell r="Q371">
            <v>44207</v>
          </cell>
        </row>
        <row r="372">
          <cell r="A372" t="str">
            <v>PEPPL0104</v>
          </cell>
          <cell r="Q372">
            <v>44200</v>
          </cell>
        </row>
        <row r="373">
          <cell r="A373" t="str">
            <v>PEIPL0104</v>
          </cell>
          <cell r="Q373">
            <v>44942</v>
          </cell>
        </row>
        <row r="374">
          <cell r="A374" t="str">
            <v>PEGEPL0104</v>
          </cell>
          <cell r="Q374">
            <v>45499</v>
          </cell>
        </row>
        <row r="375">
          <cell r="A375" t="str">
            <v>PEGEPL0105</v>
          </cell>
          <cell r="Q375">
            <v>45499</v>
          </cell>
        </row>
        <row r="376">
          <cell r="A376" t="str">
            <v>PEIPL0105</v>
          </cell>
          <cell r="Q376">
            <v>44944</v>
          </cell>
        </row>
        <row r="377">
          <cell r="A377" t="str">
            <v>PEPPL0105</v>
          </cell>
          <cell r="Q377">
            <v>44200</v>
          </cell>
        </row>
        <row r="378">
          <cell r="A378" t="str">
            <v>PEPPL0106</v>
          </cell>
          <cell r="Q378">
            <v>44208</v>
          </cell>
        </row>
        <row r="379">
          <cell r="A379" t="str">
            <v>P0106</v>
          </cell>
          <cell r="Q379">
            <v>40902</v>
          </cell>
        </row>
        <row r="380">
          <cell r="A380" t="str">
            <v>PEIPL0106</v>
          </cell>
          <cell r="Q380">
            <v>44944</v>
          </cell>
        </row>
        <row r="381">
          <cell r="A381" t="str">
            <v>PEGEPL0106</v>
          </cell>
          <cell r="Q381">
            <v>45502</v>
          </cell>
        </row>
        <row r="382">
          <cell r="A382" t="str">
            <v>PEGEPL0107</v>
          </cell>
          <cell r="Q382">
            <v>45505</v>
          </cell>
        </row>
        <row r="383">
          <cell r="A383" t="str">
            <v>PEIPL0107</v>
          </cell>
          <cell r="Q383">
            <v>44945</v>
          </cell>
        </row>
        <row r="384">
          <cell r="A384" t="str">
            <v>PEPPL0107</v>
          </cell>
          <cell r="Q384">
            <v>44215</v>
          </cell>
        </row>
        <row r="385">
          <cell r="A385" t="str">
            <v>P0107</v>
          </cell>
          <cell r="Q385">
            <v>40975</v>
          </cell>
        </row>
        <row r="386">
          <cell r="A386" t="str">
            <v>P0108</v>
          </cell>
          <cell r="Q386">
            <v>41000</v>
          </cell>
        </row>
        <row r="387">
          <cell r="A387" t="str">
            <v>PEPPL0108</v>
          </cell>
          <cell r="Q387">
            <v>44221</v>
          </cell>
        </row>
        <row r="388">
          <cell r="A388" t="str">
            <v>PEIPL0108</v>
          </cell>
          <cell r="Q388">
            <v>44945</v>
          </cell>
        </row>
        <row r="389">
          <cell r="A389" t="str">
            <v>PEGEPL0108</v>
          </cell>
          <cell r="Q389">
            <v>45505</v>
          </cell>
        </row>
        <row r="390">
          <cell r="A390" t="str">
            <v>PEGEPL0109</v>
          </cell>
          <cell r="Q390">
            <v>45507</v>
          </cell>
        </row>
        <row r="391">
          <cell r="A391" t="str">
            <v>PEIPL0109</v>
          </cell>
          <cell r="Q391">
            <v>44945</v>
          </cell>
        </row>
        <row r="392">
          <cell r="A392" t="str">
            <v>PEPPL0109</v>
          </cell>
          <cell r="Q392">
            <v>44228</v>
          </cell>
        </row>
        <row r="393">
          <cell r="A393" t="str">
            <v>P0109</v>
          </cell>
          <cell r="Q393">
            <v>41001</v>
          </cell>
        </row>
        <row r="394">
          <cell r="A394" t="str">
            <v>P0110</v>
          </cell>
          <cell r="Q394">
            <v>41015</v>
          </cell>
        </row>
        <row r="395">
          <cell r="A395" t="str">
            <v>PEPPL0110</v>
          </cell>
          <cell r="Q395">
            <v>44228</v>
          </cell>
        </row>
        <row r="396">
          <cell r="A396" t="str">
            <v>PEIPL0110</v>
          </cell>
          <cell r="Q396">
            <v>44946</v>
          </cell>
        </row>
        <row r="397">
          <cell r="A397" t="str">
            <v>PEGEPL0110</v>
          </cell>
          <cell r="Q397">
            <v>45505</v>
          </cell>
        </row>
        <row r="398">
          <cell r="A398" t="str">
            <v>PEGEPL0111</v>
          </cell>
          <cell r="Q398">
            <v>45505</v>
          </cell>
        </row>
        <row r="399">
          <cell r="A399" t="str">
            <v>PEIPL0111</v>
          </cell>
          <cell r="Q399">
            <v>44946</v>
          </cell>
        </row>
        <row r="400">
          <cell r="A400" t="str">
            <v>PEPPL0111</v>
          </cell>
          <cell r="Q400">
            <v>44228</v>
          </cell>
        </row>
        <row r="401">
          <cell r="A401" t="str">
            <v>P0111</v>
          </cell>
          <cell r="Q401">
            <v>41030</v>
          </cell>
        </row>
        <row r="402">
          <cell r="A402" t="str">
            <v>P0112</v>
          </cell>
          <cell r="Q402">
            <v>41031</v>
          </cell>
        </row>
        <row r="403">
          <cell r="A403" t="str">
            <v>PEPPL0112</v>
          </cell>
          <cell r="Q403">
            <v>44235</v>
          </cell>
        </row>
        <row r="404">
          <cell r="A404" t="str">
            <v>PEIPL0112</v>
          </cell>
          <cell r="Q404">
            <v>44947</v>
          </cell>
        </row>
        <row r="405">
          <cell r="A405" t="str">
            <v>PEGEPL0112</v>
          </cell>
          <cell r="Q405">
            <v>45512</v>
          </cell>
        </row>
        <row r="406">
          <cell r="A406" t="str">
            <v>PEGEPL0113</v>
          </cell>
          <cell r="Q406">
            <v>45512</v>
          </cell>
        </row>
        <row r="407">
          <cell r="A407" t="str">
            <v>PEIPL0113</v>
          </cell>
          <cell r="Q407">
            <v>44947</v>
          </cell>
        </row>
        <row r="408">
          <cell r="A408" t="str">
            <v>PEPPL0113</v>
          </cell>
          <cell r="Q408">
            <v>44235</v>
          </cell>
        </row>
        <row r="409">
          <cell r="A409" t="str">
            <v>PEPPL0114</v>
          </cell>
          <cell r="Q409">
            <v>44237</v>
          </cell>
        </row>
        <row r="410">
          <cell r="A410" t="str">
            <v>P0114</v>
          </cell>
          <cell r="Q410">
            <v>41050</v>
          </cell>
        </row>
        <row r="411">
          <cell r="A411" t="str">
            <v>PEIPL0114</v>
          </cell>
          <cell r="Q411">
            <v>44947</v>
          </cell>
        </row>
        <row r="412">
          <cell r="A412" t="str">
            <v>PEGEPL0114</v>
          </cell>
          <cell r="Q412">
            <v>45513</v>
          </cell>
        </row>
        <row r="413">
          <cell r="A413" t="str">
            <v>PEGEPL0115</v>
          </cell>
          <cell r="Q413">
            <v>45512</v>
          </cell>
        </row>
        <row r="414">
          <cell r="A414" t="str">
            <v>PEIPL0115</v>
          </cell>
          <cell r="Q414">
            <v>44949</v>
          </cell>
        </row>
        <row r="415">
          <cell r="A415" t="str">
            <v>P0115</v>
          </cell>
          <cell r="Q415">
            <v>41067</v>
          </cell>
        </row>
        <row r="416">
          <cell r="A416" t="str">
            <v>PEPPL0115</v>
          </cell>
          <cell r="Q416">
            <v>44237</v>
          </cell>
        </row>
        <row r="417">
          <cell r="A417" t="str">
            <v>PEPPL0116</v>
          </cell>
          <cell r="Q417">
            <v>44242</v>
          </cell>
        </row>
        <row r="418">
          <cell r="A418" t="str">
            <v>P0116</v>
          </cell>
          <cell r="Q418">
            <v>41175</v>
          </cell>
        </row>
        <row r="419">
          <cell r="A419" t="str">
            <v>PEIPL0116</v>
          </cell>
          <cell r="Q419">
            <v>44949</v>
          </cell>
        </row>
        <row r="420">
          <cell r="A420" t="str">
            <v>PEGEPL0116</v>
          </cell>
          <cell r="Q420">
            <v>45516</v>
          </cell>
        </row>
        <row r="421">
          <cell r="A421" t="str">
            <v>PEGEPL0117</v>
          </cell>
          <cell r="Q421">
            <v>45516</v>
          </cell>
        </row>
        <row r="422">
          <cell r="A422" t="str">
            <v>PEIPL0117</v>
          </cell>
          <cell r="Q422">
            <v>44949</v>
          </cell>
        </row>
        <row r="423">
          <cell r="A423" t="str">
            <v>PSS0117</v>
          </cell>
          <cell r="Q423">
            <v>40330</v>
          </cell>
        </row>
        <row r="424">
          <cell r="A424" t="str">
            <v>PEPPL0117</v>
          </cell>
          <cell r="Q424">
            <v>44242</v>
          </cell>
        </row>
        <row r="425">
          <cell r="A425" t="str">
            <v>PEPPL0118</v>
          </cell>
          <cell r="Q425">
            <v>44242</v>
          </cell>
        </row>
        <row r="426">
          <cell r="A426" t="str">
            <v>PSS0118</v>
          </cell>
          <cell r="Q426">
            <v>40330</v>
          </cell>
        </row>
        <row r="427">
          <cell r="A427" t="str">
            <v>P0118</v>
          </cell>
          <cell r="Q427">
            <v>41285</v>
          </cell>
        </row>
        <row r="428">
          <cell r="A428" t="str">
            <v>PEIPL0118</v>
          </cell>
          <cell r="Q428">
            <v>44949</v>
          </cell>
        </row>
        <row r="429">
          <cell r="A429" t="str">
            <v>PEGEPL0118</v>
          </cell>
          <cell r="Q429">
            <v>45520</v>
          </cell>
        </row>
        <row r="430">
          <cell r="A430" t="str">
            <v>PEGEPL0119</v>
          </cell>
          <cell r="Q430">
            <v>45523</v>
          </cell>
        </row>
        <row r="431">
          <cell r="A431" t="str">
            <v>PEIPL0119</v>
          </cell>
          <cell r="Q431">
            <v>44949</v>
          </cell>
        </row>
        <row r="432">
          <cell r="A432" t="str">
            <v>P0119</v>
          </cell>
          <cell r="Q432">
            <v>41306</v>
          </cell>
        </row>
        <row r="433">
          <cell r="A433" t="str">
            <v>PEPPL0119</v>
          </cell>
          <cell r="Q433">
            <v>44242</v>
          </cell>
        </row>
        <row r="434">
          <cell r="A434" t="str">
            <v>PEPPL0120</v>
          </cell>
          <cell r="Q434">
            <v>44242</v>
          </cell>
        </row>
        <row r="435">
          <cell r="A435" t="str">
            <v>P0120</v>
          </cell>
          <cell r="Q435">
            <v>41338</v>
          </cell>
        </row>
        <row r="436">
          <cell r="A436" t="str">
            <v>PSS0120</v>
          </cell>
          <cell r="Q436">
            <v>39814</v>
          </cell>
        </row>
        <row r="437">
          <cell r="A437" t="str">
            <v>PEIPL0120</v>
          </cell>
          <cell r="Q437">
            <v>44949</v>
          </cell>
        </row>
        <row r="438">
          <cell r="A438" t="str">
            <v>PEGEPL0120</v>
          </cell>
          <cell r="Q438">
            <v>45524</v>
          </cell>
        </row>
        <row r="439">
          <cell r="A439" t="str">
            <v>PEGEPL0121</v>
          </cell>
          <cell r="Q439">
            <v>45526</v>
          </cell>
        </row>
        <row r="440">
          <cell r="A440" t="str">
            <v>PEIPL0121</v>
          </cell>
          <cell r="Q440">
            <v>44928</v>
          </cell>
        </row>
        <row r="441">
          <cell r="A441" t="str">
            <v>PSS0121</v>
          </cell>
          <cell r="Q441">
            <v>40422</v>
          </cell>
        </row>
        <row r="442">
          <cell r="A442" t="str">
            <v>P0121</v>
          </cell>
          <cell r="Q442">
            <v>41435</v>
          </cell>
        </row>
        <row r="443">
          <cell r="A443" t="str">
            <v>PEPPL0121</v>
          </cell>
          <cell r="Q443">
            <v>44247</v>
          </cell>
        </row>
        <row r="444">
          <cell r="A444" t="str">
            <v>PEPPL0122</v>
          </cell>
          <cell r="Q444">
            <v>44245</v>
          </cell>
        </row>
        <row r="445">
          <cell r="A445" t="str">
            <v>P0122</v>
          </cell>
          <cell r="Q445">
            <v>41494</v>
          </cell>
        </row>
        <row r="446">
          <cell r="A446" t="str">
            <v>PEIPL0122</v>
          </cell>
          <cell r="Q446">
            <v>44951</v>
          </cell>
        </row>
        <row r="447">
          <cell r="A447" t="str">
            <v>PEGEPL0122</v>
          </cell>
          <cell r="Q447">
            <v>45526</v>
          </cell>
        </row>
        <row r="448">
          <cell r="A448" t="str">
            <v>PEGEPL0123</v>
          </cell>
          <cell r="Q448">
            <v>45526</v>
          </cell>
        </row>
        <row r="449">
          <cell r="A449" t="str">
            <v>PEIPL0123</v>
          </cell>
          <cell r="Q449">
            <v>44951</v>
          </cell>
        </row>
        <row r="450">
          <cell r="A450" t="str">
            <v>P0123</v>
          </cell>
          <cell r="Q450">
            <v>41510</v>
          </cell>
        </row>
        <row r="451">
          <cell r="A451" t="str">
            <v>PEPPL0123</v>
          </cell>
          <cell r="Q451">
            <v>44256</v>
          </cell>
        </row>
        <row r="452">
          <cell r="A452" t="str">
            <v>PEPPL0124</v>
          </cell>
          <cell r="Q452">
            <v>44257</v>
          </cell>
        </row>
        <row r="453">
          <cell r="A453" t="str">
            <v>P0124</v>
          </cell>
          <cell r="Q453">
            <v>41527</v>
          </cell>
        </row>
        <row r="454">
          <cell r="A454" t="str">
            <v>PEIPL0124</v>
          </cell>
          <cell r="Q454">
            <v>44951</v>
          </cell>
        </row>
        <row r="455">
          <cell r="A455" t="str">
            <v>PEGEPL0124</v>
          </cell>
          <cell r="Q455">
            <v>45533</v>
          </cell>
        </row>
        <row r="456">
          <cell r="A456" t="str">
            <v>PEGEPL0125</v>
          </cell>
          <cell r="Q456">
            <v>45524</v>
          </cell>
        </row>
        <row r="457">
          <cell r="A457" t="str">
            <v>PEIPL0125</v>
          </cell>
          <cell r="Q457">
            <v>44951</v>
          </cell>
        </row>
        <row r="458">
          <cell r="A458" t="str">
            <v>P0125</v>
          </cell>
          <cell r="Q458">
            <v>41557</v>
          </cell>
        </row>
        <row r="459">
          <cell r="A459" t="str">
            <v>PEPPL0125</v>
          </cell>
          <cell r="Q459">
            <v>44263</v>
          </cell>
        </row>
        <row r="460">
          <cell r="A460" t="str">
            <v>PEPPL0126</v>
          </cell>
          <cell r="Q460">
            <v>44256</v>
          </cell>
        </row>
        <row r="461">
          <cell r="A461" t="str">
            <v>PEIPL0126</v>
          </cell>
          <cell r="Q461">
            <v>44951</v>
          </cell>
        </row>
        <row r="462">
          <cell r="A462" t="str">
            <v>PEGEPL0126</v>
          </cell>
          <cell r="Q462">
            <v>45540</v>
          </cell>
        </row>
        <row r="463">
          <cell r="A463" t="str">
            <v>PEGEPL0127</v>
          </cell>
          <cell r="Q463">
            <v>45526</v>
          </cell>
        </row>
        <row r="464">
          <cell r="A464" t="str">
            <v>PEIPL0127</v>
          </cell>
          <cell r="Q464">
            <v>44953</v>
          </cell>
        </row>
        <row r="465">
          <cell r="A465" t="str">
            <v>PEPPL0127</v>
          </cell>
          <cell r="Q465">
            <v>44263</v>
          </cell>
        </row>
        <row r="466">
          <cell r="A466" t="str">
            <v>P0127</v>
          </cell>
          <cell r="Q466">
            <v>41640</v>
          </cell>
        </row>
        <row r="467">
          <cell r="A467" t="str">
            <v>P0128</v>
          </cell>
          <cell r="Q467">
            <v>41787</v>
          </cell>
        </row>
        <row r="468">
          <cell r="A468" t="str">
            <v>PEPPL0128</v>
          </cell>
          <cell r="Q468">
            <v>44270</v>
          </cell>
        </row>
        <row r="469">
          <cell r="A469" t="str">
            <v>PSS0128</v>
          </cell>
          <cell r="Q469">
            <v>42314</v>
          </cell>
        </row>
        <row r="470">
          <cell r="A470" t="str">
            <v>PEIPL0128</v>
          </cell>
          <cell r="Q470">
            <v>44953</v>
          </cell>
        </row>
        <row r="471">
          <cell r="A471" t="str">
            <v>PEGEPL0128</v>
          </cell>
          <cell r="Q471">
            <v>45540</v>
          </cell>
        </row>
        <row r="472">
          <cell r="A472" t="str">
            <v>PEGEPL0129</v>
          </cell>
          <cell r="Q472">
            <v>45541</v>
          </cell>
        </row>
        <row r="473">
          <cell r="A473" t="str">
            <v>PEIPL0129</v>
          </cell>
          <cell r="Q473">
            <v>44954</v>
          </cell>
        </row>
        <row r="474">
          <cell r="A474" t="str">
            <v>PEPPL0129</v>
          </cell>
          <cell r="Q474">
            <v>44275</v>
          </cell>
        </row>
        <row r="475">
          <cell r="A475" t="str">
            <v>P0129</v>
          </cell>
          <cell r="Q475">
            <v>41791</v>
          </cell>
        </row>
        <row r="476">
          <cell r="A476" t="str">
            <v>PEPPL0130</v>
          </cell>
          <cell r="Q476">
            <v>44284</v>
          </cell>
        </row>
        <row r="477">
          <cell r="A477" t="str">
            <v>PEIPL0130</v>
          </cell>
          <cell r="Q477">
            <v>44956</v>
          </cell>
        </row>
        <row r="478">
          <cell r="A478" t="str">
            <v>PEGEPL0130</v>
          </cell>
          <cell r="Q478">
            <v>45547</v>
          </cell>
        </row>
        <row r="479">
          <cell r="A479" t="str">
            <v>PEGEPL0131</v>
          </cell>
          <cell r="Q479">
            <v>45554</v>
          </cell>
        </row>
        <row r="480">
          <cell r="A480" t="str">
            <v>PEIPL0131</v>
          </cell>
          <cell r="Q480">
            <v>44956</v>
          </cell>
        </row>
        <row r="481">
          <cell r="A481" t="str">
            <v>PEPPL0131</v>
          </cell>
          <cell r="Q481">
            <v>44287</v>
          </cell>
        </row>
        <row r="482">
          <cell r="A482" t="str">
            <v>PEPPL0132</v>
          </cell>
          <cell r="Q482">
            <v>44296</v>
          </cell>
        </row>
        <row r="483">
          <cell r="A483" t="str">
            <v>P0132</v>
          </cell>
          <cell r="Q483">
            <v>41944</v>
          </cell>
        </row>
        <row r="484">
          <cell r="A484" t="str">
            <v>PEIPL0132</v>
          </cell>
          <cell r="Q484">
            <v>44958</v>
          </cell>
        </row>
        <row r="485">
          <cell r="A485" t="str">
            <v>PEGEPL0132</v>
          </cell>
          <cell r="Q485">
            <v>45554</v>
          </cell>
        </row>
        <row r="486">
          <cell r="A486" t="str">
            <v>PEGEPL0133</v>
          </cell>
          <cell r="Q486">
            <v>45554</v>
          </cell>
        </row>
        <row r="487">
          <cell r="A487" t="str">
            <v>PEIPL0133</v>
          </cell>
          <cell r="Q487">
            <v>44958</v>
          </cell>
        </row>
        <row r="488">
          <cell r="A488" t="str">
            <v>PEPPL0133</v>
          </cell>
          <cell r="Q488">
            <v>44287</v>
          </cell>
        </row>
        <row r="489">
          <cell r="A489" t="str">
            <v>PEPPL0134</v>
          </cell>
          <cell r="Q489">
            <v>44301</v>
          </cell>
        </row>
        <row r="490">
          <cell r="A490" t="str">
            <v>PEIPL0134</v>
          </cell>
          <cell r="Q490">
            <v>44958</v>
          </cell>
        </row>
        <row r="491">
          <cell r="A491" t="str">
            <v>PEGEPL0134</v>
          </cell>
          <cell r="Q491">
            <v>45556</v>
          </cell>
        </row>
        <row r="492">
          <cell r="A492" t="str">
            <v>PEGEPL0135</v>
          </cell>
          <cell r="Q492">
            <v>45560</v>
          </cell>
        </row>
        <row r="493">
          <cell r="A493" t="str">
            <v>PEIPL0135</v>
          </cell>
          <cell r="Q493">
            <v>44958</v>
          </cell>
        </row>
        <row r="494">
          <cell r="A494" t="str">
            <v>PEPPL0135</v>
          </cell>
          <cell r="Q494">
            <v>44301</v>
          </cell>
        </row>
        <row r="495">
          <cell r="A495" t="str">
            <v>PSS0135</v>
          </cell>
          <cell r="Q495">
            <v>40026</v>
          </cell>
        </row>
        <row r="496">
          <cell r="A496" t="str">
            <v>PEPPL0136</v>
          </cell>
          <cell r="Q496">
            <v>44301</v>
          </cell>
        </row>
        <row r="497">
          <cell r="A497" t="str">
            <v>PEIPL0136</v>
          </cell>
          <cell r="Q497">
            <v>44959</v>
          </cell>
        </row>
        <row r="498">
          <cell r="A498" t="str">
            <v>PEGEPL0136</v>
          </cell>
          <cell r="Q498">
            <v>45558</v>
          </cell>
        </row>
        <row r="499">
          <cell r="A499" t="str">
            <v>PEGEPL0137</v>
          </cell>
          <cell r="Q499">
            <v>45562</v>
          </cell>
        </row>
        <row r="500">
          <cell r="A500" t="str">
            <v>PEIPL0137</v>
          </cell>
          <cell r="Q500">
            <v>44959</v>
          </cell>
        </row>
        <row r="501">
          <cell r="A501" t="str">
            <v>PEPPL0137</v>
          </cell>
          <cell r="Q501">
            <v>44301</v>
          </cell>
        </row>
        <row r="502">
          <cell r="A502" t="str">
            <v>PSS0137</v>
          </cell>
          <cell r="Q502">
            <v>40756</v>
          </cell>
        </row>
        <row r="503">
          <cell r="A503" t="str">
            <v>P0137</v>
          </cell>
          <cell r="Q503">
            <v>42125</v>
          </cell>
        </row>
        <row r="504">
          <cell r="A504" t="str">
            <v>PEPPL0138</v>
          </cell>
          <cell r="Q504">
            <v>44307</v>
          </cell>
        </row>
        <row r="505">
          <cell r="A505" t="str">
            <v>PEIPL0138</v>
          </cell>
          <cell r="Q505">
            <v>44959</v>
          </cell>
        </row>
        <row r="506">
          <cell r="A506" t="str">
            <v>PEGEPL0138</v>
          </cell>
          <cell r="Q506">
            <v>45565</v>
          </cell>
        </row>
        <row r="507">
          <cell r="A507" t="str">
            <v>PEGEPL0139</v>
          </cell>
          <cell r="Q507">
            <v>45565</v>
          </cell>
        </row>
        <row r="508">
          <cell r="A508" t="str">
            <v>PEIPL0139</v>
          </cell>
          <cell r="Q508">
            <v>44959</v>
          </cell>
        </row>
        <row r="509">
          <cell r="A509" t="str">
            <v>PEPPL0139</v>
          </cell>
          <cell r="Q509">
            <v>44315</v>
          </cell>
        </row>
        <row r="510">
          <cell r="A510" t="str">
            <v>P0139</v>
          </cell>
          <cell r="Q510">
            <v>42156</v>
          </cell>
        </row>
        <row r="511">
          <cell r="A511" t="str">
            <v>PEPPL0140</v>
          </cell>
          <cell r="Q511">
            <v>44319</v>
          </cell>
        </row>
        <row r="512">
          <cell r="A512" t="str">
            <v>P0140</v>
          </cell>
          <cell r="Q512">
            <v>42185</v>
          </cell>
        </row>
        <row r="513">
          <cell r="A513" t="str">
            <v>PEIPL0140</v>
          </cell>
          <cell r="Q513">
            <v>44959</v>
          </cell>
        </row>
        <row r="514">
          <cell r="A514" t="str">
            <v>PEGEPL0140</v>
          </cell>
          <cell r="Q514">
            <v>45565</v>
          </cell>
        </row>
        <row r="515">
          <cell r="A515" t="str">
            <v>PEGEPL0141</v>
          </cell>
          <cell r="Q515">
            <v>45565</v>
          </cell>
        </row>
        <row r="516">
          <cell r="A516" t="str">
            <v>PEIPL0141</v>
          </cell>
          <cell r="Q516">
            <v>44959</v>
          </cell>
        </row>
        <row r="517">
          <cell r="A517" t="str">
            <v>PEPPL0141</v>
          </cell>
          <cell r="Q517">
            <v>44319</v>
          </cell>
        </row>
        <row r="518">
          <cell r="A518" t="str">
            <v>PEPPL0142</v>
          </cell>
          <cell r="Q518">
            <v>44319</v>
          </cell>
        </row>
        <row r="519">
          <cell r="A519" t="str">
            <v>P0142</v>
          </cell>
          <cell r="Q519">
            <v>42206</v>
          </cell>
        </row>
        <row r="520">
          <cell r="A520" t="str">
            <v>PSS0142</v>
          </cell>
          <cell r="Q520">
            <v>39672</v>
          </cell>
        </row>
        <row r="521">
          <cell r="A521" t="str">
            <v>PEIPL0142</v>
          </cell>
          <cell r="Q521">
            <v>44966</v>
          </cell>
        </row>
        <row r="522">
          <cell r="A522" t="str">
            <v>PEGEPL0142</v>
          </cell>
          <cell r="Q522">
            <v>45565</v>
          </cell>
        </row>
        <row r="523">
          <cell r="A523" t="str">
            <v>PEIPL0143</v>
          </cell>
          <cell r="Q523">
            <v>44966</v>
          </cell>
        </row>
        <row r="524">
          <cell r="A524" t="str">
            <v>PSS0143</v>
          </cell>
          <cell r="Q524">
            <v>40817</v>
          </cell>
        </row>
        <row r="525">
          <cell r="A525" t="str">
            <v>PEPPL0143</v>
          </cell>
          <cell r="Q525">
            <v>44319</v>
          </cell>
        </row>
        <row r="526">
          <cell r="A526" t="str">
            <v>PEPPL0144</v>
          </cell>
          <cell r="Q526">
            <v>44319</v>
          </cell>
        </row>
        <row r="527">
          <cell r="A527" t="str">
            <v>PEIPL0144</v>
          </cell>
          <cell r="Q527">
            <v>44966</v>
          </cell>
        </row>
        <row r="528">
          <cell r="A528" t="str">
            <v>PEIPL0145</v>
          </cell>
          <cell r="Q528">
            <v>44966</v>
          </cell>
        </row>
        <row r="529">
          <cell r="A529" t="str">
            <v>PEPPL0145</v>
          </cell>
          <cell r="Q529">
            <v>44319</v>
          </cell>
        </row>
        <row r="530">
          <cell r="A530" t="str">
            <v>P0145</v>
          </cell>
          <cell r="Q530">
            <v>42248</v>
          </cell>
        </row>
        <row r="531">
          <cell r="A531" t="str">
            <v>PEPPL0146</v>
          </cell>
          <cell r="Q531">
            <v>44319</v>
          </cell>
        </row>
        <row r="532">
          <cell r="A532" t="str">
            <v>PEIPL0146</v>
          </cell>
          <cell r="Q532">
            <v>44966</v>
          </cell>
        </row>
        <row r="533">
          <cell r="A533" t="str">
            <v>PEIPL0147</v>
          </cell>
          <cell r="Q533">
            <v>44966</v>
          </cell>
        </row>
        <row r="534">
          <cell r="A534" t="str">
            <v>PEPPL0147</v>
          </cell>
          <cell r="Q534">
            <v>43770</v>
          </cell>
        </row>
        <row r="535">
          <cell r="A535" t="str">
            <v>PSS0147</v>
          </cell>
          <cell r="Q535">
            <v>40756</v>
          </cell>
        </row>
        <row r="536">
          <cell r="A536" t="str">
            <v>PEPPL0148</v>
          </cell>
          <cell r="Q536">
            <v>44326</v>
          </cell>
        </row>
        <row r="537">
          <cell r="A537" t="str">
            <v>PEIPL0148</v>
          </cell>
          <cell r="Q537">
            <v>44966</v>
          </cell>
        </row>
        <row r="538">
          <cell r="A538" t="str">
            <v>PEIPL0149</v>
          </cell>
          <cell r="Q538">
            <v>44966</v>
          </cell>
        </row>
        <row r="539">
          <cell r="A539" t="str">
            <v>PEPPL0149</v>
          </cell>
          <cell r="Q539">
            <v>44328</v>
          </cell>
        </row>
        <row r="540">
          <cell r="A540" t="str">
            <v>PEPPL0150</v>
          </cell>
          <cell r="Q540">
            <v>44341</v>
          </cell>
        </row>
        <row r="541">
          <cell r="A541" t="str">
            <v>PEIPL0150</v>
          </cell>
          <cell r="Q541">
            <v>44968</v>
          </cell>
        </row>
        <row r="542">
          <cell r="A542" t="str">
            <v>PEIPL0151</v>
          </cell>
          <cell r="Q542">
            <v>44970</v>
          </cell>
        </row>
        <row r="543">
          <cell r="A543" t="str">
            <v>PEPPL0151</v>
          </cell>
          <cell r="Q543">
            <v>44340</v>
          </cell>
        </row>
        <row r="544">
          <cell r="A544" t="str">
            <v>PEPPL0152</v>
          </cell>
          <cell r="Q544">
            <v>44361</v>
          </cell>
        </row>
        <row r="545">
          <cell r="A545" t="str">
            <v>PSS0152</v>
          </cell>
          <cell r="Q545">
            <v>40848</v>
          </cell>
        </row>
        <row r="546">
          <cell r="A546" t="str">
            <v>PEIPL0152</v>
          </cell>
          <cell r="Q546">
            <v>44973</v>
          </cell>
        </row>
        <row r="547">
          <cell r="A547" t="str">
            <v>PEIPL0153</v>
          </cell>
          <cell r="Q547">
            <v>44973</v>
          </cell>
        </row>
        <row r="548">
          <cell r="A548" t="str">
            <v>PEPPL0153</v>
          </cell>
          <cell r="Q548">
            <v>44365</v>
          </cell>
        </row>
        <row r="549">
          <cell r="A549" t="str">
            <v>PEPPL0154</v>
          </cell>
          <cell r="Q549">
            <v>44372</v>
          </cell>
        </row>
        <row r="550">
          <cell r="A550" t="str">
            <v>PSS0154</v>
          </cell>
          <cell r="Q550">
            <v>41548</v>
          </cell>
        </row>
        <row r="551">
          <cell r="A551" t="str">
            <v>PEIPL0154</v>
          </cell>
          <cell r="Q551">
            <v>44973</v>
          </cell>
        </row>
        <row r="552">
          <cell r="A552" t="str">
            <v>PEIPL0155</v>
          </cell>
          <cell r="Q552">
            <v>44973</v>
          </cell>
        </row>
        <row r="553">
          <cell r="A553" t="str">
            <v>PSS0155</v>
          </cell>
          <cell r="Q553">
            <v>41311</v>
          </cell>
        </row>
        <row r="554">
          <cell r="A554" t="str">
            <v>PEPPL0155</v>
          </cell>
          <cell r="Q554">
            <v>44372</v>
          </cell>
        </row>
        <row r="555">
          <cell r="A555" t="str">
            <v>PEPPL0156</v>
          </cell>
          <cell r="Q555">
            <v>44375</v>
          </cell>
        </row>
        <row r="556">
          <cell r="A556" t="str">
            <v>PSS0156</v>
          </cell>
          <cell r="Q556">
            <v>41426</v>
          </cell>
        </row>
        <row r="557">
          <cell r="A557" t="str">
            <v>PEIPL0156</v>
          </cell>
          <cell r="Q557">
            <v>44973</v>
          </cell>
        </row>
        <row r="558">
          <cell r="A558" t="str">
            <v>PEIPL0157</v>
          </cell>
          <cell r="Q558">
            <v>44973</v>
          </cell>
        </row>
        <row r="559">
          <cell r="A559" t="str">
            <v>PEPPL0157</v>
          </cell>
          <cell r="Q559">
            <v>44378</v>
          </cell>
        </row>
        <row r="560">
          <cell r="A560" t="str">
            <v>PEPPL0158</v>
          </cell>
          <cell r="Q560">
            <v>44382</v>
          </cell>
        </row>
        <row r="561">
          <cell r="A561" t="str">
            <v>PEIPL0158</v>
          </cell>
          <cell r="Q561">
            <v>44973</v>
          </cell>
        </row>
        <row r="562">
          <cell r="A562" t="str">
            <v>PEIPL0159</v>
          </cell>
          <cell r="Q562">
            <v>44973</v>
          </cell>
        </row>
        <row r="563">
          <cell r="A563" t="str">
            <v>PEPPL0159</v>
          </cell>
          <cell r="Q563">
            <v>44385</v>
          </cell>
        </row>
        <row r="564">
          <cell r="A564" t="str">
            <v>PSS0159</v>
          </cell>
          <cell r="Q564">
            <v>41456</v>
          </cell>
        </row>
        <row r="565">
          <cell r="A565" t="str">
            <v>PEPPL0160</v>
          </cell>
          <cell r="Q565">
            <v>44385</v>
          </cell>
        </row>
        <row r="566">
          <cell r="A566" t="str">
            <v>PEIPL0160</v>
          </cell>
          <cell r="Q566">
            <v>44973</v>
          </cell>
        </row>
        <row r="567">
          <cell r="A567" t="str">
            <v>PEIPL0161</v>
          </cell>
          <cell r="Q567">
            <v>44980</v>
          </cell>
        </row>
        <row r="568">
          <cell r="A568" t="str">
            <v>PEPPL0161</v>
          </cell>
          <cell r="Q568">
            <v>44389</v>
          </cell>
        </row>
        <row r="569">
          <cell r="A569" t="str">
            <v>PEPPL0162</v>
          </cell>
          <cell r="Q569">
            <v>44378</v>
          </cell>
        </row>
        <row r="570">
          <cell r="A570" t="str">
            <v>PEIPL0162</v>
          </cell>
          <cell r="Q570">
            <v>44980</v>
          </cell>
        </row>
        <row r="571">
          <cell r="A571" t="str">
            <v>PEIPL0163</v>
          </cell>
          <cell r="Q571">
            <v>44980</v>
          </cell>
        </row>
        <row r="572">
          <cell r="A572" t="str">
            <v>PEPPL0163</v>
          </cell>
          <cell r="Q572">
            <v>44378</v>
          </cell>
        </row>
        <row r="573">
          <cell r="A573" t="str">
            <v>PEPPL0164</v>
          </cell>
          <cell r="Q573">
            <v>44378</v>
          </cell>
        </row>
        <row r="574">
          <cell r="A574" t="str">
            <v>PEIPL0164</v>
          </cell>
          <cell r="Q574">
            <v>44980</v>
          </cell>
        </row>
        <row r="575">
          <cell r="A575" t="str">
            <v>PEIPL0165</v>
          </cell>
          <cell r="Q575">
            <v>44980</v>
          </cell>
        </row>
        <row r="576">
          <cell r="A576" t="str">
            <v>PEPPL0165</v>
          </cell>
          <cell r="Q576">
            <v>44378</v>
          </cell>
        </row>
        <row r="577">
          <cell r="A577" t="str">
            <v>PEPPL0166</v>
          </cell>
          <cell r="Q577">
            <v>44383</v>
          </cell>
        </row>
        <row r="578">
          <cell r="A578" t="str">
            <v>P0166</v>
          </cell>
          <cell r="Q578">
            <v>42415</v>
          </cell>
        </row>
        <row r="579">
          <cell r="A579" t="str">
            <v>PEIPL0166</v>
          </cell>
          <cell r="Q579">
            <v>44980</v>
          </cell>
        </row>
        <row r="580">
          <cell r="A580" t="str">
            <v>PEIPL0167</v>
          </cell>
          <cell r="Q580">
            <v>44982</v>
          </cell>
        </row>
        <row r="581">
          <cell r="A581" t="str">
            <v>PEPPL0167</v>
          </cell>
          <cell r="Q581">
            <v>44383</v>
          </cell>
        </row>
        <row r="582">
          <cell r="A582" t="str">
            <v>P0167</v>
          </cell>
          <cell r="Q582">
            <v>42415</v>
          </cell>
        </row>
        <row r="583">
          <cell r="A583" t="str">
            <v>PEPPL0168</v>
          </cell>
          <cell r="Q583">
            <v>44383</v>
          </cell>
        </row>
        <row r="584">
          <cell r="A584" t="str">
            <v>P0168</v>
          </cell>
          <cell r="Q584">
            <v>42416</v>
          </cell>
        </row>
        <row r="585">
          <cell r="A585" t="str">
            <v>PEIPL0168</v>
          </cell>
          <cell r="Q585">
            <v>44986</v>
          </cell>
        </row>
        <row r="586">
          <cell r="A586" t="str">
            <v>PEIPL0169</v>
          </cell>
          <cell r="Q586">
            <v>44986</v>
          </cell>
        </row>
        <row r="587">
          <cell r="A587" t="str">
            <v>PEPPL0169</v>
          </cell>
          <cell r="Q587">
            <v>44378</v>
          </cell>
        </row>
        <row r="588">
          <cell r="A588" t="str">
            <v>PEPPL0170</v>
          </cell>
          <cell r="Q588">
            <v>44393</v>
          </cell>
        </row>
        <row r="589">
          <cell r="A589" t="str">
            <v>PSS0170</v>
          </cell>
          <cell r="Q589">
            <v>41687</v>
          </cell>
        </row>
        <row r="590">
          <cell r="A590" t="str">
            <v>P0170</v>
          </cell>
          <cell r="Q590">
            <v>42429</v>
          </cell>
        </row>
        <row r="591">
          <cell r="A591" t="str">
            <v>PEIPL0170</v>
          </cell>
          <cell r="Q591">
            <v>44987</v>
          </cell>
        </row>
        <row r="592">
          <cell r="A592" t="str">
            <v>PEIPL0171</v>
          </cell>
          <cell r="Q592">
            <v>44987</v>
          </cell>
        </row>
        <row r="593">
          <cell r="A593" t="str">
            <v>PEPPL0171</v>
          </cell>
          <cell r="Q593">
            <v>44378</v>
          </cell>
        </row>
        <row r="594">
          <cell r="A594" t="str">
            <v>PEPPL0172</v>
          </cell>
          <cell r="Q594">
            <v>44378</v>
          </cell>
        </row>
        <row r="595">
          <cell r="A595" t="str">
            <v>PEIPL0172</v>
          </cell>
          <cell r="Q595">
            <v>44987</v>
          </cell>
        </row>
        <row r="596">
          <cell r="A596" t="str">
            <v>PEIPL0173</v>
          </cell>
          <cell r="Q596">
            <v>44987</v>
          </cell>
        </row>
        <row r="597">
          <cell r="A597" t="str">
            <v>PEPPL0173</v>
          </cell>
          <cell r="Q597">
            <v>44378</v>
          </cell>
        </row>
        <row r="598">
          <cell r="A598" t="str">
            <v>PEPPL0174</v>
          </cell>
          <cell r="Q598">
            <v>44378</v>
          </cell>
        </row>
        <row r="599">
          <cell r="A599" t="str">
            <v>PEIPL0174</v>
          </cell>
          <cell r="Q599">
            <v>44988</v>
          </cell>
        </row>
        <row r="600">
          <cell r="A600" t="str">
            <v>PEIPL0175</v>
          </cell>
          <cell r="Q600">
            <v>44988</v>
          </cell>
        </row>
        <row r="601">
          <cell r="A601" t="str">
            <v>PEPPL0175</v>
          </cell>
          <cell r="Q601">
            <v>44378</v>
          </cell>
        </row>
        <row r="602">
          <cell r="A602" t="str">
            <v>PSS0175</v>
          </cell>
          <cell r="Q602">
            <v>41404</v>
          </cell>
        </row>
        <row r="603">
          <cell r="A603" t="str">
            <v>PEPPL0176</v>
          </cell>
          <cell r="Q603">
            <v>44378</v>
          </cell>
        </row>
        <row r="604">
          <cell r="A604" t="str">
            <v>PEIPL0176</v>
          </cell>
          <cell r="Q604">
            <v>44988</v>
          </cell>
        </row>
        <row r="605">
          <cell r="A605" t="str">
            <v>PEIPL0177</v>
          </cell>
          <cell r="Q605">
            <v>44991</v>
          </cell>
        </row>
        <row r="606">
          <cell r="A606" t="str">
            <v>PEPPL0177</v>
          </cell>
          <cell r="Q606">
            <v>44378</v>
          </cell>
        </row>
        <row r="607">
          <cell r="A607" t="str">
            <v>PSS0177</v>
          </cell>
          <cell r="Q607">
            <v>41761</v>
          </cell>
        </row>
        <row r="608">
          <cell r="A608" t="str">
            <v>PEPPL0178</v>
          </cell>
          <cell r="Q608">
            <v>44378</v>
          </cell>
        </row>
        <row r="609">
          <cell r="A609" t="str">
            <v>PEIPL0178</v>
          </cell>
          <cell r="Q609">
            <v>44994</v>
          </cell>
        </row>
        <row r="610">
          <cell r="A610" t="str">
            <v>PEIPL0179</v>
          </cell>
          <cell r="Q610">
            <v>44994</v>
          </cell>
        </row>
        <row r="611">
          <cell r="A611" t="str">
            <v>PEPPL0179</v>
          </cell>
          <cell r="Q611">
            <v>44378</v>
          </cell>
        </row>
        <row r="612">
          <cell r="A612" t="str">
            <v>P0179</v>
          </cell>
          <cell r="Q612">
            <v>42462</v>
          </cell>
        </row>
        <row r="613">
          <cell r="A613" t="str">
            <v>PEPPL0180</v>
          </cell>
          <cell r="Q613">
            <v>44378</v>
          </cell>
        </row>
        <row r="614">
          <cell r="A614" t="str">
            <v>PEIPL0180</v>
          </cell>
          <cell r="Q614">
            <v>44994</v>
          </cell>
        </row>
        <row r="615">
          <cell r="A615" t="str">
            <v>PEIPL0181</v>
          </cell>
          <cell r="Q615">
            <v>44994</v>
          </cell>
        </row>
        <row r="616">
          <cell r="A616" t="str">
            <v>PEPPL0181</v>
          </cell>
          <cell r="Q616">
            <v>44378</v>
          </cell>
        </row>
        <row r="617">
          <cell r="A617" t="str">
            <v>PSS0181</v>
          </cell>
          <cell r="Q617">
            <v>41791</v>
          </cell>
        </row>
        <row r="618">
          <cell r="A618" t="str">
            <v>PSS0182</v>
          </cell>
          <cell r="Q618">
            <v>41791</v>
          </cell>
        </row>
        <row r="619">
          <cell r="A619" t="str">
            <v>P0182</v>
          </cell>
          <cell r="Q619">
            <v>42480</v>
          </cell>
        </row>
        <row r="620">
          <cell r="A620" t="str">
            <v>PEPPL0182</v>
          </cell>
          <cell r="Q620">
            <v>44378</v>
          </cell>
        </row>
        <row r="621">
          <cell r="A621" t="str">
            <v>PEIPL0182</v>
          </cell>
          <cell r="Q621">
            <v>44994</v>
          </cell>
        </row>
        <row r="622">
          <cell r="A622" t="str">
            <v>PEIPL0183</v>
          </cell>
          <cell r="Q622">
            <v>44998</v>
          </cell>
        </row>
        <row r="623">
          <cell r="A623" t="str">
            <v>PEPPL0183</v>
          </cell>
          <cell r="Q623">
            <v>44378</v>
          </cell>
        </row>
        <row r="624">
          <cell r="A624" t="str">
            <v>PEPPL0184</v>
          </cell>
          <cell r="Q624">
            <v>44378</v>
          </cell>
        </row>
        <row r="625">
          <cell r="A625" t="str">
            <v>PEIPL0184</v>
          </cell>
          <cell r="Q625">
            <v>44998</v>
          </cell>
        </row>
        <row r="626">
          <cell r="A626" t="str">
            <v>PEIPL0185</v>
          </cell>
          <cell r="Q626">
            <v>44998</v>
          </cell>
        </row>
        <row r="627">
          <cell r="A627" t="str">
            <v>PEPPL0185</v>
          </cell>
          <cell r="Q627">
            <v>44378</v>
          </cell>
        </row>
        <row r="628">
          <cell r="A628" t="str">
            <v>PEPPL0186</v>
          </cell>
          <cell r="Q628">
            <v>44378</v>
          </cell>
        </row>
        <row r="629">
          <cell r="A629" t="str">
            <v>PEIPL0186</v>
          </cell>
          <cell r="Q629">
            <v>45001</v>
          </cell>
        </row>
        <row r="630">
          <cell r="A630" t="str">
            <v>PEIPL0187</v>
          </cell>
          <cell r="Q630">
            <v>44998</v>
          </cell>
        </row>
        <row r="631">
          <cell r="A631" t="str">
            <v>PEPPL0187</v>
          </cell>
          <cell r="Q631">
            <v>44378</v>
          </cell>
        </row>
        <row r="632">
          <cell r="A632" t="str">
            <v>PSS0187</v>
          </cell>
          <cell r="Q632">
            <v>41852</v>
          </cell>
        </row>
        <row r="633">
          <cell r="A633" t="str">
            <v>P0188</v>
          </cell>
          <cell r="Q633">
            <v>42491</v>
          </cell>
        </row>
        <row r="634">
          <cell r="A634" t="str">
            <v>PEPPL0188</v>
          </cell>
          <cell r="Q634">
            <v>44378</v>
          </cell>
        </row>
        <row r="635">
          <cell r="A635" t="str">
            <v>PEIPL0188</v>
          </cell>
          <cell r="Q635">
            <v>45008</v>
          </cell>
        </row>
        <row r="636">
          <cell r="A636" t="str">
            <v>PEIPL0189</v>
          </cell>
          <cell r="Q636">
            <v>45008</v>
          </cell>
        </row>
        <row r="637">
          <cell r="A637" t="str">
            <v>PEPPL0189</v>
          </cell>
          <cell r="Q637">
            <v>44378</v>
          </cell>
        </row>
        <row r="638">
          <cell r="A638" t="str">
            <v>PEPPL0190</v>
          </cell>
          <cell r="Q638">
            <v>44378</v>
          </cell>
        </row>
        <row r="639">
          <cell r="A639" t="str">
            <v>PEIPL0190</v>
          </cell>
          <cell r="Q639">
            <v>45019</v>
          </cell>
        </row>
        <row r="640">
          <cell r="A640" t="str">
            <v>PEIPL0191</v>
          </cell>
          <cell r="Q640">
            <v>45020</v>
          </cell>
        </row>
        <row r="641">
          <cell r="A641" t="str">
            <v>PEPPL0191</v>
          </cell>
          <cell r="Q641">
            <v>44378</v>
          </cell>
        </row>
        <row r="642">
          <cell r="A642" t="str">
            <v>PEPPL0192</v>
          </cell>
          <cell r="Q642">
            <v>44378</v>
          </cell>
        </row>
        <row r="643">
          <cell r="A643" t="str">
            <v>P0192</v>
          </cell>
          <cell r="Q643">
            <v>42506</v>
          </cell>
        </row>
        <row r="644">
          <cell r="A644" t="str">
            <v>PEIPL0192</v>
          </cell>
          <cell r="Q644">
            <v>45022</v>
          </cell>
        </row>
        <row r="645">
          <cell r="A645" t="str">
            <v>PEIPL0193</v>
          </cell>
          <cell r="Q645">
            <v>45022</v>
          </cell>
        </row>
        <row r="646">
          <cell r="A646" t="str">
            <v>PSS0193</v>
          </cell>
          <cell r="Q646">
            <v>42058</v>
          </cell>
        </row>
        <row r="647">
          <cell r="A647" t="str">
            <v>PEPPL0193</v>
          </cell>
          <cell r="Q647">
            <v>44378</v>
          </cell>
        </row>
        <row r="648">
          <cell r="A648" t="str">
            <v>PEPPL0194</v>
          </cell>
          <cell r="Q648">
            <v>44378</v>
          </cell>
        </row>
        <row r="649">
          <cell r="A649" t="str">
            <v>PEIPL0194</v>
          </cell>
          <cell r="Q649">
            <v>45022</v>
          </cell>
        </row>
        <row r="650">
          <cell r="A650" t="str">
            <v>PEIPL0195</v>
          </cell>
          <cell r="Q650">
            <v>45022</v>
          </cell>
        </row>
        <row r="651">
          <cell r="A651" t="str">
            <v>PEPPL0195</v>
          </cell>
          <cell r="Q651">
            <v>44378</v>
          </cell>
        </row>
        <row r="652">
          <cell r="A652" t="str">
            <v>PEPPL0196</v>
          </cell>
          <cell r="Q652">
            <v>44378</v>
          </cell>
        </row>
        <row r="653">
          <cell r="A653" t="str">
            <v>P0196</v>
          </cell>
          <cell r="Q653">
            <v>42513</v>
          </cell>
        </row>
        <row r="654">
          <cell r="A654" t="str">
            <v>PEIPL0196</v>
          </cell>
          <cell r="Q654">
            <v>45029</v>
          </cell>
        </row>
        <row r="655">
          <cell r="A655" t="str">
            <v>PEIPL0197</v>
          </cell>
          <cell r="Q655">
            <v>45029</v>
          </cell>
        </row>
        <row r="656">
          <cell r="A656" t="str">
            <v>PEPPL0197</v>
          </cell>
          <cell r="Q656">
            <v>44378</v>
          </cell>
        </row>
        <row r="657">
          <cell r="A657" t="str">
            <v>PEPPL0198</v>
          </cell>
          <cell r="Q657">
            <v>44378</v>
          </cell>
        </row>
        <row r="658">
          <cell r="A658" t="str">
            <v>PSS0198</v>
          </cell>
          <cell r="Q658">
            <v>42125</v>
          </cell>
        </row>
        <row r="659">
          <cell r="A659" t="str">
            <v>PEIPL0198</v>
          </cell>
          <cell r="Q659">
            <v>45029</v>
          </cell>
        </row>
        <row r="660">
          <cell r="A660" t="str">
            <v>PEIPL0199</v>
          </cell>
          <cell r="Q660">
            <v>45029</v>
          </cell>
        </row>
        <row r="661">
          <cell r="A661" t="str">
            <v>PSS0199</v>
          </cell>
          <cell r="Q661">
            <v>42166</v>
          </cell>
        </row>
        <row r="662">
          <cell r="A662" t="str">
            <v>PEPPL0199</v>
          </cell>
          <cell r="Q662">
            <v>44378</v>
          </cell>
        </row>
        <row r="663">
          <cell r="A663" t="str">
            <v>PEPPL0200</v>
          </cell>
          <cell r="Q663">
            <v>44378</v>
          </cell>
        </row>
        <row r="664">
          <cell r="A664" t="str">
            <v>PSS0200</v>
          </cell>
          <cell r="Q664">
            <v>42235</v>
          </cell>
        </row>
        <row r="665">
          <cell r="A665" t="str">
            <v>PEIPL0200</v>
          </cell>
          <cell r="Q665">
            <v>45033</v>
          </cell>
        </row>
        <row r="666">
          <cell r="A666" t="str">
            <v>PEIPL0201</v>
          </cell>
          <cell r="Q666">
            <v>45033</v>
          </cell>
        </row>
        <row r="667">
          <cell r="A667" t="str">
            <v>PEPPL0201</v>
          </cell>
          <cell r="Q667">
            <v>44378</v>
          </cell>
        </row>
        <row r="668">
          <cell r="A668" t="str">
            <v>PEPPL0202</v>
          </cell>
          <cell r="Q668">
            <v>44378</v>
          </cell>
        </row>
        <row r="669">
          <cell r="A669" t="str">
            <v>P0202</v>
          </cell>
          <cell r="Q669">
            <v>43252</v>
          </cell>
        </row>
        <row r="670">
          <cell r="A670" t="str">
            <v>PEIPL0202</v>
          </cell>
          <cell r="Q670">
            <v>45033</v>
          </cell>
        </row>
        <row r="671">
          <cell r="A671" t="str">
            <v>PEIPL0203</v>
          </cell>
          <cell r="Q671">
            <v>45034</v>
          </cell>
        </row>
        <row r="672">
          <cell r="A672" t="str">
            <v>PSS0203</v>
          </cell>
          <cell r="Q672">
            <v>42138</v>
          </cell>
        </row>
        <row r="673">
          <cell r="A673" t="str">
            <v>PEPPL0203</v>
          </cell>
          <cell r="Q673">
            <v>44378</v>
          </cell>
        </row>
        <row r="674">
          <cell r="A674" t="str">
            <v>PEPPL0204</v>
          </cell>
          <cell r="Q674">
            <v>44396</v>
          </cell>
        </row>
        <row r="675">
          <cell r="A675" t="str">
            <v>PEIPL0204</v>
          </cell>
          <cell r="Q675">
            <v>45034</v>
          </cell>
        </row>
        <row r="676">
          <cell r="A676" t="str">
            <v>PEIPL0205</v>
          </cell>
          <cell r="Q676">
            <v>45036</v>
          </cell>
        </row>
        <row r="677">
          <cell r="A677" t="str">
            <v>PEPPL0205</v>
          </cell>
          <cell r="Q677">
            <v>44397</v>
          </cell>
        </row>
        <row r="678">
          <cell r="A678" t="str">
            <v>PEPPL0206</v>
          </cell>
          <cell r="Q678">
            <v>44400</v>
          </cell>
        </row>
        <row r="679">
          <cell r="A679" t="str">
            <v>PEIPL0206</v>
          </cell>
          <cell r="Q679">
            <v>45036</v>
          </cell>
        </row>
        <row r="680">
          <cell r="A680" t="str">
            <v>PEIPL0207</v>
          </cell>
          <cell r="Q680">
            <v>45036</v>
          </cell>
        </row>
        <row r="681">
          <cell r="A681" t="str">
            <v>PEPPL0207</v>
          </cell>
          <cell r="Q681">
            <v>44410</v>
          </cell>
        </row>
        <row r="682">
          <cell r="A682" t="str">
            <v>PSS0207</v>
          </cell>
          <cell r="Q682">
            <v>42151</v>
          </cell>
        </row>
        <row r="683">
          <cell r="A683" t="str">
            <v>PEPPL0208</v>
          </cell>
          <cell r="Q683">
            <v>44410</v>
          </cell>
        </row>
        <row r="684">
          <cell r="A684" t="str">
            <v>PEIPL0208</v>
          </cell>
          <cell r="Q684">
            <v>45036</v>
          </cell>
        </row>
        <row r="685">
          <cell r="A685" t="str">
            <v>PEIPL0209</v>
          </cell>
          <cell r="Q685">
            <v>45036</v>
          </cell>
        </row>
        <row r="686">
          <cell r="A686" t="str">
            <v>PEPPL0209</v>
          </cell>
          <cell r="Q686">
            <v>44412</v>
          </cell>
        </row>
        <row r="687">
          <cell r="A687" t="str">
            <v>PEPPL0210</v>
          </cell>
          <cell r="Q687">
            <v>44412</v>
          </cell>
        </row>
        <row r="688">
          <cell r="A688" t="str">
            <v>PEIPL0210</v>
          </cell>
          <cell r="Q688">
            <v>45036</v>
          </cell>
        </row>
        <row r="689">
          <cell r="A689" t="str">
            <v>PEIPL0211</v>
          </cell>
          <cell r="Q689">
            <v>45036</v>
          </cell>
        </row>
        <row r="690">
          <cell r="A690" t="str">
            <v>PEPPL0211</v>
          </cell>
          <cell r="Q690">
            <v>44412</v>
          </cell>
        </row>
        <row r="691">
          <cell r="A691" t="str">
            <v>P0211</v>
          </cell>
          <cell r="Q691">
            <v>42604</v>
          </cell>
        </row>
        <row r="692">
          <cell r="A692" t="str">
            <v>PSS0212</v>
          </cell>
          <cell r="Q692">
            <v>42144</v>
          </cell>
        </row>
        <row r="693">
          <cell r="A693" t="str">
            <v>PEPPL0212</v>
          </cell>
          <cell r="Q693">
            <v>44412</v>
          </cell>
        </row>
        <row r="694">
          <cell r="A694" t="str">
            <v>PEIPL0212</v>
          </cell>
          <cell r="Q694">
            <v>45036</v>
          </cell>
        </row>
        <row r="695">
          <cell r="A695" t="str">
            <v>PEIPL0213</v>
          </cell>
          <cell r="Q695">
            <v>45031</v>
          </cell>
        </row>
        <row r="696">
          <cell r="A696" t="str">
            <v>PEPPL0213</v>
          </cell>
          <cell r="Q696">
            <v>44412</v>
          </cell>
        </row>
        <row r="697">
          <cell r="A697" t="str">
            <v>PSS0213</v>
          </cell>
          <cell r="Q697">
            <v>42145</v>
          </cell>
        </row>
        <row r="698">
          <cell r="A698" t="str">
            <v>PSS0214</v>
          </cell>
          <cell r="Q698">
            <v>42145</v>
          </cell>
        </row>
        <row r="699">
          <cell r="A699" t="str">
            <v>PEPPL0214</v>
          </cell>
          <cell r="Q699">
            <v>44412</v>
          </cell>
        </row>
        <row r="700">
          <cell r="A700" t="str">
            <v>PEIPL0214</v>
          </cell>
          <cell r="Q700">
            <v>45031</v>
          </cell>
        </row>
        <row r="701">
          <cell r="A701" t="str">
            <v>PEIPL0215</v>
          </cell>
          <cell r="Q701">
            <v>45031</v>
          </cell>
        </row>
        <row r="702">
          <cell r="A702" t="str">
            <v>PEPPL0215</v>
          </cell>
          <cell r="Q702">
            <v>44412</v>
          </cell>
        </row>
        <row r="703">
          <cell r="A703" t="str">
            <v>PEPPL0216</v>
          </cell>
          <cell r="Q703">
            <v>44412</v>
          </cell>
        </row>
        <row r="704">
          <cell r="A704" t="str">
            <v>PEIPL0216</v>
          </cell>
          <cell r="Q704">
            <v>45031</v>
          </cell>
        </row>
        <row r="705">
          <cell r="A705" t="str">
            <v>PEIPL0217</v>
          </cell>
          <cell r="Q705">
            <v>45031</v>
          </cell>
        </row>
        <row r="706">
          <cell r="A706" t="str">
            <v>PEPPL0217</v>
          </cell>
          <cell r="Q706">
            <v>44412</v>
          </cell>
        </row>
        <row r="707">
          <cell r="A707" t="str">
            <v>PEPPL0218</v>
          </cell>
          <cell r="Q707">
            <v>44413</v>
          </cell>
        </row>
        <row r="708">
          <cell r="A708" t="str">
            <v>PEIPL0218</v>
          </cell>
          <cell r="Q708">
            <v>45031</v>
          </cell>
        </row>
        <row r="709">
          <cell r="A709" t="str">
            <v>PEIPL0219</v>
          </cell>
          <cell r="Q709">
            <v>45040</v>
          </cell>
        </row>
        <row r="710">
          <cell r="A710" t="str">
            <v>PEPPL0219</v>
          </cell>
          <cell r="Q710">
            <v>44413</v>
          </cell>
        </row>
        <row r="711">
          <cell r="A711" t="str">
            <v>PEPPL0220</v>
          </cell>
          <cell r="Q711">
            <v>44411</v>
          </cell>
        </row>
        <row r="712">
          <cell r="A712" t="str">
            <v>PEIPL0220</v>
          </cell>
          <cell r="Q712">
            <v>45031</v>
          </cell>
        </row>
        <row r="713">
          <cell r="A713" t="str">
            <v>PEIPL0221</v>
          </cell>
          <cell r="Q713">
            <v>45040</v>
          </cell>
        </row>
        <row r="714">
          <cell r="A714" t="str">
            <v>PEPPL0221</v>
          </cell>
          <cell r="Q714">
            <v>44414</v>
          </cell>
        </row>
        <row r="715">
          <cell r="A715" t="str">
            <v>PEPPL0222</v>
          </cell>
          <cell r="Q715">
            <v>44415</v>
          </cell>
        </row>
        <row r="716">
          <cell r="A716" t="str">
            <v>PSS0222</v>
          </cell>
          <cell r="Q716">
            <v>42189</v>
          </cell>
        </row>
        <row r="717">
          <cell r="A717" t="str">
            <v>PEIPL0222</v>
          </cell>
          <cell r="Q717">
            <v>45031</v>
          </cell>
        </row>
        <row r="718">
          <cell r="A718" t="str">
            <v>PEIPL0223</v>
          </cell>
          <cell r="Q718">
            <v>45031</v>
          </cell>
        </row>
        <row r="719">
          <cell r="A719" t="str">
            <v>PEPPL0223</v>
          </cell>
          <cell r="Q719">
            <v>44417</v>
          </cell>
        </row>
        <row r="720">
          <cell r="A720" t="str">
            <v>PEPPL0224</v>
          </cell>
          <cell r="Q720">
            <v>44417</v>
          </cell>
        </row>
        <row r="721">
          <cell r="A721" t="str">
            <v>PEIPL0224</v>
          </cell>
          <cell r="Q721">
            <v>45031</v>
          </cell>
        </row>
        <row r="722">
          <cell r="A722" t="str">
            <v>PEIPL0225</v>
          </cell>
          <cell r="Q722">
            <v>45031</v>
          </cell>
        </row>
        <row r="723">
          <cell r="A723" t="str">
            <v>PEPPL0225</v>
          </cell>
          <cell r="Q723">
            <v>44417</v>
          </cell>
        </row>
        <row r="724">
          <cell r="A724" t="str">
            <v>PSS0225</v>
          </cell>
          <cell r="Q724">
            <v>42200</v>
          </cell>
        </row>
        <row r="725">
          <cell r="A725" t="str">
            <v>PEPPL0226</v>
          </cell>
          <cell r="Q725">
            <v>44417</v>
          </cell>
        </row>
        <row r="726">
          <cell r="A726" t="str">
            <v>PEIPL0226</v>
          </cell>
          <cell r="Q726">
            <v>45031</v>
          </cell>
        </row>
        <row r="727">
          <cell r="A727" t="str">
            <v>PEIPL0227</v>
          </cell>
          <cell r="Q727">
            <v>45031</v>
          </cell>
        </row>
        <row r="728">
          <cell r="A728" t="str">
            <v>PEPPL0227</v>
          </cell>
          <cell r="Q728">
            <v>44417</v>
          </cell>
        </row>
        <row r="729">
          <cell r="A729" t="str">
            <v>P0227</v>
          </cell>
          <cell r="Q729">
            <v>42675</v>
          </cell>
        </row>
        <row r="730">
          <cell r="A730" t="str">
            <v>P0228</v>
          </cell>
          <cell r="Q730">
            <v>42698</v>
          </cell>
        </row>
        <row r="731">
          <cell r="A731" t="str">
            <v>PEPPL0228</v>
          </cell>
          <cell r="Q731">
            <v>44420</v>
          </cell>
        </row>
        <row r="732">
          <cell r="A732" t="str">
            <v>PEIPL0228</v>
          </cell>
          <cell r="Q732">
            <v>45031</v>
          </cell>
        </row>
        <row r="733">
          <cell r="A733" t="str">
            <v>PEIPL0229</v>
          </cell>
          <cell r="Q733">
            <v>45031</v>
          </cell>
        </row>
        <row r="734">
          <cell r="A734" t="str">
            <v>PEPPL0229</v>
          </cell>
          <cell r="Q734">
            <v>44424</v>
          </cell>
        </row>
        <row r="735">
          <cell r="A735" t="str">
            <v>P0229</v>
          </cell>
          <cell r="Q735">
            <v>42721</v>
          </cell>
        </row>
        <row r="736">
          <cell r="A736" t="str">
            <v>PEPPL0230</v>
          </cell>
          <cell r="Q736">
            <v>44424</v>
          </cell>
        </row>
        <row r="737">
          <cell r="A737" t="str">
            <v>PEIPL0230</v>
          </cell>
          <cell r="Q737">
            <v>45031</v>
          </cell>
        </row>
        <row r="738">
          <cell r="A738" t="str">
            <v>PEIPL0231</v>
          </cell>
          <cell r="Q738">
            <v>45031</v>
          </cell>
        </row>
        <row r="739">
          <cell r="A739" t="str">
            <v>PEPPL0231</v>
          </cell>
          <cell r="Q739">
            <v>44424</v>
          </cell>
        </row>
        <row r="740">
          <cell r="A740" t="str">
            <v>PSS0231</v>
          </cell>
          <cell r="Q740">
            <v>42268</v>
          </cell>
        </row>
        <row r="741">
          <cell r="A741" t="str">
            <v>PEPPL0232</v>
          </cell>
          <cell r="Q741">
            <v>44409</v>
          </cell>
        </row>
        <row r="742">
          <cell r="A742" t="str">
            <v>PEIPL0232</v>
          </cell>
          <cell r="Q742">
            <v>45031</v>
          </cell>
        </row>
        <row r="743">
          <cell r="A743" t="str">
            <v>PEIPL0233</v>
          </cell>
          <cell r="Q743">
            <v>45043</v>
          </cell>
        </row>
        <row r="744">
          <cell r="A744" t="str">
            <v>PEPPL0233</v>
          </cell>
          <cell r="Q744">
            <v>44420</v>
          </cell>
        </row>
        <row r="745">
          <cell r="A745" t="str">
            <v>PEPPL0234</v>
          </cell>
          <cell r="Q745">
            <v>44420</v>
          </cell>
        </row>
        <row r="746">
          <cell r="A746" t="str">
            <v>PSS0234</v>
          </cell>
          <cell r="Q746">
            <v>42266</v>
          </cell>
        </row>
        <row r="747">
          <cell r="A747" t="str">
            <v>P0234</v>
          </cell>
          <cell r="Q747">
            <v>42816</v>
          </cell>
        </row>
        <row r="748">
          <cell r="A748" t="str">
            <v>PEIPL0234</v>
          </cell>
          <cell r="Q748">
            <v>45043</v>
          </cell>
        </row>
        <row r="749">
          <cell r="A749" t="str">
            <v>PEIPL0235</v>
          </cell>
          <cell r="Q749">
            <v>45043</v>
          </cell>
        </row>
        <row r="750">
          <cell r="A750" t="str">
            <v>PEPPL0235</v>
          </cell>
          <cell r="Q750">
            <v>44420</v>
          </cell>
        </row>
        <row r="751">
          <cell r="A751" t="str">
            <v>PEPPL0236</v>
          </cell>
          <cell r="Q751">
            <v>44420</v>
          </cell>
        </row>
        <row r="752">
          <cell r="A752" t="str">
            <v>PEIPL0236</v>
          </cell>
          <cell r="Q752">
            <v>45031</v>
          </cell>
        </row>
        <row r="753">
          <cell r="A753" t="str">
            <v>PEIPL0237</v>
          </cell>
          <cell r="Q753">
            <v>45031</v>
          </cell>
        </row>
        <row r="754">
          <cell r="A754" t="str">
            <v>PEPPL0237</v>
          </cell>
          <cell r="Q754">
            <v>44420</v>
          </cell>
        </row>
        <row r="755">
          <cell r="A755" t="str">
            <v>PEPPL0238</v>
          </cell>
          <cell r="Q755">
            <v>44420</v>
          </cell>
        </row>
        <row r="756">
          <cell r="A756" t="str">
            <v>PEIPL0238</v>
          </cell>
          <cell r="Q756">
            <v>45031</v>
          </cell>
        </row>
        <row r="757">
          <cell r="A757" t="str">
            <v>PEIPL0239</v>
          </cell>
          <cell r="Q757">
            <v>45048</v>
          </cell>
        </row>
        <row r="758">
          <cell r="A758" t="str">
            <v>PEPPL0239</v>
          </cell>
          <cell r="Q758">
            <v>44420</v>
          </cell>
        </row>
        <row r="759">
          <cell r="A759" t="str">
            <v>P0239</v>
          </cell>
          <cell r="Q759">
            <v>42888</v>
          </cell>
        </row>
        <row r="760">
          <cell r="A760" t="str">
            <v>P0240</v>
          </cell>
          <cell r="Q760">
            <v>42901</v>
          </cell>
        </row>
        <row r="761">
          <cell r="A761" t="str">
            <v>PSS0240</v>
          </cell>
          <cell r="Q761">
            <v>42278</v>
          </cell>
        </row>
        <row r="762">
          <cell r="A762" t="str">
            <v>PEPPL0240</v>
          </cell>
          <cell r="Q762">
            <v>44420</v>
          </cell>
        </row>
        <row r="763">
          <cell r="A763" t="str">
            <v>PEIPL0240</v>
          </cell>
          <cell r="Q763">
            <v>45048</v>
          </cell>
        </row>
        <row r="764">
          <cell r="A764" t="str">
            <v>PEIPL0241</v>
          </cell>
          <cell r="Q764">
            <v>45048</v>
          </cell>
        </row>
        <row r="765">
          <cell r="A765" t="str">
            <v>PEPPL0241</v>
          </cell>
          <cell r="Q765">
            <v>44420</v>
          </cell>
        </row>
        <row r="766">
          <cell r="A766" t="str">
            <v>PSS0241</v>
          </cell>
          <cell r="Q766">
            <v>42341</v>
          </cell>
        </row>
        <row r="767">
          <cell r="A767" t="str">
            <v>PSS0242</v>
          </cell>
          <cell r="Q767">
            <v>42385</v>
          </cell>
        </row>
        <row r="768">
          <cell r="A768" t="str">
            <v>PEPPL0242</v>
          </cell>
          <cell r="Q768">
            <v>44420</v>
          </cell>
        </row>
        <row r="769">
          <cell r="A769" t="str">
            <v>P0242</v>
          </cell>
          <cell r="Q769">
            <v>42912</v>
          </cell>
        </row>
        <row r="770">
          <cell r="A770" t="str">
            <v>PEIPL0242</v>
          </cell>
          <cell r="Q770">
            <v>45047</v>
          </cell>
        </row>
        <row r="771">
          <cell r="A771" t="str">
            <v>PEIPL0243</v>
          </cell>
          <cell r="Q771">
            <v>45050</v>
          </cell>
        </row>
        <row r="772">
          <cell r="A772" t="str">
            <v>PEPPL0243</v>
          </cell>
          <cell r="Q772">
            <v>44420</v>
          </cell>
        </row>
        <row r="773">
          <cell r="A773" t="str">
            <v>PEPPL0244</v>
          </cell>
          <cell r="Q773">
            <v>44420</v>
          </cell>
        </row>
        <row r="774">
          <cell r="A774" t="str">
            <v>P0244</v>
          </cell>
          <cell r="Q774">
            <v>42786</v>
          </cell>
        </row>
        <row r="775">
          <cell r="A775" t="str">
            <v>PSS0244</v>
          </cell>
          <cell r="Q775">
            <v>42230</v>
          </cell>
        </row>
        <row r="776">
          <cell r="A776" t="str">
            <v>PEIPL0244</v>
          </cell>
          <cell r="Q776">
            <v>45050</v>
          </cell>
        </row>
        <row r="777">
          <cell r="A777" t="str">
            <v>PEIPL0245</v>
          </cell>
          <cell r="Q777">
            <v>45050</v>
          </cell>
        </row>
        <row r="778">
          <cell r="A778" t="str">
            <v>PSS0245</v>
          </cell>
          <cell r="Q778">
            <v>42346</v>
          </cell>
        </row>
        <row r="779">
          <cell r="A779" t="str">
            <v>P0245</v>
          </cell>
          <cell r="Q779">
            <v>42818</v>
          </cell>
        </row>
        <row r="780">
          <cell r="A780" t="str">
            <v>PEPPL0245</v>
          </cell>
          <cell r="Q780">
            <v>44431</v>
          </cell>
        </row>
        <row r="781">
          <cell r="A781" t="str">
            <v>PEPPL0246</v>
          </cell>
          <cell r="Q781">
            <v>44431</v>
          </cell>
        </row>
        <row r="782">
          <cell r="A782" t="str">
            <v>PEIPL0246</v>
          </cell>
          <cell r="Q782">
            <v>45050</v>
          </cell>
        </row>
        <row r="783">
          <cell r="A783" t="str">
            <v>PEIPL0247</v>
          </cell>
          <cell r="Q783">
            <v>45051</v>
          </cell>
        </row>
        <row r="784">
          <cell r="A784" t="str">
            <v>PEPPL0247</v>
          </cell>
          <cell r="Q784">
            <v>44431</v>
          </cell>
        </row>
        <row r="785">
          <cell r="A785" t="str">
            <v>P0247</v>
          </cell>
          <cell r="Q785">
            <v>42887</v>
          </cell>
        </row>
        <row r="786">
          <cell r="A786" t="str">
            <v>PSS0247</v>
          </cell>
          <cell r="Q786">
            <v>42356</v>
          </cell>
        </row>
        <row r="787">
          <cell r="A787" t="str">
            <v>PSS0248</v>
          </cell>
          <cell r="Q787">
            <v>42370</v>
          </cell>
        </row>
        <row r="788">
          <cell r="A788" t="str">
            <v>PEPPL0248</v>
          </cell>
          <cell r="Q788">
            <v>44424</v>
          </cell>
        </row>
        <row r="789">
          <cell r="A789" t="str">
            <v>PEIPL0248</v>
          </cell>
          <cell r="Q789">
            <v>45054</v>
          </cell>
        </row>
        <row r="790">
          <cell r="A790" t="str">
            <v>PEIPL0249</v>
          </cell>
          <cell r="Q790">
            <v>45055</v>
          </cell>
        </row>
        <row r="791">
          <cell r="A791" t="str">
            <v>PEPPL0249</v>
          </cell>
          <cell r="Q791">
            <v>44434</v>
          </cell>
        </row>
        <row r="792">
          <cell r="A792" t="str">
            <v>P0249</v>
          </cell>
          <cell r="Q792">
            <v>42933</v>
          </cell>
        </row>
        <row r="793">
          <cell r="A793" t="str">
            <v>P0250</v>
          </cell>
          <cell r="Q793">
            <v>42948</v>
          </cell>
        </row>
        <row r="794">
          <cell r="A794" t="str">
            <v>PSS0250</v>
          </cell>
          <cell r="Q794">
            <v>42310</v>
          </cell>
        </row>
        <row r="795">
          <cell r="A795" t="str">
            <v>PEPPL0250</v>
          </cell>
          <cell r="Q795">
            <v>44409</v>
          </cell>
        </row>
        <row r="796">
          <cell r="A796" t="str">
            <v>PEIPL0250</v>
          </cell>
          <cell r="Q796">
            <v>45047</v>
          </cell>
        </row>
        <row r="797">
          <cell r="A797" t="str">
            <v>PEIPL0251</v>
          </cell>
          <cell r="Q797">
            <v>45047</v>
          </cell>
        </row>
        <row r="798">
          <cell r="A798" t="str">
            <v>PEPPL0251</v>
          </cell>
          <cell r="Q798">
            <v>44440</v>
          </cell>
        </row>
        <row r="799">
          <cell r="A799" t="str">
            <v>PEPPL0252</v>
          </cell>
          <cell r="Q799">
            <v>44440</v>
          </cell>
        </row>
        <row r="800">
          <cell r="A800" t="str">
            <v>PSS0252</v>
          </cell>
          <cell r="Q800">
            <v>42311</v>
          </cell>
        </row>
        <row r="801">
          <cell r="A801" t="str">
            <v>PEIPL0252</v>
          </cell>
          <cell r="Q801">
            <v>45057</v>
          </cell>
        </row>
        <row r="802">
          <cell r="A802" t="str">
            <v>PEIPL0253</v>
          </cell>
          <cell r="Q802">
            <v>45057</v>
          </cell>
        </row>
        <row r="803">
          <cell r="A803" t="str">
            <v>P0253</v>
          </cell>
          <cell r="Q803">
            <v>42887</v>
          </cell>
        </row>
        <row r="804">
          <cell r="A804" t="str">
            <v>PEPPL0253</v>
          </cell>
          <cell r="Q804">
            <v>44440</v>
          </cell>
        </row>
        <row r="805">
          <cell r="A805" t="str">
            <v>PEPPL0254</v>
          </cell>
          <cell r="Q805">
            <v>44440</v>
          </cell>
        </row>
        <row r="806">
          <cell r="A806" t="str">
            <v>P0254</v>
          </cell>
          <cell r="Q806">
            <v>42933</v>
          </cell>
        </row>
        <row r="807">
          <cell r="A807" t="str">
            <v>PEIPL0254</v>
          </cell>
          <cell r="Q807">
            <v>45057</v>
          </cell>
        </row>
        <row r="808">
          <cell r="A808" t="str">
            <v>PEIPL0255</v>
          </cell>
          <cell r="Q808">
            <v>45057</v>
          </cell>
        </row>
        <row r="809">
          <cell r="A809" t="str">
            <v>P0255</v>
          </cell>
          <cell r="Q809">
            <v>42898</v>
          </cell>
        </row>
        <row r="810">
          <cell r="A810" t="str">
            <v>PSS0255</v>
          </cell>
          <cell r="Q810">
            <v>42315</v>
          </cell>
        </row>
        <row r="811">
          <cell r="A811" t="str">
            <v>PEPPL0255</v>
          </cell>
          <cell r="Q811">
            <v>44440</v>
          </cell>
        </row>
        <row r="812">
          <cell r="A812" t="str">
            <v>PEPPL0256</v>
          </cell>
          <cell r="Q812">
            <v>44440</v>
          </cell>
        </row>
        <row r="813">
          <cell r="A813" t="str">
            <v>P0256</v>
          </cell>
          <cell r="Q813">
            <v>42859</v>
          </cell>
        </row>
        <row r="814">
          <cell r="A814" t="str">
            <v>PEIPL0256</v>
          </cell>
          <cell r="Q814">
            <v>45047</v>
          </cell>
        </row>
        <row r="815">
          <cell r="A815" t="str">
            <v>PEIPL0257</v>
          </cell>
          <cell r="Q815">
            <v>45057</v>
          </cell>
        </row>
        <row r="816">
          <cell r="A816" t="str">
            <v>P0257</v>
          </cell>
          <cell r="Q816">
            <v>42980</v>
          </cell>
        </row>
        <row r="817">
          <cell r="A817" t="str">
            <v>PSS0257</v>
          </cell>
          <cell r="Q817">
            <v>42364</v>
          </cell>
        </row>
        <row r="818">
          <cell r="A818" t="str">
            <v>PEPPL0257</v>
          </cell>
          <cell r="Q818">
            <v>44440</v>
          </cell>
        </row>
        <row r="819">
          <cell r="A819" t="str">
            <v>PEPPL0258</v>
          </cell>
          <cell r="Q819">
            <v>44440</v>
          </cell>
        </row>
        <row r="820">
          <cell r="A820" t="str">
            <v>P0258</v>
          </cell>
          <cell r="Q820">
            <v>42933</v>
          </cell>
        </row>
        <row r="821">
          <cell r="A821" t="str">
            <v>PEIPL0258</v>
          </cell>
          <cell r="Q821">
            <v>45057</v>
          </cell>
        </row>
        <row r="822">
          <cell r="A822" t="str">
            <v>PEIPL0259</v>
          </cell>
          <cell r="Q822">
            <v>45056</v>
          </cell>
        </row>
        <row r="823">
          <cell r="A823" t="str">
            <v>P0259</v>
          </cell>
          <cell r="Q823">
            <v>42948</v>
          </cell>
        </row>
        <row r="824">
          <cell r="A824" t="str">
            <v>PEPPL0259</v>
          </cell>
          <cell r="Q824">
            <v>44440</v>
          </cell>
        </row>
        <row r="825">
          <cell r="A825" t="str">
            <v>PEPPL0260</v>
          </cell>
          <cell r="Q825">
            <v>44440</v>
          </cell>
        </row>
        <row r="826">
          <cell r="A826" t="str">
            <v>PSS0260</v>
          </cell>
          <cell r="Q826">
            <v>42309</v>
          </cell>
        </row>
        <row r="827">
          <cell r="A827" t="str">
            <v>PEIPL0260</v>
          </cell>
          <cell r="Q827">
            <v>45056</v>
          </cell>
        </row>
        <row r="828">
          <cell r="A828" t="str">
            <v>PEIPL0261</v>
          </cell>
          <cell r="Q828">
            <v>45056</v>
          </cell>
        </row>
        <row r="829">
          <cell r="A829" t="str">
            <v>PSS0261</v>
          </cell>
          <cell r="Q829">
            <v>42311</v>
          </cell>
        </row>
        <row r="830">
          <cell r="A830" t="str">
            <v>PEPPL0261</v>
          </cell>
          <cell r="Q830">
            <v>44440</v>
          </cell>
        </row>
        <row r="831">
          <cell r="A831" t="str">
            <v>PEPPL0262</v>
          </cell>
          <cell r="Q831">
            <v>44441</v>
          </cell>
        </row>
        <row r="832">
          <cell r="A832" t="str">
            <v>PSS0262</v>
          </cell>
          <cell r="Q832">
            <v>42315</v>
          </cell>
        </row>
        <row r="833">
          <cell r="A833" t="str">
            <v>P0262</v>
          </cell>
          <cell r="Q833">
            <v>42959</v>
          </cell>
        </row>
        <row r="834">
          <cell r="A834" t="str">
            <v>PEIPL0262</v>
          </cell>
          <cell r="Q834">
            <v>45061</v>
          </cell>
        </row>
        <row r="835">
          <cell r="A835" t="str">
            <v>PEIPL0263</v>
          </cell>
          <cell r="Q835">
            <v>45056</v>
          </cell>
        </row>
        <row r="836">
          <cell r="A836" t="str">
            <v>P0263</v>
          </cell>
          <cell r="Q836">
            <v>42959</v>
          </cell>
        </row>
        <row r="837">
          <cell r="A837" t="str">
            <v>PEPPL0263</v>
          </cell>
          <cell r="Q837">
            <v>44440</v>
          </cell>
        </row>
        <row r="838">
          <cell r="A838" t="str">
            <v>PEPPL0264</v>
          </cell>
          <cell r="Q838">
            <v>44440</v>
          </cell>
        </row>
        <row r="839">
          <cell r="A839" t="str">
            <v>PEIPL0264</v>
          </cell>
          <cell r="Q839">
            <v>45056</v>
          </cell>
        </row>
        <row r="840">
          <cell r="A840" t="str">
            <v>PEIPL0265</v>
          </cell>
          <cell r="Q840">
            <v>45056</v>
          </cell>
        </row>
        <row r="841">
          <cell r="A841" t="str">
            <v>PEPPL0265</v>
          </cell>
          <cell r="Q841">
            <v>44445</v>
          </cell>
        </row>
        <row r="842">
          <cell r="A842" t="str">
            <v>P0265</v>
          </cell>
          <cell r="Q842">
            <v>42898</v>
          </cell>
        </row>
        <row r="843">
          <cell r="A843" t="str">
            <v>P0266</v>
          </cell>
          <cell r="Q843">
            <v>42900</v>
          </cell>
        </row>
        <row r="844">
          <cell r="A844" t="str">
            <v>PEPPL0266</v>
          </cell>
          <cell r="Q844">
            <v>44445</v>
          </cell>
        </row>
        <row r="845">
          <cell r="A845" t="str">
            <v>PEIPL0266</v>
          </cell>
          <cell r="Q845">
            <v>45056</v>
          </cell>
        </row>
        <row r="846">
          <cell r="A846" t="str">
            <v>PEIPL0267</v>
          </cell>
          <cell r="Q846">
            <v>45056</v>
          </cell>
        </row>
        <row r="847">
          <cell r="A847" t="str">
            <v>PEPPL0267</v>
          </cell>
          <cell r="Q847">
            <v>44445</v>
          </cell>
        </row>
        <row r="848">
          <cell r="A848" t="str">
            <v>P0267</v>
          </cell>
          <cell r="Q848">
            <v>42989</v>
          </cell>
        </row>
        <row r="849">
          <cell r="A849" t="str">
            <v>P0268</v>
          </cell>
          <cell r="Q849">
            <v>42834</v>
          </cell>
        </row>
        <row r="850">
          <cell r="A850" t="str">
            <v>PEPPL0268</v>
          </cell>
          <cell r="Q850">
            <v>44445</v>
          </cell>
        </row>
        <row r="851">
          <cell r="A851" t="str">
            <v>PEIPL0268</v>
          </cell>
          <cell r="Q851">
            <v>45056</v>
          </cell>
        </row>
        <row r="852">
          <cell r="A852" t="str">
            <v>PEIPL0269</v>
          </cell>
          <cell r="Q852">
            <v>45064</v>
          </cell>
        </row>
        <row r="853">
          <cell r="A853" t="str">
            <v>PEPPL0269</v>
          </cell>
          <cell r="Q853">
            <v>44445</v>
          </cell>
        </row>
        <row r="854">
          <cell r="A854" t="str">
            <v>P0269</v>
          </cell>
          <cell r="Q854">
            <v>42980</v>
          </cell>
        </row>
        <row r="855">
          <cell r="A855" t="str">
            <v>P0270</v>
          </cell>
          <cell r="Q855">
            <v>42722</v>
          </cell>
        </row>
        <row r="856">
          <cell r="A856" t="str">
            <v>PEPPL0270</v>
          </cell>
          <cell r="Q856">
            <v>44445</v>
          </cell>
        </row>
        <row r="857">
          <cell r="A857" t="str">
            <v>PEIPL0270</v>
          </cell>
          <cell r="Q857">
            <v>45064</v>
          </cell>
        </row>
        <row r="858">
          <cell r="A858" t="str">
            <v>PEIPL0271</v>
          </cell>
          <cell r="Q858">
            <v>45064</v>
          </cell>
        </row>
        <row r="859">
          <cell r="A859" t="str">
            <v>PEPPL0271</v>
          </cell>
          <cell r="Q859">
            <v>44445</v>
          </cell>
        </row>
        <row r="860">
          <cell r="A860" t="str">
            <v>P0271</v>
          </cell>
          <cell r="Q860">
            <v>42912</v>
          </cell>
        </row>
        <row r="861">
          <cell r="A861" t="str">
            <v>P0272</v>
          </cell>
          <cell r="Q861">
            <v>42912</v>
          </cell>
        </row>
        <row r="862">
          <cell r="A862" t="str">
            <v>PEPPL0272</v>
          </cell>
          <cell r="Q862">
            <v>44455</v>
          </cell>
        </row>
        <row r="863">
          <cell r="A863" t="str">
            <v>PEIPL0272</v>
          </cell>
          <cell r="Q863">
            <v>45064</v>
          </cell>
        </row>
        <row r="864">
          <cell r="A864" t="str">
            <v>PEIPL0273</v>
          </cell>
          <cell r="Q864">
            <v>45064</v>
          </cell>
        </row>
        <row r="865">
          <cell r="A865" t="str">
            <v>PEPPL0273</v>
          </cell>
          <cell r="Q865">
            <v>44455</v>
          </cell>
        </row>
        <row r="866">
          <cell r="A866" t="str">
            <v>P0273</v>
          </cell>
          <cell r="Q866">
            <v>42895</v>
          </cell>
        </row>
        <row r="867">
          <cell r="A867" t="str">
            <v>PSS0273</v>
          </cell>
          <cell r="Q867">
            <v>42401</v>
          </cell>
        </row>
        <row r="868">
          <cell r="A868" t="str">
            <v>P0274</v>
          </cell>
          <cell r="Q868">
            <v>42917</v>
          </cell>
        </row>
        <row r="869">
          <cell r="A869" t="str">
            <v>PEPPL0274</v>
          </cell>
          <cell r="Q869">
            <v>44454</v>
          </cell>
        </row>
        <row r="870">
          <cell r="A870" t="str">
            <v>PEIPL0274</v>
          </cell>
          <cell r="Q870">
            <v>45064</v>
          </cell>
        </row>
        <row r="871">
          <cell r="A871" t="str">
            <v>PEIPL0275</v>
          </cell>
          <cell r="Q871">
            <v>45064</v>
          </cell>
        </row>
        <row r="872">
          <cell r="A872" t="str">
            <v>PEPPL0275</v>
          </cell>
          <cell r="Q872">
            <v>44454</v>
          </cell>
        </row>
        <row r="873">
          <cell r="A873" t="str">
            <v>PSS0275</v>
          </cell>
          <cell r="Q873">
            <v>42401</v>
          </cell>
        </row>
        <row r="874">
          <cell r="A874" t="str">
            <v>PSS0276</v>
          </cell>
          <cell r="Q874">
            <v>42401</v>
          </cell>
        </row>
        <row r="875">
          <cell r="A875" t="str">
            <v>PEPPL0276</v>
          </cell>
          <cell r="Q875">
            <v>44454</v>
          </cell>
        </row>
        <row r="876">
          <cell r="A876" t="str">
            <v>PEIPL0276</v>
          </cell>
          <cell r="Q876">
            <v>45056</v>
          </cell>
        </row>
        <row r="877">
          <cell r="A877" t="str">
            <v>PEIPL0277</v>
          </cell>
          <cell r="Q877">
            <v>45056</v>
          </cell>
        </row>
        <row r="878">
          <cell r="A878" t="str">
            <v>PEPPL0277</v>
          </cell>
          <cell r="Q878">
            <v>44454</v>
          </cell>
        </row>
        <row r="879">
          <cell r="A879" t="str">
            <v>PSS0277</v>
          </cell>
          <cell r="Q879">
            <v>42401</v>
          </cell>
        </row>
        <row r="880">
          <cell r="A880" t="str">
            <v>P0277</v>
          </cell>
          <cell r="Q880">
            <v>42898</v>
          </cell>
        </row>
        <row r="881">
          <cell r="A881" t="str">
            <v>P0278</v>
          </cell>
          <cell r="Q881">
            <v>42910</v>
          </cell>
        </row>
        <row r="882">
          <cell r="A882" t="str">
            <v>PEPPL0278</v>
          </cell>
          <cell r="Q882">
            <v>44454</v>
          </cell>
        </row>
        <row r="883">
          <cell r="A883" t="str">
            <v>PEIPL0278</v>
          </cell>
          <cell r="Q883">
            <v>45068</v>
          </cell>
        </row>
        <row r="884">
          <cell r="A884" t="str">
            <v>PEIPL0279</v>
          </cell>
          <cell r="Q884">
            <v>45071</v>
          </cell>
        </row>
        <row r="885">
          <cell r="A885" t="str">
            <v>PEPPL0279</v>
          </cell>
          <cell r="Q885">
            <v>44454</v>
          </cell>
        </row>
        <row r="886">
          <cell r="A886" t="str">
            <v>P0279</v>
          </cell>
          <cell r="Q886">
            <v>42910</v>
          </cell>
        </row>
        <row r="887">
          <cell r="A887" t="str">
            <v>P0280</v>
          </cell>
          <cell r="Q887">
            <v>42963</v>
          </cell>
        </row>
        <row r="888">
          <cell r="A888" t="str">
            <v>PSS0280</v>
          </cell>
          <cell r="Q888">
            <v>42378</v>
          </cell>
        </row>
        <row r="889">
          <cell r="A889" t="str">
            <v>PEPPL0280</v>
          </cell>
          <cell r="Q889">
            <v>44454</v>
          </cell>
        </row>
        <row r="890">
          <cell r="A890" t="str">
            <v>PEIPL0280</v>
          </cell>
          <cell r="Q890">
            <v>45071</v>
          </cell>
        </row>
        <row r="891">
          <cell r="A891" t="str">
            <v>PEIPL0281</v>
          </cell>
          <cell r="Q891">
            <v>45071</v>
          </cell>
        </row>
        <row r="892">
          <cell r="A892" t="str">
            <v>PEPPL0281</v>
          </cell>
          <cell r="Q892">
            <v>44454</v>
          </cell>
        </row>
        <row r="893">
          <cell r="A893" t="str">
            <v>P0281</v>
          </cell>
          <cell r="Q893">
            <v>42963</v>
          </cell>
        </row>
        <row r="894">
          <cell r="A894" t="str">
            <v>P0282</v>
          </cell>
          <cell r="Q894">
            <v>42973</v>
          </cell>
        </row>
        <row r="895">
          <cell r="A895" t="str">
            <v>PEPPL0282</v>
          </cell>
          <cell r="Q895">
            <v>44454</v>
          </cell>
        </row>
        <row r="896">
          <cell r="A896" t="str">
            <v>PEIPL0282</v>
          </cell>
          <cell r="Q896">
            <v>45071</v>
          </cell>
        </row>
        <row r="897">
          <cell r="A897" t="str">
            <v>PEIPL0283</v>
          </cell>
          <cell r="Q897">
            <v>45071</v>
          </cell>
        </row>
        <row r="898">
          <cell r="A898" t="str">
            <v>PEPPL0283</v>
          </cell>
          <cell r="Q898">
            <v>44454</v>
          </cell>
        </row>
        <row r="899">
          <cell r="A899" t="str">
            <v>P0283</v>
          </cell>
          <cell r="Q899">
            <v>42979</v>
          </cell>
        </row>
        <row r="900">
          <cell r="A900" t="str">
            <v>P0284</v>
          </cell>
          <cell r="Q900">
            <v>42917</v>
          </cell>
        </row>
        <row r="901">
          <cell r="A901" t="str">
            <v>PEPPL0284</v>
          </cell>
          <cell r="Q901">
            <v>44454</v>
          </cell>
        </row>
        <row r="902">
          <cell r="A902" t="str">
            <v>PEIPL0284</v>
          </cell>
          <cell r="Q902">
            <v>45056</v>
          </cell>
        </row>
        <row r="903">
          <cell r="A903" t="str">
            <v>PEIPL0285</v>
          </cell>
          <cell r="Q903">
            <v>45073</v>
          </cell>
        </row>
        <row r="904">
          <cell r="A904" t="str">
            <v>PEPPL0285</v>
          </cell>
          <cell r="Q904">
            <v>44455</v>
          </cell>
        </row>
        <row r="905">
          <cell r="A905" t="str">
            <v>P0285</v>
          </cell>
          <cell r="Q905">
            <v>42914</v>
          </cell>
        </row>
        <row r="906">
          <cell r="A906" t="str">
            <v>P0286</v>
          </cell>
          <cell r="Q906">
            <v>42964</v>
          </cell>
        </row>
        <row r="907">
          <cell r="A907" t="str">
            <v>PEPPL0286</v>
          </cell>
          <cell r="Q907">
            <v>44454</v>
          </cell>
        </row>
        <row r="908">
          <cell r="A908" t="str">
            <v>PEIPL0286</v>
          </cell>
          <cell r="Q908">
            <v>45078</v>
          </cell>
        </row>
        <row r="909">
          <cell r="A909" t="str">
            <v>PEIPL0287</v>
          </cell>
          <cell r="Q909">
            <v>45078</v>
          </cell>
        </row>
        <row r="910">
          <cell r="A910" t="str">
            <v>PEPPL0287</v>
          </cell>
          <cell r="Q910">
            <v>44454</v>
          </cell>
        </row>
        <row r="911">
          <cell r="A911" t="str">
            <v>P0287</v>
          </cell>
          <cell r="Q911">
            <v>42933</v>
          </cell>
        </row>
        <row r="912">
          <cell r="A912" t="str">
            <v>P0288</v>
          </cell>
          <cell r="Q912">
            <v>42898</v>
          </cell>
        </row>
        <row r="913">
          <cell r="A913" t="str">
            <v>PSS0288</v>
          </cell>
          <cell r="Q913">
            <v>42425</v>
          </cell>
        </row>
        <row r="914">
          <cell r="A914" t="str">
            <v>PEPPL0288</v>
          </cell>
          <cell r="Q914">
            <v>44454</v>
          </cell>
        </row>
        <row r="915">
          <cell r="A915" t="str">
            <v>PEIPL0288</v>
          </cell>
          <cell r="Q915">
            <v>45075</v>
          </cell>
        </row>
        <row r="916">
          <cell r="A916" t="str">
            <v>PEIPL0289</v>
          </cell>
          <cell r="Q916">
            <v>45078</v>
          </cell>
        </row>
        <row r="917">
          <cell r="A917" t="str">
            <v>PEPPL0289</v>
          </cell>
          <cell r="Q917">
            <v>44459</v>
          </cell>
        </row>
        <row r="918">
          <cell r="A918" t="str">
            <v>PSS0289</v>
          </cell>
          <cell r="Q918">
            <v>42440</v>
          </cell>
        </row>
        <row r="919">
          <cell r="A919" t="str">
            <v>P0289</v>
          </cell>
          <cell r="Q919">
            <v>42908</v>
          </cell>
        </row>
        <row r="920">
          <cell r="A920" t="str">
            <v>P0290</v>
          </cell>
          <cell r="Q920">
            <v>42917</v>
          </cell>
        </row>
        <row r="921">
          <cell r="A921" t="str">
            <v>PEPPL0290</v>
          </cell>
          <cell r="Q921">
            <v>44457</v>
          </cell>
        </row>
        <row r="922">
          <cell r="A922" t="str">
            <v>PEIPL0290</v>
          </cell>
          <cell r="Q922">
            <v>45078</v>
          </cell>
        </row>
        <row r="923">
          <cell r="A923" t="str">
            <v>PEIPL0291</v>
          </cell>
          <cell r="Q923">
            <v>45078</v>
          </cell>
        </row>
        <row r="924">
          <cell r="A924" t="str">
            <v>PEPPL0291</v>
          </cell>
          <cell r="Q924">
            <v>44461</v>
          </cell>
        </row>
        <row r="925">
          <cell r="A925" t="str">
            <v>P0291</v>
          </cell>
          <cell r="Q925">
            <v>42917</v>
          </cell>
        </row>
        <row r="926">
          <cell r="A926" t="str">
            <v>P0292</v>
          </cell>
          <cell r="Q926">
            <v>42917</v>
          </cell>
        </row>
        <row r="927">
          <cell r="A927" t="str">
            <v>PEPPL0292</v>
          </cell>
          <cell r="Q927">
            <v>44462</v>
          </cell>
        </row>
        <row r="928">
          <cell r="A928" t="str">
            <v>PEIPL0292</v>
          </cell>
          <cell r="Q928">
            <v>45078</v>
          </cell>
        </row>
        <row r="929">
          <cell r="A929" t="str">
            <v>PEIPL0293</v>
          </cell>
          <cell r="Q929">
            <v>45078</v>
          </cell>
        </row>
        <row r="930">
          <cell r="A930" t="str">
            <v>PEPPL0293</v>
          </cell>
          <cell r="Q930">
            <v>44462</v>
          </cell>
        </row>
        <row r="931">
          <cell r="A931" t="str">
            <v>P0293</v>
          </cell>
          <cell r="Q931">
            <v>42930</v>
          </cell>
        </row>
        <row r="932">
          <cell r="A932" t="str">
            <v>PSS0293</v>
          </cell>
          <cell r="Q932">
            <v>42409</v>
          </cell>
        </row>
        <row r="933">
          <cell r="A933" t="str">
            <v>P0294</v>
          </cell>
          <cell r="Q933">
            <v>42933</v>
          </cell>
        </row>
        <row r="934">
          <cell r="A934" t="str">
            <v>PEPPL0294</v>
          </cell>
          <cell r="Q934">
            <v>44467</v>
          </cell>
        </row>
        <row r="935">
          <cell r="A935" t="str">
            <v>PEIPL0294</v>
          </cell>
          <cell r="Q935">
            <v>45078</v>
          </cell>
        </row>
        <row r="936">
          <cell r="A936" t="str">
            <v>PEIPL0295</v>
          </cell>
          <cell r="Q936">
            <v>45078</v>
          </cell>
        </row>
        <row r="937">
          <cell r="A937" t="str">
            <v>PEPPL0295</v>
          </cell>
          <cell r="Q937">
            <v>44473</v>
          </cell>
        </row>
        <row r="938">
          <cell r="A938" t="str">
            <v>P0295</v>
          </cell>
          <cell r="Q938">
            <v>42933</v>
          </cell>
        </row>
        <row r="939">
          <cell r="A939" t="str">
            <v>P0296</v>
          </cell>
          <cell r="Q939">
            <v>42933</v>
          </cell>
        </row>
        <row r="940">
          <cell r="A940" t="str">
            <v>PEPPL0296</v>
          </cell>
          <cell r="Q940">
            <v>44470</v>
          </cell>
        </row>
        <row r="941">
          <cell r="A941" t="str">
            <v>PEIPL0296</v>
          </cell>
          <cell r="Q941">
            <v>45078</v>
          </cell>
        </row>
        <row r="942">
          <cell r="A942" t="str">
            <v>PEIPL0297</v>
          </cell>
          <cell r="Q942">
            <v>45078</v>
          </cell>
        </row>
        <row r="943">
          <cell r="A943" t="str">
            <v>PEPPL0297</v>
          </cell>
          <cell r="Q943">
            <v>44470</v>
          </cell>
        </row>
        <row r="944">
          <cell r="A944" t="str">
            <v>PEPPL0298</v>
          </cell>
          <cell r="Q944">
            <v>44473</v>
          </cell>
        </row>
        <row r="945">
          <cell r="A945" t="str">
            <v>P0298</v>
          </cell>
          <cell r="Q945">
            <v>42961</v>
          </cell>
        </row>
        <row r="946">
          <cell r="A946" t="str">
            <v>PEIPL0298</v>
          </cell>
          <cell r="Q946">
            <v>45085</v>
          </cell>
        </row>
        <row r="947">
          <cell r="A947" t="str">
            <v>PEIPL0299</v>
          </cell>
          <cell r="Q947">
            <v>45085</v>
          </cell>
        </row>
        <row r="948">
          <cell r="A948" t="str">
            <v>PEPPL0299</v>
          </cell>
          <cell r="Q948">
            <v>44487</v>
          </cell>
        </row>
        <row r="949">
          <cell r="A949" t="str">
            <v>PEPPL0300</v>
          </cell>
          <cell r="Q949">
            <v>44487</v>
          </cell>
        </row>
        <row r="950">
          <cell r="A950" t="str">
            <v>P0300</v>
          </cell>
          <cell r="Q950">
            <v>42933</v>
          </cell>
        </row>
        <row r="951">
          <cell r="A951" t="str">
            <v>PEIPL0300</v>
          </cell>
          <cell r="Q951">
            <v>45085</v>
          </cell>
        </row>
        <row r="952">
          <cell r="A952" t="str">
            <v>PEIPL0301</v>
          </cell>
          <cell r="Q952">
            <v>45085</v>
          </cell>
        </row>
        <row r="953">
          <cell r="A953" t="str">
            <v>P0301</v>
          </cell>
          <cell r="Q953">
            <v>42964</v>
          </cell>
        </row>
        <row r="954">
          <cell r="A954" t="str">
            <v>PEPPL0301</v>
          </cell>
          <cell r="Q954">
            <v>44487</v>
          </cell>
        </row>
        <row r="955">
          <cell r="A955" t="str">
            <v>PEPPL0302</v>
          </cell>
          <cell r="Q955">
            <v>44487</v>
          </cell>
        </row>
        <row r="956">
          <cell r="A956" t="str">
            <v>P0302</v>
          </cell>
          <cell r="Q956">
            <v>42973</v>
          </cell>
        </row>
        <row r="957">
          <cell r="A957" t="str">
            <v>PEIPL0302</v>
          </cell>
          <cell r="Q957">
            <v>45085</v>
          </cell>
        </row>
        <row r="958">
          <cell r="A958" t="str">
            <v>PEIPL0303</v>
          </cell>
          <cell r="Q958">
            <v>45092</v>
          </cell>
        </row>
        <row r="959">
          <cell r="A959" t="str">
            <v>P0303</v>
          </cell>
          <cell r="Q959">
            <v>42973</v>
          </cell>
        </row>
        <row r="960">
          <cell r="A960" t="str">
            <v>PSS0303</v>
          </cell>
          <cell r="Q960">
            <v>42462</v>
          </cell>
        </row>
        <row r="961">
          <cell r="A961" t="str">
            <v>PEPPL0303</v>
          </cell>
          <cell r="Q961">
            <v>44488</v>
          </cell>
        </row>
        <row r="962">
          <cell r="A962" t="str">
            <v>PEPPL0304</v>
          </cell>
          <cell r="Q962">
            <v>44489</v>
          </cell>
        </row>
        <row r="963">
          <cell r="A963" t="str">
            <v>PSS0304</v>
          </cell>
          <cell r="Q963">
            <v>42482</v>
          </cell>
        </row>
        <row r="964">
          <cell r="A964" t="str">
            <v>PEIPL0304</v>
          </cell>
          <cell r="Q964">
            <v>45092</v>
          </cell>
        </row>
        <row r="965">
          <cell r="A965" t="str">
            <v>PEIPL0305</v>
          </cell>
          <cell r="Q965">
            <v>45092</v>
          </cell>
        </row>
        <row r="966">
          <cell r="A966" t="str">
            <v>PEPPL0305</v>
          </cell>
          <cell r="Q966">
            <v>44489</v>
          </cell>
        </row>
        <row r="967">
          <cell r="A967" t="str">
            <v>PEPPL0306</v>
          </cell>
          <cell r="Q967">
            <v>44490</v>
          </cell>
        </row>
        <row r="968">
          <cell r="A968" t="str">
            <v>PEIPL0306</v>
          </cell>
          <cell r="Q968">
            <v>45092</v>
          </cell>
        </row>
        <row r="969">
          <cell r="A969" t="str">
            <v>PEIPL0307</v>
          </cell>
          <cell r="Q969">
            <v>45092</v>
          </cell>
        </row>
        <row r="970">
          <cell r="A970" t="str">
            <v>PEPPL0307</v>
          </cell>
          <cell r="Q970">
            <v>44490</v>
          </cell>
        </row>
        <row r="971">
          <cell r="A971" t="str">
            <v>PEPPL0308</v>
          </cell>
          <cell r="Q971">
            <v>44490</v>
          </cell>
        </row>
        <row r="972">
          <cell r="A972" t="str">
            <v>PSS0308</v>
          </cell>
          <cell r="Q972">
            <v>42566</v>
          </cell>
        </row>
        <row r="973">
          <cell r="A973" t="str">
            <v>PEIPL0308</v>
          </cell>
          <cell r="Q973">
            <v>45092</v>
          </cell>
        </row>
        <row r="974">
          <cell r="A974" t="str">
            <v>PEIPL0309</v>
          </cell>
          <cell r="Q974">
            <v>45092</v>
          </cell>
        </row>
        <row r="975">
          <cell r="A975" t="str">
            <v>PEPPL0309</v>
          </cell>
          <cell r="Q975">
            <v>44494</v>
          </cell>
        </row>
        <row r="976">
          <cell r="A976" t="str">
            <v>PSS0309</v>
          </cell>
          <cell r="Q976">
            <v>42506</v>
          </cell>
        </row>
        <row r="977">
          <cell r="A977" t="str">
            <v>PEPPL0310</v>
          </cell>
          <cell r="Q977">
            <v>44492</v>
          </cell>
        </row>
        <row r="978">
          <cell r="A978" t="str">
            <v>PEIPL0310</v>
          </cell>
          <cell r="Q978">
            <v>45093</v>
          </cell>
        </row>
        <row r="979">
          <cell r="A979" t="str">
            <v>PEIPL0311</v>
          </cell>
          <cell r="Q979">
            <v>45089</v>
          </cell>
        </row>
        <row r="980">
          <cell r="A980" t="str">
            <v>PEPPL0311</v>
          </cell>
          <cell r="Q980">
            <v>44492</v>
          </cell>
        </row>
        <row r="981">
          <cell r="A981" t="str">
            <v>P0311</v>
          </cell>
          <cell r="Q981">
            <v>42767</v>
          </cell>
        </row>
        <row r="982">
          <cell r="A982" t="str">
            <v>PEPPL0312</v>
          </cell>
          <cell r="Q982">
            <v>44492</v>
          </cell>
        </row>
        <row r="983">
          <cell r="A983" t="str">
            <v>PEIPL0312</v>
          </cell>
          <cell r="Q983">
            <v>45090</v>
          </cell>
        </row>
        <row r="984">
          <cell r="A984" t="str">
            <v>PEIPL0313</v>
          </cell>
          <cell r="Q984">
            <v>45089</v>
          </cell>
        </row>
        <row r="985">
          <cell r="A985" t="str">
            <v>PEPPL0313</v>
          </cell>
          <cell r="Q985">
            <v>44489</v>
          </cell>
        </row>
        <row r="986">
          <cell r="A986" t="str">
            <v>PEPPL0314</v>
          </cell>
          <cell r="Q986">
            <v>44494</v>
          </cell>
        </row>
        <row r="987">
          <cell r="A987" t="str">
            <v>PEIPL0314</v>
          </cell>
          <cell r="Q987">
            <v>45089</v>
          </cell>
        </row>
        <row r="988">
          <cell r="A988" t="str">
            <v>PEIPL0315</v>
          </cell>
          <cell r="Q988">
            <v>45099</v>
          </cell>
        </row>
        <row r="989">
          <cell r="A989" t="str">
            <v>PEPPL0315</v>
          </cell>
          <cell r="Q989">
            <v>44494</v>
          </cell>
        </row>
        <row r="990">
          <cell r="A990" t="str">
            <v>PSS0315</v>
          </cell>
          <cell r="Q990">
            <v>42446</v>
          </cell>
        </row>
        <row r="991">
          <cell r="A991" t="str">
            <v>PEPPL0316</v>
          </cell>
          <cell r="Q991">
            <v>44492</v>
          </cell>
        </row>
        <row r="992">
          <cell r="A992" t="str">
            <v>PEIPL0316</v>
          </cell>
          <cell r="Q992">
            <v>45099</v>
          </cell>
        </row>
        <row r="993">
          <cell r="A993" t="str">
            <v>PEIPL0317</v>
          </cell>
          <cell r="Q993">
            <v>45099</v>
          </cell>
        </row>
        <row r="994">
          <cell r="A994" t="str">
            <v>PEPPL0317</v>
          </cell>
          <cell r="Q994">
            <v>44495</v>
          </cell>
        </row>
        <row r="995">
          <cell r="A995" t="str">
            <v>PEPPL0318</v>
          </cell>
          <cell r="Q995">
            <v>44496</v>
          </cell>
        </row>
        <row r="996">
          <cell r="A996" t="str">
            <v>PEIPL0318</v>
          </cell>
          <cell r="Q996">
            <v>45099</v>
          </cell>
        </row>
        <row r="997">
          <cell r="A997" t="str">
            <v>PEIPL0319</v>
          </cell>
          <cell r="Q997">
            <v>45099</v>
          </cell>
        </row>
        <row r="998">
          <cell r="A998" t="str">
            <v>PEPPL0319</v>
          </cell>
          <cell r="Q998">
            <v>44501</v>
          </cell>
        </row>
        <row r="999">
          <cell r="A999" t="str">
            <v>PEPPL0320</v>
          </cell>
          <cell r="Q999">
            <v>44501</v>
          </cell>
        </row>
        <row r="1000">
          <cell r="A1000" t="str">
            <v>PEIPL0320</v>
          </cell>
          <cell r="Q1000">
            <v>45099</v>
          </cell>
        </row>
        <row r="1001">
          <cell r="A1001" t="str">
            <v>PEIPL0321</v>
          </cell>
          <cell r="Q1001">
            <v>45099</v>
          </cell>
        </row>
        <row r="1002">
          <cell r="A1002" t="str">
            <v>PEPPL0321</v>
          </cell>
          <cell r="Q1002">
            <v>44501</v>
          </cell>
        </row>
        <row r="1003">
          <cell r="A1003" t="str">
            <v>PEPPL0322</v>
          </cell>
          <cell r="Q1003">
            <v>44501</v>
          </cell>
        </row>
        <row r="1004">
          <cell r="A1004" t="str">
            <v>PSS0322</v>
          </cell>
          <cell r="Q1004">
            <v>42534</v>
          </cell>
        </row>
        <row r="1005">
          <cell r="A1005" t="str">
            <v>PEIPL0322</v>
          </cell>
          <cell r="Q1005">
            <v>45099</v>
          </cell>
        </row>
        <row r="1006">
          <cell r="A1006" t="str">
            <v>PEIPL0323</v>
          </cell>
          <cell r="Q1006">
            <v>45099</v>
          </cell>
        </row>
        <row r="1007">
          <cell r="A1007" t="str">
            <v>PSS0323</v>
          </cell>
          <cell r="Q1007">
            <v>42537</v>
          </cell>
        </row>
        <row r="1008">
          <cell r="A1008" t="str">
            <v>P0323</v>
          </cell>
          <cell r="Q1008">
            <v>43030</v>
          </cell>
        </row>
        <row r="1009">
          <cell r="A1009" t="str">
            <v>PEPPL0323</v>
          </cell>
          <cell r="Q1009">
            <v>44501</v>
          </cell>
        </row>
        <row r="1010">
          <cell r="A1010" t="str">
            <v>PEPPL0324</v>
          </cell>
          <cell r="Q1010">
            <v>44501</v>
          </cell>
        </row>
        <row r="1011">
          <cell r="A1011" t="str">
            <v>P0324</v>
          </cell>
          <cell r="Q1011">
            <v>43030</v>
          </cell>
        </row>
        <row r="1012">
          <cell r="A1012" t="str">
            <v>PEIPL0324</v>
          </cell>
          <cell r="Q1012">
            <v>45106</v>
          </cell>
        </row>
        <row r="1013">
          <cell r="A1013" t="str">
            <v>PEIPL0325</v>
          </cell>
          <cell r="Q1013">
            <v>45106</v>
          </cell>
        </row>
        <row r="1014">
          <cell r="A1014" t="str">
            <v>P0325</v>
          </cell>
          <cell r="Q1014">
            <v>43040</v>
          </cell>
        </row>
        <row r="1015">
          <cell r="A1015" t="str">
            <v>PEPPL0325</v>
          </cell>
          <cell r="Q1015">
            <v>44501</v>
          </cell>
        </row>
        <row r="1016">
          <cell r="A1016" t="str">
            <v>PEPPL0326</v>
          </cell>
          <cell r="Q1016">
            <v>44501</v>
          </cell>
        </row>
        <row r="1017">
          <cell r="A1017" t="str">
            <v>PEIPL0326</v>
          </cell>
          <cell r="Q1017">
            <v>45106</v>
          </cell>
        </row>
        <row r="1018">
          <cell r="A1018" t="str">
            <v>PEIPL0327</v>
          </cell>
          <cell r="Q1018">
            <v>45106</v>
          </cell>
        </row>
        <row r="1019">
          <cell r="A1019" t="str">
            <v>PEPPL0327</v>
          </cell>
          <cell r="Q1019">
            <v>44501</v>
          </cell>
        </row>
        <row r="1020">
          <cell r="A1020" t="str">
            <v>PEPPL0328</v>
          </cell>
          <cell r="Q1020">
            <v>44501</v>
          </cell>
        </row>
        <row r="1021">
          <cell r="A1021" t="str">
            <v>P0328</v>
          </cell>
          <cell r="Q1021">
            <v>43132</v>
          </cell>
        </row>
        <row r="1022">
          <cell r="A1022" t="str">
            <v>PSS0328</v>
          </cell>
          <cell r="Q1022">
            <v>42614</v>
          </cell>
        </row>
        <row r="1023">
          <cell r="A1023" t="str">
            <v>PEIPL0328</v>
          </cell>
          <cell r="Q1023">
            <v>45106</v>
          </cell>
        </row>
        <row r="1024">
          <cell r="A1024" t="str">
            <v>PEIPL0329</v>
          </cell>
          <cell r="Q1024">
            <v>45106</v>
          </cell>
        </row>
        <row r="1025">
          <cell r="A1025" t="str">
            <v>PSS0329</v>
          </cell>
          <cell r="Q1025">
            <v>42435</v>
          </cell>
        </row>
        <row r="1026">
          <cell r="A1026" t="str">
            <v>PEPPL0329</v>
          </cell>
          <cell r="Q1026">
            <v>44501</v>
          </cell>
        </row>
        <row r="1027">
          <cell r="A1027" t="str">
            <v>P0329</v>
          </cell>
          <cell r="Q1027">
            <v>43160</v>
          </cell>
        </row>
        <row r="1028">
          <cell r="A1028" t="str">
            <v>PEPPL0330</v>
          </cell>
          <cell r="Q1028">
            <v>44501</v>
          </cell>
        </row>
        <row r="1029">
          <cell r="A1029" t="str">
            <v>PEIPL0330</v>
          </cell>
          <cell r="Q1029">
            <v>45078</v>
          </cell>
        </row>
        <row r="1030">
          <cell r="A1030" t="str">
            <v>PEIPL0331</v>
          </cell>
          <cell r="Q1030">
            <v>45108</v>
          </cell>
        </row>
        <row r="1031">
          <cell r="A1031" t="str">
            <v>PEPPL0331</v>
          </cell>
          <cell r="Q1031">
            <v>44501</v>
          </cell>
        </row>
        <row r="1032">
          <cell r="A1032" t="str">
            <v>PSS0331</v>
          </cell>
          <cell r="Q1032">
            <v>42590</v>
          </cell>
        </row>
        <row r="1033">
          <cell r="A1033" t="str">
            <v>P0331</v>
          </cell>
          <cell r="Q1033">
            <v>43178</v>
          </cell>
        </row>
        <row r="1034">
          <cell r="A1034" t="str">
            <v>P0332</v>
          </cell>
          <cell r="Q1034">
            <v>43178</v>
          </cell>
        </row>
        <row r="1035">
          <cell r="A1035" t="str">
            <v>PEPPL0332</v>
          </cell>
          <cell r="Q1035">
            <v>44501</v>
          </cell>
        </row>
        <row r="1036">
          <cell r="A1036" t="str">
            <v>PEIPL0332</v>
          </cell>
          <cell r="Q1036">
            <v>45110</v>
          </cell>
        </row>
        <row r="1037">
          <cell r="A1037" t="str">
            <v>PEIPL0333</v>
          </cell>
          <cell r="Q1037">
            <v>45113</v>
          </cell>
        </row>
        <row r="1038">
          <cell r="A1038" t="str">
            <v>PEPPL0333</v>
          </cell>
          <cell r="Q1038">
            <v>44501</v>
          </cell>
        </row>
        <row r="1039">
          <cell r="A1039" t="str">
            <v>PEPPL0334</v>
          </cell>
          <cell r="Q1039">
            <v>44501</v>
          </cell>
        </row>
        <row r="1040">
          <cell r="A1040" t="str">
            <v>PEIPL0334</v>
          </cell>
          <cell r="Q1040">
            <v>45113</v>
          </cell>
        </row>
        <row r="1041">
          <cell r="A1041" t="str">
            <v>PEIPL0335</v>
          </cell>
          <cell r="Q1041">
            <v>45113</v>
          </cell>
        </row>
        <row r="1042">
          <cell r="A1042" t="str">
            <v>PEPPL0335</v>
          </cell>
          <cell r="Q1042">
            <v>44501</v>
          </cell>
        </row>
        <row r="1043">
          <cell r="A1043" t="str">
            <v>P0335</v>
          </cell>
          <cell r="Q1043">
            <v>43241</v>
          </cell>
        </row>
        <row r="1044">
          <cell r="A1044" t="str">
            <v>PSS0335</v>
          </cell>
          <cell r="Q1044">
            <v>42590</v>
          </cell>
        </row>
        <row r="1045">
          <cell r="A1045" t="str">
            <v>P0336</v>
          </cell>
          <cell r="Q1045">
            <v>43252</v>
          </cell>
        </row>
        <row r="1046">
          <cell r="A1046" t="str">
            <v>PEPPL0336</v>
          </cell>
          <cell r="Q1046">
            <v>44501</v>
          </cell>
        </row>
        <row r="1047">
          <cell r="A1047" t="str">
            <v>PEIPL0336</v>
          </cell>
          <cell r="Q1047">
            <v>45113</v>
          </cell>
        </row>
        <row r="1048">
          <cell r="A1048" t="str">
            <v>PEIPL0337</v>
          </cell>
          <cell r="Q1048">
            <v>45113</v>
          </cell>
        </row>
        <row r="1049">
          <cell r="A1049" t="str">
            <v>PEPPL0337</v>
          </cell>
          <cell r="Q1049">
            <v>44501</v>
          </cell>
        </row>
        <row r="1050">
          <cell r="A1050" t="str">
            <v>P0337</v>
          </cell>
          <cell r="Q1050">
            <v>43253</v>
          </cell>
        </row>
        <row r="1051">
          <cell r="A1051" t="str">
            <v>P0338</v>
          </cell>
          <cell r="Q1051">
            <v>43253</v>
          </cell>
        </row>
        <row r="1052">
          <cell r="A1052" t="str">
            <v>PEPPL0338</v>
          </cell>
          <cell r="Q1052">
            <v>44503</v>
          </cell>
        </row>
        <row r="1053">
          <cell r="A1053" t="str">
            <v>PEIPL0338</v>
          </cell>
          <cell r="Q1053">
            <v>45113</v>
          </cell>
        </row>
        <row r="1054">
          <cell r="A1054" t="str">
            <v>PEIPL0339</v>
          </cell>
          <cell r="Q1054">
            <v>45113</v>
          </cell>
        </row>
        <row r="1055">
          <cell r="A1055" t="str">
            <v>PEPPL0339</v>
          </cell>
          <cell r="Q1055">
            <v>44501</v>
          </cell>
        </row>
        <row r="1056">
          <cell r="A1056" t="str">
            <v>PEPPL0340</v>
          </cell>
          <cell r="Q1056">
            <v>44501</v>
          </cell>
        </row>
        <row r="1057">
          <cell r="A1057" t="str">
            <v>PEIPL0340</v>
          </cell>
          <cell r="Q1057">
            <v>45113</v>
          </cell>
        </row>
        <row r="1058">
          <cell r="A1058" t="str">
            <v>PEIPL0341</v>
          </cell>
          <cell r="Q1058">
            <v>45113</v>
          </cell>
        </row>
        <row r="1059">
          <cell r="A1059" t="str">
            <v>PEPPL0341</v>
          </cell>
          <cell r="Q1059">
            <v>44501</v>
          </cell>
        </row>
        <row r="1060">
          <cell r="A1060" t="str">
            <v>PEPPL0342</v>
          </cell>
          <cell r="Q1060">
            <v>44501</v>
          </cell>
        </row>
        <row r="1061">
          <cell r="A1061" t="str">
            <v>PEIPL0342</v>
          </cell>
          <cell r="Q1061">
            <v>45113</v>
          </cell>
        </row>
        <row r="1062">
          <cell r="A1062" t="str">
            <v>PEIPL0343</v>
          </cell>
          <cell r="Q1062">
            <v>45108</v>
          </cell>
        </row>
        <row r="1063">
          <cell r="A1063" t="str">
            <v>PEPPL0343</v>
          </cell>
          <cell r="Q1063">
            <v>44501</v>
          </cell>
        </row>
        <row r="1064">
          <cell r="A1064" t="str">
            <v>P0343</v>
          </cell>
          <cell r="Q1064">
            <v>43435</v>
          </cell>
        </row>
        <row r="1065">
          <cell r="A1065" t="str">
            <v>PEPPL0344</v>
          </cell>
          <cell r="Q1065">
            <v>44501</v>
          </cell>
        </row>
        <row r="1066">
          <cell r="A1066" t="str">
            <v>PEIPL0344</v>
          </cell>
          <cell r="Q1066">
            <v>45108</v>
          </cell>
        </row>
        <row r="1067">
          <cell r="A1067" t="str">
            <v>PEIPL0345</v>
          </cell>
          <cell r="Q1067">
            <v>45108</v>
          </cell>
        </row>
        <row r="1068">
          <cell r="A1068" t="str">
            <v>PEPPL0345</v>
          </cell>
          <cell r="Q1068">
            <v>44502</v>
          </cell>
        </row>
        <row r="1069">
          <cell r="A1069" t="str">
            <v>P0345</v>
          </cell>
          <cell r="Q1069">
            <v>43435</v>
          </cell>
        </row>
        <row r="1070">
          <cell r="A1070" t="str">
            <v>P0346</v>
          </cell>
          <cell r="Q1070">
            <v>43476</v>
          </cell>
        </row>
        <row r="1071">
          <cell r="A1071" t="str">
            <v>PSS0346</v>
          </cell>
          <cell r="Q1071">
            <v>42619</v>
          </cell>
        </row>
        <row r="1072">
          <cell r="A1072" t="str">
            <v>PEPPL0346</v>
          </cell>
          <cell r="Q1072">
            <v>44503</v>
          </cell>
        </row>
        <row r="1073">
          <cell r="A1073" t="str">
            <v>PEIPL0346</v>
          </cell>
          <cell r="Q1073">
            <v>45108</v>
          </cell>
        </row>
        <row r="1074">
          <cell r="A1074" t="str">
            <v>PEIPL0347</v>
          </cell>
          <cell r="Q1074">
            <v>45108</v>
          </cell>
        </row>
        <row r="1075">
          <cell r="A1075" t="str">
            <v>PEPPL0347</v>
          </cell>
          <cell r="Q1075">
            <v>44503</v>
          </cell>
        </row>
        <row r="1076">
          <cell r="A1076" t="str">
            <v>PSS0347</v>
          </cell>
          <cell r="Q1076">
            <v>42619</v>
          </cell>
        </row>
        <row r="1077">
          <cell r="A1077" t="str">
            <v>P0347</v>
          </cell>
          <cell r="Q1077">
            <v>43480</v>
          </cell>
        </row>
        <row r="1078">
          <cell r="A1078" t="str">
            <v>P0348</v>
          </cell>
          <cell r="Q1078">
            <v>43480</v>
          </cell>
        </row>
        <row r="1079">
          <cell r="A1079" t="str">
            <v>PEPPL0348</v>
          </cell>
          <cell r="Q1079">
            <v>44501</v>
          </cell>
        </row>
        <row r="1080">
          <cell r="A1080" t="str">
            <v>PEIPL0348</v>
          </cell>
          <cell r="Q1080">
            <v>45108</v>
          </cell>
        </row>
        <row r="1081">
          <cell r="A1081" t="str">
            <v>PEIPL0349</v>
          </cell>
          <cell r="Q1081">
            <v>45108</v>
          </cell>
        </row>
        <row r="1082">
          <cell r="A1082" t="str">
            <v>PEPPL0349</v>
          </cell>
          <cell r="Q1082">
            <v>44503</v>
          </cell>
        </row>
        <row r="1083">
          <cell r="A1083" t="str">
            <v>P0349</v>
          </cell>
          <cell r="Q1083">
            <v>42723</v>
          </cell>
        </row>
        <row r="1084">
          <cell r="A1084" t="str">
            <v>P0350</v>
          </cell>
          <cell r="Q1084">
            <v>43556</v>
          </cell>
        </row>
        <row r="1085">
          <cell r="A1085" t="str">
            <v>PEPPL0350</v>
          </cell>
          <cell r="Q1085">
            <v>44503</v>
          </cell>
        </row>
        <row r="1086">
          <cell r="A1086" t="str">
            <v>PEIPL0350</v>
          </cell>
          <cell r="Q1086">
            <v>45108</v>
          </cell>
        </row>
        <row r="1087">
          <cell r="A1087" t="str">
            <v>PEIPL0351</v>
          </cell>
          <cell r="Q1087">
            <v>45108</v>
          </cell>
        </row>
        <row r="1088">
          <cell r="A1088" t="str">
            <v>PEPPL0351</v>
          </cell>
          <cell r="Q1088">
            <v>44503</v>
          </cell>
        </row>
        <row r="1089">
          <cell r="A1089" t="str">
            <v>P0351</v>
          </cell>
          <cell r="Q1089">
            <v>43556</v>
          </cell>
        </row>
        <row r="1090">
          <cell r="A1090" t="str">
            <v>P0352</v>
          </cell>
          <cell r="Q1090">
            <v>43556</v>
          </cell>
        </row>
        <row r="1091">
          <cell r="A1091" t="str">
            <v>PEPPL0352</v>
          </cell>
          <cell r="Q1091">
            <v>44503</v>
          </cell>
        </row>
        <row r="1092">
          <cell r="A1092" t="str">
            <v>PEIPL0352</v>
          </cell>
          <cell r="Q1092">
            <v>45108</v>
          </cell>
        </row>
        <row r="1093">
          <cell r="A1093" t="str">
            <v>PEIPL0353</v>
          </cell>
          <cell r="Q1093">
            <v>45108</v>
          </cell>
        </row>
        <row r="1094">
          <cell r="A1094" t="str">
            <v>PEPPL0353</v>
          </cell>
          <cell r="Q1094">
            <v>44503</v>
          </cell>
        </row>
        <row r="1095">
          <cell r="A1095" t="str">
            <v>PSS0353</v>
          </cell>
          <cell r="Q1095">
            <v>42620</v>
          </cell>
        </row>
        <row r="1096">
          <cell r="A1096" t="str">
            <v>PSS0354</v>
          </cell>
          <cell r="Q1096">
            <v>42620</v>
          </cell>
        </row>
        <row r="1097">
          <cell r="A1097" t="str">
            <v>P0354</v>
          </cell>
          <cell r="Q1097">
            <v>43556</v>
          </cell>
        </row>
        <row r="1098">
          <cell r="A1098" t="str">
            <v>PEPPL0354</v>
          </cell>
          <cell r="Q1098">
            <v>44503</v>
          </cell>
        </row>
        <row r="1099">
          <cell r="A1099" t="str">
            <v>PEIPL0354</v>
          </cell>
          <cell r="Q1099">
            <v>45108</v>
          </cell>
        </row>
        <row r="1100">
          <cell r="A1100" t="str">
            <v>PEIPL0355</v>
          </cell>
          <cell r="Q1100">
            <v>45108</v>
          </cell>
        </row>
        <row r="1101">
          <cell r="A1101" t="str">
            <v>PEPPL0355</v>
          </cell>
          <cell r="Q1101">
            <v>44501</v>
          </cell>
        </row>
        <row r="1102">
          <cell r="A1102" t="str">
            <v>P0355</v>
          </cell>
          <cell r="Q1102">
            <v>43556</v>
          </cell>
        </row>
        <row r="1103">
          <cell r="A1103" t="str">
            <v>PSS0355</v>
          </cell>
          <cell r="Q1103">
            <v>42622</v>
          </cell>
        </row>
        <row r="1104">
          <cell r="A1104" t="str">
            <v>P0356</v>
          </cell>
          <cell r="Q1104">
            <v>43556</v>
          </cell>
        </row>
        <row r="1105">
          <cell r="A1105" t="str">
            <v>PEPPL0356</v>
          </cell>
          <cell r="Q1105">
            <v>44508</v>
          </cell>
        </row>
        <row r="1106">
          <cell r="A1106" t="str">
            <v>PEIPL0356</v>
          </cell>
          <cell r="Q1106">
            <v>45108</v>
          </cell>
        </row>
        <row r="1107">
          <cell r="A1107" t="str">
            <v>PEIPL0357</v>
          </cell>
          <cell r="Q1107">
            <v>45108</v>
          </cell>
        </row>
        <row r="1108">
          <cell r="A1108" t="str">
            <v>PEPPL0357</v>
          </cell>
          <cell r="Q1108">
            <v>44508</v>
          </cell>
        </row>
        <row r="1109">
          <cell r="A1109" t="str">
            <v>P0357</v>
          </cell>
          <cell r="Q1109">
            <v>43556</v>
          </cell>
        </row>
        <row r="1110">
          <cell r="A1110" t="str">
            <v>PSS0357</v>
          </cell>
          <cell r="Q1110">
            <v>42621</v>
          </cell>
        </row>
        <row r="1111">
          <cell r="A1111" t="str">
            <v>P0358</v>
          </cell>
          <cell r="Q1111">
            <v>43556</v>
          </cell>
        </row>
        <row r="1112">
          <cell r="A1112" t="str">
            <v>PEPPL0358</v>
          </cell>
          <cell r="Q1112">
            <v>44509</v>
          </cell>
        </row>
        <row r="1113">
          <cell r="A1113" t="str">
            <v>PEIPL0358</v>
          </cell>
          <cell r="Q1113">
            <v>45108</v>
          </cell>
        </row>
        <row r="1114">
          <cell r="A1114" t="str">
            <v>PEIPL0359</v>
          </cell>
          <cell r="Q1114">
            <v>45118</v>
          </cell>
        </row>
        <row r="1115">
          <cell r="A1115" t="str">
            <v>PEPPL0359</v>
          </cell>
          <cell r="Q1115">
            <v>44509</v>
          </cell>
        </row>
        <row r="1116">
          <cell r="A1116" t="str">
            <v>P0359</v>
          </cell>
          <cell r="Q1116">
            <v>43556</v>
          </cell>
        </row>
        <row r="1117">
          <cell r="A1117" t="str">
            <v>P0360</v>
          </cell>
          <cell r="Q1117">
            <v>43556</v>
          </cell>
        </row>
        <row r="1118">
          <cell r="A1118" t="str">
            <v>PEPPL0360</v>
          </cell>
          <cell r="Q1118">
            <v>44509</v>
          </cell>
        </row>
        <row r="1119">
          <cell r="A1119" t="str">
            <v>PEIPL0360</v>
          </cell>
          <cell r="Q1119">
            <v>45112</v>
          </cell>
        </row>
        <row r="1120">
          <cell r="A1120" t="str">
            <v>PEIPL0361</v>
          </cell>
          <cell r="Q1120">
            <v>45112</v>
          </cell>
        </row>
        <row r="1121">
          <cell r="A1121" t="str">
            <v>PEPPL0361</v>
          </cell>
          <cell r="Q1121">
            <v>44509</v>
          </cell>
        </row>
        <row r="1122">
          <cell r="A1122" t="str">
            <v>P0361</v>
          </cell>
          <cell r="Q1122">
            <v>43556</v>
          </cell>
        </row>
        <row r="1123">
          <cell r="A1123" t="str">
            <v>P0362</v>
          </cell>
          <cell r="Q1123">
            <v>43556</v>
          </cell>
        </row>
        <row r="1124">
          <cell r="A1124" t="str">
            <v>PSS0362</v>
          </cell>
          <cell r="Q1124">
            <v>42705</v>
          </cell>
        </row>
        <row r="1125">
          <cell r="A1125" t="str">
            <v>PEPPL0362</v>
          </cell>
          <cell r="Q1125">
            <v>44501</v>
          </cell>
        </row>
        <row r="1126">
          <cell r="A1126" t="str">
            <v>PEIPL0362</v>
          </cell>
          <cell r="Q1126">
            <v>45115</v>
          </cell>
        </row>
        <row r="1127">
          <cell r="A1127" t="str">
            <v>PEIPL0363</v>
          </cell>
          <cell r="Q1127">
            <v>45115</v>
          </cell>
        </row>
        <row r="1128">
          <cell r="A1128" t="str">
            <v>PEPPL0363</v>
          </cell>
          <cell r="Q1128">
            <v>44510</v>
          </cell>
        </row>
        <row r="1129">
          <cell r="A1129" t="str">
            <v>P0363</v>
          </cell>
          <cell r="Q1129">
            <v>43556</v>
          </cell>
        </row>
        <row r="1130">
          <cell r="A1130" t="str">
            <v>P0364</v>
          </cell>
          <cell r="Q1130">
            <v>43556</v>
          </cell>
        </row>
        <row r="1131">
          <cell r="A1131" t="str">
            <v>PEPPL0364</v>
          </cell>
          <cell r="Q1131">
            <v>44510</v>
          </cell>
        </row>
        <row r="1132">
          <cell r="A1132" t="str">
            <v>PEIPL0364</v>
          </cell>
          <cell r="Q1132">
            <v>45117</v>
          </cell>
        </row>
        <row r="1133">
          <cell r="A1133" t="str">
            <v>PEIPL0365</v>
          </cell>
          <cell r="Q1133">
            <v>45112</v>
          </cell>
        </row>
        <row r="1134">
          <cell r="A1134" t="str">
            <v>PEPPL0365</v>
          </cell>
          <cell r="Q1134">
            <v>44510</v>
          </cell>
        </row>
        <row r="1135">
          <cell r="A1135" t="str">
            <v>P0365</v>
          </cell>
          <cell r="Q1135">
            <v>43556</v>
          </cell>
        </row>
        <row r="1136">
          <cell r="A1136" t="str">
            <v>PSS0365</v>
          </cell>
          <cell r="Q1136">
            <v>42522</v>
          </cell>
        </row>
        <row r="1137">
          <cell r="A1137" t="str">
            <v>P0366</v>
          </cell>
          <cell r="Q1137">
            <v>43556</v>
          </cell>
        </row>
        <row r="1138">
          <cell r="A1138" t="str">
            <v>PEPPL0366</v>
          </cell>
          <cell r="Q1138">
            <v>44510</v>
          </cell>
        </row>
        <row r="1139">
          <cell r="A1139" t="str">
            <v>PEIPL0366</v>
          </cell>
          <cell r="Q1139">
            <v>45112</v>
          </cell>
        </row>
        <row r="1140">
          <cell r="A1140" t="str">
            <v>PEIPL0367</v>
          </cell>
          <cell r="Q1140">
            <v>45112</v>
          </cell>
        </row>
        <row r="1141">
          <cell r="A1141" t="str">
            <v>PEPPL0367</v>
          </cell>
          <cell r="Q1141">
            <v>44503</v>
          </cell>
        </row>
        <row r="1142">
          <cell r="A1142" t="str">
            <v>P0367</v>
          </cell>
          <cell r="Q1142">
            <v>43556</v>
          </cell>
        </row>
        <row r="1143">
          <cell r="A1143" t="str">
            <v>P0368</v>
          </cell>
          <cell r="Q1143">
            <v>43556</v>
          </cell>
        </row>
        <row r="1144">
          <cell r="A1144" t="str">
            <v>PEPPL0368</v>
          </cell>
          <cell r="Q1144">
            <v>44501</v>
          </cell>
        </row>
        <row r="1145">
          <cell r="A1145" t="str">
            <v>PSS0368</v>
          </cell>
          <cell r="Q1145">
            <v>42546</v>
          </cell>
        </row>
        <row r="1146">
          <cell r="A1146" t="str">
            <v>PEIPL0368</v>
          </cell>
          <cell r="Q1146">
            <v>45112</v>
          </cell>
        </row>
        <row r="1147">
          <cell r="A1147" t="str">
            <v>PEIPL0369</v>
          </cell>
          <cell r="Q1147">
            <v>45112</v>
          </cell>
        </row>
        <row r="1148">
          <cell r="A1148" t="str">
            <v>PSS0369</v>
          </cell>
          <cell r="Q1148">
            <v>42552</v>
          </cell>
        </row>
        <row r="1149">
          <cell r="A1149" t="str">
            <v>PEPPL0369</v>
          </cell>
          <cell r="Q1149">
            <v>44515</v>
          </cell>
        </row>
        <row r="1150">
          <cell r="A1150" t="str">
            <v>P0369</v>
          </cell>
          <cell r="Q1150">
            <v>43556</v>
          </cell>
        </row>
        <row r="1151">
          <cell r="A1151" t="str">
            <v>P0370</v>
          </cell>
          <cell r="Q1151">
            <v>43556</v>
          </cell>
        </row>
        <row r="1152">
          <cell r="A1152" t="str">
            <v>PSS0370</v>
          </cell>
          <cell r="Q1152">
            <v>42504</v>
          </cell>
        </row>
        <row r="1153">
          <cell r="A1153" t="str">
            <v>PEPPL0370</v>
          </cell>
          <cell r="Q1153">
            <v>44513</v>
          </cell>
        </row>
        <row r="1154">
          <cell r="A1154" t="str">
            <v>PEIPL0370</v>
          </cell>
          <cell r="Q1154">
            <v>45112</v>
          </cell>
        </row>
        <row r="1155">
          <cell r="A1155" t="str">
            <v>PEIPL0371</v>
          </cell>
          <cell r="Q1155">
            <v>45112</v>
          </cell>
        </row>
        <row r="1156">
          <cell r="A1156" t="str">
            <v>PEPPL0371</v>
          </cell>
          <cell r="Q1156">
            <v>44515</v>
          </cell>
        </row>
        <row r="1157">
          <cell r="A1157" t="str">
            <v>P0371</v>
          </cell>
          <cell r="Q1157">
            <v>43565</v>
          </cell>
        </row>
        <row r="1158">
          <cell r="A1158" t="str">
            <v>PSS0372</v>
          </cell>
          <cell r="Q1158">
            <v>42537</v>
          </cell>
        </row>
        <row r="1159">
          <cell r="A1159" t="str">
            <v>PEPPL0372</v>
          </cell>
          <cell r="Q1159">
            <v>44515</v>
          </cell>
        </row>
        <row r="1160">
          <cell r="A1160" t="str">
            <v>PEIPL0372</v>
          </cell>
          <cell r="Q1160">
            <v>45115</v>
          </cell>
        </row>
        <row r="1161">
          <cell r="A1161" t="str">
            <v>PEIPL0373</v>
          </cell>
          <cell r="Q1161">
            <v>45112</v>
          </cell>
        </row>
        <row r="1162">
          <cell r="A1162" t="str">
            <v>PEPPL0373</v>
          </cell>
          <cell r="Q1162">
            <v>44515</v>
          </cell>
        </row>
        <row r="1163">
          <cell r="A1163" t="str">
            <v>P0373</v>
          </cell>
          <cell r="Q1163">
            <v>43556</v>
          </cell>
        </row>
        <row r="1164">
          <cell r="A1164" t="str">
            <v>P0374</v>
          </cell>
          <cell r="Q1164">
            <v>43556</v>
          </cell>
        </row>
        <row r="1165">
          <cell r="A1165" t="str">
            <v>PEPPL0374</v>
          </cell>
          <cell r="Q1165">
            <v>44515</v>
          </cell>
        </row>
        <row r="1166">
          <cell r="A1166" t="str">
            <v>PEIPL0374</v>
          </cell>
          <cell r="Q1166">
            <v>45112</v>
          </cell>
        </row>
        <row r="1167">
          <cell r="A1167" t="str">
            <v>PEIPL0375</v>
          </cell>
          <cell r="Q1167">
            <v>45112</v>
          </cell>
        </row>
        <row r="1168">
          <cell r="A1168" t="str">
            <v>PEPPL0375</v>
          </cell>
          <cell r="Q1168">
            <v>44515</v>
          </cell>
        </row>
        <row r="1169">
          <cell r="A1169" t="str">
            <v>P0375</v>
          </cell>
          <cell r="Q1169">
            <v>43556</v>
          </cell>
        </row>
        <row r="1170">
          <cell r="A1170" t="str">
            <v>P0376</v>
          </cell>
          <cell r="Q1170">
            <v>43556</v>
          </cell>
        </row>
        <row r="1171">
          <cell r="A1171" t="str">
            <v>PEPPL0376</v>
          </cell>
          <cell r="Q1171">
            <v>44515</v>
          </cell>
        </row>
        <row r="1172">
          <cell r="A1172" t="str">
            <v>PEIPL0376</v>
          </cell>
          <cell r="Q1172">
            <v>45111</v>
          </cell>
        </row>
        <row r="1173">
          <cell r="A1173" t="str">
            <v>PEIPL0377</v>
          </cell>
          <cell r="Q1173">
            <v>45119</v>
          </cell>
        </row>
        <row r="1174">
          <cell r="A1174" t="str">
            <v>PEPPL0377</v>
          </cell>
          <cell r="Q1174">
            <v>44515</v>
          </cell>
        </row>
        <row r="1175">
          <cell r="A1175" t="str">
            <v>P0377</v>
          </cell>
          <cell r="Q1175">
            <v>43556</v>
          </cell>
        </row>
        <row r="1176">
          <cell r="A1176" t="str">
            <v>P0378</v>
          </cell>
          <cell r="Q1176">
            <v>43556</v>
          </cell>
        </row>
        <row r="1177">
          <cell r="A1177" t="str">
            <v>PEPPL0378</v>
          </cell>
          <cell r="Q1177">
            <v>44518</v>
          </cell>
        </row>
        <row r="1178">
          <cell r="A1178" t="str">
            <v>PEIPL0378</v>
          </cell>
          <cell r="Q1178">
            <v>45120</v>
          </cell>
        </row>
        <row r="1179">
          <cell r="A1179" t="str">
            <v>PEIPL0379</v>
          </cell>
          <cell r="Q1179">
            <v>45120</v>
          </cell>
        </row>
        <row r="1180">
          <cell r="A1180" t="str">
            <v>PEPPL0379</v>
          </cell>
          <cell r="Q1180">
            <v>44518</v>
          </cell>
        </row>
        <row r="1181">
          <cell r="A1181" t="str">
            <v>P0379</v>
          </cell>
          <cell r="Q1181">
            <v>43556</v>
          </cell>
        </row>
        <row r="1182">
          <cell r="A1182" t="str">
            <v>P0380</v>
          </cell>
          <cell r="Q1182">
            <v>43678</v>
          </cell>
        </row>
        <row r="1183">
          <cell r="A1183" t="str">
            <v>PEPPL0380</v>
          </cell>
          <cell r="Q1183">
            <v>44518</v>
          </cell>
        </row>
        <row r="1184">
          <cell r="A1184" t="str">
            <v>PEIPL0380</v>
          </cell>
          <cell r="Q1184">
            <v>45120</v>
          </cell>
        </row>
        <row r="1185">
          <cell r="A1185" t="str">
            <v>PEIPL0381</v>
          </cell>
          <cell r="Q1185">
            <v>45120</v>
          </cell>
        </row>
        <row r="1186">
          <cell r="A1186" t="str">
            <v>PEPPL0381</v>
          </cell>
          <cell r="Q1186">
            <v>44518</v>
          </cell>
        </row>
        <row r="1187">
          <cell r="A1187" t="str">
            <v>P0381</v>
          </cell>
          <cell r="Q1187">
            <v>43678</v>
          </cell>
        </row>
        <row r="1188">
          <cell r="A1188" t="str">
            <v>P0382</v>
          </cell>
          <cell r="Q1188">
            <v>43682</v>
          </cell>
        </row>
        <row r="1189">
          <cell r="A1189" t="str">
            <v>PEPPL0382</v>
          </cell>
          <cell r="Q1189">
            <v>44519</v>
          </cell>
        </row>
        <row r="1190">
          <cell r="A1190" t="str">
            <v>PEIPL0382</v>
          </cell>
          <cell r="Q1190">
            <v>45120</v>
          </cell>
        </row>
        <row r="1191">
          <cell r="A1191" t="str">
            <v>PEIPL0383</v>
          </cell>
          <cell r="Q1191">
            <v>45120</v>
          </cell>
        </row>
        <row r="1192">
          <cell r="A1192" t="str">
            <v>PEPPL0383</v>
          </cell>
          <cell r="Q1192">
            <v>44522</v>
          </cell>
        </row>
        <row r="1193">
          <cell r="A1193" t="str">
            <v>P0383</v>
          </cell>
          <cell r="Q1193">
            <v>43682</v>
          </cell>
        </row>
        <row r="1194">
          <cell r="A1194" t="str">
            <v>PEPPL0384</v>
          </cell>
          <cell r="Q1194">
            <v>44522</v>
          </cell>
        </row>
        <row r="1195">
          <cell r="A1195" t="str">
            <v>PEIPL0384</v>
          </cell>
          <cell r="Q1195">
            <v>45120</v>
          </cell>
        </row>
        <row r="1196">
          <cell r="A1196" t="str">
            <v>PEIPL0385</v>
          </cell>
          <cell r="Q1196">
            <v>45120</v>
          </cell>
        </row>
        <row r="1197">
          <cell r="A1197" t="str">
            <v>PEPPL0385</v>
          </cell>
          <cell r="Q1197">
            <v>44522</v>
          </cell>
        </row>
        <row r="1198">
          <cell r="A1198" t="str">
            <v>PEPPL0386</v>
          </cell>
          <cell r="Q1198">
            <v>44522</v>
          </cell>
        </row>
        <row r="1199">
          <cell r="A1199" t="str">
            <v>PEIPL0386</v>
          </cell>
          <cell r="Q1199">
            <v>45120</v>
          </cell>
        </row>
        <row r="1200">
          <cell r="A1200" t="str">
            <v>PEIPL0387</v>
          </cell>
          <cell r="Q1200">
            <v>45120</v>
          </cell>
        </row>
        <row r="1201">
          <cell r="A1201" t="str">
            <v>PEPPL0387</v>
          </cell>
          <cell r="Q1201">
            <v>44522</v>
          </cell>
        </row>
        <row r="1202">
          <cell r="A1202" t="str">
            <v>P0387</v>
          </cell>
          <cell r="Q1202">
            <v>43724</v>
          </cell>
        </row>
        <row r="1203">
          <cell r="A1203" t="str">
            <v>P0388</v>
          </cell>
          <cell r="Q1203">
            <v>43728</v>
          </cell>
        </row>
        <row r="1204">
          <cell r="A1204" t="str">
            <v>PSS0388</v>
          </cell>
          <cell r="Q1204">
            <v>42583</v>
          </cell>
        </row>
        <row r="1205">
          <cell r="A1205" t="str">
            <v>PEPPL0388</v>
          </cell>
          <cell r="Q1205">
            <v>44522</v>
          </cell>
        </row>
        <row r="1206">
          <cell r="A1206" t="str">
            <v>PEIPL0388</v>
          </cell>
          <cell r="Q1206">
            <v>45120</v>
          </cell>
        </row>
        <row r="1207">
          <cell r="A1207" t="str">
            <v>PEIPL0389</v>
          </cell>
          <cell r="Q1207">
            <v>45120</v>
          </cell>
        </row>
        <row r="1208">
          <cell r="A1208" t="str">
            <v>PEPPL0389</v>
          </cell>
          <cell r="Q1208">
            <v>44522</v>
          </cell>
        </row>
        <row r="1209">
          <cell r="A1209" t="str">
            <v>PEPPL0390</v>
          </cell>
          <cell r="Q1209">
            <v>44522</v>
          </cell>
        </row>
        <row r="1210">
          <cell r="A1210" t="str">
            <v>P0390</v>
          </cell>
          <cell r="Q1210">
            <v>43747</v>
          </cell>
        </row>
        <row r="1211">
          <cell r="A1211" t="str">
            <v>PEIPL0390</v>
          </cell>
          <cell r="Q1211">
            <v>45121</v>
          </cell>
        </row>
        <row r="1212">
          <cell r="A1212" t="str">
            <v>PEIPL0391</v>
          </cell>
          <cell r="Q1212">
            <v>45121</v>
          </cell>
        </row>
        <row r="1213">
          <cell r="A1213" t="str">
            <v>P0391</v>
          </cell>
          <cell r="Q1213">
            <v>43800</v>
          </cell>
        </row>
        <row r="1214">
          <cell r="A1214" t="str">
            <v>PEPPL0391</v>
          </cell>
          <cell r="Q1214">
            <v>44522</v>
          </cell>
        </row>
        <row r="1215">
          <cell r="A1215" t="str">
            <v>PEPPL0392</v>
          </cell>
          <cell r="Q1215">
            <v>44522</v>
          </cell>
        </row>
        <row r="1216">
          <cell r="A1216" t="str">
            <v>P0392</v>
          </cell>
          <cell r="Q1216">
            <v>43800</v>
          </cell>
        </row>
        <row r="1217">
          <cell r="A1217" t="str">
            <v>PEIPL0392</v>
          </cell>
          <cell r="Q1217">
            <v>45118</v>
          </cell>
        </row>
        <row r="1218">
          <cell r="A1218" t="str">
            <v>PEIPL0393</v>
          </cell>
          <cell r="Q1218">
            <v>45125</v>
          </cell>
        </row>
        <row r="1219">
          <cell r="A1219" t="str">
            <v>P0393</v>
          </cell>
          <cell r="Q1219">
            <v>43831</v>
          </cell>
        </row>
        <row r="1220">
          <cell r="A1220" t="str">
            <v>PEPPL0393</v>
          </cell>
          <cell r="Q1220">
            <v>44522</v>
          </cell>
        </row>
        <row r="1221">
          <cell r="A1221" t="str">
            <v>PEPPL0394</v>
          </cell>
          <cell r="Q1221">
            <v>44522</v>
          </cell>
        </row>
        <row r="1222">
          <cell r="A1222" t="str">
            <v>P0394</v>
          </cell>
          <cell r="Q1222">
            <v>43831</v>
          </cell>
        </row>
        <row r="1223">
          <cell r="A1223" t="str">
            <v>PEIPL0394</v>
          </cell>
          <cell r="Q1223">
            <v>45126</v>
          </cell>
        </row>
        <row r="1224">
          <cell r="A1224" t="str">
            <v>PEIPL0395</v>
          </cell>
          <cell r="Q1224">
            <v>45126</v>
          </cell>
        </row>
        <row r="1225">
          <cell r="A1225" t="str">
            <v>P0395</v>
          </cell>
          <cell r="Q1225">
            <v>43878</v>
          </cell>
        </row>
        <row r="1226">
          <cell r="A1226" t="str">
            <v>PEPPL0395</v>
          </cell>
          <cell r="Q1226">
            <v>44522</v>
          </cell>
        </row>
        <row r="1227">
          <cell r="A1227" t="str">
            <v>PEPPL0396</v>
          </cell>
          <cell r="Q1227">
            <v>44522</v>
          </cell>
        </row>
        <row r="1228">
          <cell r="A1228" t="str">
            <v>P0396</v>
          </cell>
          <cell r="Q1228">
            <v>43891</v>
          </cell>
        </row>
        <row r="1229">
          <cell r="A1229" t="str">
            <v>PEIPL0396</v>
          </cell>
          <cell r="Q1229">
            <v>45127</v>
          </cell>
        </row>
        <row r="1230">
          <cell r="A1230" t="str">
            <v>PEIPL0397</v>
          </cell>
          <cell r="Q1230">
            <v>45127</v>
          </cell>
        </row>
        <row r="1231">
          <cell r="A1231" t="str">
            <v>P0397</v>
          </cell>
          <cell r="Q1231">
            <v>43891</v>
          </cell>
        </row>
        <row r="1232">
          <cell r="A1232" t="str">
            <v>PEPPL0397</v>
          </cell>
          <cell r="Q1232">
            <v>44522</v>
          </cell>
        </row>
        <row r="1233">
          <cell r="A1233" t="str">
            <v>PEPPL0398</v>
          </cell>
          <cell r="Q1233">
            <v>44522</v>
          </cell>
        </row>
        <row r="1234">
          <cell r="A1234" t="str">
            <v>P0398</v>
          </cell>
          <cell r="Q1234">
            <v>43891</v>
          </cell>
        </row>
        <row r="1235">
          <cell r="A1235" t="str">
            <v>PEIPL0398</v>
          </cell>
          <cell r="Q1235">
            <v>45127</v>
          </cell>
        </row>
        <row r="1236">
          <cell r="A1236" t="str">
            <v>PEIPL0399</v>
          </cell>
          <cell r="Q1236">
            <v>45127</v>
          </cell>
        </row>
        <row r="1237">
          <cell r="A1237" t="str">
            <v>P0399</v>
          </cell>
          <cell r="Q1237">
            <v>43891</v>
          </cell>
        </row>
        <row r="1238">
          <cell r="A1238" t="str">
            <v>PEPPL0399</v>
          </cell>
          <cell r="Q1238">
            <v>44522</v>
          </cell>
        </row>
        <row r="1239">
          <cell r="A1239" t="str">
            <v>PEPPL0400</v>
          </cell>
          <cell r="Q1239">
            <v>44522</v>
          </cell>
        </row>
        <row r="1240">
          <cell r="A1240" t="str">
            <v>P0400</v>
          </cell>
          <cell r="Q1240">
            <v>43191</v>
          </cell>
        </row>
        <row r="1241">
          <cell r="A1241" t="str">
            <v>PEIPL0400</v>
          </cell>
          <cell r="Q1241">
            <v>45134</v>
          </cell>
        </row>
        <row r="1242">
          <cell r="A1242" t="str">
            <v>PEIPL0401</v>
          </cell>
          <cell r="Q1242">
            <v>45134</v>
          </cell>
        </row>
        <row r="1243">
          <cell r="A1243" t="str">
            <v>P0401</v>
          </cell>
          <cell r="Q1243">
            <v>43952</v>
          </cell>
        </row>
        <row r="1244">
          <cell r="A1244" t="str">
            <v>PEPPL0401</v>
          </cell>
          <cell r="Q1244">
            <v>44522</v>
          </cell>
        </row>
        <row r="1245">
          <cell r="A1245" t="str">
            <v>PEPPL0402</v>
          </cell>
          <cell r="Q1245">
            <v>44523</v>
          </cell>
        </row>
        <row r="1246">
          <cell r="A1246" t="str">
            <v>PEIPL0402</v>
          </cell>
          <cell r="Q1246">
            <v>45134</v>
          </cell>
        </row>
        <row r="1247">
          <cell r="A1247" t="str">
            <v>PEIPL0403</v>
          </cell>
          <cell r="Q1247">
            <v>45134</v>
          </cell>
        </row>
        <row r="1248">
          <cell r="A1248" t="str">
            <v>PEPPL0403</v>
          </cell>
          <cell r="Q1248">
            <v>44523</v>
          </cell>
        </row>
        <row r="1249">
          <cell r="A1249" t="str">
            <v>P0403</v>
          </cell>
          <cell r="Q1249">
            <v>43952</v>
          </cell>
        </row>
        <row r="1250">
          <cell r="A1250" t="str">
            <v>P0404</v>
          </cell>
          <cell r="Q1250">
            <v>43952</v>
          </cell>
        </row>
        <row r="1251">
          <cell r="A1251" t="str">
            <v>PEPPL0404</v>
          </cell>
          <cell r="Q1251">
            <v>44522</v>
          </cell>
        </row>
        <row r="1252">
          <cell r="A1252" t="str">
            <v>PEIPL0404</v>
          </cell>
          <cell r="Q1252">
            <v>45134</v>
          </cell>
        </row>
        <row r="1253">
          <cell r="A1253" t="str">
            <v>PEIPL0405</v>
          </cell>
          <cell r="Q1253">
            <v>45139</v>
          </cell>
        </row>
        <row r="1254">
          <cell r="A1254" t="str">
            <v>PEPPL0405</v>
          </cell>
          <cell r="Q1254">
            <v>44519</v>
          </cell>
        </row>
        <row r="1255">
          <cell r="A1255" t="str">
            <v>P0405</v>
          </cell>
          <cell r="Q1255">
            <v>43952</v>
          </cell>
        </row>
        <row r="1256">
          <cell r="A1256" t="str">
            <v>PEPPL0406</v>
          </cell>
          <cell r="Q1256">
            <v>44524</v>
          </cell>
        </row>
        <row r="1257">
          <cell r="A1257" t="str">
            <v>P0406</v>
          </cell>
          <cell r="Q1257">
            <v>43952</v>
          </cell>
        </row>
        <row r="1258">
          <cell r="A1258" t="str">
            <v>PEIPL0406</v>
          </cell>
          <cell r="Q1258">
            <v>45141</v>
          </cell>
        </row>
        <row r="1259">
          <cell r="A1259" t="str">
            <v>PEIPL0407</v>
          </cell>
          <cell r="Q1259">
            <v>45141</v>
          </cell>
        </row>
        <row r="1260">
          <cell r="A1260" t="str">
            <v>PEPPL0407</v>
          </cell>
          <cell r="Q1260">
            <v>44525</v>
          </cell>
        </row>
        <row r="1261">
          <cell r="A1261" t="str">
            <v>PEPPL0408</v>
          </cell>
          <cell r="Q1261">
            <v>44525</v>
          </cell>
        </row>
        <row r="1262">
          <cell r="A1262" t="str">
            <v>P0408</v>
          </cell>
          <cell r="Q1262">
            <v>43952</v>
          </cell>
        </row>
        <row r="1263">
          <cell r="A1263" t="str">
            <v>PEIPL0408</v>
          </cell>
          <cell r="Q1263">
            <v>45141</v>
          </cell>
        </row>
        <row r="1264">
          <cell r="A1264" t="str">
            <v>PEIPL0409</v>
          </cell>
          <cell r="Q1264">
            <v>45141</v>
          </cell>
        </row>
        <row r="1265">
          <cell r="A1265" t="str">
            <v>P0409</v>
          </cell>
          <cell r="Q1265">
            <v>43952</v>
          </cell>
        </row>
        <row r="1266">
          <cell r="A1266" t="str">
            <v>PEPPL0409</v>
          </cell>
          <cell r="Q1266">
            <v>44525</v>
          </cell>
        </row>
        <row r="1267">
          <cell r="A1267" t="str">
            <v>PEPPL0410</v>
          </cell>
          <cell r="Q1267">
            <v>44527</v>
          </cell>
        </row>
        <row r="1268">
          <cell r="A1268" t="str">
            <v>P0410</v>
          </cell>
          <cell r="Q1268">
            <v>43952</v>
          </cell>
        </row>
        <row r="1269">
          <cell r="A1269" t="str">
            <v>PSS0410</v>
          </cell>
          <cell r="Q1269">
            <v>42676</v>
          </cell>
        </row>
        <row r="1270">
          <cell r="A1270" t="str">
            <v>PEIPL0410</v>
          </cell>
          <cell r="Q1270">
            <v>45141</v>
          </cell>
        </row>
        <row r="1271">
          <cell r="A1271" t="str">
            <v>PEIPL0411</v>
          </cell>
          <cell r="Q1271">
            <v>45141</v>
          </cell>
        </row>
        <row r="1272">
          <cell r="A1272" t="str">
            <v>PEPPL0411</v>
          </cell>
          <cell r="Q1272">
            <v>44529</v>
          </cell>
        </row>
        <row r="1273">
          <cell r="A1273" t="str">
            <v>P0411</v>
          </cell>
          <cell r="Q1273">
            <v>43952</v>
          </cell>
        </row>
        <row r="1274">
          <cell r="A1274" t="str">
            <v>PEPPL0412</v>
          </cell>
          <cell r="Q1274">
            <v>44531</v>
          </cell>
        </row>
        <row r="1275">
          <cell r="A1275" t="str">
            <v>P0412</v>
          </cell>
          <cell r="Q1275">
            <v>44006</v>
          </cell>
        </row>
        <row r="1276">
          <cell r="A1276" t="str">
            <v>PEIPL0412</v>
          </cell>
          <cell r="Q1276">
            <v>45141</v>
          </cell>
        </row>
        <row r="1277">
          <cell r="A1277" t="str">
            <v>PEIPL0413</v>
          </cell>
          <cell r="Q1277">
            <v>45139</v>
          </cell>
        </row>
        <row r="1278">
          <cell r="A1278" t="str">
            <v>PEPPL0413</v>
          </cell>
          <cell r="Q1278">
            <v>44531</v>
          </cell>
        </row>
        <row r="1279">
          <cell r="A1279" t="str">
            <v>P0413</v>
          </cell>
          <cell r="Q1279">
            <v>44000</v>
          </cell>
        </row>
        <row r="1280">
          <cell r="A1280" t="str">
            <v>P0414</v>
          </cell>
          <cell r="Q1280">
            <v>43983</v>
          </cell>
        </row>
        <row r="1281">
          <cell r="A1281" t="str">
            <v>PEPPL0414</v>
          </cell>
          <cell r="Q1281">
            <v>44531</v>
          </cell>
        </row>
        <row r="1282">
          <cell r="A1282" t="str">
            <v>PEIPL0414</v>
          </cell>
          <cell r="Q1282">
            <v>45145</v>
          </cell>
        </row>
        <row r="1283">
          <cell r="A1283" t="str">
            <v>PEIPL0415</v>
          </cell>
          <cell r="Q1283">
            <v>45148</v>
          </cell>
        </row>
        <row r="1284">
          <cell r="A1284" t="str">
            <v>PEPPL0415</v>
          </cell>
          <cell r="Q1284">
            <v>44531</v>
          </cell>
        </row>
        <row r="1285">
          <cell r="A1285" t="str">
            <v>P0415</v>
          </cell>
          <cell r="Q1285">
            <v>44136</v>
          </cell>
        </row>
        <row r="1286">
          <cell r="A1286" t="str">
            <v>PEPPL0416</v>
          </cell>
          <cell r="Q1286">
            <v>44531</v>
          </cell>
        </row>
        <row r="1287">
          <cell r="A1287" t="str">
            <v>PEIPL0416</v>
          </cell>
          <cell r="Q1287">
            <v>45148</v>
          </cell>
        </row>
        <row r="1288">
          <cell r="A1288" t="str">
            <v>PEIPL0417</v>
          </cell>
          <cell r="Q1288">
            <v>45148</v>
          </cell>
        </row>
        <row r="1289">
          <cell r="A1289" t="str">
            <v>PEPPL0417</v>
          </cell>
          <cell r="Q1289">
            <v>44531</v>
          </cell>
        </row>
        <row r="1290">
          <cell r="A1290" t="str">
            <v>PEPPL0418</v>
          </cell>
          <cell r="Q1290">
            <v>44531</v>
          </cell>
        </row>
        <row r="1291">
          <cell r="A1291" t="str">
            <v>P0418</v>
          </cell>
          <cell r="Q1291">
            <v>44036</v>
          </cell>
        </row>
        <row r="1292">
          <cell r="A1292" t="str">
            <v>PEIPL0418</v>
          </cell>
          <cell r="Q1292">
            <v>45149</v>
          </cell>
        </row>
        <row r="1293">
          <cell r="A1293" t="str">
            <v>PEIPL0419</v>
          </cell>
          <cell r="Q1293">
            <v>45155</v>
          </cell>
        </row>
        <row r="1294">
          <cell r="A1294" t="str">
            <v>P0419</v>
          </cell>
          <cell r="Q1294">
            <v>44036</v>
          </cell>
        </row>
        <row r="1295">
          <cell r="A1295" t="str">
            <v>PEPPL0419</v>
          </cell>
          <cell r="Q1295">
            <v>44531</v>
          </cell>
        </row>
        <row r="1296">
          <cell r="A1296" t="str">
            <v>PEPPL0420</v>
          </cell>
          <cell r="Q1296">
            <v>44531</v>
          </cell>
        </row>
        <row r="1297">
          <cell r="A1297" t="str">
            <v>P0420</v>
          </cell>
          <cell r="Q1297">
            <v>44044</v>
          </cell>
        </row>
        <row r="1298">
          <cell r="A1298" t="str">
            <v>PEIPL0420</v>
          </cell>
          <cell r="Q1298">
            <v>45155</v>
          </cell>
        </row>
        <row r="1299">
          <cell r="A1299" t="str">
            <v>PEIPL0421</v>
          </cell>
          <cell r="Q1299">
            <v>45155</v>
          </cell>
        </row>
        <row r="1300">
          <cell r="A1300" t="str">
            <v>P0421</v>
          </cell>
          <cell r="Q1300">
            <v>44060</v>
          </cell>
        </row>
        <row r="1301">
          <cell r="A1301" t="str">
            <v>PEPPL0421</v>
          </cell>
          <cell r="Q1301">
            <v>44531</v>
          </cell>
        </row>
        <row r="1302">
          <cell r="A1302" t="str">
            <v>PEPPL0422</v>
          </cell>
          <cell r="Q1302">
            <v>44531</v>
          </cell>
        </row>
        <row r="1303">
          <cell r="A1303" t="str">
            <v>P0422</v>
          </cell>
          <cell r="Q1303">
            <v>44075</v>
          </cell>
        </row>
        <row r="1304">
          <cell r="A1304" t="str">
            <v>PEIPL0422</v>
          </cell>
          <cell r="Q1304">
            <v>45155</v>
          </cell>
        </row>
        <row r="1305">
          <cell r="A1305" t="str">
            <v>PEIPL0423</v>
          </cell>
          <cell r="Q1305">
            <v>45155</v>
          </cell>
        </row>
        <row r="1306">
          <cell r="A1306" t="str">
            <v>P0423</v>
          </cell>
          <cell r="Q1306">
            <v>44081</v>
          </cell>
        </row>
        <row r="1307">
          <cell r="A1307" t="str">
            <v>PSS0423</v>
          </cell>
          <cell r="Q1307">
            <v>42720</v>
          </cell>
        </row>
        <row r="1308">
          <cell r="A1308" t="str">
            <v>PEPPL0423</v>
          </cell>
          <cell r="Q1308">
            <v>44531</v>
          </cell>
        </row>
        <row r="1309">
          <cell r="A1309" t="str">
            <v>PEPPL0424</v>
          </cell>
          <cell r="Q1309">
            <v>44532</v>
          </cell>
        </row>
        <row r="1310">
          <cell r="A1310" t="str">
            <v>P0424</v>
          </cell>
          <cell r="Q1310">
            <v>44095</v>
          </cell>
        </row>
        <row r="1311">
          <cell r="A1311" t="str">
            <v>PEIPL0424</v>
          </cell>
          <cell r="Q1311">
            <v>45155</v>
          </cell>
        </row>
        <row r="1312">
          <cell r="A1312" t="str">
            <v>PEIPL0425</v>
          </cell>
          <cell r="Q1312">
            <v>45155</v>
          </cell>
        </row>
        <row r="1313">
          <cell r="A1313" t="str">
            <v>P0425</v>
          </cell>
          <cell r="Q1313">
            <v>44097</v>
          </cell>
        </row>
        <row r="1314">
          <cell r="A1314" t="str">
            <v>PEPPL0425</v>
          </cell>
          <cell r="Q1314">
            <v>44532</v>
          </cell>
        </row>
        <row r="1315">
          <cell r="A1315" t="str">
            <v>PEPPL0426</v>
          </cell>
          <cell r="Q1315">
            <v>44532</v>
          </cell>
        </row>
        <row r="1316">
          <cell r="A1316" t="str">
            <v>P0426</v>
          </cell>
          <cell r="Q1316">
            <v>44136</v>
          </cell>
        </row>
        <row r="1317">
          <cell r="A1317" t="str">
            <v>PEIPL0426</v>
          </cell>
          <cell r="Q1317">
            <v>45155</v>
          </cell>
        </row>
        <row r="1318">
          <cell r="A1318" t="str">
            <v>PEIPL0427</v>
          </cell>
          <cell r="Q1318">
            <v>45155</v>
          </cell>
        </row>
        <row r="1319">
          <cell r="A1319" t="str">
            <v>P0427</v>
          </cell>
          <cell r="Q1319">
            <v>44137</v>
          </cell>
        </row>
        <row r="1320">
          <cell r="A1320" t="str">
            <v>PEPPL0427</v>
          </cell>
          <cell r="Q1320">
            <v>44531</v>
          </cell>
        </row>
        <row r="1321">
          <cell r="A1321" t="str">
            <v>PEPPL0428</v>
          </cell>
          <cell r="Q1321">
            <v>44531</v>
          </cell>
        </row>
        <row r="1322">
          <cell r="A1322" t="str">
            <v>P0428</v>
          </cell>
          <cell r="Q1322">
            <v>44146</v>
          </cell>
        </row>
        <row r="1323">
          <cell r="A1323" t="str">
            <v>PEIPL0428</v>
          </cell>
          <cell r="Q1323">
            <v>45155</v>
          </cell>
        </row>
        <row r="1324">
          <cell r="A1324" t="str">
            <v>PEIPL0429</v>
          </cell>
          <cell r="Q1324">
            <v>45155</v>
          </cell>
        </row>
        <row r="1325">
          <cell r="A1325" t="str">
            <v>P0429</v>
          </cell>
          <cell r="Q1325">
            <v>44209</v>
          </cell>
        </row>
        <row r="1326">
          <cell r="A1326" t="str">
            <v>PEPPL0429</v>
          </cell>
          <cell r="Q1326">
            <v>44531</v>
          </cell>
        </row>
        <row r="1327">
          <cell r="A1327" t="str">
            <v>PEPPL0430</v>
          </cell>
          <cell r="Q1327">
            <v>44533</v>
          </cell>
        </row>
        <row r="1328">
          <cell r="A1328" t="str">
            <v>P0430</v>
          </cell>
          <cell r="Q1328">
            <v>44197</v>
          </cell>
        </row>
        <row r="1329">
          <cell r="A1329" t="str">
            <v>PEIPL0430</v>
          </cell>
          <cell r="Q1329">
            <v>45155</v>
          </cell>
        </row>
        <row r="1330">
          <cell r="A1330" t="str">
            <v>PEIPL0431</v>
          </cell>
          <cell r="Q1330">
            <v>45155</v>
          </cell>
        </row>
        <row r="1331">
          <cell r="A1331" t="str">
            <v>PSS0431</v>
          </cell>
          <cell r="Q1331">
            <v>42681</v>
          </cell>
        </row>
        <row r="1332">
          <cell r="A1332" t="str">
            <v>P0431</v>
          </cell>
          <cell r="Q1332">
            <v>44313</v>
          </cell>
        </row>
        <row r="1333">
          <cell r="A1333" t="str">
            <v>PEPPL0431</v>
          </cell>
          <cell r="Q1333">
            <v>44533</v>
          </cell>
        </row>
        <row r="1334">
          <cell r="A1334" t="str">
            <v>PEPPL0432</v>
          </cell>
          <cell r="Q1334">
            <v>44533</v>
          </cell>
        </row>
        <row r="1335">
          <cell r="A1335" t="str">
            <v>P0432</v>
          </cell>
          <cell r="Q1335">
            <v>44325</v>
          </cell>
        </row>
        <row r="1336">
          <cell r="A1336" t="str">
            <v>PEIPL0432</v>
          </cell>
          <cell r="Q1336">
            <v>45155</v>
          </cell>
        </row>
        <row r="1337">
          <cell r="A1337" t="str">
            <v>PEIPL0433</v>
          </cell>
          <cell r="Q1337">
            <v>45155</v>
          </cell>
        </row>
        <row r="1338">
          <cell r="A1338" t="str">
            <v>P0433</v>
          </cell>
          <cell r="Q1338">
            <v>44349</v>
          </cell>
        </row>
        <row r="1339">
          <cell r="A1339" t="str">
            <v>PEPPL0433</v>
          </cell>
          <cell r="Q1339">
            <v>44533</v>
          </cell>
        </row>
        <row r="1340">
          <cell r="A1340" t="str">
            <v>PSS0433</v>
          </cell>
          <cell r="Q1340">
            <v>42705</v>
          </cell>
        </row>
        <row r="1341">
          <cell r="A1341" t="str">
            <v>PEPPL0434</v>
          </cell>
          <cell r="Q1341">
            <v>44533</v>
          </cell>
        </row>
        <row r="1342">
          <cell r="A1342" t="str">
            <v>P0434</v>
          </cell>
          <cell r="Q1342">
            <v>44348</v>
          </cell>
        </row>
        <row r="1343">
          <cell r="A1343" t="str">
            <v>PEIPL0434</v>
          </cell>
          <cell r="Q1343">
            <v>45156</v>
          </cell>
        </row>
        <row r="1344">
          <cell r="A1344" t="str">
            <v>PEIPL0435</v>
          </cell>
          <cell r="Q1344">
            <v>45159</v>
          </cell>
        </row>
        <row r="1345">
          <cell r="A1345" t="str">
            <v>P0435</v>
          </cell>
          <cell r="Q1345">
            <v>44348</v>
          </cell>
        </row>
        <row r="1346">
          <cell r="A1346" t="str">
            <v>PEPPL0435</v>
          </cell>
          <cell r="Q1346">
            <v>44537</v>
          </cell>
        </row>
        <row r="1347">
          <cell r="A1347" t="str">
            <v>PEPPL0436</v>
          </cell>
          <cell r="Q1347">
            <v>44538</v>
          </cell>
        </row>
        <row r="1348">
          <cell r="A1348" t="str">
            <v>P0436</v>
          </cell>
          <cell r="Q1348">
            <v>44378</v>
          </cell>
        </row>
        <row r="1349">
          <cell r="A1349" t="str">
            <v>PSS0436</v>
          </cell>
          <cell r="Q1349">
            <v>42767</v>
          </cell>
        </row>
        <row r="1350">
          <cell r="A1350" t="str">
            <v>PEIPL0436</v>
          </cell>
          <cell r="Q1350">
            <v>45162</v>
          </cell>
        </row>
        <row r="1351">
          <cell r="A1351" t="str">
            <v>PEIPL0437</v>
          </cell>
          <cell r="Q1351">
            <v>45162</v>
          </cell>
        </row>
        <row r="1352">
          <cell r="A1352" t="str">
            <v>PSS0437</v>
          </cell>
          <cell r="Q1352">
            <v>42767</v>
          </cell>
        </row>
        <row r="1353">
          <cell r="A1353" t="str">
            <v>P0437</v>
          </cell>
          <cell r="Q1353">
            <v>44378</v>
          </cell>
        </row>
        <row r="1354">
          <cell r="A1354" t="str">
            <v>PEPPL0437</v>
          </cell>
          <cell r="Q1354">
            <v>44532</v>
          </cell>
        </row>
        <row r="1355">
          <cell r="A1355" t="str">
            <v>PEPPL0438</v>
          </cell>
          <cell r="Q1355">
            <v>44538</v>
          </cell>
        </row>
        <row r="1356">
          <cell r="A1356" t="str">
            <v>P0438</v>
          </cell>
          <cell r="Q1356">
            <v>44394</v>
          </cell>
        </row>
        <row r="1357">
          <cell r="A1357" t="str">
            <v>PSS0438</v>
          </cell>
          <cell r="Q1357">
            <v>42767</v>
          </cell>
        </row>
        <row r="1358">
          <cell r="A1358" t="str">
            <v>PEIPL0438</v>
          </cell>
          <cell r="Q1358">
            <v>45162</v>
          </cell>
        </row>
        <row r="1359">
          <cell r="A1359" t="str">
            <v>PEIPL0439</v>
          </cell>
          <cell r="Q1359">
            <v>45162</v>
          </cell>
        </row>
        <row r="1360">
          <cell r="A1360" t="str">
            <v>PSS0439</v>
          </cell>
          <cell r="Q1360">
            <v>42767</v>
          </cell>
        </row>
        <row r="1361">
          <cell r="A1361" t="str">
            <v>P0439</v>
          </cell>
          <cell r="Q1361">
            <v>44287</v>
          </cell>
        </row>
        <row r="1362">
          <cell r="A1362" t="str">
            <v>PEPPL0439</v>
          </cell>
          <cell r="Q1362">
            <v>44538</v>
          </cell>
        </row>
        <row r="1363">
          <cell r="A1363" t="str">
            <v>PEPPL0440</v>
          </cell>
          <cell r="Q1363">
            <v>44539</v>
          </cell>
        </row>
        <row r="1364">
          <cell r="A1364" t="str">
            <v>P0440</v>
          </cell>
          <cell r="Q1364">
            <v>44287</v>
          </cell>
        </row>
        <row r="1365">
          <cell r="A1365" t="str">
            <v>PSS0440</v>
          </cell>
          <cell r="Q1365">
            <v>44166</v>
          </cell>
        </row>
        <row r="1366">
          <cell r="A1366" t="str">
            <v>PEIPL0440</v>
          </cell>
          <cell r="Q1366">
            <v>45162</v>
          </cell>
        </row>
        <row r="1367">
          <cell r="A1367" t="str">
            <v>PEIPL0441</v>
          </cell>
          <cell r="Q1367">
            <v>45166</v>
          </cell>
        </row>
        <row r="1368">
          <cell r="A1368" t="str">
            <v>P0441</v>
          </cell>
          <cell r="Q1368">
            <v>44287</v>
          </cell>
        </row>
        <row r="1369">
          <cell r="A1369" t="str">
            <v>PEPPL0441</v>
          </cell>
          <cell r="Q1369">
            <v>44539</v>
          </cell>
        </row>
        <row r="1370">
          <cell r="A1370" t="str">
            <v>PEPPL0442</v>
          </cell>
          <cell r="Q1370">
            <v>44539</v>
          </cell>
        </row>
        <row r="1371">
          <cell r="A1371" t="str">
            <v>P0442</v>
          </cell>
          <cell r="Q1371">
            <v>44287</v>
          </cell>
        </row>
        <row r="1372">
          <cell r="A1372" t="str">
            <v>PSS0442</v>
          </cell>
          <cell r="Q1372">
            <v>42772</v>
          </cell>
        </row>
        <row r="1373">
          <cell r="A1373" t="str">
            <v>PEIPL0442</v>
          </cell>
          <cell r="Q1373">
            <v>45166</v>
          </cell>
        </row>
        <row r="1374">
          <cell r="A1374" t="str">
            <v>PEIPL0443</v>
          </cell>
          <cell r="Q1374">
            <v>45169</v>
          </cell>
        </row>
        <row r="1375">
          <cell r="A1375" t="str">
            <v>P0443</v>
          </cell>
          <cell r="Q1375">
            <v>44287</v>
          </cell>
        </row>
        <row r="1376">
          <cell r="A1376" t="str">
            <v>PEPPL0443</v>
          </cell>
          <cell r="Q1376">
            <v>44539</v>
          </cell>
        </row>
        <row r="1377">
          <cell r="A1377" t="str">
            <v>PEPPL0444</v>
          </cell>
          <cell r="Q1377">
            <v>44543</v>
          </cell>
        </row>
        <row r="1378">
          <cell r="A1378" t="str">
            <v>P0444</v>
          </cell>
          <cell r="Q1378">
            <v>44410</v>
          </cell>
        </row>
        <row r="1379">
          <cell r="A1379" t="str">
            <v>PEIPL0444</v>
          </cell>
          <cell r="Q1379">
            <v>45169</v>
          </cell>
        </row>
        <row r="1380">
          <cell r="A1380" t="str">
            <v>PEIPL0445</v>
          </cell>
          <cell r="Q1380">
            <v>45169</v>
          </cell>
        </row>
        <row r="1381">
          <cell r="A1381" t="str">
            <v>P0445</v>
          </cell>
          <cell r="Q1381">
            <v>44287</v>
          </cell>
        </row>
        <row r="1382">
          <cell r="A1382" t="str">
            <v>PEPPL0445</v>
          </cell>
          <cell r="Q1382">
            <v>44545</v>
          </cell>
        </row>
        <row r="1383">
          <cell r="A1383" t="str">
            <v>PEPPL0446</v>
          </cell>
          <cell r="Q1383">
            <v>44545</v>
          </cell>
        </row>
        <row r="1384">
          <cell r="A1384" t="str">
            <v>P0446</v>
          </cell>
          <cell r="Q1384">
            <v>44287</v>
          </cell>
        </row>
        <row r="1385">
          <cell r="A1385" t="str">
            <v>PEIPL0446</v>
          </cell>
          <cell r="Q1385">
            <v>45169</v>
          </cell>
        </row>
        <row r="1386">
          <cell r="A1386" t="str">
            <v>PEIPL0447</v>
          </cell>
          <cell r="Q1386">
            <v>45170</v>
          </cell>
        </row>
        <row r="1387">
          <cell r="A1387" t="str">
            <v>P0447</v>
          </cell>
          <cell r="Q1387">
            <v>44420</v>
          </cell>
        </row>
        <row r="1388">
          <cell r="A1388" t="str">
            <v>PEPPL0447</v>
          </cell>
          <cell r="Q1388">
            <v>44550</v>
          </cell>
        </row>
        <row r="1389">
          <cell r="A1389" t="str">
            <v>PEPPL0448</v>
          </cell>
          <cell r="Q1389">
            <v>44550</v>
          </cell>
        </row>
        <row r="1390">
          <cell r="A1390" t="str">
            <v>P0448</v>
          </cell>
          <cell r="Q1390">
            <v>44440</v>
          </cell>
        </row>
        <row r="1391">
          <cell r="A1391" t="str">
            <v>PEIPL0448</v>
          </cell>
          <cell r="Q1391">
            <v>45170</v>
          </cell>
        </row>
        <row r="1392">
          <cell r="A1392" t="str">
            <v>PEIPL0449</v>
          </cell>
          <cell r="Q1392">
            <v>45174</v>
          </cell>
        </row>
        <row r="1393">
          <cell r="A1393" t="str">
            <v>P0449</v>
          </cell>
          <cell r="Q1393">
            <v>44440</v>
          </cell>
        </row>
        <row r="1394">
          <cell r="A1394" t="str">
            <v>PEPPL0449</v>
          </cell>
          <cell r="Q1394">
            <v>44550</v>
          </cell>
        </row>
        <row r="1395">
          <cell r="A1395" t="str">
            <v>PSS0449</v>
          </cell>
          <cell r="Q1395">
            <v>42780</v>
          </cell>
        </row>
        <row r="1396">
          <cell r="A1396" t="str">
            <v>PEPPL0450</v>
          </cell>
          <cell r="Q1396">
            <v>44550</v>
          </cell>
        </row>
        <row r="1397">
          <cell r="A1397" t="str">
            <v>P0450</v>
          </cell>
          <cell r="Q1397">
            <v>44452</v>
          </cell>
        </row>
        <row r="1398">
          <cell r="A1398" t="str">
            <v>PSS0450</v>
          </cell>
          <cell r="Q1398">
            <v>42786</v>
          </cell>
        </row>
        <row r="1399">
          <cell r="A1399" t="str">
            <v>PEIPL0450</v>
          </cell>
          <cell r="Q1399">
            <v>45174</v>
          </cell>
        </row>
        <row r="1400">
          <cell r="A1400" t="str">
            <v>PEIPL0451</v>
          </cell>
          <cell r="Q1400">
            <v>45176</v>
          </cell>
        </row>
        <row r="1401">
          <cell r="A1401" t="str">
            <v>P0451</v>
          </cell>
          <cell r="Q1401">
            <v>44501</v>
          </cell>
        </row>
        <row r="1402">
          <cell r="A1402" t="str">
            <v>PEPPL0451</v>
          </cell>
          <cell r="Q1402">
            <v>44550</v>
          </cell>
        </row>
        <row r="1403">
          <cell r="A1403" t="str">
            <v>PEPPL0452</v>
          </cell>
          <cell r="Q1403">
            <v>44550</v>
          </cell>
        </row>
        <row r="1404">
          <cell r="A1404" t="str">
            <v>P0452</v>
          </cell>
          <cell r="Q1404">
            <v>44501</v>
          </cell>
        </row>
        <row r="1405">
          <cell r="A1405" t="str">
            <v>PSS0452</v>
          </cell>
          <cell r="Q1405">
            <v>42779</v>
          </cell>
        </row>
        <row r="1406">
          <cell r="A1406" t="str">
            <v>PEIPL0452</v>
          </cell>
          <cell r="Q1406">
            <v>45176</v>
          </cell>
        </row>
        <row r="1407">
          <cell r="A1407" t="str">
            <v>PEIPL0453</v>
          </cell>
          <cell r="Q1407">
            <v>45176</v>
          </cell>
        </row>
        <row r="1408">
          <cell r="A1408" t="str">
            <v>P0453</v>
          </cell>
          <cell r="Q1408">
            <v>44515</v>
          </cell>
        </row>
        <row r="1409">
          <cell r="A1409" t="str">
            <v>PEPPL0453</v>
          </cell>
          <cell r="Q1409">
            <v>44552</v>
          </cell>
        </row>
        <row r="1410">
          <cell r="A1410" t="str">
            <v>PEPPL0454</v>
          </cell>
          <cell r="Q1410">
            <v>44546</v>
          </cell>
        </row>
        <row r="1411">
          <cell r="A1411" t="str">
            <v>P0454</v>
          </cell>
          <cell r="Q1411">
            <v>44550</v>
          </cell>
        </row>
        <row r="1412">
          <cell r="A1412" t="str">
            <v>PEIPL0454</v>
          </cell>
          <cell r="Q1412">
            <v>45183</v>
          </cell>
        </row>
        <row r="1413">
          <cell r="A1413" t="str">
            <v>PEIPL0455</v>
          </cell>
          <cell r="Q1413">
            <v>45183</v>
          </cell>
        </row>
        <row r="1414">
          <cell r="A1414" t="str">
            <v>PEPPL0455</v>
          </cell>
          <cell r="Q1414">
            <v>44546</v>
          </cell>
        </row>
        <row r="1415">
          <cell r="A1415" t="str">
            <v>P0455</v>
          </cell>
          <cell r="Q1415">
            <v>44554</v>
          </cell>
        </row>
        <row r="1416">
          <cell r="A1416" t="str">
            <v>PEPPL0456</v>
          </cell>
          <cell r="Q1416">
            <v>44546</v>
          </cell>
        </row>
        <row r="1417">
          <cell r="A1417" t="str">
            <v>PEIPL0456</v>
          </cell>
          <cell r="Q1417">
            <v>45183</v>
          </cell>
        </row>
        <row r="1418">
          <cell r="A1418" t="str">
            <v>P0456</v>
          </cell>
          <cell r="Q1418">
            <v>44593</v>
          </cell>
        </row>
        <row r="1419">
          <cell r="A1419" t="str">
            <v>P0457</v>
          </cell>
          <cell r="Q1419">
            <v>44607</v>
          </cell>
        </row>
        <row r="1420">
          <cell r="A1420" t="str">
            <v>PEIPL0457</v>
          </cell>
          <cell r="Q1420">
            <v>45184</v>
          </cell>
        </row>
        <row r="1421">
          <cell r="A1421" t="str">
            <v>PEPPL0457</v>
          </cell>
          <cell r="Q1421">
            <v>44546</v>
          </cell>
        </row>
        <row r="1422">
          <cell r="A1422" t="str">
            <v>PEPPL0458</v>
          </cell>
          <cell r="Q1422">
            <v>44554</v>
          </cell>
        </row>
        <row r="1423">
          <cell r="A1423" t="str">
            <v>PEIPL0458</v>
          </cell>
          <cell r="Q1423">
            <v>45184</v>
          </cell>
        </row>
        <row r="1424">
          <cell r="A1424" t="str">
            <v>P0458</v>
          </cell>
          <cell r="Q1424">
            <v>44621</v>
          </cell>
        </row>
        <row r="1425">
          <cell r="A1425" t="str">
            <v>P0459</v>
          </cell>
          <cell r="Q1425">
            <v>44629</v>
          </cell>
        </row>
        <row r="1426">
          <cell r="A1426" t="str">
            <v>PEIPL0459</v>
          </cell>
          <cell r="Q1426">
            <v>45190</v>
          </cell>
        </row>
        <row r="1427">
          <cell r="A1427" t="str">
            <v>PEPPL0459</v>
          </cell>
          <cell r="Q1427">
            <v>44531</v>
          </cell>
        </row>
        <row r="1428">
          <cell r="A1428" t="str">
            <v>PEPPL0460</v>
          </cell>
          <cell r="Q1428">
            <v>44546</v>
          </cell>
        </row>
        <row r="1429">
          <cell r="A1429" t="str">
            <v>PEIPL0460</v>
          </cell>
          <cell r="Q1429">
            <v>45190</v>
          </cell>
        </row>
        <row r="1430">
          <cell r="A1430" t="str">
            <v>P0460</v>
          </cell>
          <cell r="Q1430">
            <v>44662</v>
          </cell>
        </row>
        <row r="1431">
          <cell r="A1431" t="str">
            <v>P0461</v>
          </cell>
          <cell r="Q1431">
            <v>44713</v>
          </cell>
        </row>
        <row r="1432">
          <cell r="A1432" t="str">
            <v>PEIPL0461</v>
          </cell>
          <cell r="Q1432">
            <v>45190</v>
          </cell>
        </row>
        <row r="1433">
          <cell r="A1433" t="str">
            <v>PEPPL0461</v>
          </cell>
          <cell r="Q1433">
            <v>44546</v>
          </cell>
        </row>
        <row r="1434">
          <cell r="A1434" t="str">
            <v>PEPPL0462</v>
          </cell>
          <cell r="Q1434">
            <v>44564</v>
          </cell>
        </row>
        <row r="1435">
          <cell r="A1435" t="str">
            <v>PEIPL0462</v>
          </cell>
          <cell r="Q1435">
            <v>45190</v>
          </cell>
        </row>
        <row r="1436">
          <cell r="A1436" t="str">
            <v>P0462</v>
          </cell>
          <cell r="Q1436">
            <v>45017</v>
          </cell>
        </row>
        <row r="1437">
          <cell r="A1437" t="str">
            <v>P0463</v>
          </cell>
          <cell r="Q1437">
            <v>45047</v>
          </cell>
        </row>
        <row r="1438">
          <cell r="A1438" t="str">
            <v>PEIPL0463</v>
          </cell>
          <cell r="Q1438">
            <v>45190</v>
          </cell>
        </row>
        <row r="1439">
          <cell r="A1439" t="str">
            <v>PEPPL0463</v>
          </cell>
          <cell r="Q1439">
            <v>44564</v>
          </cell>
        </row>
        <row r="1440">
          <cell r="A1440" t="str">
            <v>PEPPL0464</v>
          </cell>
          <cell r="Q1440">
            <v>44564</v>
          </cell>
        </row>
        <row r="1441">
          <cell r="A1441" t="str">
            <v>PSS0464</v>
          </cell>
          <cell r="Q1441">
            <v>42826</v>
          </cell>
        </row>
        <row r="1442">
          <cell r="A1442" t="str">
            <v>PEIPL0464</v>
          </cell>
          <cell r="Q1442">
            <v>45190</v>
          </cell>
        </row>
        <row r="1443">
          <cell r="A1443" t="str">
            <v>P0464</v>
          </cell>
          <cell r="Q1443">
            <v>45078</v>
          </cell>
        </row>
        <row r="1444">
          <cell r="A1444" t="str">
            <v>P0465</v>
          </cell>
          <cell r="Q1444">
            <v>45119</v>
          </cell>
        </row>
        <row r="1445">
          <cell r="A1445" t="str">
            <v>PEIPL0465</v>
          </cell>
          <cell r="Q1445">
            <v>45191</v>
          </cell>
        </row>
        <row r="1446">
          <cell r="A1446" t="str">
            <v>PEPPL0465</v>
          </cell>
          <cell r="Q1446">
            <v>44564</v>
          </cell>
        </row>
        <row r="1447">
          <cell r="A1447" t="str">
            <v>PEPPL0466</v>
          </cell>
          <cell r="Q1447">
            <v>44565</v>
          </cell>
        </row>
        <row r="1448">
          <cell r="A1448" t="str">
            <v>PEIPL0466</v>
          </cell>
          <cell r="Q1448">
            <v>45194</v>
          </cell>
        </row>
        <row r="1449">
          <cell r="A1449" t="str">
            <v>P0466</v>
          </cell>
          <cell r="Q1449">
            <v>45134</v>
          </cell>
        </row>
        <row r="1450">
          <cell r="A1450" t="str">
            <v>P0467</v>
          </cell>
          <cell r="Q1450">
            <v>45162</v>
          </cell>
        </row>
        <row r="1451">
          <cell r="A1451" t="str">
            <v>PEIPL0467</v>
          </cell>
          <cell r="Q1451">
            <v>45195</v>
          </cell>
        </row>
        <row r="1452">
          <cell r="A1452" t="str">
            <v>PEPPL0467</v>
          </cell>
          <cell r="Q1452">
            <v>44565</v>
          </cell>
        </row>
        <row r="1453">
          <cell r="A1453" t="str">
            <v>PSS0467</v>
          </cell>
          <cell r="Q1453">
            <v>42583</v>
          </cell>
        </row>
        <row r="1454">
          <cell r="A1454" t="str">
            <v>PEPPL0468</v>
          </cell>
          <cell r="Q1454">
            <v>44566</v>
          </cell>
        </row>
        <row r="1455">
          <cell r="A1455" t="str">
            <v>PEIPL0468</v>
          </cell>
          <cell r="Q1455">
            <v>45196</v>
          </cell>
        </row>
        <row r="1456">
          <cell r="A1456" t="str">
            <v>P0468</v>
          </cell>
          <cell r="Q1456">
            <v>45268</v>
          </cell>
        </row>
        <row r="1457">
          <cell r="A1457" t="str">
            <v>P0469</v>
          </cell>
          <cell r="Q1457">
            <v>45352</v>
          </cell>
        </row>
        <row r="1458">
          <cell r="A1458" t="str">
            <v>PEIPL0469</v>
          </cell>
          <cell r="Q1458">
            <v>45197</v>
          </cell>
        </row>
        <row r="1459">
          <cell r="A1459" t="str">
            <v>PEPPL0469</v>
          </cell>
          <cell r="Q1459">
            <v>44568</v>
          </cell>
        </row>
        <row r="1460">
          <cell r="A1460" t="str">
            <v>PSS0469</v>
          </cell>
          <cell r="Q1460">
            <v>42858</v>
          </cell>
        </row>
        <row r="1461">
          <cell r="A1461" t="str">
            <v>PEPPL0470</v>
          </cell>
          <cell r="Q1461">
            <v>44568</v>
          </cell>
        </row>
        <row r="1462">
          <cell r="A1462" t="str">
            <v>PEIPL0470</v>
          </cell>
          <cell r="Q1462">
            <v>45197</v>
          </cell>
        </row>
        <row r="1463">
          <cell r="A1463" t="str">
            <v>P0470</v>
          </cell>
          <cell r="Q1463">
            <v>45352</v>
          </cell>
        </row>
        <row r="1464">
          <cell r="A1464" t="str">
            <v>P0471</v>
          </cell>
          <cell r="Q1464">
            <v>45352</v>
          </cell>
        </row>
        <row r="1465">
          <cell r="A1465" t="str">
            <v>PEIPL0471</v>
          </cell>
          <cell r="Q1465">
            <v>45197</v>
          </cell>
        </row>
        <row r="1466">
          <cell r="A1466" t="str">
            <v>PEPPL0471</v>
          </cell>
          <cell r="Q1466">
            <v>44566</v>
          </cell>
        </row>
        <row r="1467">
          <cell r="A1467" t="str">
            <v>PEPPL0472</v>
          </cell>
          <cell r="Q1467">
            <v>44566</v>
          </cell>
        </row>
        <row r="1468">
          <cell r="A1468" t="str">
            <v>PSS0472</v>
          </cell>
          <cell r="Q1468">
            <v>42827</v>
          </cell>
        </row>
        <row r="1469">
          <cell r="A1469" t="str">
            <v>PEIPL0472</v>
          </cell>
          <cell r="Q1469">
            <v>45197</v>
          </cell>
        </row>
        <row r="1470">
          <cell r="A1470" t="str">
            <v>P0472</v>
          </cell>
          <cell r="Q1470">
            <v>45352</v>
          </cell>
        </row>
        <row r="1471">
          <cell r="A1471" t="str">
            <v>P0473</v>
          </cell>
          <cell r="Q1471">
            <v>45352</v>
          </cell>
        </row>
        <row r="1472">
          <cell r="A1472" t="str">
            <v>PEIPL0473</v>
          </cell>
          <cell r="Q1472">
            <v>45197</v>
          </cell>
        </row>
        <row r="1473">
          <cell r="A1473" t="str">
            <v>PEPPL0473</v>
          </cell>
          <cell r="Q1473">
            <v>44566</v>
          </cell>
        </row>
        <row r="1474">
          <cell r="A1474" t="str">
            <v>PEPPL0474</v>
          </cell>
          <cell r="Q1474">
            <v>44566</v>
          </cell>
        </row>
        <row r="1475">
          <cell r="A1475" t="str">
            <v>PEIPL0474</v>
          </cell>
          <cell r="Q1475">
            <v>45197</v>
          </cell>
        </row>
        <row r="1476">
          <cell r="A1476" t="str">
            <v>P0474</v>
          </cell>
          <cell r="Q1476">
            <v>45352</v>
          </cell>
        </row>
        <row r="1477">
          <cell r="A1477" t="str">
            <v>P0475</v>
          </cell>
          <cell r="Q1477">
            <v>45352</v>
          </cell>
        </row>
        <row r="1478">
          <cell r="A1478" t="str">
            <v>PEIPL0475</v>
          </cell>
          <cell r="Q1478">
            <v>45197</v>
          </cell>
        </row>
        <row r="1479">
          <cell r="A1479" t="str">
            <v>PEPPL0475</v>
          </cell>
          <cell r="Q1479">
            <v>44566</v>
          </cell>
        </row>
        <row r="1480">
          <cell r="A1480" t="str">
            <v>PEPPL0476</v>
          </cell>
          <cell r="Q1480">
            <v>44571</v>
          </cell>
        </row>
        <row r="1481">
          <cell r="A1481" t="str">
            <v>PEIPL0476</v>
          </cell>
          <cell r="Q1481">
            <v>45198</v>
          </cell>
        </row>
        <row r="1482">
          <cell r="A1482" t="str">
            <v>P0476</v>
          </cell>
          <cell r="Q1482">
            <v>45352</v>
          </cell>
        </row>
        <row r="1483">
          <cell r="A1483" t="str">
            <v>P0477</v>
          </cell>
          <cell r="Q1483">
            <v>45352</v>
          </cell>
        </row>
        <row r="1484">
          <cell r="A1484" t="str">
            <v>PEIPL0477</v>
          </cell>
          <cell r="Q1484">
            <v>45199</v>
          </cell>
        </row>
        <row r="1485">
          <cell r="A1485" t="str">
            <v>PEPPL0477</v>
          </cell>
          <cell r="Q1485">
            <v>44571</v>
          </cell>
        </row>
        <row r="1486">
          <cell r="A1486" t="str">
            <v>PSS0477</v>
          </cell>
          <cell r="Q1486">
            <v>42836</v>
          </cell>
        </row>
        <row r="1487">
          <cell r="A1487" t="str">
            <v>PEPPL0478</v>
          </cell>
          <cell r="Q1487">
            <v>44566</v>
          </cell>
        </row>
        <row r="1488">
          <cell r="A1488" t="str">
            <v>PEIPL0478</v>
          </cell>
          <cell r="Q1488">
            <v>45199</v>
          </cell>
        </row>
        <row r="1489">
          <cell r="A1489" t="str">
            <v>P0478</v>
          </cell>
          <cell r="Q1489">
            <v>45352</v>
          </cell>
        </row>
        <row r="1490">
          <cell r="A1490" t="str">
            <v>P0479</v>
          </cell>
          <cell r="Q1490">
            <v>45352</v>
          </cell>
        </row>
        <row r="1491">
          <cell r="A1491" t="str">
            <v>PEIPL0479</v>
          </cell>
          <cell r="Q1491">
            <v>45200</v>
          </cell>
        </row>
        <row r="1492">
          <cell r="A1492" t="str">
            <v>PEPPL0479</v>
          </cell>
          <cell r="Q1492">
            <v>44566</v>
          </cell>
        </row>
        <row r="1493">
          <cell r="A1493" t="str">
            <v>PEPPL0480</v>
          </cell>
          <cell r="Q1493">
            <v>44578</v>
          </cell>
        </row>
        <row r="1494">
          <cell r="A1494" t="str">
            <v>PEIPL0480</v>
          </cell>
          <cell r="Q1494">
            <v>45202</v>
          </cell>
        </row>
        <row r="1495">
          <cell r="A1495" t="str">
            <v>P0480</v>
          </cell>
          <cell r="Q1495">
            <v>45352</v>
          </cell>
        </row>
        <row r="1496">
          <cell r="A1496" t="str">
            <v>P0481</v>
          </cell>
          <cell r="Q1496">
            <v>45352</v>
          </cell>
        </row>
        <row r="1497">
          <cell r="A1497" t="str">
            <v>PEIPL0481</v>
          </cell>
          <cell r="Q1497">
            <v>45200</v>
          </cell>
        </row>
        <row r="1498">
          <cell r="A1498" t="str">
            <v>PEPPL0481</v>
          </cell>
          <cell r="Q1498">
            <v>44578</v>
          </cell>
        </row>
        <row r="1499">
          <cell r="A1499" t="str">
            <v>PEPPL0482</v>
          </cell>
          <cell r="Q1499">
            <v>44581</v>
          </cell>
        </row>
        <row r="1500">
          <cell r="A1500" t="str">
            <v>PSS0482</v>
          </cell>
          <cell r="Q1500">
            <v>42859</v>
          </cell>
        </row>
        <row r="1501">
          <cell r="A1501" t="str">
            <v>PEIPL0482</v>
          </cell>
          <cell r="Q1501">
            <v>45200</v>
          </cell>
        </row>
        <row r="1502">
          <cell r="A1502" t="str">
            <v>P0482</v>
          </cell>
          <cell r="Q1502">
            <v>45352</v>
          </cell>
        </row>
        <row r="1503">
          <cell r="A1503" t="str">
            <v>P0483</v>
          </cell>
          <cell r="Q1503">
            <v>45352</v>
          </cell>
        </row>
        <row r="1504">
          <cell r="A1504" t="str">
            <v>PEIPL0483</v>
          </cell>
          <cell r="Q1504">
            <v>45200</v>
          </cell>
        </row>
        <row r="1505">
          <cell r="A1505" t="str">
            <v>PSS0483</v>
          </cell>
          <cell r="Q1505">
            <v>42900</v>
          </cell>
        </row>
        <row r="1506">
          <cell r="A1506" t="str">
            <v>PEPPL0483</v>
          </cell>
          <cell r="Q1506">
            <v>44585</v>
          </cell>
        </row>
        <row r="1507">
          <cell r="A1507" t="str">
            <v>PEPPL0484</v>
          </cell>
          <cell r="Q1507">
            <v>44582</v>
          </cell>
        </row>
        <row r="1508">
          <cell r="A1508" t="str">
            <v>PEIPL0484</v>
          </cell>
          <cell r="Q1508">
            <v>45200</v>
          </cell>
        </row>
        <row r="1509">
          <cell r="A1509" t="str">
            <v>P0484</v>
          </cell>
          <cell r="Q1509">
            <v>45352</v>
          </cell>
        </row>
        <row r="1510">
          <cell r="A1510" t="str">
            <v>P0485</v>
          </cell>
          <cell r="Q1510">
            <v>45352</v>
          </cell>
        </row>
        <row r="1511">
          <cell r="A1511" t="str">
            <v>PEIPL0485</v>
          </cell>
          <cell r="Q1511">
            <v>45200</v>
          </cell>
        </row>
        <row r="1512">
          <cell r="A1512" t="str">
            <v>PEPPL0485</v>
          </cell>
          <cell r="Q1512">
            <v>44594</v>
          </cell>
        </row>
        <row r="1513">
          <cell r="A1513" t="str">
            <v>PSS0485</v>
          </cell>
          <cell r="Q1513">
            <v>42858</v>
          </cell>
        </row>
        <row r="1514">
          <cell r="A1514" t="str">
            <v>PEPPL0486</v>
          </cell>
          <cell r="Q1514">
            <v>44594</v>
          </cell>
        </row>
        <row r="1515">
          <cell r="A1515" t="str">
            <v>PEIPL0486</v>
          </cell>
          <cell r="Q1515">
            <v>45200</v>
          </cell>
        </row>
        <row r="1516">
          <cell r="A1516" t="str">
            <v>P0486</v>
          </cell>
          <cell r="Q1516">
            <v>45352</v>
          </cell>
        </row>
        <row r="1517">
          <cell r="A1517" t="str">
            <v>P0487</v>
          </cell>
          <cell r="Q1517">
            <v>45352</v>
          </cell>
        </row>
        <row r="1518">
          <cell r="A1518" t="str">
            <v>PEIPL0487</v>
          </cell>
          <cell r="Q1518">
            <v>45200</v>
          </cell>
        </row>
        <row r="1519">
          <cell r="A1519" t="str">
            <v>PEPPL0487</v>
          </cell>
          <cell r="Q1519">
            <v>44593</v>
          </cell>
        </row>
        <row r="1520">
          <cell r="A1520" t="str">
            <v>PEPPL0488</v>
          </cell>
          <cell r="Q1520">
            <v>44593</v>
          </cell>
        </row>
        <row r="1521">
          <cell r="A1521" t="str">
            <v>PEIPL0488</v>
          </cell>
          <cell r="Q1521">
            <v>45200</v>
          </cell>
        </row>
        <row r="1522">
          <cell r="A1522" t="str">
            <v>P0488</v>
          </cell>
          <cell r="Q1522">
            <v>45352</v>
          </cell>
        </row>
        <row r="1523">
          <cell r="A1523" t="str">
            <v>P0489</v>
          </cell>
          <cell r="Q1523">
            <v>45352</v>
          </cell>
        </row>
        <row r="1524">
          <cell r="A1524" t="str">
            <v>PEIPL0489</v>
          </cell>
          <cell r="Q1524">
            <v>45200</v>
          </cell>
        </row>
        <row r="1525">
          <cell r="A1525" t="str">
            <v>PEPPL0489</v>
          </cell>
          <cell r="Q1525">
            <v>44593</v>
          </cell>
        </row>
        <row r="1526">
          <cell r="A1526" t="str">
            <v>PEPPL0490</v>
          </cell>
          <cell r="Q1526">
            <v>44593</v>
          </cell>
        </row>
        <row r="1527">
          <cell r="A1527" t="str">
            <v>PEIPL0490</v>
          </cell>
          <cell r="Q1527">
            <v>45200</v>
          </cell>
        </row>
        <row r="1528">
          <cell r="A1528" t="str">
            <v>P0490</v>
          </cell>
          <cell r="Q1528">
            <v>45352</v>
          </cell>
        </row>
        <row r="1529">
          <cell r="A1529" t="str">
            <v>P0491</v>
          </cell>
          <cell r="Q1529">
            <v>45352</v>
          </cell>
        </row>
        <row r="1530">
          <cell r="A1530" t="str">
            <v>PEIPL0491</v>
          </cell>
          <cell r="Q1530">
            <v>45200</v>
          </cell>
        </row>
        <row r="1531">
          <cell r="A1531" t="str">
            <v>PEPPL0491</v>
          </cell>
          <cell r="Q1531">
            <v>44593</v>
          </cell>
        </row>
        <row r="1532">
          <cell r="A1532" t="str">
            <v>PEPPL0492</v>
          </cell>
          <cell r="Q1532">
            <v>44593</v>
          </cell>
        </row>
        <row r="1533">
          <cell r="A1533" t="str">
            <v>PEIPL0492</v>
          </cell>
          <cell r="Q1533">
            <v>45200</v>
          </cell>
        </row>
        <row r="1534">
          <cell r="A1534" t="str">
            <v>P0492</v>
          </cell>
          <cell r="Q1534">
            <v>45352</v>
          </cell>
        </row>
        <row r="1535">
          <cell r="A1535" t="str">
            <v>P0493</v>
          </cell>
          <cell r="Q1535">
            <v>45352</v>
          </cell>
        </row>
        <row r="1536">
          <cell r="A1536" t="str">
            <v>PEIPL0493</v>
          </cell>
          <cell r="Q1536">
            <v>45200</v>
          </cell>
        </row>
        <row r="1537">
          <cell r="A1537" t="str">
            <v>PEPPL0493</v>
          </cell>
          <cell r="Q1537">
            <v>44593</v>
          </cell>
        </row>
        <row r="1538">
          <cell r="A1538" t="str">
            <v>PEPPL0494</v>
          </cell>
          <cell r="Q1538">
            <v>44593</v>
          </cell>
        </row>
        <row r="1539">
          <cell r="A1539" t="str">
            <v>PEIPL0494</v>
          </cell>
          <cell r="Q1539">
            <v>45200</v>
          </cell>
        </row>
        <row r="1540">
          <cell r="A1540" t="str">
            <v>P0494</v>
          </cell>
          <cell r="Q1540">
            <v>45352</v>
          </cell>
        </row>
        <row r="1541">
          <cell r="A1541" t="str">
            <v>P0495</v>
          </cell>
          <cell r="Q1541">
            <v>45352</v>
          </cell>
        </row>
        <row r="1542">
          <cell r="A1542" t="str">
            <v>PEIPL0495</v>
          </cell>
          <cell r="Q1542">
            <v>45200</v>
          </cell>
        </row>
        <row r="1543">
          <cell r="A1543" t="str">
            <v>PEPPL0495</v>
          </cell>
          <cell r="Q1543">
            <v>44593</v>
          </cell>
        </row>
        <row r="1544">
          <cell r="A1544" t="str">
            <v>PEPPL0496</v>
          </cell>
          <cell r="Q1544">
            <v>44593</v>
          </cell>
        </row>
        <row r="1545">
          <cell r="A1545" t="str">
            <v>PEIPL0496</v>
          </cell>
          <cell r="Q1545">
            <v>45200</v>
          </cell>
        </row>
        <row r="1546">
          <cell r="A1546" t="str">
            <v>P0496</v>
          </cell>
          <cell r="Q1546">
            <v>45352</v>
          </cell>
        </row>
        <row r="1547">
          <cell r="A1547" t="str">
            <v>P0497</v>
          </cell>
          <cell r="Q1547">
            <v>45352</v>
          </cell>
        </row>
        <row r="1548">
          <cell r="A1548" t="str">
            <v>PEIPL0497</v>
          </cell>
          <cell r="Q1548">
            <v>45200</v>
          </cell>
        </row>
        <row r="1549">
          <cell r="A1549" t="str">
            <v>PEPPL0497</v>
          </cell>
          <cell r="Q1549">
            <v>44593</v>
          </cell>
        </row>
        <row r="1550">
          <cell r="A1550" t="str">
            <v>PSS0497</v>
          </cell>
          <cell r="Q1550">
            <v>42898</v>
          </cell>
        </row>
        <row r="1551">
          <cell r="A1551" t="str">
            <v>PEPPL0498</v>
          </cell>
          <cell r="Q1551">
            <v>44593</v>
          </cell>
        </row>
        <row r="1552">
          <cell r="A1552" t="str">
            <v>PEIPL0498</v>
          </cell>
          <cell r="Q1552">
            <v>45200</v>
          </cell>
        </row>
        <row r="1553">
          <cell r="A1553" t="str">
            <v>P0498</v>
          </cell>
          <cell r="Q1553">
            <v>45366</v>
          </cell>
        </row>
        <row r="1554">
          <cell r="A1554" t="str">
            <v>P0499</v>
          </cell>
          <cell r="Q1554">
            <v>45385</v>
          </cell>
        </row>
        <row r="1555">
          <cell r="A1555" t="str">
            <v>PEIPL0499</v>
          </cell>
          <cell r="Q1555">
            <v>45200</v>
          </cell>
        </row>
        <row r="1556">
          <cell r="A1556" t="str">
            <v>PEPPL0499</v>
          </cell>
          <cell r="Q1556">
            <v>44593</v>
          </cell>
        </row>
        <row r="1557">
          <cell r="A1557" t="str">
            <v>PEPPL0500</v>
          </cell>
          <cell r="Q1557">
            <v>44593</v>
          </cell>
        </row>
        <row r="1558">
          <cell r="A1558" t="str">
            <v>PEIPL0500</v>
          </cell>
          <cell r="Q1558">
            <v>45200</v>
          </cell>
        </row>
        <row r="1559">
          <cell r="A1559" t="str">
            <v>P0500</v>
          </cell>
          <cell r="Q1559">
            <v>45400</v>
          </cell>
        </row>
        <row r="1560">
          <cell r="A1560" t="str">
            <v>P0501</v>
          </cell>
          <cell r="Q1560">
            <v>45427</v>
          </cell>
        </row>
        <row r="1561">
          <cell r="A1561" t="str">
            <v>PEIPL0501</v>
          </cell>
          <cell r="Q1561">
            <v>45200</v>
          </cell>
        </row>
        <row r="1562">
          <cell r="A1562" t="str">
            <v>PEPPL0501</v>
          </cell>
          <cell r="Q1562">
            <v>44593</v>
          </cell>
        </row>
        <row r="1563">
          <cell r="A1563" t="str">
            <v>PSS0501</v>
          </cell>
          <cell r="Q1563">
            <v>39868</v>
          </cell>
        </row>
        <row r="1564">
          <cell r="A1564" t="str">
            <v>PEPPL0502</v>
          </cell>
          <cell r="Q1564">
            <v>44593</v>
          </cell>
        </row>
        <row r="1565">
          <cell r="A1565" t="str">
            <v>PEIPL0502</v>
          </cell>
          <cell r="Q1565">
            <v>45200</v>
          </cell>
        </row>
        <row r="1566">
          <cell r="A1566" t="str">
            <v>P0502</v>
          </cell>
          <cell r="Q1566">
            <v>45422</v>
          </cell>
        </row>
        <row r="1567">
          <cell r="A1567" t="str">
            <v>P0503</v>
          </cell>
          <cell r="Q1567">
            <v>45427</v>
          </cell>
        </row>
        <row r="1568">
          <cell r="A1568" t="str">
            <v>PEIPL0503</v>
          </cell>
          <cell r="Q1568">
            <v>45200</v>
          </cell>
        </row>
        <row r="1569">
          <cell r="A1569" t="str">
            <v>PEPPL0503</v>
          </cell>
          <cell r="Q1569">
            <v>44593</v>
          </cell>
        </row>
        <row r="1570">
          <cell r="A1570" t="str">
            <v>PEPPL0504</v>
          </cell>
          <cell r="Q1570">
            <v>44593</v>
          </cell>
        </row>
        <row r="1571">
          <cell r="A1571" t="str">
            <v>PEIPL0504</v>
          </cell>
          <cell r="Q1571">
            <v>45200</v>
          </cell>
        </row>
        <row r="1572">
          <cell r="A1572" t="str">
            <v>P0504</v>
          </cell>
          <cell r="Q1572">
            <v>45460</v>
          </cell>
        </row>
        <row r="1573">
          <cell r="A1573" t="str">
            <v>P0505</v>
          </cell>
          <cell r="Q1573">
            <v>45461</v>
          </cell>
        </row>
        <row r="1574">
          <cell r="A1574" t="str">
            <v>PEIPL0505</v>
          </cell>
          <cell r="Q1574">
            <v>45204</v>
          </cell>
        </row>
        <row r="1575">
          <cell r="A1575" t="str">
            <v>PEPPL0505</v>
          </cell>
          <cell r="Q1575">
            <v>44593</v>
          </cell>
        </row>
        <row r="1576">
          <cell r="A1576" t="str">
            <v>PSS0505</v>
          </cell>
          <cell r="Q1576">
            <v>39904</v>
          </cell>
        </row>
        <row r="1577">
          <cell r="A1577" t="str">
            <v>PEPPL0506</v>
          </cell>
          <cell r="Q1577">
            <v>44593</v>
          </cell>
        </row>
        <row r="1578">
          <cell r="A1578" t="str">
            <v>PEIPL0506</v>
          </cell>
          <cell r="Q1578">
            <v>45200</v>
          </cell>
        </row>
        <row r="1579">
          <cell r="A1579" t="str">
            <v>P0506</v>
          </cell>
          <cell r="Q1579">
            <v>45474</v>
          </cell>
        </row>
        <row r="1580">
          <cell r="A1580" t="str">
            <v>P0507</v>
          </cell>
          <cell r="Q1580">
            <v>45505</v>
          </cell>
        </row>
        <row r="1581">
          <cell r="A1581" t="str">
            <v>PEIPL0507</v>
          </cell>
          <cell r="Q1581">
            <v>45200</v>
          </cell>
        </row>
        <row r="1582">
          <cell r="A1582" t="str">
            <v>PEPPL0507</v>
          </cell>
          <cell r="Q1582">
            <v>44593</v>
          </cell>
        </row>
        <row r="1583">
          <cell r="A1583" t="str">
            <v>PEPPL0508</v>
          </cell>
          <cell r="Q1583">
            <v>44593</v>
          </cell>
        </row>
        <row r="1584">
          <cell r="A1584" t="str">
            <v>PEIPL0508</v>
          </cell>
          <cell r="Q1584">
            <v>45200</v>
          </cell>
        </row>
        <row r="1585">
          <cell r="A1585" t="str">
            <v>P0508</v>
          </cell>
          <cell r="Q1585">
            <v>45505</v>
          </cell>
        </row>
        <row r="1586">
          <cell r="A1586" t="str">
            <v>PEIPL0509</v>
          </cell>
          <cell r="Q1586">
            <v>45200</v>
          </cell>
        </row>
        <row r="1587">
          <cell r="A1587" t="str">
            <v>PEPPL0509</v>
          </cell>
          <cell r="Q1587">
            <v>44593</v>
          </cell>
        </row>
        <row r="1588">
          <cell r="A1588" t="str">
            <v>PEPPL0510</v>
          </cell>
          <cell r="Q1588">
            <v>44599</v>
          </cell>
        </row>
        <row r="1589">
          <cell r="A1589" t="str">
            <v>PEIPL0510</v>
          </cell>
          <cell r="Q1589">
            <v>45200</v>
          </cell>
        </row>
        <row r="1590">
          <cell r="A1590" t="str">
            <v>PEIPL0511</v>
          </cell>
          <cell r="Q1590">
            <v>45200</v>
          </cell>
        </row>
        <row r="1591">
          <cell r="A1591" t="str">
            <v>PEPPL0511</v>
          </cell>
          <cell r="Q1591">
            <v>44593</v>
          </cell>
        </row>
        <row r="1592">
          <cell r="A1592" t="str">
            <v>PEPPL0512</v>
          </cell>
          <cell r="Q1592">
            <v>44599</v>
          </cell>
        </row>
        <row r="1593">
          <cell r="A1593" t="str">
            <v>PEIPL0512</v>
          </cell>
          <cell r="Q1593">
            <v>45200</v>
          </cell>
        </row>
        <row r="1594">
          <cell r="A1594" t="str">
            <v>PEIPL0513</v>
          </cell>
          <cell r="Q1594">
            <v>45200</v>
          </cell>
        </row>
        <row r="1595">
          <cell r="A1595" t="str">
            <v>PEPPL0513</v>
          </cell>
          <cell r="Q1595">
            <v>44599</v>
          </cell>
        </row>
        <row r="1596">
          <cell r="A1596" t="str">
            <v>PSS0513</v>
          </cell>
          <cell r="Q1596">
            <v>42895</v>
          </cell>
        </row>
        <row r="1597">
          <cell r="A1597" t="str">
            <v>PEPPL0514</v>
          </cell>
          <cell r="Q1597">
            <v>44601</v>
          </cell>
        </row>
        <row r="1598">
          <cell r="A1598" t="str">
            <v>PEIPL0514</v>
          </cell>
          <cell r="Q1598">
            <v>45200</v>
          </cell>
        </row>
        <row r="1599">
          <cell r="A1599" t="str">
            <v>PEIPL0515</v>
          </cell>
          <cell r="Q1599">
            <v>45204</v>
          </cell>
        </row>
        <row r="1600">
          <cell r="A1600" t="str">
            <v>PEPPL0515</v>
          </cell>
          <cell r="Q1600">
            <v>44601</v>
          </cell>
        </row>
        <row r="1601">
          <cell r="A1601" t="str">
            <v>PEPPL0516</v>
          </cell>
          <cell r="Q1601">
            <v>44593</v>
          </cell>
        </row>
        <row r="1602">
          <cell r="A1602" t="str">
            <v>PEIPL0516</v>
          </cell>
          <cell r="Q1602">
            <v>45200</v>
          </cell>
        </row>
        <row r="1603">
          <cell r="A1603" t="str">
            <v>PEIPL0517</v>
          </cell>
          <cell r="Q1603">
            <v>45200</v>
          </cell>
        </row>
        <row r="1604">
          <cell r="A1604" t="str">
            <v>PEPPL0517</v>
          </cell>
          <cell r="Q1604">
            <v>44603</v>
          </cell>
        </row>
        <row r="1605">
          <cell r="A1605" t="str">
            <v>PEPPL0518</v>
          </cell>
          <cell r="Q1605">
            <v>44603</v>
          </cell>
        </row>
        <row r="1606">
          <cell r="A1606" t="str">
            <v>PEIPL0518</v>
          </cell>
          <cell r="Q1606">
            <v>45200</v>
          </cell>
        </row>
        <row r="1607">
          <cell r="A1607" t="str">
            <v>PEIPL0519</v>
          </cell>
          <cell r="Q1607">
            <v>45204</v>
          </cell>
        </row>
        <row r="1608">
          <cell r="A1608" t="str">
            <v>PEPPL0519</v>
          </cell>
          <cell r="Q1608">
            <v>44603</v>
          </cell>
        </row>
        <row r="1609">
          <cell r="A1609" t="str">
            <v>PEPPL0520</v>
          </cell>
          <cell r="Q1609">
            <v>44603</v>
          </cell>
        </row>
        <row r="1610">
          <cell r="A1610" t="str">
            <v>PEIPL0520</v>
          </cell>
          <cell r="Q1610">
            <v>45174</v>
          </cell>
        </row>
        <row r="1611">
          <cell r="A1611" t="str">
            <v>PEIPL0521</v>
          </cell>
          <cell r="Q1611">
            <v>45204</v>
          </cell>
        </row>
        <row r="1612">
          <cell r="A1612" t="str">
            <v>PEPPL0521</v>
          </cell>
          <cell r="Q1612">
            <v>44593</v>
          </cell>
        </row>
        <row r="1613">
          <cell r="A1613" t="str">
            <v>PSS0521</v>
          </cell>
          <cell r="Q1613">
            <v>42906</v>
          </cell>
        </row>
        <row r="1614">
          <cell r="A1614" t="str">
            <v>PSS0522</v>
          </cell>
          <cell r="Q1614">
            <v>40912</v>
          </cell>
        </row>
        <row r="1615">
          <cell r="A1615" t="str">
            <v>PEPPL0522</v>
          </cell>
          <cell r="Q1615">
            <v>44607</v>
          </cell>
        </row>
        <row r="1616">
          <cell r="A1616" t="str">
            <v>PEIPL0522</v>
          </cell>
          <cell r="Q1616">
            <v>45204</v>
          </cell>
        </row>
        <row r="1617">
          <cell r="A1617" t="str">
            <v>PEIPL0523</v>
          </cell>
          <cell r="Q1617">
            <v>45200</v>
          </cell>
        </row>
        <row r="1618">
          <cell r="A1618" t="str">
            <v>PEPPL0523</v>
          </cell>
          <cell r="Q1618">
            <v>44593</v>
          </cell>
        </row>
        <row r="1619">
          <cell r="A1619" t="str">
            <v>PEPPL0524</v>
          </cell>
          <cell r="Q1619">
            <v>44593</v>
          </cell>
        </row>
        <row r="1620">
          <cell r="A1620" t="str">
            <v>PEIPL0524</v>
          </cell>
          <cell r="Q1620">
            <v>45209</v>
          </cell>
        </row>
        <row r="1621">
          <cell r="A1621" t="str">
            <v>PSS0524</v>
          </cell>
          <cell r="Q1621">
            <v>40910</v>
          </cell>
        </row>
        <row r="1622">
          <cell r="A1622" t="str">
            <v>PEIPL0525</v>
          </cell>
          <cell r="Q1622">
            <v>45209</v>
          </cell>
        </row>
        <row r="1623">
          <cell r="A1623" t="str">
            <v>PEPPL0525</v>
          </cell>
          <cell r="Q1623">
            <v>44593</v>
          </cell>
        </row>
        <row r="1624">
          <cell r="A1624" t="str">
            <v>PEPPL0526</v>
          </cell>
          <cell r="Q1624">
            <v>44607</v>
          </cell>
        </row>
        <row r="1625">
          <cell r="A1625" t="str">
            <v>PEIPL0526</v>
          </cell>
          <cell r="Q1625">
            <v>45200</v>
          </cell>
        </row>
        <row r="1626">
          <cell r="A1626" t="str">
            <v>PEIPL0527</v>
          </cell>
          <cell r="Q1626">
            <v>45211</v>
          </cell>
        </row>
        <row r="1627">
          <cell r="A1627" t="str">
            <v>PEPPL0527</v>
          </cell>
          <cell r="Q1627">
            <v>44617</v>
          </cell>
        </row>
        <row r="1628">
          <cell r="A1628" t="str">
            <v>PEPPL0528</v>
          </cell>
          <cell r="Q1628">
            <v>44617</v>
          </cell>
        </row>
        <row r="1629">
          <cell r="A1629" t="str">
            <v>PEIPL0528</v>
          </cell>
          <cell r="Q1629">
            <v>45211</v>
          </cell>
        </row>
        <row r="1630">
          <cell r="A1630" t="str">
            <v>PEIPL0529</v>
          </cell>
          <cell r="Q1630">
            <v>45211</v>
          </cell>
        </row>
        <row r="1631">
          <cell r="A1631" t="str">
            <v>PEPPL0529</v>
          </cell>
          <cell r="Q1631">
            <v>44615</v>
          </cell>
        </row>
        <row r="1632">
          <cell r="A1632" t="str">
            <v>PEPPL0530</v>
          </cell>
          <cell r="Q1632">
            <v>44621</v>
          </cell>
        </row>
        <row r="1633">
          <cell r="A1633" t="str">
            <v>PEIPL0530</v>
          </cell>
          <cell r="Q1633">
            <v>45211</v>
          </cell>
        </row>
        <row r="1634">
          <cell r="A1634" t="str">
            <v>PSS0530</v>
          </cell>
          <cell r="Q1634">
            <v>40909</v>
          </cell>
        </row>
        <row r="1635">
          <cell r="A1635" t="str">
            <v>PEIPL0531</v>
          </cell>
          <cell r="Q1635">
            <v>45211</v>
          </cell>
        </row>
        <row r="1636">
          <cell r="A1636" t="str">
            <v>PEPPL0531</v>
          </cell>
          <cell r="Q1636">
            <v>44625</v>
          </cell>
        </row>
        <row r="1637">
          <cell r="A1637" t="str">
            <v>PEPPL0532</v>
          </cell>
          <cell r="Q1637">
            <v>44627</v>
          </cell>
        </row>
        <row r="1638">
          <cell r="A1638" t="str">
            <v>PEIPL0532</v>
          </cell>
          <cell r="Q1638">
            <v>45211</v>
          </cell>
        </row>
        <row r="1639">
          <cell r="A1639" t="str">
            <v>PSS0532</v>
          </cell>
          <cell r="Q1639">
            <v>40945</v>
          </cell>
        </row>
        <row r="1640">
          <cell r="A1640" t="str">
            <v>PEIPL0533</v>
          </cell>
          <cell r="Q1640">
            <v>45211</v>
          </cell>
        </row>
        <row r="1641">
          <cell r="A1641" t="str">
            <v>PEPPL0533</v>
          </cell>
          <cell r="Q1641">
            <v>44621</v>
          </cell>
        </row>
        <row r="1642">
          <cell r="A1642" t="str">
            <v>PEPPL0534</v>
          </cell>
          <cell r="Q1642">
            <v>44621</v>
          </cell>
        </row>
        <row r="1643">
          <cell r="A1643" t="str">
            <v>PEIPL0534</v>
          </cell>
          <cell r="Q1643">
            <v>45211</v>
          </cell>
        </row>
        <row r="1644">
          <cell r="A1644" t="str">
            <v>PEIPL0535</v>
          </cell>
          <cell r="Q1644">
            <v>45211</v>
          </cell>
        </row>
        <row r="1645">
          <cell r="A1645" t="str">
            <v>PEPPL0535</v>
          </cell>
          <cell r="Q1645">
            <v>44621</v>
          </cell>
        </row>
        <row r="1646">
          <cell r="A1646" t="str">
            <v>PEPPL0536</v>
          </cell>
          <cell r="Q1646">
            <v>44621</v>
          </cell>
        </row>
        <row r="1647">
          <cell r="A1647" t="str">
            <v>PEIPL0536</v>
          </cell>
          <cell r="Q1647">
            <v>45211</v>
          </cell>
        </row>
        <row r="1648">
          <cell r="A1648" t="str">
            <v>PEIPL0537</v>
          </cell>
          <cell r="Q1648">
            <v>45211</v>
          </cell>
        </row>
        <row r="1649">
          <cell r="A1649" t="str">
            <v>PEPPL0537</v>
          </cell>
          <cell r="Q1649">
            <v>44629</v>
          </cell>
        </row>
        <row r="1650">
          <cell r="A1650" t="str">
            <v>PEPPL0538</v>
          </cell>
          <cell r="Q1650">
            <v>44630</v>
          </cell>
        </row>
        <row r="1651">
          <cell r="A1651" t="str">
            <v>PEIPL0538</v>
          </cell>
          <cell r="Q1651">
            <v>45211</v>
          </cell>
        </row>
        <row r="1652">
          <cell r="A1652" t="str">
            <v>PEIPL0539</v>
          </cell>
          <cell r="Q1652">
            <v>45211</v>
          </cell>
        </row>
        <row r="1653">
          <cell r="A1653" t="str">
            <v>PEPPL0539</v>
          </cell>
          <cell r="Q1653">
            <v>44634</v>
          </cell>
        </row>
        <row r="1654">
          <cell r="A1654" t="str">
            <v>PEPPL0540</v>
          </cell>
          <cell r="Q1654">
            <v>44634</v>
          </cell>
        </row>
        <row r="1655">
          <cell r="A1655" t="str">
            <v>PEIPL0540</v>
          </cell>
          <cell r="Q1655">
            <v>45211</v>
          </cell>
        </row>
        <row r="1656">
          <cell r="A1656" t="str">
            <v>PSS0540</v>
          </cell>
          <cell r="Q1656">
            <v>40940</v>
          </cell>
        </row>
        <row r="1657">
          <cell r="A1657" t="str">
            <v>PEIPL0541</v>
          </cell>
          <cell r="Q1657">
            <v>45211</v>
          </cell>
        </row>
        <row r="1658">
          <cell r="A1658" t="str">
            <v>PEPPL0541</v>
          </cell>
          <cell r="Q1658">
            <v>44644</v>
          </cell>
        </row>
        <row r="1659">
          <cell r="A1659" t="str">
            <v>PEPPL0542</v>
          </cell>
          <cell r="Q1659">
            <v>44646</v>
          </cell>
        </row>
        <row r="1660">
          <cell r="A1660" t="str">
            <v>PEIPL0542</v>
          </cell>
          <cell r="Q1660">
            <v>45211</v>
          </cell>
        </row>
        <row r="1661">
          <cell r="A1661" t="str">
            <v>PEIPL0543</v>
          </cell>
          <cell r="Q1661">
            <v>45211</v>
          </cell>
        </row>
        <row r="1662">
          <cell r="A1662" t="str">
            <v>PEPPL0543</v>
          </cell>
          <cell r="Q1662">
            <v>44649</v>
          </cell>
        </row>
        <row r="1663">
          <cell r="A1663" t="str">
            <v>PEPPL0544</v>
          </cell>
          <cell r="Q1663">
            <v>44652</v>
          </cell>
        </row>
        <row r="1664">
          <cell r="A1664" t="str">
            <v>PEIPL0544</v>
          </cell>
          <cell r="Q1664">
            <v>45211</v>
          </cell>
        </row>
        <row r="1665">
          <cell r="A1665" t="str">
            <v>PSS0544</v>
          </cell>
          <cell r="Q1665">
            <v>41183</v>
          </cell>
        </row>
        <row r="1666">
          <cell r="A1666" t="str">
            <v>PEIPL0545</v>
          </cell>
          <cell r="Q1666">
            <v>45211</v>
          </cell>
        </row>
        <row r="1667">
          <cell r="A1667" t="str">
            <v>PEPPL0545</v>
          </cell>
          <cell r="Q1667">
            <v>44652</v>
          </cell>
        </row>
        <row r="1668">
          <cell r="A1668" t="str">
            <v>PEPPL0546</v>
          </cell>
          <cell r="Q1668">
            <v>44652</v>
          </cell>
        </row>
        <row r="1669">
          <cell r="A1669" t="str">
            <v>PEIPL0546</v>
          </cell>
          <cell r="Q1669">
            <v>45211</v>
          </cell>
        </row>
        <row r="1670">
          <cell r="A1670" t="str">
            <v>PEIPL0547</v>
          </cell>
          <cell r="Q1670">
            <v>45211</v>
          </cell>
        </row>
        <row r="1671">
          <cell r="A1671" t="str">
            <v>PEPPL0547</v>
          </cell>
          <cell r="Q1671">
            <v>44656</v>
          </cell>
        </row>
        <row r="1672">
          <cell r="A1672" t="str">
            <v>PEPPL0548</v>
          </cell>
          <cell r="Q1672">
            <v>44659</v>
          </cell>
        </row>
        <row r="1673">
          <cell r="A1673" t="str">
            <v>PEIPL0548</v>
          </cell>
          <cell r="Q1673">
            <v>45211</v>
          </cell>
        </row>
        <row r="1674">
          <cell r="A1674" t="str">
            <v>PSS0548</v>
          </cell>
          <cell r="Q1674">
            <v>41244</v>
          </cell>
        </row>
        <row r="1675">
          <cell r="A1675" t="str">
            <v>PEIPL0549</v>
          </cell>
          <cell r="Q1675">
            <v>45218</v>
          </cell>
        </row>
        <row r="1676">
          <cell r="A1676" t="str">
            <v>PEPPL0549</v>
          </cell>
          <cell r="Q1676">
            <v>44662</v>
          </cell>
        </row>
        <row r="1677">
          <cell r="A1677" t="str">
            <v>PEPPL0550</v>
          </cell>
          <cell r="Q1677">
            <v>44663</v>
          </cell>
        </row>
        <row r="1678">
          <cell r="A1678" t="str">
            <v>PEIPL0550</v>
          </cell>
          <cell r="Q1678">
            <v>45218</v>
          </cell>
        </row>
        <row r="1679">
          <cell r="A1679" t="str">
            <v>PEIPL0551</v>
          </cell>
          <cell r="Q1679">
            <v>45218</v>
          </cell>
        </row>
        <row r="1680">
          <cell r="A1680" t="str">
            <v>PEPPL0551</v>
          </cell>
          <cell r="Q1680">
            <v>44664</v>
          </cell>
        </row>
        <row r="1681">
          <cell r="A1681" t="str">
            <v>PSS0551</v>
          </cell>
          <cell r="Q1681">
            <v>41183</v>
          </cell>
        </row>
        <row r="1682">
          <cell r="A1682" t="str">
            <v>PEPPL0552</v>
          </cell>
          <cell r="Q1682">
            <v>44664</v>
          </cell>
        </row>
        <row r="1683">
          <cell r="A1683" t="str">
            <v>PEIPL0552</v>
          </cell>
          <cell r="Q1683">
            <v>45218</v>
          </cell>
        </row>
        <row r="1684">
          <cell r="A1684" t="str">
            <v>PEIPL0553</v>
          </cell>
          <cell r="Q1684">
            <v>45218</v>
          </cell>
        </row>
        <row r="1685">
          <cell r="A1685" t="str">
            <v>PEPPL0553</v>
          </cell>
          <cell r="Q1685">
            <v>44664</v>
          </cell>
        </row>
        <row r="1686">
          <cell r="A1686" t="str">
            <v>PSS0553</v>
          </cell>
          <cell r="Q1686">
            <v>41315</v>
          </cell>
        </row>
        <row r="1687">
          <cell r="A1687" t="str">
            <v>PEPPL0554</v>
          </cell>
          <cell r="Q1687">
            <v>44664</v>
          </cell>
        </row>
        <row r="1688">
          <cell r="A1688" t="str">
            <v>PEIPL0554</v>
          </cell>
          <cell r="Q1688">
            <v>45218</v>
          </cell>
        </row>
        <row r="1689">
          <cell r="A1689" t="str">
            <v>PEIPL0555</v>
          </cell>
          <cell r="Q1689">
            <v>45219</v>
          </cell>
        </row>
        <row r="1690">
          <cell r="A1690" t="str">
            <v>PEPPL0555</v>
          </cell>
          <cell r="Q1690">
            <v>44665</v>
          </cell>
        </row>
        <row r="1691">
          <cell r="A1691" t="str">
            <v>PEPPL0556</v>
          </cell>
          <cell r="Q1691">
            <v>44665</v>
          </cell>
        </row>
        <row r="1692">
          <cell r="A1692" t="str">
            <v>PEIPL0556</v>
          </cell>
          <cell r="Q1692">
            <v>45218</v>
          </cell>
        </row>
        <row r="1693">
          <cell r="A1693" t="str">
            <v>PSS0556</v>
          </cell>
          <cell r="Q1693">
            <v>41395</v>
          </cell>
        </row>
        <row r="1694">
          <cell r="A1694" t="str">
            <v>PEIPL0557</v>
          </cell>
          <cell r="Q1694">
            <v>45222</v>
          </cell>
        </row>
        <row r="1695">
          <cell r="A1695" t="str">
            <v>PEPPL0557</v>
          </cell>
          <cell r="Q1695">
            <v>44669</v>
          </cell>
        </row>
        <row r="1696">
          <cell r="A1696" t="str">
            <v>PEPPL0558</v>
          </cell>
          <cell r="Q1696">
            <v>44676</v>
          </cell>
        </row>
        <row r="1697">
          <cell r="A1697" t="str">
            <v>PEIPL0558</v>
          </cell>
          <cell r="Q1697">
            <v>45225</v>
          </cell>
        </row>
        <row r="1698">
          <cell r="A1698" t="str">
            <v>PEIPL0559</v>
          </cell>
          <cell r="Q1698">
            <v>45225</v>
          </cell>
        </row>
        <row r="1699">
          <cell r="A1699" t="str">
            <v>PEPPL0559</v>
          </cell>
          <cell r="Q1699">
            <v>44681</v>
          </cell>
        </row>
        <row r="1700">
          <cell r="A1700" t="str">
            <v>PEPPL0560</v>
          </cell>
          <cell r="Q1700">
            <v>44681</v>
          </cell>
        </row>
        <row r="1701">
          <cell r="A1701" t="str">
            <v>PEIPL0560</v>
          </cell>
          <cell r="Q1701">
            <v>45225</v>
          </cell>
        </row>
        <row r="1702">
          <cell r="A1702" t="str">
            <v>PEIPL0561</v>
          </cell>
          <cell r="Q1702">
            <v>45225</v>
          </cell>
        </row>
        <row r="1703">
          <cell r="A1703" t="str">
            <v>PEPPL0561</v>
          </cell>
          <cell r="Q1703">
            <v>44562</v>
          </cell>
        </row>
        <row r="1704">
          <cell r="A1704" t="str">
            <v>PEPPL0562</v>
          </cell>
          <cell r="Q1704">
            <v>44562</v>
          </cell>
        </row>
        <row r="1705">
          <cell r="A1705" t="str">
            <v>PEIPL0562</v>
          </cell>
          <cell r="Q1705">
            <v>45225</v>
          </cell>
        </row>
        <row r="1706">
          <cell r="A1706" t="str">
            <v>PEIPL0563</v>
          </cell>
          <cell r="Q1706">
            <v>45225</v>
          </cell>
        </row>
        <row r="1707">
          <cell r="A1707" t="str">
            <v>PEPPL0563</v>
          </cell>
          <cell r="Q1707">
            <v>44562</v>
          </cell>
        </row>
        <row r="1708">
          <cell r="A1708" t="str">
            <v>PEPPL0564</v>
          </cell>
          <cell r="Q1708">
            <v>44562</v>
          </cell>
        </row>
        <row r="1709">
          <cell r="A1709" t="str">
            <v>PEIPL0564</v>
          </cell>
          <cell r="Q1709">
            <v>45200</v>
          </cell>
        </row>
        <row r="1710">
          <cell r="A1710" t="str">
            <v>PSS0564</v>
          </cell>
          <cell r="Q1710">
            <v>41671</v>
          </cell>
        </row>
        <row r="1711">
          <cell r="A1711" t="str">
            <v>PEIPL0565</v>
          </cell>
          <cell r="Q1711">
            <v>45226</v>
          </cell>
        </row>
        <row r="1712">
          <cell r="A1712" t="str">
            <v>PEPPL0565</v>
          </cell>
          <cell r="Q1712">
            <v>44562</v>
          </cell>
        </row>
        <row r="1713">
          <cell r="A1713" t="str">
            <v>PEPPL0566</v>
          </cell>
          <cell r="Q1713">
            <v>44562</v>
          </cell>
        </row>
        <row r="1714">
          <cell r="A1714" t="str">
            <v>PEIPL0566</v>
          </cell>
          <cell r="Q1714">
            <v>45227</v>
          </cell>
        </row>
        <row r="1715">
          <cell r="A1715" t="str">
            <v>PEIPL0567</v>
          </cell>
          <cell r="Q1715">
            <v>45200</v>
          </cell>
        </row>
        <row r="1716">
          <cell r="A1716" t="str">
            <v>PEPPL0567</v>
          </cell>
          <cell r="Q1716">
            <v>44562</v>
          </cell>
        </row>
        <row r="1717">
          <cell r="A1717" t="str">
            <v>PEPPL0568</v>
          </cell>
          <cell r="Q1717">
            <v>44562</v>
          </cell>
        </row>
        <row r="1718">
          <cell r="A1718" t="str">
            <v>PEIPL0568</v>
          </cell>
          <cell r="Q1718">
            <v>45232</v>
          </cell>
        </row>
        <row r="1719">
          <cell r="A1719" t="str">
            <v>PEIPL0569</v>
          </cell>
          <cell r="Q1719">
            <v>45232</v>
          </cell>
        </row>
        <row r="1720">
          <cell r="A1720" t="str">
            <v>PEPPL0569</v>
          </cell>
          <cell r="Q1720">
            <v>44690</v>
          </cell>
        </row>
        <row r="1721">
          <cell r="A1721" t="str">
            <v>PSS0569</v>
          </cell>
          <cell r="Q1721">
            <v>41671</v>
          </cell>
        </row>
        <row r="1722">
          <cell r="A1722" t="str">
            <v>PSS0570</v>
          </cell>
          <cell r="Q1722">
            <v>41671</v>
          </cell>
        </row>
        <row r="1723">
          <cell r="A1723" t="str">
            <v>PEPPL0570</v>
          </cell>
          <cell r="Q1723">
            <v>44652</v>
          </cell>
        </row>
        <row r="1724">
          <cell r="A1724" t="str">
            <v>PEIPL0570</v>
          </cell>
          <cell r="Q1724">
            <v>45232</v>
          </cell>
        </row>
        <row r="1725">
          <cell r="A1725" t="str">
            <v>PEIPL0571</v>
          </cell>
          <cell r="Q1725">
            <v>45232</v>
          </cell>
        </row>
        <row r="1726">
          <cell r="A1726" t="str">
            <v>PEPPL0571</v>
          </cell>
          <cell r="Q1726">
            <v>44682</v>
          </cell>
        </row>
        <row r="1727">
          <cell r="A1727" t="str">
            <v>PEPPL0572</v>
          </cell>
          <cell r="Q1727">
            <v>44682</v>
          </cell>
        </row>
        <row r="1728">
          <cell r="A1728" t="str">
            <v>PEIPL0572</v>
          </cell>
          <cell r="Q1728">
            <v>45200</v>
          </cell>
        </row>
        <row r="1729">
          <cell r="A1729" t="str">
            <v>PSS0572</v>
          </cell>
          <cell r="Q1729">
            <v>41730</v>
          </cell>
        </row>
        <row r="1730">
          <cell r="A1730" t="str">
            <v>PSS0573</v>
          </cell>
          <cell r="Q1730">
            <v>41730</v>
          </cell>
        </row>
        <row r="1731">
          <cell r="A1731" t="str">
            <v>PEIPL0573</v>
          </cell>
          <cell r="Q1731">
            <v>45200</v>
          </cell>
        </row>
        <row r="1732">
          <cell r="A1732" t="str">
            <v>PEPPL0573</v>
          </cell>
          <cell r="Q1732">
            <v>44682</v>
          </cell>
        </row>
        <row r="1733">
          <cell r="A1733" t="str">
            <v>PEPPL0574</v>
          </cell>
          <cell r="Q1733">
            <v>44682</v>
          </cell>
        </row>
        <row r="1734">
          <cell r="A1734" t="str">
            <v>PEIPL0574</v>
          </cell>
          <cell r="Q1734">
            <v>45232</v>
          </cell>
        </row>
        <row r="1735">
          <cell r="A1735" t="str">
            <v>PEIPL0575</v>
          </cell>
          <cell r="Q1735">
            <v>45232</v>
          </cell>
        </row>
        <row r="1736">
          <cell r="A1736" t="str">
            <v>PEPPL0575</v>
          </cell>
          <cell r="Q1736">
            <v>44682</v>
          </cell>
        </row>
        <row r="1737">
          <cell r="A1737" t="str">
            <v>PEPPL0576</v>
          </cell>
          <cell r="Q1737">
            <v>44682</v>
          </cell>
        </row>
        <row r="1738">
          <cell r="A1738" t="str">
            <v>PEIPL0576</v>
          </cell>
          <cell r="Q1738">
            <v>45231</v>
          </cell>
        </row>
        <row r="1739">
          <cell r="A1739" t="str">
            <v>PEIPL0577</v>
          </cell>
          <cell r="Q1739">
            <v>45236</v>
          </cell>
        </row>
        <row r="1740">
          <cell r="A1740" t="str">
            <v>PEPPL0577</v>
          </cell>
          <cell r="Q1740">
            <v>44682</v>
          </cell>
        </row>
        <row r="1741">
          <cell r="A1741" t="str">
            <v>PSS0577</v>
          </cell>
          <cell r="Q1741">
            <v>42759</v>
          </cell>
        </row>
        <row r="1742">
          <cell r="A1742" t="str">
            <v>PEPPL0578</v>
          </cell>
          <cell r="Q1742">
            <v>44682</v>
          </cell>
        </row>
        <row r="1743">
          <cell r="A1743" t="str">
            <v>PEIPL0578</v>
          </cell>
          <cell r="Q1743">
            <v>45239</v>
          </cell>
        </row>
        <row r="1744">
          <cell r="A1744" t="str">
            <v>PEIPL0579</v>
          </cell>
          <cell r="Q1744">
            <v>45239</v>
          </cell>
        </row>
        <row r="1745">
          <cell r="A1745" t="str">
            <v>PEPPL0579</v>
          </cell>
          <cell r="Q1745">
            <v>44682</v>
          </cell>
        </row>
        <row r="1746">
          <cell r="A1746" t="str">
            <v>PEPPL0580</v>
          </cell>
          <cell r="Q1746">
            <v>44682</v>
          </cell>
        </row>
        <row r="1747">
          <cell r="A1747" t="str">
            <v>PEIPL0580</v>
          </cell>
          <cell r="Q1747">
            <v>45239</v>
          </cell>
        </row>
        <row r="1748">
          <cell r="A1748" t="str">
            <v>PEIPL0581</v>
          </cell>
          <cell r="Q1748">
            <v>45239</v>
          </cell>
        </row>
        <row r="1749">
          <cell r="A1749" t="str">
            <v>PEPPL0581</v>
          </cell>
          <cell r="Q1749">
            <v>44682</v>
          </cell>
        </row>
        <row r="1750">
          <cell r="A1750" t="str">
            <v>PEPPL0582</v>
          </cell>
          <cell r="Q1750">
            <v>44682</v>
          </cell>
        </row>
        <row r="1751">
          <cell r="A1751" t="str">
            <v>PEIPL0582</v>
          </cell>
          <cell r="Q1751">
            <v>45239</v>
          </cell>
        </row>
        <row r="1752">
          <cell r="A1752" t="str">
            <v>PEIPL0583</v>
          </cell>
          <cell r="Q1752">
            <v>45232</v>
          </cell>
        </row>
        <row r="1753">
          <cell r="A1753" t="str">
            <v>PEPPL0583</v>
          </cell>
          <cell r="Q1753">
            <v>44682</v>
          </cell>
        </row>
        <row r="1754">
          <cell r="A1754" t="str">
            <v>PEPPL0584</v>
          </cell>
          <cell r="Q1754">
            <v>44682</v>
          </cell>
        </row>
        <row r="1755">
          <cell r="A1755" t="str">
            <v>PEIPL0584</v>
          </cell>
          <cell r="Q1755">
            <v>45246</v>
          </cell>
        </row>
        <row r="1756">
          <cell r="A1756" t="str">
            <v>PSS0584</v>
          </cell>
          <cell r="Q1756">
            <v>42814</v>
          </cell>
        </row>
        <row r="1757">
          <cell r="A1757" t="str">
            <v>PSS0585</v>
          </cell>
          <cell r="Q1757">
            <v>42814</v>
          </cell>
        </row>
        <row r="1758">
          <cell r="A1758" t="str">
            <v>PEIPL0585</v>
          </cell>
          <cell r="Q1758">
            <v>45246</v>
          </cell>
        </row>
        <row r="1759">
          <cell r="A1759" t="str">
            <v>PEPPL0585</v>
          </cell>
          <cell r="Q1759">
            <v>44682</v>
          </cell>
        </row>
        <row r="1760">
          <cell r="A1760" t="str">
            <v>PEPPL0586</v>
          </cell>
          <cell r="Q1760">
            <v>44682</v>
          </cell>
        </row>
        <row r="1761">
          <cell r="A1761" t="str">
            <v>PEIPL0586</v>
          </cell>
          <cell r="Q1761">
            <v>45246</v>
          </cell>
        </row>
        <row r="1762">
          <cell r="A1762" t="str">
            <v>PEIPL0587</v>
          </cell>
          <cell r="Q1762">
            <v>45246</v>
          </cell>
        </row>
        <row r="1763">
          <cell r="A1763" t="str">
            <v>PEPPL0587</v>
          </cell>
          <cell r="Q1763">
            <v>44682</v>
          </cell>
        </row>
        <row r="1764">
          <cell r="A1764" t="str">
            <v>PSS0587</v>
          </cell>
          <cell r="Q1764">
            <v>42767</v>
          </cell>
        </row>
        <row r="1765">
          <cell r="A1765" t="str">
            <v>PEPPL0588</v>
          </cell>
          <cell r="Q1765">
            <v>44682</v>
          </cell>
        </row>
        <row r="1766">
          <cell r="A1766" t="str">
            <v>PEIPL0588</v>
          </cell>
          <cell r="Q1766">
            <v>45246</v>
          </cell>
        </row>
        <row r="1767">
          <cell r="A1767" t="str">
            <v>PEIPL0589</v>
          </cell>
          <cell r="Q1767">
            <v>45246</v>
          </cell>
        </row>
        <row r="1768">
          <cell r="A1768" t="str">
            <v>PEPPL0589</v>
          </cell>
          <cell r="Q1768">
            <v>44682</v>
          </cell>
        </row>
        <row r="1769">
          <cell r="A1769" t="str">
            <v>PEPPL0590</v>
          </cell>
          <cell r="Q1769">
            <v>44682</v>
          </cell>
        </row>
        <row r="1770">
          <cell r="A1770" t="str">
            <v>PEIPL0590</v>
          </cell>
          <cell r="Q1770">
            <v>45246</v>
          </cell>
        </row>
        <row r="1771">
          <cell r="A1771" t="str">
            <v>PEIPL0591</v>
          </cell>
          <cell r="Q1771">
            <v>45250</v>
          </cell>
        </row>
        <row r="1772">
          <cell r="A1772" t="str">
            <v>PEPPL0591</v>
          </cell>
          <cell r="Q1772">
            <v>44682</v>
          </cell>
        </row>
        <row r="1773">
          <cell r="A1773" t="str">
            <v>PEPPL0592</v>
          </cell>
          <cell r="Q1773">
            <v>44682</v>
          </cell>
        </row>
        <row r="1774">
          <cell r="A1774" t="str">
            <v>PEIPL0592</v>
          </cell>
          <cell r="Q1774">
            <v>45252</v>
          </cell>
        </row>
        <row r="1775">
          <cell r="A1775" t="str">
            <v>PSS0592</v>
          </cell>
          <cell r="Q1775">
            <v>44099</v>
          </cell>
        </row>
        <row r="1776">
          <cell r="A1776" t="str">
            <v>PSS0593</v>
          </cell>
          <cell r="Q1776">
            <v>42917</v>
          </cell>
        </row>
        <row r="1777">
          <cell r="A1777" t="str">
            <v>PEIPL0593</v>
          </cell>
          <cell r="Q1777">
            <v>45252</v>
          </cell>
        </row>
        <row r="1778">
          <cell r="A1778" t="str">
            <v>PEPPL0593</v>
          </cell>
          <cell r="Q1778">
            <v>44701</v>
          </cell>
        </row>
        <row r="1779">
          <cell r="A1779" t="str">
            <v>PEPPL0594</v>
          </cell>
          <cell r="Q1779">
            <v>44704</v>
          </cell>
        </row>
        <row r="1780">
          <cell r="A1780" t="str">
            <v>PEIPL0594</v>
          </cell>
          <cell r="Q1780">
            <v>45253</v>
          </cell>
        </row>
        <row r="1781">
          <cell r="A1781" t="str">
            <v>PEIPL0595</v>
          </cell>
          <cell r="Q1781">
            <v>45253</v>
          </cell>
        </row>
        <row r="1782">
          <cell r="A1782" t="str">
            <v>PEPPL0595</v>
          </cell>
          <cell r="Q1782">
            <v>44682</v>
          </cell>
        </row>
        <row r="1783">
          <cell r="A1783" t="str">
            <v>PEPPL0596</v>
          </cell>
          <cell r="Q1783">
            <v>44682</v>
          </cell>
        </row>
        <row r="1784">
          <cell r="A1784" t="str">
            <v>PEIPL0596</v>
          </cell>
          <cell r="Q1784">
            <v>45253</v>
          </cell>
        </row>
        <row r="1785">
          <cell r="A1785" t="str">
            <v>PEIPL0597</v>
          </cell>
          <cell r="Q1785">
            <v>45231</v>
          </cell>
        </row>
        <row r="1786">
          <cell r="A1786" t="str">
            <v>PEPPL0597</v>
          </cell>
          <cell r="Q1786">
            <v>44682</v>
          </cell>
        </row>
        <row r="1787">
          <cell r="A1787" t="str">
            <v>PEPPL0598</v>
          </cell>
          <cell r="Q1787">
            <v>44706</v>
          </cell>
        </row>
        <row r="1788">
          <cell r="A1788" t="str">
            <v>PEIPL0598</v>
          </cell>
          <cell r="Q1788">
            <v>45253</v>
          </cell>
        </row>
        <row r="1789">
          <cell r="A1789" t="str">
            <v>PEIPL0599</v>
          </cell>
          <cell r="Q1789">
            <v>45231</v>
          </cell>
        </row>
        <row r="1790">
          <cell r="A1790" t="str">
            <v>PEPPL0599</v>
          </cell>
          <cell r="Q1790">
            <v>44706</v>
          </cell>
        </row>
        <row r="1791">
          <cell r="A1791" t="str">
            <v>PEPPL0600</v>
          </cell>
          <cell r="Q1791">
            <v>44706</v>
          </cell>
        </row>
        <row r="1792">
          <cell r="A1792" t="str">
            <v>PEIPL0600</v>
          </cell>
          <cell r="Q1792">
            <v>45231</v>
          </cell>
        </row>
        <row r="1793">
          <cell r="A1793" t="str">
            <v>PEIPL0601</v>
          </cell>
          <cell r="Q1793">
            <v>45231</v>
          </cell>
        </row>
        <row r="1794">
          <cell r="A1794" t="str">
            <v>PEPPL0601</v>
          </cell>
          <cell r="Q1794">
            <v>44706</v>
          </cell>
        </row>
        <row r="1795">
          <cell r="A1795" t="str">
            <v>PEPPL0602</v>
          </cell>
          <cell r="Q1795">
            <v>44706</v>
          </cell>
        </row>
        <row r="1796">
          <cell r="A1796" t="str">
            <v>PEIPL0602</v>
          </cell>
          <cell r="Q1796">
            <v>45264</v>
          </cell>
        </row>
        <row r="1797">
          <cell r="A1797" t="str">
            <v>PEIPL0603</v>
          </cell>
          <cell r="Q1797">
            <v>45265</v>
          </cell>
        </row>
        <row r="1798">
          <cell r="A1798" t="str">
            <v>PEPPL0603</v>
          </cell>
          <cell r="Q1798">
            <v>44708</v>
          </cell>
        </row>
        <row r="1799">
          <cell r="A1799" t="str">
            <v>PEPPL0604</v>
          </cell>
          <cell r="Q1799">
            <v>44713</v>
          </cell>
        </row>
        <row r="1800">
          <cell r="A1800" t="str">
            <v>PEIPL0604</v>
          </cell>
          <cell r="Q1800">
            <v>45261</v>
          </cell>
        </row>
        <row r="1801">
          <cell r="A1801" t="str">
            <v>PEIPL0605</v>
          </cell>
          <cell r="Q1801">
            <v>45261</v>
          </cell>
        </row>
        <row r="1802">
          <cell r="A1802" t="str">
            <v>PEPPL0605</v>
          </cell>
          <cell r="Q1802">
            <v>44713</v>
          </cell>
        </row>
        <row r="1803">
          <cell r="A1803" t="str">
            <v>PEPPL0606</v>
          </cell>
          <cell r="Q1803">
            <v>44713</v>
          </cell>
        </row>
        <row r="1804">
          <cell r="A1804" t="str">
            <v>PEIPL0606</v>
          </cell>
          <cell r="Q1804">
            <v>45267</v>
          </cell>
        </row>
        <row r="1805">
          <cell r="A1805" t="str">
            <v>PEIPL0607</v>
          </cell>
          <cell r="Q1805">
            <v>45267</v>
          </cell>
        </row>
        <row r="1806">
          <cell r="A1806" t="str">
            <v>PEPPL0607</v>
          </cell>
          <cell r="Q1806">
            <v>44713</v>
          </cell>
        </row>
        <row r="1807">
          <cell r="A1807" t="str">
            <v>PEPPL0608</v>
          </cell>
          <cell r="Q1807">
            <v>44713</v>
          </cell>
        </row>
        <row r="1808">
          <cell r="A1808" t="str">
            <v>PEIPL0608</v>
          </cell>
          <cell r="Q1808">
            <v>45267</v>
          </cell>
        </row>
        <row r="1809">
          <cell r="A1809" t="str">
            <v>PSS0608</v>
          </cell>
          <cell r="Q1809">
            <v>42927</v>
          </cell>
        </row>
        <row r="1810">
          <cell r="A1810" t="str">
            <v>PEIPL0609</v>
          </cell>
          <cell r="Q1810">
            <v>45261</v>
          </cell>
        </row>
        <row r="1811">
          <cell r="A1811" t="str">
            <v>PEPPL0609</v>
          </cell>
          <cell r="Q1811">
            <v>44715</v>
          </cell>
        </row>
        <row r="1812">
          <cell r="A1812" t="str">
            <v>PEPPL0610</v>
          </cell>
          <cell r="Q1812">
            <v>44715</v>
          </cell>
        </row>
        <row r="1813">
          <cell r="A1813" t="str">
            <v>PEIPL0610</v>
          </cell>
          <cell r="Q1813">
            <v>45274</v>
          </cell>
        </row>
        <row r="1814">
          <cell r="A1814" t="str">
            <v>PEIPL0611</v>
          </cell>
          <cell r="Q1814">
            <v>45274</v>
          </cell>
        </row>
        <row r="1815">
          <cell r="A1815" t="str">
            <v>PEPPL0611</v>
          </cell>
          <cell r="Q1815">
            <v>44719</v>
          </cell>
        </row>
        <row r="1816">
          <cell r="A1816" t="str">
            <v>PEPPL0612</v>
          </cell>
          <cell r="Q1816">
            <v>44728</v>
          </cell>
        </row>
        <row r="1817">
          <cell r="A1817" t="str">
            <v>PEIPL0612</v>
          </cell>
          <cell r="Q1817">
            <v>45274</v>
          </cell>
        </row>
        <row r="1818">
          <cell r="A1818" t="str">
            <v>PEIPL0613</v>
          </cell>
          <cell r="Q1818">
            <v>45274</v>
          </cell>
        </row>
        <row r="1819">
          <cell r="A1819" t="str">
            <v>PEPPL0613</v>
          </cell>
          <cell r="Q1819">
            <v>44732</v>
          </cell>
        </row>
        <row r="1820">
          <cell r="A1820" t="str">
            <v>PEPPL0614</v>
          </cell>
          <cell r="Q1820">
            <v>44732</v>
          </cell>
        </row>
        <row r="1821">
          <cell r="A1821" t="str">
            <v>PEIPL0614</v>
          </cell>
          <cell r="Q1821">
            <v>45274</v>
          </cell>
        </row>
        <row r="1822">
          <cell r="A1822" t="str">
            <v>PEIPL0615</v>
          </cell>
          <cell r="Q1822">
            <v>45280</v>
          </cell>
        </row>
        <row r="1823">
          <cell r="A1823" t="str">
            <v>PEPPL0615</v>
          </cell>
          <cell r="Q1823">
            <v>44713</v>
          </cell>
        </row>
        <row r="1824">
          <cell r="A1824" t="str">
            <v>PEPPL0616</v>
          </cell>
          <cell r="Q1824">
            <v>44713</v>
          </cell>
        </row>
        <row r="1825">
          <cell r="A1825" t="str">
            <v>PEIPL0616</v>
          </cell>
          <cell r="Q1825">
            <v>45281</v>
          </cell>
        </row>
        <row r="1826">
          <cell r="A1826" t="str">
            <v>PEIPL0617</v>
          </cell>
          <cell r="Q1826">
            <v>45281</v>
          </cell>
        </row>
        <row r="1827">
          <cell r="A1827" t="str">
            <v>PEPPL0617</v>
          </cell>
          <cell r="Q1827">
            <v>44713</v>
          </cell>
        </row>
        <row r="1828">
          <cell r="A1828" t="str">
            <v>PEPPL0618</v>
          </cell>
          <cell r="Q1828">
            <v>44713</v>
          </cell>
        </row>
        <row r="1829">
          <cell r="A1829" t="str">
            <v>PEIPL0618</v>
          </cell>
          <cell r="Q1829">
            <v>45281</v>
          </cell>
        </row>
        <row r="1830">
          <cell r="A1830" t="str">
            <v>PEIPL0619</v>
          </cell>
          <cell r="Q1830">
            <v>45281</v>
          </cell>
        </row>
        <row r="1831">
          <cell r="A1831" t="str">
            <v>PEPPL0619</v>
          </cell>
          <cell r="Q1831">
            <v>44713</v>
          </cell>
        </row>
        <row r="1832">
          <cell r="A1832" t="str">
            <v>PSS0619</v>
          </cell>
          <cell r="Q1832">
            <v>42961</v>
          </cell>
        </row>
        <row r="1833">
          <cell r="A1833" t="str">
            <v>PSS0620</v>
          </cell>
          <cell r="Q1833">
            <v>42963</v>
          </cell>
        </row>
        <row r="1834">
          <cell r="A1834" t="str">
            <v>PEPPL0620</v>
          </cell>
          <cell r="Q1834">
            <v>44713</v>
          </cell>
        </row>
        <row r="1835">
          <cell r="A1835" t="str">
            <v>PEIPL0620</v>
          </cell>
          <cell r="Q1835">
            <v>45288</v>
          </cell>
        </row>
        <row r="1836">
          <cell r="A1836" t="str">
            <v>PEIPL0621</v>
          </cell>
          <cell r="Q1836">
            <v>45288</v>
          </cell>
        </row>
        <row r="1837">
          <cell r="A1837" t="str">
            <v>PEPPL0621</v>
          </cell>
          <cell r="Q1837">
            <v>44713</v>
          </cell>
        </row>
        <row r="1838">
          <cell r="A1838" t="str">
            <v>PSS0621</v>
          </cell>
          <cell r="Q1838">
            <v>42964</v>
          </cell>
        </row>
        <row r="1839">
          <cell r="A1839" t="str">
            <v>PEPPL0622</v>
          </cell>
          <cell r="Q1839">
            <v>44713</v>
          </cell>
        </row>
        <row r="1840">
          <cell r="A1840" t="str">
            <v>PEIPL0622</v>
          </cell>
          <cell r="Q1840">
            <v>45292</v>
          </cell>
        </row>
        <row r="1841">
          <cell r="A1841" t="str">
            <v>PEIPL0623</v>
          </cell>
          <cell r="Q1841">
            <v>45292</v>
          </cell>
        </row>
        <row r="1842">
          <cell r="A1842" t="str">
            <v>PEPPL0623</v>
          </cell>
          <cell r="Q1842">
            <v>44713</v>
          </cell>
        </row>
        <row r="1843">
          <cell r="A1843" t="str">
            <v>PEPPL0624</v>
          </cell>
          <cell r="Q1843">
            <v>44713</v>
          </cell>
        </row>
        <row r="1844">
          <cell r="A1844" t="str">
            <v>PEIPL0624</v>
          </cell>
          <cell r="Q1844">
            <v>45295</v>
          </cell>
        </row>
        <row r="1845">
          <cell r="A1845" t="str">
            <v>PSS0624</v>
          </cell>
          <cell r="Q1845">
            <v>42743</v>
          </cell>
        </row>
        <row r="1846">
          <cell r="A1846" t="str">
            <v>PEIPL0625</v>
          </cell>
          <cell r="Q1846">
            <v>45295</v>
          </cell>
        </row>
        <row r="1847">
          <cell r="A1847" t="str">
            <v>PEPPL0625</v>
          </cell>
          <cell r="Q1847">
            <v>44713</v>
          </cell>
        </row>
        <row r="1848">
          <cell r="A1848" t="str">
            <v>PEPPL0626</v>
          </cell>
          <cell r="Q1848">
            <v>44713</v>
          </cell>
        </row>
        <row r="1849">
          <cell r="A1849" t="str">
            <v>PEIPL0626</v>
          </cell>
          <cell r="Q1849">
            <v>45300</v>
          </cell>
        </row>
        <row r="1850">
          <cell r="A1850" t="str">
            <v>PEIPL0627</v>
          </cell>
          <cell r="Q1850">
            <v>45309</v>
          </cell>
        </row>
        <row r="1851">
          <cell r="A1851" t="str">
            <v>PEPPL0627</v>
          </cell>
          <cell r="Q1851">
            <v>44746</v>
          </cell>
        </row>
        <row r="1852">
          <cell r="A1852" t="str">
            <v>PEPPL0628</v>
          </cell>
          <cell r="Q1852">
            <v>44755</v>
          </cell>
        </row>
        <row r="1853">
          <cell r="A1853" t="str">
            <v>PEIPL0628</v>
          </cell>
          <cell r="Q1853">
            <v>45309</v>
          </cell>
        </row>
        <row r="1854">
          <cell r="A1854" t="str">
            <v>PSS0628</v>
          </cell>
          <cell r="Q1854">
            <v>42954</v>
          </cell>
        </row>
        <row r="1855">
          <cell r="A1855" t="str">
            <v>PSS0629</v>
          </cell>
          <cell r="Q1855">
            <v>42949</v>
          </cell>
        </row>
        <row r="1856">
          <cell r="A1856" t="str">
            <v>PEIPL0629</v>
          </cell>
          <cell r="Q1856">
            <v>45309</v>
          </cell>
        </row>
        <row r="1857">
          <cell r="A1857" t="str">
            <v>PEPPL0629</v>
          </cell>
          <cell r="Q1857">
            <v>44755</v>
          </cell>
        </row>
        <row r="1858">
          <cell r="A1858" t="str">
            <v>PEPPL0630</v>
          </cell>
          <cell r="Q1858">
            <v>44749</v>
          </cell>
        </row>
        <row r="1859">
          <cell r="A1859" t="str">
            <v>PEIPL0630</v>
          </cell>
          <cell r="Q1859">
            <v>45309</v>
          </cell>
        </row>
        <row r="1860">
          <cell r="A1860" t="str">
            <v>PEIPL0631</v>
          </cell>
          <cell r="Q1860">
            <v>45309</v>
          </cell>
        </row>
        <row r="1861">
          <cell r="A1861" t="str">
            <v>PEPPL0631</v>
          </cell>
          <cell r="Q1861">
            <v>44771</v>
          </cell>
        </row>
        <row r="1862">
          <cell r="A1862" t="str">
            <v>PSS0631</v>
          </cell>
          <cell r="Q1862">
            <v>42996</v>
          </cell>
        </row>
        <row r="1863">
          <cell r="A1863" t="str">
            <v>PEPPL0632</v>
          </cell>
          <cell r="Q1863">
            <v>44774</v>
          </cell>
        </row>
        <row r="1864">
          <cell r="A1864" t="str">
            <v>PEIPL0632</v>
          </cell>
          <cell r="Q1864">
            <v>45309</v>
          </cell>
        </row>
        <row r="1865">
          <cell r="A1865" t="str">
            <v>PEIPL0633</v>
          </cell>
          <cell r="Q1865">
            <v>45313</v>
          </cell>
        </row>
        <row r="1866">
          <cell r="A1866" t="str">
            <v>PEPPL0633</v>
          </cell>
          <cell r="Q1866">
            <v>44777</v>
          </cell>
        </row>
        <row r="1867">
          <cell r="A1867" t="str">
            <v>PEPPL0634</v>
          </cell>
          <cell r="Q1867">
            <v>44777</v>
          </cell>
        </row>
        <row r="1868">
          <cell r="A1868" t="str">
            <v>PEIPL0634</v>
          </cell>
          <cell r="Q1868">
            <v>45313</v>
          </cell>
        </row>
        <row r="1869">
          <cell r="A1869" t="str">
            <v>PEIPL0635</v>
          </cell>
          <cell r="Q1869">
            <v>45316</v>
          </cell>
        </row>
        <row r="1870">
          <cell r="A1870" t="str">
            <v>PEPPL0635</v>
          </cell>
          <cell r="Q1870">
            <v>44781</v>
          </cell>
        </row>
        <row r="1871">
          <cell r="A1871" t="str">
            <v>PEPPL0636</v>
          </cell>
          <cell r="Q1871">
            <v>44789</v>
          </cell>
        </row>
        <row r="1872">
          <cell r="A1872" t="str">
            <v>PEIPL0636</v>
          </cell>
          <cell r="Q1872">
            <v>45316</v>
          </cell>
        </row>
        <row r="1873">
          <cell r="A1873" t="str">
            <v>PSS0636</v>
          </cell>
          <cell r="Q1873">
            <v>42949</v>
          </cell>
        </row>
        <row r="1874">
          <cell r="A1874" t="str">
            <v>PEIPL0637</v>
          </cell>
          <cell r="Q1874">
            <v>45316</v>
          </cell>
        </row>
        <row r="1875">
          <cell r="A1875" t="str">
            <v>PEPPL0637</v>
          </cell>
          <cell r="Q1875">
            <v>44789</v>
          </cell>
        </row>
        <row r="1876">
          <cell r="A1876" t="str">
            <v>PEPPL0638</v>
          </cell>
          <cell r="Q1876">
            <v>44791</v>
          </cell>
        </row>
        <row r="1877">
          <cell r="A1877" t="str">
            <v>PEIPL0638</v>
          </cell>
          <cell r="Q1877">
            <v>45292</v>
          </cell>
        </row>
        <row r="1878">
          <cell r="A1878" t="str">
            <v>PEIPL0639</v>
          </cell>
          <cell r="Q1878">
            <v>45292</v>
          </cell>
        </row>
        <row r="1879">
          <cell r="A1879" t="str">
            <v>PEPPL0639</v>
          </cell>
          <cell r="Q1879">
            <v>44798</v>
          </cell>
        </row>
        <row r="1880">
          <cell r="A1880" t="str">
            <v>PSS0639</v>
          </cell>
          <cell r="Q1880">
            <v>43011</v>
          </cell>
        </row>
        <row r="1881">
          <cell r="A1881" t="str">
            <v>PEPPL0640</v>
          </cell>
          <cell r="Q1881">
            <v>44802</v>
          </cell>
        </row>
        <row r="1882">
          <cell r="A1882" t="str">
            <v>PEIPL0640</v>
          </cell>
          <cell r="Q1882">
            <v>45292</v>
          </cell>
        </row>
        <row r="1883">
          <cell r="A1883" t="str">
            <v>PEIPL0641</v>
          </cell>
          <cell r="Q1883">
            <v>45292</v>
          </cell>
        </row>
        <row r="1884">
          <cell r="A1884" t="str">
            <v>PEPPL0641</v>
          </cell>
          <cell r="Q1884">
            <v>44805</v>
          </cell>
        </row>
        <row r="1885">
          <cell r="A1885" t="str">
            <v>PEPPL0642</v>
          </cell>
          <cell r="Q1885">
            <v>44806</v>
          </cell>
        </row>
        <row r="1886">
          <cell r="A1886" t="str">
            <v>PEIPL0642</v>
          </cell>
          <cell r="Q1886">
            <v>45292</v>
          </cell>
        </row>
        <row r="1887">
          <cell r="A1887" t="str">
            <v>PEIPL0643</v>
          </cell>
          <cell r="Q1887">
            <v>45292</v>
          </cell>
        </row>
        <row r="1888">
          <cell r="A1888" t="str">
            <v>PEPPL0643</v>
          </cell>
          <cell r="Q1888">
            <v>44806</v>
          </cell>
        </row>
        <row r="1889">
          <cell r="A1889" t="str">
            <v>PEPPL0644</v>
          </cell>
          <cell r="Q1889">
            <v>44805</v>
          </cell>
        </row>
        <row r="1890">
          <cell r="A1890" t="str">
            <v>PEIPL0644</v>
          </cell>
          <cell r="Q1890">
            <v>45292</v>
          </cell>
        </row>
        <row r="1891">
          <cell r="A1891" t="str">
            <v>PEIPL0645</v>
          </cell>
          <cell r="Q1891">
            <v>45323</v>
          </cell>
        </row>
        <row r="1892">
          <cell r="A1892" t="str">
            <v>PEPPL0645</v>
          </cell>
          <cell r="Q1892">
            <v>44805</v>
          </cell>
        </row>
        <row r="1893">
          <cell r="A1893" t="str">
            <v>PEPPL0646</v>
          </cell>
          <cell r="Q1893">
            <v>44807</v>
          </cell>
        </row>
        <row r="1894">
          <cell r="A1894" t="str">
            <v>PEIPL0646</v>
          </cell>
          <cell r="Q1894">
            <v>45323</v>
          </cell>
        </row>
        <row r="1895">
          <cell r="A1895" t="str">
            <v>PEIPL0647</v>
          </cell>
          <cell r="Q1895">
            <v>45323</v>
          </cell>
        </row>
        <row r="1896">
          <cell r="A1896" t="str">
            <v>PEPPL0647</v>
          </cell>
          <cell r="Q1896">
            <v>44819</v>
          </cell>
        </row>
        <row r="1897">
          <cell r="A1897" t="str">
            <v>PEPPL0648</v>
          </cell>
          <cell r="Q1897">
            <v>44820</v>
          </cell>
        </row>
        <row r="1898">
          <cell r="A1898" t="str">
            <v>PEIPL0648</v>
          </cell>
          <cell r="Q1898">
            <v>45323</v>
          </cell>
        </row>
        <row r="1899">
          <cell r="A1899" t="str">
            <v>PSS0648</v>
          </cell>
          <cell r="Q1899">
            <v>43222</v>
          </cell>
        </row>
        <row r="1900">
          <cell r="A1900" t="str">
            <v>PEIPL0649</v>
          </cell>
          <cell r="Q1900">
            <v>45323</v>
          </cell>
        </row>
        <row r="1901">
          <cell r="A1901" t="str">
            <v>PEPPL0649</v>
          </cell>
          <cell r="Q1901">
            <v>44847</v>
          </cell>
        </row>
        <row r="1902">
          <cell r="A1902" t="str">
            <v>PEPPL0650</v>
          </cell>
          <cell r="Q1902">
            <v>44866</v>
          </cell>
        </row>
        <row r="1903">
          <cell r="A1903" t="str">
            <v>PEIPL0650</v>
          </cell>
          <cell r="Q1903">
            <v>45323</v>
          </cell>
        </row>
        <row r="1904">
          <cell r="A1904" t="str">
            <v>PEIPL0651</v>
          </cell>
          <cell r="Q1904">
            <v>45337</v>
          </cell>
        </row>
        <row r="1905">
          <cell r="A1905" t="str">
            <v>PEPPL0651</v>
          </cell>
          <cell r="Q1905">
            <v>44907</v>
          </cell>
        </row>
        <row r="1906">
          <cell r="A1906" t="str">
            <v>PSS0651</v>
          </cell>
          <cell r="Q1906">
            <v>43055</v>
          </cell>
        </row>
        <row r="1907">
          <cell r="A1907" t="str">
            <v>PEPPL0652</v>
          </cell>
          <cell r="Q1907">
            <v>44921</v>
          </cell>
        </row>
        <row r="1908">
          <cell r="A1908" t="str">
            <v>PEIPL0652</v>
          </cell>
          <cell r="Q1908">
            <v>45337</v>
          </cell>
        </row>
        <row r="1909">
          <cell r="A1909" t="str">
            <v>PEIPL0653</v>
          </cell>
          <cell r="Q1909">
            <v>45337</v>
          </cell>
        </row>
        <row r="1910">
          <cell r="A1910" t="str">
            <v>PEPPL0653</v>
          </cell>
          <cell r="Q1910">
            <v>44977</v>
          </cell>
        </row>
        <row r="1911">
          <cell r="A1911" t="str">
            <v>PSS0653</v>
          </cell>
          <cell r="Q1911">
            <v>42887</v>
          </cell>
        </row>
        <row r="1912">
          <cell r="A1912" t="str">
            <v>PEPPL0654</v>
          </cell>
          <cell r="Q1912">
            <v>45048</v>
          </cell>
        </row>
        <row r="1913">
          <cell r="A1913" t="str">
            <v>PEIPL0654</v>
          </cell>
          <cell r="Q1913">
            <v>45337</v>
          </cell>
        </row>
        <row r="1914">
          <cell r="A1914" t="str">
            <v>PEIPL0655</v>
          </cell>
          <cell r="Q1914">
            <v>45338</v>
          </cell>
        </row>
        <row r="1915">
          <cell r="A1915" t="str">
            <v>PEPPL0655</v>
          </cell>
          <cell r="Q1915">
            <v>45050</v>
          </cell>
        </row>
        <row r="1916">
          <cell r="A1916" t="str">
            <v>PEPPL0656</v>
          </cell>
          <cell r="Q1916">
            <v>45061</v>
          </cell>
        </row>
        <row r="1917">
          <cell r="A1917" t="str">
            <v>PEIPL0656</v>
          </cell>
          <cell r="Q1917">
            <v>45341</v>
          </cell>
        </row>
        <row r="1918">
          <cell r="A1918" t="str">
            <v>PSS0656</v>
          </cell>
          <cell r="Q1918">
            <v>43057</v>
          </cell>
        </row>
        <row r="1919">
          <cell r="A1919" t="str">
            <v>PSS0657</v>
          </cell>
          <cell r="Q1919">
            <v>43052</v>
          </cell>
        </row>
        <row r="1920">
          <cell r="A1920" t="str">
            <v>PEIPL0657</v>
          </cell>
          <cell r="Q1920">
            <v>45341</v>
          </cell>
        </row>
        <row r="1921">
          <cell r="A1921" t="str">
            <v>PEPPL0657</v>
          </cell>
          <cell r="Q1921">
            <v>45064</v>
          </cell>
        </row>
        <row r="1922">
          <cell r="A1922" t="str">
            <v>PEPPL0658</v>
          </cell>
          <cell r="Q1922">
            <v>45071</v>
          </cell>
        </row>
        <row r="1923">
          <cell r="A1923" t="str">
            <v>PEIPL0658</v>
          </cell>
          <cell r="Q1923">
            <v>45341</v>
          </cell>
        </row>
        <row r="1924">
          <cell r="A1924" t="str">
            <v>PEIPL0659</v>
          </cell>
          <cell r="Q1924">
            <v>45337</v>
          </cell>
        </row>
        <row r="1925">
          <cell r="A1925" t="str">
            <v>PEPPL0659</v>
          </cell>
          <cell r="Q1925">
            <v>45078</v>
          </cell>
        </row>
        <row r="1926">
          <cell r="A1926" t="str">
            <v>PSS0659</v>
          </cell>
          <cell r="Q1926">
            <v>43647</v>
          </cell>
        </row>
        <row r="1927">
          <cell r="A1927" t="str">
            <v>PSS0660</v>
          </cell>
          <cell r="Q1927">
            <v>42948</v>
          </cell>
        </row>
        <row r="1928">
          <cell r="A1928" t="str">
            <v>PEPPL0660</v>
          </cell>
          <cell r="Q1928">
            <v>45099</v>
          </cell>
        </row>
        <row r="1929">
          <cell r="A1929" t="str">
            <v>PEIPL0660</v>
          </cell>
          <cell r="Q1929">
            <v>45344</v>
          </cell>
        </row>
        <row r="1930">
          <cell r="A1930" t="str">
            <v>PEIPL0661</v>
          </cell>
          <cell r="Q1930">
            <v>45345</v>
          </cell>
        </row>
        <row r="1931">
          <cell r="A1931" t="str">
            <v>PEPPL0661</v>
          </cell>
          <cell r="Q1931">
            <v>45110</v>
          </cell>
        </row>
        <row r="1932">
          <cell r="A1932" t="str">
            <v>PEIPL0662</v>
          </cell>
          <cell r="Q1932">
            <v>45345</v>
          </cell>
        </row>
        <row r="1933">
          <cell r="A1933" t="str">
            <v>PEPPL0662</v>
          </cell>
          <cell r="Q1933">
            <v>45112</v>
          </cell>
        </row>
        <row r="1934">
          <cell r="A1934" t="str">
            <v>PSS0662</v>
          </cell>
          <cell r="Q1934">
            <v>43262</v>
          </cell>
        </row>
        <row r="1935">
          <cell r="A1935" t="str">
            <v>PSS0663</v>
          </cell>
          <cell r="Q1935">
            <v>42675</v>
          </cell>
        </row>
        <row r="1936">
          <cell r="A1936" t="str">
            <v>PEPPL0663</v>
          </cell>
          <cell r="Q1936">
            <v>45120</v>
          </cell>
        </row>
        <row r="1937">
          <cell r="A1937" t="str">
            <v>PEIPL0663</v>
          </cell>
          <cell r="Q1937">
            <v>45345</v>
          </cell>
        </row>
        <row r="1938">
          <cell r="A1938" t="str">
            <v>PEIPL0664</v>
          </cell>
          <cell r="Q1938">
            <v>45345</v>
          </cell>
        </row>
        <row r="1939">
          <cell r="A1939" t="str">
            <v>PEPPL0664</v>
          </cell>
          <cell r="Q1939">
            <v>45118</v>
          </cell>
        </row>
        <row r="1940">
          <cell r="A1940" t="str">
            <v>PSS0664</v>
          </cell>
          <cell r="Q1940">
            <v>42736</v>
          </cell>
        </row>
        <row r="1941">
          <cell r="A1941" t="str">
            <v>PEPPL0665</v>
          </cell>
          <cell r="Q1941">
            <v>45119</v>
          </cell>
        </row>
        <row r="1942">
          <cell r="A1942" t="str">
            <v>PEIPL0665</v>
          </cell>
          <cell r="Q1942">
            <v>45345</v>
          </cell>
        </row>
        <row r="1943">
          <cell r="A1943" t="str">
            <v>PEIPL0666</v>
          </cell>
          <cell r="Q1943">
            <v>45348</v>
          </cell>
        </row>
        <row r="1944">
          <cell r="A1944" t="str">
            <v>PEPPL0666</v>
          </cell>
          <cell r="Q1944">
            <v>45113</v>
          </cell>
        </row>
        <row r="1945">
          <cell r="A1945" t="str">
            <v>PEPPL0667</v>
          </cell>
          <cell r="Q1945">
            <v>45117</v>
          </cell>
        </row>
        <row r="1946">
          <cell r="A1946" t="str">
            <v>PEIPL0667</v>
          </cell>
          <cell r="Q1946">
            <v>45348</v>
          </cell>
        </row>
        <row r="1947">
          <cell r="A1947" t="str">
            <v>PEIPL0668</v>
          </cell>
          <cell r="Q1947">
            <v>45344</v>
          </cell>
        </row>
        <row r="1948">
          <cell r="A1948" t="str">
            <v>PEPPL0668</v>
          </cell>
          <cell r="Q1948">
            <v>45115</v>
          </cell>
        </row>
        <row r="1949">
          <cell r="A1949" t="str">
            <v>PSS0668</v>
          </cell>
          <cell r="Q1949">
            <v>43101</v>
          </cell>
        </row>
        <row r="1950">
          <cell r="A1950" t="str">
            <v>PEPPL0669</v>
          </cell>
          <cell r="Q1950">
            <v>45119</v>
          </cell>
        </row>
        <row r="1951">
          <cell r="A1951" t="str">
            <v>PEIPL0669</v>
          </cell>
          <cell r="Q1951">
            <v>45351</v>
          </cell>
        </row>
        <row r="1952">
          <cell r="A1952" t="str">
            <v>PEIPL0670</v>
          </cell>
          <cell r="Q1952">
            <v>45352</v>
          </cell>
        </row>
        <row r="1953">
          <cell r="A1953" t="str">
            <v>PEPPL0670</v>
          </cell>
          <cell r="Q1953">
            <v>45115</v>
          </cell>
        </row>
        <row r="1954">
          <cell r="A1954" t="str">
            <v>PEPPL0671</v>
          </cell>
          <cell r="Q1954">
            <v>45117</v>
          </cell>
        </row>
        <row r="1955">
          <cell r="A1955" t="str">
            <v>PEIPL0671</v>
          </cell>
          <cell r="Q1955">
            <v>45355</v>
          </cell>
        </row>
        <row r="1956">
          <cell r="A1956" t="str">
            <v>PEIPL0672</v>
          </cell>
          <cell r="Q1956">
            <v>45358</v>
          </cell>
        </row>
        <row r="1957">
          <cell r="A1957" t="str">
            <v>PEPPL0672</v>
          </cell>
          <cell r="Q1957">
            <v>45124</v>
          </cell>
        </row>
        <row r="1958">
          <cell r="A1958" t="str">
            <v>PEPPL0673</v>
          </cell>
          <cell r="Q1958">
            <v>45124</v>
          </cell>
        </row>
        <row r="1959">
          <cell r="A1959" t="str">
            <v>PEIPL0673</v>
          </cell>
          <cell r="Q1959">
            <v>45358</v>
          </cell>
        </row>
        <row r="1960">
          <cell r="A1960" t="str">
            <v>PEIPL0674</v>
          </cell>
          <cell r="Q1960">
            <v>45365</v>
          </cell>
        </row>
        <row r="1961">
          <cell r="A1961" t="str">
            <v>PEPPL0674</v>
          </cell>
          <cell r="Q1961">
            <v>45124</v>
          </cell>
        </row>
        <row r="1962">
          <cell r="A1962" t="str">
            <v>PEPPL0675</v>
          </cell>
          <cell r="Q1962">
            <v>45127</v>
          </cell>
        </row>
        <row r="1963">
          <cell r="A1963" t="str">
            <v>PEIPL0675</v>
          </cell>
          <cell r="Q1963">
            <v>45366</v>
          </cell>
        </row>
        <row r="1964">
          <cell r="A1964" t="str">
            <v>PEIPL0676</v>
          </cell>
          <cell r="Q1964">
            <v>45379</v>
          </cell>
        </row>
        <row r="1965">
          <cell r="A1965" t="str">
            <v>PEPPL0676</v>
          </cell>
          <cell r="Q1965">
            <v>45128</v>
          </cell>
        </row>
        <row r="1966">
          <cell r="A1966" t="str">
            <v>PSS0676</v>
          </cell>
          <cell r="Q1966">
            <v>43146</v>
          </cell>
        </row>
        <row r="1967">
          <cell r="A1967" t="str">
            <v>PEPPL0677</v>
          </cell>
          <cell r="Q1967">
            <v>45128</v>
          </cell>
        </row>
        <row r="1968">
          <cell r="A1968" t="str">
            <v>PEIPL0677</v>
          </cell>
          <cell r="Q1968">
            <v>45379</v>
          </cell>
        </row>
        <row r="1969">
          <cell r="A1969" t="str">
            <v>PEIPL0678</v>
          </cell>
          <cell r="Q1969">
            <v>45379</v>
          </cell>
        </row>
        <row r="1970">
          <cell r="A1970" t="str">
            <v>PEPPL0678</v>
          </cell>
          <cell r="Q1970">
            <v>45128</v>
          </cell>
        </row>
        <row r="1971">
          <cell r="A1971" t="str">
            <v>PEPPL0679</v>
          </cell>
          <cell r="Q1971">
            <v>45129</v>
          </cell>
        </row>
        <row r="1972">
          <cell r="A1972" t="str">
            <v>PEIPL0679</v>
          </cell>
          <cell r="Q1972">
            <v>45385</v>
          </cell>
        </row>
        <row r="1973">
          <cell r="A1973" t="str">
            <v>PSS0679</v>
          </cell>
          <cell r="Q1973">
            <v>43161</v>
          </cell>
        </row>
        <row r="1974">
          <cell r="A1974" t="str">
            <v>PEIPL0680</v>
          </cell>
          <cell r="Q1974">
            <v>45386</v>
          </cell>
        </row>
        <row r="1975">
          <cell r="A1975" t="str">
            <v>PEPPL0680</v>
          </cell>
          <cell r="Q1975">
            <v>45129</v>
          </cell>
        </row>
        <row r="1976">
          <cell r="A1976" t="str">
            <v>PEPPL0681</v>
          </cell>
          <cell r="Q1976">
            <v>45129</v>
          </cell>
        </row>
        <row r="1977">
          <cell r="A1977" t="str">
            <v>PEIPL0681</v>
          </cell>
          <cell r="Q1977">
            <v>45386</v>
          </cell>
        </row>
        <row r="1978">
          <cell r="A1978" t="str">
            <v>PSS0681</v>
          </cell>
          <cell r="Q1978">
            <v>43009</v>
          </cell>
        </row>
        <row r="1979">
          <cell r="A1979" t="str">
            <v>PEIPL0682</v>
          </cell>
          <cell r="Q1979">
            <v>45386</v>
          </cell>
        </row>
        <row r="1980">
          <cell r="A1980" t="str">
            <v>PEPPL0682</v>
          </cell>
          <cell r="Q1980">
            <v>45129</v>
          </cell>
        </row>
        <row r="1981">
          <cell r="A1981" t="str">
            <v>PEPPL0683</v>
          </cell>
          <cell r="Q1981">
            <v>45126</v>
          </cell>
        </row>
        <row r="1982">
          <cell r="A1982" t="str">
            <v>PEIPL0683</v>
          </cell>
          <cell r="Q1982">
            <v>45386</v>
          </cell>
        </row>
        <row r="1983">
          <cell r="A1983" t="str">
            <v>PEIPL0684</v>
          </cell>
          <cell r="Q1983">
            <v>45386</v>
          </cell>
        </row>
        <row r="1984">
          <cell r="A1984" t="str">
            <v>PEPPL0684</v>
          </cell>
          <cell r="Q1984">
            <v>45129</v>
          </cell>
        </row>
        <row r="1985">
          <cell r="A1985" t="str">
            <v>PEPPL0685</v>
          </cell>
          <cell r="Q1985">
            <v>45129</v>
          </cell>
        </row>
        <row r="1986">
          <cell r="A1986" t="str">
            <v>PEIPL0685</v>
          </cell>
          <cell r="Q1986">
            <v>45386</v>
          </cell>
        </row>
        <row r="1987">
          <cell r="A1987" t="str">
            <v>PSS0685</v>
          </cell>
          <cell r="Q1987">
            <v>43160</v>
          </cell>
        </row>
        <row r="1988">
          <cell r="A1988" t="str">
            <v>PEIPL0686</v>
          </cell>
          <cell r="Q1988">
            <v>45386</v>
          </cell>
        </row>
        <row r="1989">
          <cell r="A1989" t="str">
            <v>PEPPL0686</v>
          </cell>
          <cell r="Q1989">
            <v>45124</v>
          </cell>
        </row>
        <row r="1990">
          <cell r="A1990" t="str">
            <v>PEPPL0687</v>
          </cell>
          <cell r="Q1990">
            <v>45128</v>
          </cell>
        </row>
        <row r="1991">
          <cell r="A1991" t="str">
            <v>PEIPL0687</v>
          </cell>
          <cell r="Q1991">
            <v>45383</v>
          </cell>
        </row>
        <row r="1992">
          <cell r="A1992" t="str">
            <v>PSS0687</v>
          </cell>
          <cell r="Q1992">
            <v>44021</v>
          </cell>
        </row>
        <row r="1993">
          <cell r="A1993" t="str">
            <v>PEIPL0688</v>
          </cell>
          <cell r="Q1993">
            <v>45383</v>
          </cell>
        </row>
        <row r="1994">
          <cell r="A1994" t="str">
            <v>PEPPL0688</v>
          </cell>
          <cell r="Q1994">
            <v>45129</v>
          </cell>
        </row>
        <row r="1995">
          <cell r="A1995" t="str">
            <v>PEPPL0689</v>
          </cell>
          <cell r="Q1995">
            <v>45131</v>
          </cell>
        </row>
        <row r="1996">
          <cell r="A1996" t="str">
            <v>PEIPL0689</v>
          </cell>
          <cell r="Q1996">
            <v>45383</v>
          </cell>
        </row>
        <row r="1997">
          <cell r="A1997" t="str">
            <v>PSS0689</v>
          </cell>
          <cell r="Q1997">
            <v>43191</v>
          </cell>
        </row>
        <row r="1998">
          <cell r="A1998" t="str">
            <v>PSS0690</v>
          </cell>
          <cell r="Q1998">
            <v>43192</v>
          </cell>
        </row>
        <row r="1999">
          <cell r="A1999" t="str">
            <v>PEIPL0690</v>
          </cell>
          <cell r="Q1999">
            <v>45383</v>
          </cell>
        </row>
        <row r="2000">
          <cell r="A2000" t="str">
            <v>PEPPL0690</v>
          </cell>
          <cell r="Q2000">
            <v>45118</v>
          </cell>
        </row>
        <row r="2001">
          <cell r="A2001" t="str">
            <v>PEPPL0691</v>
          </cell>
          <cell r="Q2001">
            <v>45122</v>
          </cell>
        </row>
        <row r="2002">
          <cell r="A2002" t="str">
            <v>PEIPL0691</v>
          </cell>
          <cell r="Q2002">
            <v>45383</v>
          </cell>
        </row>
        <row r="2003">
          <cell r="A2003" t="str">
            <v>PEIPL0692</v>
          </cell>
          <cell r="Q2003">
            <v>45383</v>
          </cell>
        </row>
        <row r="2004">
          <cell r="A2004" t="str">
            <v>PEPPL0692</v>
          </cell>
          <cell r="Q2004">
            <v>45127</v>
          </cell>
        </row>
        <row r="2005">
          <cell r="A2005" t="str">
            <v>PEPPL0693</v>
          </cell>
          <cell r="Q2005">
            <v>45127</v>
          </cell>
        </row>
        <row r="2006">
          <cell r="A2006" t="str">
            <v>PEIPL0693</v>
          </cell>
          <cell r="Q2006">
            <v>45383</v>
          </cell>
        </row>
        <row r="2007">
          <cell r="A2007" t="str">
            <v>PEIPL0694</v>
          </cell>
          <cell r="Q2007">
            <v>45383</v>
          </cell>
        </row>
        <row r="2008">
          <cell r="A2008" t="str">
            <v>PEPPL0694</v>
          </cell>
          <cell r="Q2008">
            <v>45122</v>
          </cell>
        </row>
        <row r="2009">
          <cell r="A2009" t="str">
            <v>PSS0694</v>
          </cell>
          <cell r="Q2009">
            <v>43222</v>
          </cell>
        </row>
        <row r="2010">
          <cell r="A2010" t="str">
            <v>PEPPL0695</v>
          </cell>
          <cell r="Q2010">
            <v>45124</v>
          </cell>
        </row>
        <row r="2011">
          <cell r="A2011" t="str">
            <v>PEIPL0695</v>
          </cell>
          <cell r="Q2011">
            <v>45383</v>
          </cell>
        </row>
        <row r="2012">
          <cell r="A2012" t="str">
            <v>PEIPL0696</v>
          </cell>
          <cell r="Q2012">
            <v>45383</v>
          </cell>
        </row>
        <row r="2013">
          <cell r="A2013" t="str">
            <v>PEPPL0696</v>
          </cell>
          <cell r="Q2013">
            <v>45125</v>
          </cell>
        </row>
        <row r="2014">
          <cell r="A2014" t="str">
            <v>PEPPL0697</v>
          </cell>
          <cell r="Q2014">
            <v>45122</v>
          </cell>
        </row>
        <row r="2015">
          <cell r="A2015" t="str">
            <v>PEIPL0697</v>
          </cell>
          <cell r="Q2015">
            <v>45392</v>
          </cell>
        </row>
        <row r="2016">
          <cell r="A2016" t="str">
            <v>PEIPL0698</v>
          </cell>
          <cell r="Q2016">
            <v>45394</v>
          </cell>
        </row>
        <row r="2017">
          <cell r="A2017" t="str">
            <v>PEPPL0698</v>
          </cell>
          <cell r="Q2017">
            <v>45127</v>
          </cell>
        </row>
        <row r="2018">
          <cell r="A2018" t="str">
            <v>PEPPL0699</v>
          </cell>
          <cell r="Q2018">
            <v>45119</v>
          </cell>
        </row>
        <row r="2019">
          <cell r="A2019" t="str">
            <v>PEIPL0699</v>
          </cell>
          <cell r="Q2019">
            <v>45394</v>
          </cell>
        </row>
        <row r="2020">
          <cell r="A2020" t="str">
            <v>PEIPL0700</v>
          </cell>
          <cell r="Q2020">
            <v>45394</v>
          </cell>
        </row>
        <row r="2021">
          <cell r="A2021" t="str">
            <v>PEPPL0700</v>
          </cell>
          <cell r="Q2021">
            <v>45129</v>
          </cell>
        </row>
        <row r="2022">
          <cell r="A2022" t="str">
            <v>PEPPL0701</v>
          </cell>
          <cell r="Q2022">
            <v>45129</v>
          </cell>
        </row>
        <row r="2023">
          <cell r="A2023" t="str">
            <v>PEIPL0701</v>
          </cell>
          <cell r="Q2023">
            <v>45394</v>
          </cell>
        </row>
        <row r="2024">
          <cell r="A2024" t="str">
            <v>PEIPL0702</v>
          </cell>
          <cell r="Q2024">
            <v>45383</v>
          </cell>
        </row>
        <row r="2025">
          <cell r="A2025" t="str">
            <v>PEPPL0702</v>
          </cell>
          <cell r="Q2025">
            <v>45125</v>
          </cell>
        </row>
        <row r="2026">
          <cell r="A2026" t="str">
            <v>PEPPL0703</v>
          </cell>
          <cell r="Q2026">
            <v>45131</v>
          </cell>
        </row>
        <row r="2027">
          <cell r="A2027" t="str">
            <v>PEIPL0703</v>
          </cell>
          <cell r="Q2027">
            <v>45383</v>
          </cell>
        </row>
        <row r="2028">
          <cell r="A2028" t="str">
            <v>PEIPL0704</v>
          </cell>
          <cell r="Q2028">
            <v>45383</v>
          </cell>
        </row>
        <row r="2029">
          <cell r="A2029" t="str">
            <v>PEPPL0704</v>
          </cell>
          <cell r="Q2029">
            <v>45125</v>
          </cell>
        </row>
        <row r="2030">
          <cell r="A2030" t="str">
            <v>PEPPL0705</v>
          </cell>
          <cell r="Q2030">
            <v>45122</v>
          </cell>
        </row>
        <row r="2031">
          <cell r="A2031" t="str">
            <v>PEIPL0705</v>
          </cell>
          <cell r="Q2031">
            <v>45399</v>
          </cell>
        </row>
        <row r="2032">
          <cell r="A2032" t="str">
            <v>PEIPL0706</v>
          </cell>
          <cell r="Q2032">
            <v>45383</v>
          </cell>
        </row>
        <row r="2033">
          <cell r="A2033" t="str">
            <v>PEPPL0706</v>
          </cell>
          <cell r="Q2033">
            <v>45122</v>
          </cell>
        </row>
        <row r="2034">
          <cell r="A2034" t="str">
            <v>PEPPL0707</v>
          </cell>
          <cell r="Q2034">
            <v>45122</v>
          </cell>
        </row>
        <row r="2035">
          <cell r="A2035" t="str">
            <v>PEIPL0707</v>
          </cell>
          <cell r="Q2035">
            <v>45404</v>
          </cell>
        </row>
        <row r="2036">
          <cell r="A2036" t="str">
            <v>PEIPL0708</v>
          </cell>
          <cell r="Q2036">
            <v>45352</v>
          </cell>
        </row>
        <row r="2037">
          <cell r="A2037" t="str">
            <v>PEPPL0708</v>
          </cell>
          <cell r="Q2037">
            <v>45123</v>
          </cell>
        </row>
        <row r="2038">
          <cell r="A2038" t="str">
            <v>PSS0708</v>
          </cell>
          <cell r="Q2038">
            <v>43269</v>
          </cell>
        </row>
        <row r="2039">
          <cell r="A2039" t="str">
            <v>PEPPL0709</v>
          </cell>
          <cell r="Q2039">
            <v>45123</v>
          </cell>
        </row>
        <row r="2040">
          <cell r="A2040" t="str">
            <v>PEIPL0709</v>
          </cell>
          <cell r="Q2040">
            <v>45405</v>
          </cell>
        </row>
        <row r="2041">
          <cell r="A2041" t="str">
            <v>PEIPL0710</v>
          </cell>
          <cell r="Q2041">
            <v>45383</v>
          </cell>
        </row>
        <row r="2042">
          <cell r="A2042" t="str">
            <v>PEPPL0710</v>
          </cell>
          <cell r="Q2042">
            <v>45125</v>
          </cell>
        </row>
        <row r="2043">
          <cell r="A2043" t="str">
            <v>PEPPL0711</v>
          </cell>
          <cell r="Q2043">
            <v>45123</v>
          </cell>
        </row>
        <row r="2044">
          <cell r="A2044" t="str">
            <v>PEIPL0711</v>
          </cell>
          <cell r="Q2044">
            <v>45407</v>
          </cell>
        </row>
        <row r="2045">
          <cell r="A2045" t="str">
            <v>PSS0711</v>
          </cell>
          <cell r="Q2045">
            <v>43252</v>
          </cell>
        </row>
        <row r="2046">
          <cell r="A2046" t="str">
            <v>PSS0712</v>
          </cell>
          <cell r="Q2046">
            <v>43286</v>
          </cell>
        </row>
        <row r="2047">
          <cell r="A2047" t="str">
            <v>PEIPL0712</v>
          </cell>
          <cell r="Q2047">
            <v>45407</v>
          </cell>
        </row>
        <row r="2048">
          <cell r="A2048" t="str">
            <v>PEPPL0712</v>
          </cell>
          <cell r="Q2048">
            <v>45132</v>
          </cell>
        </row>
        <row r="2049">
          <cell r="A2049" t="str">
            <v>PEPPL0713</v>
          </cell>
          <cell r="Q2049">
            <v>45124</v>
          </cell>
        </row>
        <row r="2050">
          <cell r="A2050" t="str">
            <v>PEIPL0713</v>
          </cell>
          <cell r="Q2050">
            <v>45407</v>
          </cell>
        </row>
        <row r="2051">
          <cell r="A2051" t="str">
            <v>PEIPL0714</v>
          </cell>
          <cell r="Q2051">
            <v>45407</v>
          </cell>
        </row>
        <row r="2052">
          <cell r="A2052" t="str">
            <v>PEPPL0714</v>
          </cell>
          <cell r="Q2052">
            <v>45124</v>
          </cell>
        </row>
        <row r="2053">
          <cell r="A2053" t="str">
            <v>PSS0714</v>
          </cell>
          <cell r="Q2053">
            <v>43191</v>
          </cell>
        </row>
        <row r="2054">
          <cell r="A2054" t="str">
            <v>PEPPL0715</v>
          </cell>
          <cell r="Q2054">
            <v>45124</v>
          </cell>
        </row>
        <row r="2055">
          <cell r="A2055" t="str">
            <v>PEIPL0715</v>
          </cell>
          <cell r="Q2055">
            <v>45407</v>
          </cell>
        </row>
        <row r="2056">
          <cell r="A2056" t="str">
            <v>PEIPL0716</v>
          </cell>
          <cell r="Q2056">
            <v>45407</v>
          </cell>
        </row>
        <row r="2057">
          <cell r="A2057" t="str">
            <v>PEPPL0716</v>
          </cell>
          <cell r="Q2057">
            <v>45135</v>
          </cell>
        </row>
        <row r="2058">
          <cell r="A2058" t="str">
            <v>PEPPL0717</v>
          </cell>
          <cell r="Q2058">
            <v>45135</v>
          </cell>
        </row>
        <row r="2059">
          <cell r="A2059" t="str">
            <v>PEIPL0717</v>
          </cell>
          <cell r="Q2059">
            <v>45414</v>
          </cell>
        </row>
        <row r="2060">
          <cell r="A2060" t="str">
            <v>PEIPL0718</v>
          </cell>
          <cell r="Q2060">
            <v>45414</v>
          </cell>
        </row>
        <row r="2061">
          <cell r="A2061" t="str">
            <v>PEPPL0718</v>
          </cell>
          <cell r="Q2061">
            <v>45139</v>
          </cell>
        </row>
        <row r="2062">
          <cell r="A2062" t="str">
            <v>PEPPL0719</v>
          </cell>
          <cell r="Q2062">
            <v>45139</v>
          </cell>
        </row>
        <row r="2063">
          <cell r="A2063" t="str">
            <v>PEIPL0719</v>
          </cell>
          <cell r="Q2063">
            <v>45414</v>
          </cell>
        </row>
        <row r="2064">
          <cell r="A2064" t="str">
            <v>PSS0719</v>
          </cell>
          <cell r="Q2064">
            <v>43282</v>
          </cell>
        </row>
        <row r="2065">
          <cell r="A2065" t="str">
            <v>PEIPL0720</v>
          </cell>
          <cell r="Q2065">
            <v>45414</v>
          </cell>
        </row>
        <row r="2066">
          <cell r="A2066" t="str">
            <v>PEPPL0720</v>
          </cell>
          <cell r="Q2066">
            <v>45139</v>
          </cell>
        </row>
        <row r="2067">
          <cell r="A2067" t="str">
            <v>PEIPL0721</v>
          </cell>
          <cell r="Q2067">
            <v>45414</v>
          </cell>
        </row>
        <row r="2068">
          <cell r="A2068" t="str">
            <v>PEPPL0721</v>
          </cell>
          <cell r="Q2068">
            <v>45139</v>
          </cell>
        </row>
        <row r="2069">
          <cell r="A2069" t="str">
            <v>PSS0721</v>
          </cell>
          <cell r="Q2069">
            <v>43283</v>
          </cell>
        </row>
        <row r="2070">
          <cell r="A2070" t="str">
            <v>PEPPL0722</v>
          </cell>
          <cell r="Q2070">
            <v>45141</v>
          </cell>
        </row>
        <row r="2071">
          <cell r="A2071" t="str">
            <v>PEIPL0722</v>
          </cell>
          <cell r="Q2071">
            <v>45414</v>
          </cell>
        </row>
        <row r="2072">
          <cell r="A2072" t="str">
            <v>PEIPL0723</v>
          </cell>
          <cell r="Q2072">
            <v>45414</v>
          </cell>
        </row>
        <row r="2073">
          <cell r="A2073" t="str">
            <v>PEPPL0723</v>
          </cell>
          <cell r="Q2073">
            <v>45141</v>
          </cell>
        </row>
        <row r="2074">
          <cell r="A2074" t="str">
            <v>PEPPL0724</v>
          </cell>
          <cell r="Q2074">
            <v>45141</v>
          </cell>
        </row>
        <row r="2075">
          <cell r="A2075" t="str">
            <v>PEIPL0724</v>
          </cell>
          <cell r="Q2075">
            <v>45418</v>
          </cell>
        </row>
        <row r="2076">
          <cell r="A2076" t="str">
            <v>PEIPL0725</v>
          </cell>
          <cell r="Q2076">
            <v>45421</v>
          </cell>
        </row>
        <row r="2077">
          <cell r="A2077" t="str">
            <v>PEPPL0725</v>
          </cell>
          <cell r="Q2077">
            <v>45139</v>
          </cell>
        </row>
        <row r="2078">
          <cell r="A2078" t="str">
            <v>PEPPL0726</v>
          </cell>
          <cell r="Q2078">
            <v>45139</v>
          </cell>
        </row>
        <row r="2079">
          <cell r="A2079" t="str">
            <v>PEIPL0726</v>
          </cell>
          <cell r="Q2079">
            <v>45422</v>
          </cell>
        </row>
        <row r="2080">
          <cell r="A2080" t="str">
            <v>PEIPL0727</v>
          </cell>
          <cell r="Q2080">
            <v>45428</v>
          </cell>
        </row>
        <row r="2081">
          <cell r="A2081" t="str">
            <v>PEPPL0727</v>
          </cell>
          <cell r="Q2081">
            <v>45139</v>
          </cell>
        </row>
        <row r="2082">
          <cell r="A2082" t="str">
            <v>PEPPL0728</v>
          </cell>
          <cell r="Q2082">
            <v>45139</v>
          </cell>
        </row>
        <row r="2083">
          <cell r="A2083" t="str">
            <v>PEIPL0728</v>
          </cell>
          <cell r="Q2083">
            <v>45428</v>
          </cell>
        </row>
        <row r="2084">
          <cell r="A2084" t="str">
            <v>PSS0728</v>
          </cell>
          <cell r="Q2084">
            <v>43282</v>
          </cell>
        </row>
        <row r="2085">
          <cell r="A2085" t="str">
            <v>PSS0729</v>
          </cell>
          <cell r="Q2085">
            <v>43325</v>
          </cell>
        </row>
        <row r="2086">
          <cell r="A2086" t="str">
            <v>PEIPL0729</v>
          </cell>
          <cell r="Q2086">
            <v>45428</v>
          </cell>
        </row>
        <row r="2087">
          <cell r="A2087" t="str">
            <v>PEPPL0729</v>
          </cell>
          <cell r="Q2087">
            <v>45139</v>
          </cell>
        </row>
        <row r="2088">
          <cell r="A2088" t="str">
            <v>PEPPL0730</v>
          </cell>
          <cell r="Q2088">
            <v>45139</v>
          </cell>
        </row>
        <row r="2089">
          <cell r="A2089" t="str">
            <v>PEIPL0730</v>
          </cell>
          <cell r="Q2089">
            <v>45428</v>
          </cell>
        </row>
        <row r="2090">
          <cell r="A2090" t="str">
            <v>PEIPL0731</v>
          </cell>
          <cell r="Q2090">
            <v>45429</v>
          </cell>
        </row>
        <row r="2091">
          <cell r="A2091" t="str">
            <v>PEPPL0731</v>
          </cell>
          <cell r="Q2091">
            <v>45139</v>
          </cell>
        </row>
        <row r="2092">
          <cell r="A2092" t="str">
            <v>PEPPL0732</v>
          </cell>
          <cell r="Q2092">
            <v>45139</v>
          </cell>
        </row>
        <row r="2093">
          <cell r="A2093" t="str">
            <v>PEIPL0732</v>
          </cell>
          <cell r="Q2093">
            <v>45430</v>
          </cell>
        </row>
        <row r="2094">
          <cell r="A2094" t="str">
            <v>PEIPL0733</v>
          </cell>
          <cell r="Q2094">
            <v>45435</v>
          </cell>
        </row>
        <row r="2095">
          <cell r="A2095" t="str">
            <v>PEPPL0733</v>
          </cell>
          <cell r="Q2095">
            <v>45147</v>
          </cell>
        </row>
        <row r="2096">
          <cell r="A2096" t="str">
            <v>PSS0733</v>
          </cell>
          <cell r="Q2096">
            <v>43313</v>
          </cell>
        </row>
        <row r="2097">
          <cell r="A2097" t="str">
            <v>PEPPL0734</v>
          </cell>
          <cell r="Q2097">
            <v>45155</v>
          </cell>
        </row>
        <row r="2098">
          <cell r="A2098" t="str">
            <v>PEIPL0734</v>
          </cell>
          <cell r="Q2098">
            <v>45435</v>
          </cell>
        </row>
        <row r="2099">
          <cell r="A2099" t="str">
            <v>PEIPL0735</v>
          </cell>
          <cell r="Q2099">
            <v>45435</v>
          </cell>
        </row>
        <row r="2100">
          <cell r="A2100" t="str">
            <v>PEPPL0735</v>
          </cell>
          <cell r="Q2100">
            <v>45155</v>
          </cell>
        </row>
        <row r="2101">
          <cell r="A2101" t="str">
            <v>PSS0735</v>
          </cell>
          <cell r="Q2101">
            <v>43320</v>
          </cell>
        </row>
        <row r="2102">
          <cell r="A2102" t="str">
            <v>PEPPL0736</v>
          </cell>
          <cell r="Q2102">
            <v>45155</v>
          </cell>
        </row>
        <row r="2103">
          <cell r="A2103" t="str">
            <v>PEIPL0736</v>
          </cell>
          <cell r="Q2103">
            <v>45435</v>
          </cell>
        </row>
        <row r="2104">
          <cell r="A2104" t="str">
            <v>PEIPL0737</v>
          </cell>
          <cell r="Q2104">
            <v>45436</v>
          </cell>
        </row>
        <row r="2105">
          <cell r="A2105" t="str">
            <v>PEPPL0737</v>
          </cell>
          <cell r="Q2105">
            <v>45159</v>
          </cell>
        </row>
        <row r="2106">
          <cell r="A2106" t="str">
            <v>PSS0737</v>
          </cell>
          <cell r="Q2106">
            <v>43329</v>
          </cell>
        </row>
        <row r="2107">
          <cell r="A2107" t="str">
            <v>PSS0738</v>
          </cell>
          <cell r="Q2107">
            <v>43328</v>
          </cell>
        </row>
        <row r="2108">
          <cell r="A2108" t="str">
            <v>PEPPL0738</v>
          </cell>
          <cell r="Q2108">
            <v>45169</v>
          </cell>
        </row>
        <row r="2109">
          <cell r="A2109" t="str">
            <v>PEIPL0738</v>
          </cell>
          <cell r="Q2109">
            <v>45435</v>
          </cell>
        </row>
        <row r="2110">
          <cell r="A2110" t="str">
            <v>PEPPL0739</v>
          </cell>
          <cell r="Q2110">
            <v>45176</v>
          </cell>
        </row>
        <row r="2111">
          <cell r="A2111" t="str">
            <v>PEIPL0739</v>
          </cell>
          <cell r="Q2111">
            <v>45447</v>
          </cell>
        </row>
        <row r="2112">
          <cell r="A2112" t="str">
            <v>PEPPL0740</v>
          </cell>
          <cell r="Q2112">
            <v>45176</v>
          </cell>
        </row>
        <row r="2113">
          <cell r="A2113" t="str">
            <v>PEIPL0740</v>
          </cell>
          <cell r="Q2113">
            <v>45449</v>
          </cell>
        </row>
        <row r="2114">
          <cell r="A2114" t="str">
            <v>PSS0740</v>
          </cell>
          <cell r="Q2114">
            <v>43313</v>
          </cell>
        </row>
        <row r="2115">
          <cell r="A2115" t="str">
            <v>PSS0741</v>
          </cell>
          <cell r="Q2115">
            <v>43318</v>
          </cell>
        </row>
        <row r="2116">
          <cell r="A2116" t="str">
            <v>PEIPL0741</v>
          </cell>
          <cell r="Q2116">
            <v>45449</v>
          </cell>
        </row>
        <row r="2117">
          <cell r="A2117" t="str">
            <v>PEPPL0741</v>
          </cell>
          <cell r="Q2117">
            <v>45180</v>
          </cell>
        </row>
        <row r="2118">
          <cell r="A2118" t="str">
            <v>PEPPL0742</v>
          </cell>
          <cell r="Q2118">
            <v>45180</v>
          </cell>
        </row>
        <row r="2119">
          <cell r="A2119" t="str">
            <v>PEIPL0742</v>
          </cell>
          <cell r="Q2119">
            <v>45449</v>
          </cell>
        </row>
        <row r="2120">
          <cell r="A2120" t="str">
            <v>PEPPL0743</v>
          </cell>
          <cell r="Q2120">
            <v>45183</v>
          </cell>
        </row>
        <row r="2121">
          <cell r="A2121" t="str">
            <v>PSS0743</v>
          </cell>
          <cell r="Q2121">
            <v>43344</v>
          </cell>
        </row>
        <row r="2122">
          <cell r="A2122" t="str">
            <v>PEIPL0743</v>
          </cell>
          <cell r="Q2122">
            <v>45456</v>
          </cell>
        </row>
        <row r="2123">
          <cell r="A2123" t="str">
            <v>PEIPL0744</v>
          </cell>
          <cell r="Q2123">
            <v>45456</v>
          </cell>
        </row>
        <row r="2124">
          <cell r="A2124" t="str">
            <v>PSS0744</v>
          </cell>
          <cell r="Q2124">
            <v>43344</v>
          </cell>
        </row>
        <row r="2125">
          <cell r="A2125" t="str">
            <v>PEPPL0744</v>
          </cell>
          <cell r="Q2125">
            <v>45194</v>
          </cell>
        </row>
        <row r="2126">
          <cell r="A2126" t="str">
            <v>PEPPL0745</v>
          </cell>
          <cell r="Q2126">
            <v>45197</v>
          </cell>
        </row>
        <row r="2127">
          <cell r="A2127" t="str">
            <v>PEIPL0745</v>
          </cell>
          <cell r="Q2127">
            <v>45456</v>
          </cell>
        </row>
        <row r="2128">
          <cell r="A2128" t="str">
            <v>PEIPL0746</v>
          </cell>
          <cell r="Q2128">
            <v>45458</v>
          </cell>
        </row>
        <row r="2129">
          <cell r="A2129" t="str">
            <v>PEPPL0746</v>
          </cell>
          <cell r="Q2129">
            <v>45197</v>
          </cell>
        </row>
        <row r="2130">
          <cell r="A2130" t="str">
            <v>PEPPL0747</v>
          </cell>
          <cell r="Q2130">
            <v>45209</v>
          </cell>
        </row>
        <row r="2131">
          <cell r="A2131" t="str">
            <v>PEIPL0747</v>
          </cell>
          <cell r="Q2131">
            <v>45463</v>
          </cell>
        </row>
        <row r="2132">
          <cell r="A2132" t="str">
            <v>PEIPL0748</v>
          </cell>
          <cell r="Q2132">
            <v>45463</v>
          </cell>
        </row>
        <row r="2133">
          <cell r="A2133" t="str">
            <v>PEPPL0748</v>
          </cell>
          <cell r="Q2133">
            <v>45211</v>
          </cell>
        </row>
        <row r="2134">
          <cell r="A2134" t="str">
            <v>PEPPL0749</v>
          </cell>
          <cell r="Q2134">
            <v>45211</v>
          </cell>
        </row>
        <row r="2135">
          <cell r="A2135" t="str">
            <v>PEIPL0749</v>
          </cell>
          <cell r="Q2135">
            <v>45463</v>
          </cell>
        </row>
        <row r="2136">
          <cell r="A2136" t="str">
            <v>PEIPL0750</v>
          </cell>
          <cell r="Q2136">
            <v>45463</v>
          </cell>
        </row>
        <row r="2137">
          <cell r="A2137" t="str">
            <v>PEPPL0750</v>
          </cell>
          <cell r="Q2137">
            <v>45211</v>
          </cell>
        </row>
        <row r="2138">
          <cell r="A2138" t="str">
            <v>PSS0750</v>
          </cell>
          <cell r="Q2138">
            <v>43340</v>
          </cell>
        </row>
        <row r="2139">
          <cell r="A2139" t="str">
            <v>PSS0751</v>
          </cell>
          <cell r="Q2139">
            <v>43542</v>
          </cell>
        </row>
        <row r="2140">
          <cell r="A2140" t="str">
            <v>PEPPL0751</v>
          </cell>
          <cell r="Q2140">
            <v>45211</v>
          </cell>
        </row>
        <row r="2141">
          <cell r="A2141" t="str">
            <v>PEIPL0751</v>
          </cell>
          <cell r="Q2141">
            <v>45462</v>
          </cell>
        </row>
        <row r="2142">
          <cell r="A2142" t="str">
            <v>PEIPL0752</v>
          </cell>
          <cell r="Q2142">
            <v>45463</v>
          </cell>
        </row>
        <row r="2143">
          <cell r="A2143" t="str">
            <v>PEPPL0752</v>
          </cell>
          <cell r="Q2143">
            <v>45211</v>
          </cell>
        </row>
        <row r="2144">
          <cell r="A2144" t="str">
            <v>PEPPL0753</v>
          </cell>
          <cell r="Q2144">
            <v>45211</v>
          </cell>
        </row>
        <row r="2145">
          <cell r="A2145" t="str">
            <v>PSS0753</v>
          </cell>
          <cell r="Q2145">
            <v>43547</v>
          </cell>
        </row>
        <row r="2146">
          <cell r="A2146" t="str">
            <v>PEIPL0753</v>
          </cell>
          <cell r="Q2146">
            <v>45463</v>
          </cell>
        </row>
        <row r="2147">
          <cell r="A2147" t="str">
            <v>PEIPL0754</v>
          </cell>
          <cell r="Q2147">
            <v>45463</v>
          </cell>
        </row>
        <row r="2148">
          <cell r="A2148" t="str">
            <v>PSS0754</v>
          </cell>
          <cell r="Q2148">
            <v>43547</v>
          </cell>
        </row>
        <row r="2149">
          <cell r="A2149" t="str">
            <v>PEPPL0754</v>
          </cell>
          <cell r="Q2149">
            <v>45211</v>
          </cell>
        </row>
        <row r="2150">
          <cell r="A2150" t="str">
            <v>PEPPL0755</v>
          </cell>
          <cell r="Q2150">
            <v>45213</v>
          </cell>
        </row>
        <row r="2151">
          <cell r="A2151" t="str">
            <v>PSS0755</v>
          </cell>
          <cell r="Q2151">
            <v>43556</v>
          </cell>
        </row>
        <row r="2152">
          <cell r="A2152" t="str">
            <v>PEIPL0755</v>
          </cell>
          <cell r="Q2152">
            <v>45470</v>
          </cell>
        </row>
        <row r="2153">
          <cell r="A2153" t="str">
            <v>PEIPL0756</v>
          </cell>
          <cell r="Q2153">
            <v>45470</v>
          </cell>
        </row>
        <row r="2154">
          <cell r="A2154" t="str">
            <v>PEPPL0756</v>
          </cell>
          <cell r="Q2154">
            <v>45218</v>
          </cell>
        </row>
        <row r="2155">
          <cell r="A2155" t="str">
            <v>PEPPL0757</v>
          </cell>
          <cell r="Q2155">
            <v>45218</v>
          </cell>
        </row>
        <row r="2156">
          <cell r="A2156" t="str">
            <v>PEIPL0757</v>
          </cell>
          <cell r="Q2156">
            <v>45470</v>
          </cell>
        </row>
        <row r="2157">
          <cell r="A2157" t="str">
            <v>PEIPL0758</v>
          </cell>
          <cell r="Q2157">
            <v>45470</v>
          </cell>
        </row>
        <row r="2158">
          <cell r="A2158" t="str">
            <v>PEPPL0758</v>
          </cell>
          <cell r="Q2158">
            <v>45218</v>
          </cell>
        </row>
        <row r="2159">
          <cell r="A2159" t="str">
            <v>PEPPL0759</v>
          </cell>
          <cell r="Q2159">
            <v>45229</v>
          </cell>
        </row>
        <row r="2160">
          <cell r="A2160" t="str">
            <v>PSS0759</v>
          </cell>
          <cell r="Q2160">
            <v>43556</v>
          </cell>
        </row>
        <row r="2161">
          <cell r="A2161" t="str">
            <v>PEIPL0759</v>
          </cell>
          <cell r="Q2161">
            <v>45470</v>
          </cell>
        </row>
        <row r="2162">
          <cell r="A2162" t="str">
            <v>PEIPL0760</v>
          </cell>
          <cell r="Q2162">
            <v>45477</v>
          </cell>
        </row>
        <row r="2163">
          <cell r="A2163" t="str">
            <v>PEPPL0760</v>
          </cell>
          <cell r="Q2163">
            <v>45232</v>
          </cell>
        </row>
        <row r="2164">
          <cell r="A2164" t="str">
            <v>PEPPL0761</v>
          </cell>
          <cell r="Q2164">
            <v>45232</v>
          </cell>
        </row>
        <row r="2165">
          <cell r="A2165" t="str">
            <v>PSS0761</v>
          </cell>
          <cell r="Q2165">
            <v>43586</v>
          </cell>
        </row>
        <row r="2166">
          <cell r="A2166" t="str">
            <v>PEIPL0761</v>
          </cell>
          <cell r="Q2166">
            <v>45477</v>
          </cell>
        </row>
        <row r="2167">
          <cell r="A2167" t="str">
            <v>PEIPL0762</v>
          </cell>
          <cell r="Q2167">
            <v>45484</v>
          </cell>
        </row>
        <row r="2168">
          <cell r="A2168" t="str">
            <v>PSS0762</v>
          </cell>
          <cell r="Q2168">
            <v>42614</v>
          </cell>
        </row>
        <row r="2169">
          <cell r="A2169" t="str">
            <v>PEPPL0762</v>
          </cell>
          <cell r="Q2169">
            <v>45236</v>
          </cell>
        </row>
        <row r="2170">
          <cell r="A2170" t="str">
            <v>PEPPL0763</v>
          </cell>
          <cell r="Q2170">
            <v>45236</v>
          </cell>
        </row>
        <row r="2171">
          <cell r="A2171" t="str">
            <v>PSS0763</v>
          </cell>
          <cell r="Q2171">
            <v>43556</v>
          </cell>
        </row>
        <row r="2172">
          <cell r="A2172" t="str">
            <v>PEIPL0763</v>
          </cell>
          <cell r="Q2172">
            <v>45484</v>
          </cell>
        </row>
        <row r="2173">
          <cell r="A2173" t="str">
            <v>PEIPL0764</v>
          </cell>
          <cell r="Q2173">
            <v>45491</v>
          </cell>
        </row>
        <row r="2174">
          <cell r="A2174" t="str">
            <v>PSS0764</v>
          </cell>
          <cell r="Q2174">
            <v>43384</v>
          </cell>
        </row>
        <row r="2175">
          <cell r="A2175" t="str">
            <v>PEPPL0764</v>
          </cell>
          <cell r="Q2175">
            <v>45240</v>
          </cell>
        </row>
        <row r="2176">
          <cell r="A2176" t="str">
            <v>PEPPL0765</v>
          </cell>
          <cell r="Q2176">
            <v>45245</v>
          </cell>
        </row>
        <row r="2177">
          <cell r="A2177" t="str">
            <v>PEIPL0765</v>
          </cell>
          <cell r="Q2177">
            <v>45491</v>
          </cell>
        </row>
        <row r="2178">
          <cell r="A2178" t="str">
            <v>PEIPL0766</v>
          </cell>
          <cell r="Q2178">
            <v>45491</v>
          </cell>
        </row>
        <row r="2179">
          <cell r="A2179" t="str">
            <v>PEPPL0766</v>
          </cell>
          <cell r="Q2179">
            <v>45253</v>
          </cell>
        </row>
        <row r="2180">
          <cell r="A2180" t="str">
            <v>PEPPL0767</v>
          </cell>
          <cell r="Q2180">
            <v>45253</v>
          </cell>
        </row>
        <row r="2181">
          <cell r="A2181" t="str">
            <v>PEIPL0767</v>
          </cell>
          <cell r="Q2181">
            <v>45491</v>
          </cell>
        </row>
        <row r="2182">
          <cell r="A2182" t="str">
            <v>PEIPL0768</v>
          </cell>
          <cell r="Q2182">
            <v>45495</v>
          </cell>
        </row>
        <row r="2183">
          <cell r="A2183" t="str">
            <v>PEPPL0768</v>
          </cell>
          <cell r="Q2183">
            <v>45253</v>
          </cell>
        </row>
        <row r="2184">
          <cell r="A2184" t="str">
            <v>PEPPL0769</v>
          </cell>
          <cell r="Q2184">
            <v>45261</v>
          </cell>
        </row>
        <row r="2185">
          <cell r="A2185" t="str">
            <v>PSS0769</v>
          </cell>
          <cell r="Q2185">
            <v>43395</v>
          </cell>
        </row>
        <row r="2186">
          <cell r="A2186" t="str">
            <v>PEIPL0769</v>
          </cell>
          <cell r="Q2186">
            <v>45498</v>
          </cell>
        </row>
        <row r="2187">
          <cell r="A2187" t="str">
            <v>PEIPL0770</v>
          </cell>
          <cell r="Q2187">
            <v>45505</v>
          </cell>
        </row>
        <row r="2188">
          <cell r="A2188" t="str">
            <v>PSS0770</v>
          </cell>
          <cell r="Q2188">
            <v>43395</v>
          </cell>
        </row>
        <row r="2189">
          <cell r="A2189" t="str">
            <v>PEPPL0770</v>
          </cell>
          <cell r="Q2189">
            <v>45261</v>
          </cell>
        </row>
        <row r="2190">
          <cell r="A2190" t="str">
            <v>PEPPL0771</v>
          </cell>
          <cell r="Q2190">
            <v>45266</v>
          </cell>
        </row>
        <row r="2191">
          <cell r="A2191" t="str">
            <v>PEIPL0771</v>
          </cell>
          <cell r="Q2191">
            <v>45505</v>
          </cell>
        </row>
        <row r="2192">
          <cell r="A2192" t="str">
            <v>PEIPL0772</v>
          </cell>
          <cell r="Q2192">
            <v>45505</v>
          </cell>
        </row>
        <row r="2193">
          <cell r="A2193" t="str">
            <v>PEPPL0772</v>
          </cell>
          <cell r="Q2193">
            <v>45274</v>
          </cell>
        </row>
        <row r="2194">
          <cell r="A2194" t="str">
            <v>PEPPL0773</v>
          </cell>
          <cell r="Q2194">
            <v>45281</v>
          </cell>
        </row>
        <row r="2195">
          <cell r="A2195" t="str">
            <v>PEIPL0773</v>
          </cell>
          <cell r="Q2195">
            <v>45505</v>
          </cell>
        </row>
        <row r="2196">
          <cell r="A2196" t="str">
            <v>PEIPL0774</v>
          </cell>
          <cell r="Q2196">
            <v>45505</v>
          </cell>
        </row>
        <row r="2197">
          <cell r="A2197" t="str">
            <v>PEPPL0774</v>
          </cell>
          <cell r="Q2197">
            <v>45281</v>
          </cell>
        </row>
        <row r="2198">
          <cell r="A2198" t="str">
            <v>PEPPL0775</v>
          </cell>
          <cell r="Q2198">
            <v>45281</v>
          </cell>
        </row>
        <row r="2199">
          <cell r="A2199" t="str">
            <v>PEIPL0775</v>
          </cell>
          <cell r="Q2199">
            <v>45509</v>
          </cell>
        </row>
        <row r="2200">
          <cell r="A2200" t="str">
            <v>PEIPL0776</v>
          </cell>
          <cell r="Q2200">
            <v>45514</v>
          </cell>
        </row>
        <row r="2201">
          <cell r="A2201" t="str">
            <v>PEPPL0776</v>
          </cell>
          <cell r="Q2201">
            <v>45281</v>
          </cell>
        </row>
        <row r="2202">
          <cell r="A2202" t="str">
            <v>PEPPL0777</v>
          </cell>
          <cell r="Q2202">
            <v>45295</v>
          </cell>
        </row>
        <row r="2203">
          <cell r="A2203" t="str">
            <v>PSS0777</v>
          </cell>
          <cell r="Q2203">
            <v>43405</v>
          </cell>
        </row>
        <row r="2204">
          <cell r="A2204" t="str">
            <v>PEIPL0777</v>
          </cell>
          <cell r="Q2204">
            <v>45520</v>
          </cell>
        </row>
        <row r="2205">
          <cell r="A2205" t="str">
            <v>PEIPL0778</v>
          </cell>
          <cell r="Q2205">
            <v>45520</v>
          </cell>
        </row>
        <row r="2206">
          <cell r="A2206" t="str">
            <v>PSS0778</v>
          </cell>
          <cell r="Q2206">
            <v>43406</v>
          </cell>
        </row>
        <row r="2207">
          <cell r="A2207" t="str">
            <v>PEPPL0778</v>
          </cell>
          <cell r="Q2207">
            <v>45309</v>
          </cell>
        </row>
        <row r="2208">
          <cell r="A2208" t="str">
            <v>PEPPL0779</v>
          </cell>
          <cell r="Q2208">
            <v>45309</v>
          </cell>
        </row>
        <row r="2209">
          <cell r="A2209" t="str">
            <v>PSS0779</v>
          </cell>
          <cell r="Q2209">
            <v>43313</v>
          </cell>
        </row>
        <row r="2210">
          <cell r="A2210" t="str">
            <v>PEIPL0779</v>
          </cell>
          <cell r="Q2210">
            <v>45523</v>
          </cell>
        </row>
        <row r="2211">
          <cell r="A2211" t="str">
            <v>PEIPL0780</v>
          </cell>
          <cell r="Q2211">
            <v>45525</v>
          </cell>
        </row>
        <row r="2212">
          <cell r="A2212" t="str">
            <v>PSS0780</v>
          </cell>
          <cell r="Q2212">
            <v>43402</v>
          </cell>
        </row>
        <row r="2213">
          <cell r="A2213" t="str">
            <v>PEPPL0780</v>
          </cell>
          <cell r="Q2213">
            <v>45306</v>
          </cell>
        </row>
        <row r="2214">
          <cell r="A2214" t="str">
            <v>PEPPL0781</v>
          </cell>
          <cell r="Q2214">
            <v>45309</v>
          </cell>
        </row>
        <row r="2215">
          <cell r="A2215" t="str">
            <v>PSS0781</v>
          </cell>
          <cell r="Q2215">
            <v>43409</v>
          </cell>
        </row>
        <row r="2216">
          <cell r="A2216" t="str">
            <v>PEIPL0781</v>
          </cell>
          <cell r="Q2216">
            <v>45526</v>
          </cell>
        </row>
        <row r="2217">
          <cell r="A2217" t="str">
            <v>PEIPL0782</v>
          </cell>
          <cell r="Q2217">
            <v>45526</v>
          </cell>
        </row>
        <row r="2218">
          <cell r="A2218" t="str">
            <v>PSS0782</v>
          </cell>
          <cell r="Q2218">
            <v>43419</v>
          </cell>
        </row>
        <row r="2219">
          <cell r="A2219" t="str">
            <v>PEPPL0782</v>
          </cell>
          <cell r="Q2219">
            <v>45316</v>
          </cell>
        </row>
        <row r="2220">
          <cell r="A2220" t="str">
            <v>PEPPL0783</v>
          </cell>
          <cell r="Q2220">
            <v>45316</v>
          </cell>
        </row>
        <row r="2221">
          <cell r="A2221" t="str">
            <v>PEIPL0783</v>
          </cell>
          <cell r="Q2221">
            <v>45530</v>
          </cell>
        </row>
        <row r="2222">
          <cell r="A2222" t="str">
            <v>PEIPL0784</v>
          </cell>
          <cell r="Q2222">
            <v>45533</v>
          </cell>
        </row>
        <row r="2223">
          <cell r="A2223" t="str">
            <v>PEPPL0784</v>
          </cell>
          <cell r="Q2223">
            <v>45316</v>
          </cell>
        </row>
        <row r="2224">
          <cell r="A2224" t="str">
            <v>PEPPL0785</v>
          </cell>
          <cell r="Q2224">
            <v>45316</v>
          </cell>
        </row>
        <row r="2225">
          <cell r="A2225" t="str">
            <v>PEIPL0785</v>
          </cell>
          <cell r="Q2225">
            <v>45533</v>
          </cell>
        </row>
        <row r="2226">
          <cell r="A2226" t="str">
            <v>PEIPL0786</v>
          </cell>
          <cell r="Q2226">
            <v>45537</v>
          </cell>
        </row>
        <row r="2227">
          <cell r="A2227" t="str">
            <v>PEPPL0786</v>
          </cell>
          <cell r="Q2227">
            <v>45327</v>
          </cell>
        </row>
        <row r="2228">
          <cell r="A2228" t="str">
            <v>PSS0786</v>
          </cell>
          <cell r="Q2228">
            <v>43405</v>
          </cell>
        </row>
        <row r="2229">
          <cell r="A2229" t="str">
            <v>PEPPL0787</v>
          </cell>
          <cell r="Q2229">
            <v>45337</v>
          </cell>
        </row>
        <row r="2230">
          <cell r="A2230" t="str">
            <v>PEIPL0787</v>
          </cell>
          <cell r="Q2230">
            <v>45538</v>
          </cell>
        </row>
        <row r="2231">
          <cell r="A2231" t="str">
            <v>PEIPL0788</v>
          </cell>
          <cell r="Q2231">
            <v>45540</v>
          </cell>
        </row>
        <row r="2232">
          <cell r="A2232" t="str">
            <v>PEPPL0788</v>
          </cell>
          <cell r="Q2232">
            <v>45337</v>
          </cell>
        </row>
        <row r="2233">
          <cell r="A2233" t="str">
            <v>PEIPL0789</v>
          </cell>
          <cell r="Q2233">
            <v>45540</v>
          </cell>
        </row>
        <row r="2234">
          <cell r="A2234" t="str">
            <v>PEIPL0790</v>
          </cell>
          <cell r="Q2234">
            <v>45541</v>
          </cell>
        </row>
        <row r="2235">
          <cell r="A2235" t="str">
            <v>PEPPL0790</v>
          </cell>
          <cell r="Q2235">
            <v>45337</v>
          </cell>
        </row>
        <row r="2236">
          <cell r="A2236" t="str">
            <v>PEPPL0791</v>
          </cell>
          <cell r="Q2236">
            <v>45337</v>
          </cell>
        </row>
        <row r="2237">
          <cell r="A2237" t="str">
            <v>PEIPL0791</v>
          </cell>
          <cell r="Q2237">
            <v>45541</v>
          </cell>
        </row>
        <row r="2238">
          <cell r="A2238" t="str">
            <v>PEIPL0792</v>
          </cell>
          <cell r="Q2238">
            <v>45541</v>
          </cell>
        </row>
        <row r="2239">
          <cell r="A2239" t="str">
            <v>PEPPL0792</v>
          </cell>
          <cell r="Q2239">
            <v>45337</v>
          </cell>
        </row>
        <row r="2240">
          <cell r="A2240" t="str">
            <v>PSS0792</v>
          </cell>
          <cell r="Q2240">
            <v>43612</v>
          </cell>
        </row>
        <row r="2241">
          <cell r="A2241" t="str">
            <v>PSS0793</v>
          </cell>
          <cell r="Q2241">
            <v>43435</v>
          </cell>
        </row>
        <row r="2242">
          <cell r="A2242" t="str">
            <v>PEPPL0793</v>
          </cell>
          <cell r="Q2242">
            <v>45344</v>
          </cell>
        </row>
        <row r="2243">
          <cell r="A2243" t="str">
            <v>PEIPL0793</v>
          </cell>
          <cell r="Q2243">
            <v>45547</v>
          </cell>
        </row>
        <row r="2244">
          <cell r="A2244" t="str">
            <v>PEIPL0794</v>
          </cell>
          <cell r="Q2244">
            <v>45547</v>
          </cell>
        </row>
        <row r="2245">
          <cell r="A2245" t="str">
            <v>PEPPL0794</v>
          </cell>
          <cell r="Q2245">
            <v>45349</v>
          </cell>
        </row>
        <row r="2246">
          <cell r="A2246" t="str">
            <v>PEPPL0795</v>
          </cell>
          <cell r="Q2246">
            <v>45351</v>
          </cell>
        </row>
        <row r="2247">
          <cell r="A2247" t="str">
            <v>PEIPL0795</v>
          </cell>
          <cell r="Q2247">
            <v>45547</v>
          </cell>
        </row>
        <row r="2248">
          <cell r="A2248" t="str">
            <v>PEIPL0796</v>
          </cell>
          <cell r="Q2248">
            <v>45548</v>
          </cell>
        </row>
        <row r="2249">
          <cell r="A2249" t="str">
            <v>PEPPL0796</v>
          </cell>
          <cell r="Q2249">
            <v>45358</v>
          </cell>
        </row>
        <row r="2250">
          <cell r="A2250" t="str">
            <v>PEPPL0797</v>
          </cell>
          <cell r="Q2250">
            <v>45358</v>
          </cell>
        </row>
        <row r="2251">
          <cell r="A2251" t="str">
            <v>PSS0797</v>
          </cell>
          <cell r="Q2251">
            <v>43431</v>
          </cell>
        </row>
        <row r="2252">
          <cell r="A2252" t="str">
            <v>PEIPL0797</v>
          </cell>
          <cell r="Q2252">
            <v>45551</v>
          </cell>
        </row>
        <row r="2253">
          <cell r="A2253" t="str">
            <v>PEIPL0798</v>
          </cell>
          <cell r="Q2253">
            <v>45554</v>
          </cell>
        </row>
        <row r="2254">
          <cell r="A2254" t="str">
            <v>PEPPL0798</v>
          </cell>
          <cell r="Q2254">
            <v>45365</v>
          </cell>
        </row>
        <row r="2255">
          <cell r="A2255" t="str">
            <v>PEPPL0799</v>
          </cell>
          <cell r="Q2255">
            <v>45365</v>
          </cell>
        </row>
        <row r="2256">
          <cell r="A2256" t="str">
            <v>PEIPL0799</v>
          </cell>
          <cell r="Q2256">
            <v>45554</v>
          </cell>
        </row>
        <row r="2257">
          <cell r="A2257" t="str">
            <v>PEIPL0800</v>
          </cell>
          <cell r="Q2257">
            <v>45554</v>
          </cell>
        </row>
        <row r="2258">
          <cell r="A2258" t="str">
            <v>PEPPL0800</v>
          </cell>
          <cell r="Q2258">
            <v>45366</v>
          </cell>
        </row>
        <row r="2259">
          <cell r="A2259" t="str">
            <v>PSS0800</v>
          </cell>
          <cell r="Q2259">
            <v>43466</v>
          </cell>
        </row>
        <row r="2260">
          <cell r="A2260" t="str">
            <v>PEPPL0801</v>
          </cell>
          <cell r="Q2260">
            <v>45379</v>
          </cell>
        </row>
        <row r="2261">
          <cell r="A2261" t="str">
            <v>PEIPL0801</v>
          </cell>
          <cell r="Q2261">
            <v>45555</v>
          </cell>
        </row>
        <row r="2262">
          <cell r="A2262" t="str">
            <v>PEIPL0802</v>
          </cell>
          <cell r="Q2262">
            <v>45561</v>
          </cell>
        </row>
        <row r="2263">
          <cell r="A2263" t="str">
            <v>PEPPL0802</v>
          </cell>
          <cell r="Q2263">
            <v>45380</v>
          </cell>
        </row>
        <row r="2264">
          <cell r="A2264" t="str">
            <v>PEPPL0803</v>
          </cell>
          <cell r="Q2264">
            <v>45383</v>
          </cell>
        </row>
        <row r="2265">
          <cell r="A2265" t="str">
            <v>PEIPL0803</v>
          </cell>
          <cell r="Q2265">
            <v>45561</v>
          </cell>
        </row>
        <row r="2266">
          <cell r="A2266" t="str">
            <v>PEIPL0804</v>
          </cell>
          <cell r="Q2266">
            <v>45561</v>
          </cell>
        </row>
        <row r="2267">
          <cell r="A2267" t="str">
            <v>PEPPL0804</v>
          </cell>
          <cell r="Q2267">
            <v>45383</v>
          </cell>
        </row>
        <row r="2268">
          <cell r="A2268" t="str">
            <v>PEPPL0805</v>
          </cell>
          <cell r="Q2268">
            <v>45383</v>
          </cell>
        </row>
        <row r="2269">
          <cell r="A2269" t="str">
            <v>PSS0805</v>
          </cell>
          <cell r="Q2269">
            <v>43465</v>
          </cell>
        </row>
        <row r="2270">
          <cell r="A2270" t="str">
            <v>PEIPL0805</v>
          </cell>
          <cell r="Q2270">
            <v>45561</v>
          </cell>
        </row>
        <row r="2271">
          <cell r="A2271" t="str">
            <v>PEIPL0806</v>
          </cell>
          <cell r="Q2271">
            <v>45561</v>
          </cell>
        </row>
        <row r="2272">
          <cell r="A2272" t="str">
            <v>PEPPL0806</v>
          </cell>
          <cell r="Q2272">
            <v>45383</v>
          </cell>
        </row>
        <row r="2273">
          <cell r="A2273" t="str">
            <v>PEPPL0807</v>
          </cell>
          <cell r="Q2273">
            <v>45383</v>
          </cell>
        </row>
        <row r="2274">
          <cell r="A2274" t="str">
            <v>PSS0807</v>
          </cell>
          <cell r="Q2274">
            <v>43493</v>
          </cell>
        </row>
        <row r="2275">
          <cell r="A2275" t="str">
            <v>PEIPL0807</v>
          </cell>
          <cell r="Q2275">
            <v>45561</v>
          </cell>
        </row>
        <row r="2276">
          <cell r="A2276" t="str">
            <v>PEIPL0808</v>
          </cell>
          <cell r="Q2276">
            <v>45565</v>
          </cell>
        </row>
        <row r="2277">
          <cell r="A2277" t="str">
            <v>PEPPL0808</v>
          </cell>
          <cell r="Q2277">
            <v>45386</v>
          </cell>
        </row>
        <row r="2278">
          <cell r="A2278" t="str">
            <v>PEPPL0809</v>
          </cell>
          <cell r="Q2278">
            <v>45392</v>
          </cell>
        </row>
        <row r="2279">
          <cell r="A2279" t="str">
            <v>PSS0809</v>
          </cell>
          <cell r="Q2279">
            <v>43470</v>
          </cell>
        </row>
        <row r="2280">
          <cell r="A2280" t="str">
            <v>PEPPL0810</v>
          </cell>
          <cell r="Q2280">
            <v>45394</v>
          </cell>
        </row>
        <row r="2281">
          <cell r="A2281" t="str">
            <v>PEPPL0811</v>
          </cell>
          <cell r="Q2281">
            <v>45394</v>
          </cell>
        </row>
        <row r="2282">
          <cell r="A2282" t="str">
            <v>PEPPL0812</v>
          </cell>
          <cell r="Q2282">
            <v>45400</v>
          </cell>
        </row>
        <row r="2283">
          <cell r="A2283" t="str">
            <v>PEPPL0813</v>
          </cell>
          <cell r="Q2283">
            <v>45379</v>
          </cell>
        </row>
        <row r="2284">
          <cell r="A2284" t="str">
            <v>PEPPL0814</v>
          </cell>
          <cell r="Q2284">
            <v>45400</v>
          </cell>
        </row>
        <row r="2285">
          <cell r="A2285" t="str">
            <v>PEPPL0815</v>
          </cell>
          <cell r="Q2285">
            <v>45407</v>
          </cell>
        </row>
        <row r="2286">
          <cell r="A2286" t="str">
            <v>PEPPL0816</v>
          </cell>
          <cell r="Q2286">
            <v>45414</v>
          </cell>
        </row>
        <row r="2287">
          <cell r="A2287" t="str">
            <v>PEPPL0817</v>
          </cell>
          <cell r="Q2287">
            <v>45414</v>
          </cell>
        </row>
        <row r="2288">
          <cell r="A2288" t="str">
            <v>PEPPL0818</v>
          </cell>
          <cell r="Q2288">
            <v>45414</v>
          </cell>
        </row>
        <row r="2289">
          <cell r="A2289" t="str">
            <v>PSS0818</v>
          </cell>
          <cell r="Q2289">
            <v>43507</v>
          </cell>
        </row>
        <row r="2290">
          <cell r="A2290" t="str">
            <v>PEPPL0819</v>
          </cell>
          <cell r="Q2290">
            <v>45414</v>
          </cell>
        </row>
        <row r="2291">
          <cell r="A2291" t="str">
            <v>PEPPL0820</v>
          </cell>
          <cell r="Q2291">
            <v>45414</v>
          </cell>
        </row>
        <row r="2292">
          <cell r="A2292" t="str">
            <v>PSS0820</v>
          </cell>
          <cell r="Q2292">
            <v>43511</v>
          </cell>
        </row>
        <row r="2293">
          <cell r="A2293" t="str">
            <v>PEPPL0821</v>
          </cell>
          <cell r="Q2293">
            <v>45421</v>
          </cell>
        </row>
        <row r="2294">
          <cell r="A2294" t="str">
            <v>PEPPL0822</v>
          </cell>
          <cell r="Q2294">
            <v>45428</v>
          </cell>
        </row>
        <row r="2295">
          <cell r="A2295" t="str">
            <v>PSS0822</v>
          </cell>
          <cell r="Q2295">
            <v>43497</v>
          </cell>
        </row>
        <row r="2296">
          <cell r="A2296" t="str">
            <v>PSS0823</v>
          </cell>
          <cell r="Q2296">
            <v>43497</v>
          </cell>
        </row>
        <row r="2297">
          <cell r="A2297" t="str">
            <v>PEPPL0823</v>
          </cell>
          <cell r="Q2297">
            <v>45428</v>
          </cell>
        </row>
        <row r="2298">
          <cell r="A2298" t="str">
            <v>PEPPL0824</v>
          </cell>
          <cell r="Q2298">
            <v>45434</v>
          </cell>
        </row>
        <row r="2299">
          <cell r="A2299" t="str">
            <v>PSS0824</v>
          </cell>
          <cell r="Q2299">
            <v>43497</v>
          </cell>
        </row>
        <row r="2300">
          <cell r="A2300" t="str">
            <v>PSS0825</v>
          </cell>
          <cell r="Q2300">
            <v>43497</v>
          </cell>
        </row>
        <row r="2301">
          <cell r="A2301" t="str">
            <v>PEPPL0825</v>
          </cell>
          <cell r="Q2301">
            <v>45435</v>
          </cell>
        </row>
        <row r="2302">
          <cell r="A2302" t="str">
            <v>PEPPL0826</v>
          </cell>
          <cell r="Q2302">
            <v>45435</v>
          </cell>
        </row>
        <row r="2303">
          <cell r="A2303" t="str">
            <v>PSS0826</v>
          </cell>
          <cell r="Q2303">
            <v>43497</v>
          </cell>
        </row>
        <row r="2304">
          <cell r="A2304" t="str">
            <v>PEPPL0827</v>
          </cell>
          <cell r="Q2304">
            <v>45435</v>
          </cell>
        </row>
        <row r="2305">
          <cell r="A2305" t="str">
            <v>PEPPL0828</v>
          </cell>
          <cell r="Q2305">
            <v>45442</v>
          </cell>
        </row>
        <row r="2306">
          <cell r="A2306" t="str">
            <v>PSS0828</v>
          </cell>
          <cell r="Q2306">
            <v>43497</v>
          </cell>
        </row>
        <row r="2307">
          <cell r="A2307" t="str">
            <v>PSS0829</v>
          </cell>
          <cell r="Q2307">
            <v>43497</v>
          </cell>
        </row>
        <row r="2308">
          <cell r="A2308" t="str">
            <v>PEPPL0829</v>
          </cell>
          <cell r="Q2308">
            <v>45444</v>
          </cell>
        </row>
        <row r="2309">
          <cell r="A2309" t="str">
            <v>PEPPL0830</v>
          </cell>
          <cell r="Q2309">
            <v>45449</v>
          </cell>
        </row>
        <row r="2310">
          <cell r="A2310" t="str">
            <v>PEPPL0831</v>
          </cell>
          <cell r="Q2310">
            <v>45453</v>
          </cell>
        </row>
        <row r="2311">
          <cell r="A2311" t="str">
            <v>PSS0831</v>
          </cell>
          <cell r="Q2311">
            <v>43497</v>
          </cell>
        </row>
        <row r="2312">
          <cell r="A2312" t="str">
            <v>PEPPL0832</v>
          </cell>
          <cell r="Q2312">
            <v>45456</v>
          </cell>
        </row>
        <row r="2313">
          <cell r="A2313" t="str">
            <v>PEPPL0833</v>
          </cell>
          <cell r="Q2313">
            <v>45456</v>
          </cell>
        </row>
        <row r="2314">
          <cell r="A2314" t="str">
            <v>PEPPL0834</v>
          </cell>
          <cell r="Q2314">
            <v>45456</v>
          </cell>
        </row>
        <row r="2315">
          <cell r="A2315" t="str">
            <v>PSS0834</v>
          </cell>
          <cell r="Q2315">
            <v>43497</v>
          </cell>
        </row>
        <row r="2316">
          <cell r="A2316" t="str">
            <v>PEPPL0835</v>
          </cell>
          <cell r="Q2316">
            <v>45385</v>
          </cell>
        </row>
        <row r="2317">
          <cell r="A2317" t="str">
            <v>PEPPL0836</v>
          </cell>
          <cell r="Q2317">
            <v>45460</v>
          </cell>
        </row>
        <row r="2318">
          <cell r="A2318" t="str">
            <v>PEPPL0837</v>
          </cell>
          <cell r="Q2318">
            <v>45463</v>
          </cell>
        </row>
        <row r="2319">
          <cell r="A2319" t="str">
            <v>PEPPL0838</v>
          </cell>
          <cell r="Q2319">
            <v>45463</v>
          </cell>
        </row>
        <row r="2320">
          <cell r="A2320" t="str">
            <v>PEPPL0839</v>
          </cell>
          <cell r="Q2320">
            <v>45463</v>
          </cell>
        </row>
        <row r="2321">
          <cell r="A2321" t="str">
            <v>PEPPL0840</v>
          </cell>
          <cell r="Q2321">
            <v>45470</v>
          </cell>
        </row>
        <row r="2322">
          <cell r="A2322" t="str">
            <v>PEPPL0841</v>
          </cell>
          <cell r="Q2322">
            <v>45470</v>
          </cell>
        </row>
        <row r="2323">
          <cell r="A2323" t="str">
            <v>PEPPL0842</v>
          </cell>
          <cell r="Q2323">
            <v>45470</v>
          </cell>
        </row>
        <row r="2324">
          <cell r="A2324" t="str">
            <v>PEPPL0843</v>
          </cell>
          <cell r="Q2324">
            <v>45470</v>
          </cell>
        </row>
        <row r="2325">
          <cell r="A2325" t="str">
            <v>PEPPL0844</v>
          </cell>
          <cell r="Q2325">
            <v>45470</v>
          </cell>
        </row>
        <row r="2326">
          <cell r="A2326" t="str">
            <v>PSS0844</v>
          </cell>
          <cell r="Q2326">
            <v>43500</v>
          </cell>
        </row>
        <row r="2327">
          <cell r="A2327" t="str">
            <v>PEPPL0845</v>
          </cell>
          <cell r="Q2327">
            <v>45474</v>
          </cell>
        </row>
        <row r="2328">
          <cell r="A2328" t="str">
            <v>PEPPL0846</v>
          </cell>
          <cell r="Q2328">
            <v>45474</v>
          </cell>
        </row>
        <row r="2329">
          <cell r="A2329" t="str">
            <v>PSS0846</v>
          </cell>
          <cell r="Q2329">
            <v>43502</v>
          </cell>
        </row>
        <row r="2330">
          <cell r="A2330" t="str">
            <v>PEPPL0847</v>
          </cell>
          <cell r="Q2330">
            <v>45474</v>
          </cell>
        </row>
        <row r="2331">
          <cell r="A2331" t="str">
            <v>PEPPL0848</v>
          </cell>
          <cell r="Q2331">
            <v>45477</v>
          </cell>
        </row>
        <row r="2332">
          <cell r="A2332" t="str">
            <v>PEPPL0849</v>
          </cell>
          <cell r="Q2332">
            <v>45477</v>
          </cell>
        </row>
        <row r="2333">
          <cell r="A2333" t="str">
            <v>PEPPL0850</v>
          </cell>
          <cell r="Q2333">
            <v>45477</v>
          </cell>
        </row>
        <row r="2334">
          <cell r="A2334" t="str">
            <v>PSS0850</v>
          </cell>
          <cell r="Q2334">
            <v>43525</v>
          </cell>
        </row>
        <row r="2335">
          <cell r="A2335" t="str">
            <v>PSS0851</v>
          </cell>
          <cell r="Q2335">
            <v>43531</v>
          </cell>
        </row>
        <row r="2336">
          <cell r="A2336" t="str">
            <v>PEPPL0851</v>
          </cell>
          <cell r="Q2336">
            <v>45477</v>
          </cell>
        </row>
        <row r="2337">
          <cell r="A2337" t="str">
            <v>PEPPL0852</v>
          </cell>
          <cell r="Q2337">
            <v>45477</v>
          </cell>
        </row>
        <row r="2338">
          <cell r="A2338" t="str">
            <v>PSS0852</v>
          </cell>
          <cell r="Q2338">
            <v>43511</v>
          </cell>
        </row>
        <row r="2339">
          <cell r="A2339" t="str">
            <v>PEPPL0853</v>
          </cell>
          <cell r="Q2339">
            <v>45477</v>
          </cell>
        </row>
        <row r="2340">
          <cell r="A2340" t="str">
            <v>PEPPL0854</v>
          </cell>
          <cell r="Q2340">
            <v>45478</v>
          </cell>
        </row>
        <row r="2341">
          <cell r="A2341" t="str">
            <v>PSS0854</v>
          </cell>
          <cell r="Q2341">
            <v>43525</v>
          </cell>
        </row>
        <row r="2342">
          <cell r="A2342" t="str">
            <v>PEPPL0855</v>
          </cell>
          <cell r="Q2342">
            <v>45484</v>
          </cell>
        </row>
        <row r="2343">
          <cell r="A2343" t="str">
            <v>PEPPL0856</v>
          </cell>
          <cell r="Q2343">
            <v>45484</v>
          </cell>
        </row>
        <row r="2344">
          <cell r="A2344" t="str">
            <v>PEPPL0857</v>
          </cell>
          <cell r="Q2344">
            <v>45491</v>
          </cell>
        </row>
        <row r="2345">
          <cell r="A2345" t="str">
            <v>PEPPL0858</v>
          </cell>
          <cell r="Q2345">
            <v>45491</v>
          </cell>
        </row>
        <row r="2346">
          <cell r="A2346" t="str">
            <v>PEPPL0859</v>
          </cell>
          <cell r="Q2346">
            <v>45491</v>
          </cell>
        </row>
        <row r="2347">
          <cell r="A2347" t="str">
            <v>PEPPL0860</v>
          </cell>
          <cell r="Q2347">
            <v>45491</v>
          </cell>
        </row>
        <row r="2348">
          <cell r="A2348" t="str">
            <v>PEPPL0861</v>
          </cell>
          <cell r="Q2348">
            <v>45491</v>
          </cell>
        </row>
        <row r="2349">
          <cell r="A2349" t="str">
            <v>PEPPL0862</v>
          </cell>
          <cell r="Q2349">
            <v>45491</v>
          </cell>
        </row>
        <row r="2350">
          <cell r="A2350" t="str">
            <v>PEPPL0863</v>
          </cell>
          <cell r="Q2350">
            <v>45495</v>
          </cell>
        </row>
        <row r="2351">
          <cell r="A2351" t="str">
            <v>PSS0863</v>
          </cell>
          <cell r="Q2351">
            <v>43739</v>
          </cell>
        </row>
        <row r="2352">
          <cell r="A2352" t="str">
            <v>PSS0864</v>
          </cell>
          <cell r="Q2352">
            <v>43565</v>
          </cell>
        </row>
        <row r="2353">
          <cell r="A2353" t="str">
            <v>PEPPL0864</v>
          </cell>
          <cell r="Q2353">
            <v>45498</v>
          </cell>
        </row>
        <row r="2354">
          <cell r="A2354" t="str">
            <v>PEPPL0865</v>
          </cell>
          <cell r="Q2354">
            <v>45499</v>
          </cell>
        </row>
        <row r="2355">
          <cell r="A2355" t="str">
            <v>PEPPL0866</v>
          </cell>
          <cell r="Q2355">
            <v>45502</v>
          </cell>
        </row>
        <row r="2356">
          <cell r="A2356" t="str">
            <v>PEPPL0867</v>
          </cell>
          <cell r="Q2356">
            <v>45505</v>
          </cell>
        </row>
        <row r="2357">
          <cell r="A2357" t="str">
            <v>PSS0867</v>
          </cell>
          <cell r="Q2357">
            <v>43574</v>
          </cell>
        </row>
        <row r="2358">
          <cell r="A2358" t="str">
            <v>PSS0868</v>
          </cell>
          <cell r="Q2358">
            <v>43556</v>
          </cell>
        </row>
        <row r="2359">
          <cell r="A2359" t="str">
            <v>PEPPL0868</v>
          </cell>
          <cell r="Q2359">
            <v>45505</v>
          </cell>
        </row>
        <row r="2360">
          <cell r="A2360" t="str">
            <v>PEPPL0869</v>
          </cell>
          <cell r="Q2360">
            <v>45505</v>
          </cell>
        </row>
        <row r="2361">
          <cell r="A2361" t="str">
            <v>PEPPL0870</v>
          </cell>
          <cell r="Q2361">
            <v>45506</v>
          </cell>
        </row>
        <row r="2362">
          <cell r="A2362" t="str">
            <v>PEPPL0871</v>
          </cell>
          <cell r="Q2362">
            <v>45509</v>
          </cell>
        </row>
        <row r="2363">
          <cell r="A2363" t="str">
            <v>PSS0871</v>
          </cell>
          <cell r="Q2363">
            <v>43556</v>
          </cell>
        </row>
        <row r="2364">
          <cell r="A2364" t="str">
            <v>PEPPL0872</v>
          </cell>
          <cell r="Q2364">
            <v>45512</v>
          </cell>
        </row>
        <row r="2365">
          <cell r="A2365" t="str">
            <v>PEPPL0873</v>
          </cell>
          <cell r="Q2365">
            <v>45512</v>
          </cell>
        </row>
        <row r="2366">
          <cell r="A2366" t="str">
            <v>PEPPL0874</v>
          </cell>
          <cell r="Q2366">
            <v>45516</v>
          </cell>
        </row>
        <row r="2367">
          <cell r="A2367" t="str">
            <v>PSS0874</v>
          </cell>
          <cell r="Q2367">
            <v>43584</v>
          </cell>
        </row>
        <row r="2368">
          <cell r="A2368" t="str">
            <v>PSS0875</v>
          </cell>
          <cell r="Q2368">
            <v>43952</v>
          </cell>
        </row>
        <row r="2369">
          <cell r="A2369" t="str">
            <v>PEPPL0875</v>
          </cell>
          <cell r="Q2369">
            <v>45520</v>
          </cell>
        </row>
        <row r="2370">
          <cell r="A2370" t="str">
            <v>PEPPL0876</v>
          </cell>
          <cell r="Q2370">
            <v>45520</v>
          </cell>
        </row>
        <row r="2371">
          <cell r="A2371" t="str">
            <v>PEPPL0877</v>
          </cell>
          <cell r="Q2371">
            <v>45521</v>
          </cell>
        </row>
        <row r="2372">
          <cell r="A2372" t="str">
            <v>PSS0877</v>
          </cell>
          <cell r="Q2372">
            <v>43556</v>
          </cell>
        </row>
        <row r="2373">
          <cell r="A2373" t="str">
            <v>PSS0878</v>
          </cell>
          <cell r="Q2373">
            <v>43556</v>
          </cell>
        </row>
        <row r="2374">
          <cell r="A2374" t="str">
            <v>PEPPL0878</v>
          </cell>
          <cell r="Q2374">
            <v>45526</v>
          </cell>
        </row>
        <row r="2375">
          <cell r="A2375" t="str">
            <v>PEPPL0879</v>
          </cell>
          <cell r="Q2375">
            <v>45526</v>
          </cell>
        </row>
        <row r="2376">
          <cell r="A2376" t="str">
            <v>PSS0879</v>
          </cell>
          <cell r="Q2376">
            <v>43556</v>
          </cell>
        </row>
        <row r="2377">
          <cell r="A2377" t="str">
            <v>PSS0880</v>
          </cell>
          <cell r="Q2377">
            <v>43556</v>
          </cell>
        </row>
        <row r="2378">
          <cell r="A2378" t="str">
            <v>PEPPL0880</v>
          </cell>
          <cell r="Q2378">
            <v>45527</v>
          </cell>
        </row>
        <row r="2379">
          <cell r="A2379" t="str">
            <v>PEPPL0881</v>
          </cell>
          <cell r="Q2379">
            <v>45383</v>
          </cell>
        </row>
        <row r="2380">
          <cell r="A2380" t="str">
            <v>PSS0881</v>
          </cell>
          <cell r="Q2380">
            <v>43556</v>
          </cell>
        </row>
        <row r="2381">
          <cell r="A2381" t="str">
            <v>PSS0882</v>
          </cell>
          <cell r="Q2381">
            <v>43556</v>
          </cell>
        </row>
        <row r="2382">
          <cell r="A2382" t="str">
            <v>PEPPL0882</v>
          </cell>
          <cell r="Q2382">
            <v>45537</v>
          </cell>
        </row>
        <row r="2383">
          <cell r="A2383" t="str">
            <v>PEPPL0883</v>
          </cell>
          <cell r="Q2383">
            <v>45540</v>
          </cell>
        </row>
        <row r="2384">
          <cell r="A2384" t="str">
            <v>PEPPL0884</v>
          </cell>
          <cell r="Q2384">
            <v>45540</v>
          </cell>
        </row>
        <row r="2385">
          <cell r="A2385" t="str">
            <v>PSS0884</v>
          </cell>
          <cell r="Q2385">
            <v>43556</v>
          </cell>
        </row>
        <row r="2386">
          <cell r="A2386" t="str">
            <v>PEPPL0885</v>
          </cell>
          <cell r="Q2386">
            <v>45544</v>
          </cell>
        </row>
        <row r="2387">
          <cell r="A2387" t="str">
            <v>PEPPL0886</v>
          </cell>
          <cell r="Q2387">
            <v>45547</v>
          </cell>
        </row>
        <row r="2388">
          <cell r="A2388" t="str">
            <v>PSS0886</v>
          </cell>
          <cell r="Q2388">
            <v>43556</v>
          </cell>
        </row>
        <row r="2389">
          <cell r="A2389" t="str">
            <v>PSS0887</v>
          </cell>
          <cell r="Q2389">
            <v>43556</v>
          </cell>
        </row>
        <row r="2390">
          <cell r="A2390" t="str">
            <v>PEPPL0887</v>
          </cell>
          <cell r="Q2390">
            <v>45547</v>
          </cell>
        </row>
        <row r="2391">
          <cell r="A2391" t="str">
            <v>PEPPL0888</v>
          </cell>
          <cell r="Q2391">
            <v>45547</v>
          </cell>
        </row>
        <row r="2392">
          <cell r="A2392" t="str">
            <v>PEPPL0889</v>
          </cell>
          <cell r="Q2392">
            <v>45547</v>
          </cell>
        </row>
        <row r="2393">
          <cell r="A2393" t="str">
            <v>PSS0889</v>
          </cell>
          <cell r="Q2393">
            <v>43556</v>
          </cell>
        </row>
        <row r="2394">
          <cell r="A2394" t="str">
            <v>PSS0890</v>
          </cell>
          <cell r="Q2394">
            <v>43556</v>
          </cell>
        </row>
        <row r="2395">
          <cell r="A2395" t="str">
            <v>PEPPL0890</v>
          </cell>
          <cell r="Q2395">
            <v>45554</v>
          </cell>
        </row>
        <row r="2396">
          <cell r="A2396" t="str">
            <v>PEPPL0891</v>
          </cell>
          <cell r="Q2396">
            <v>45554</v>
          </cell>
        </row>
        <row r="2397">
          <cell r="A2397" t="str">
            <v>PSS0891</v>
          </cell>
          <cell r="Q2397">
            <v>43556</v>
          </cell>
        </row>
        <row r="2398">
          <cell r="A2398" t="str">
            <v>PSS0892</v>
          </cell>
          <cell r="Q2398">
            <v>43556</v>
          </cell>
        </row>
        <row r="2399">
          <cell r="A2399" t="str">
            <v>PEPPL0892</v>
          </cell>
          <cell r="Q2399">
            <v>45559</v>
          </cell>
        </row>
        <row r="2400">
          <cell r="A2400" t="str">
            <v>PSS0894</v>
          </cell>
          <cell r="Q2400">
            <v>43556</v>
          </cell>
        </row>
        <row r="2401">
          <cell r="A2401" t="str">
            <v>PSS0895</v>
          </cell>
          <cell r="Q2401">
            <v>43556</v>
          </cell>
        </row>
        <row r="2402">
          <cell r="A2402" t="str">
            <v>PSS0896</v>
          </cell>
          <cell r="Q2402">
            <v>43556</v>
          </cell>
        </row>
        <row r="2403">
          <cell r="A2403" t="str">
            <v>PSS0897</v>
          </cell>
          <cell r="Q2403">
            <v>43556</v>
          </cell>
        </row>
        <row r="2404">
          <cell r="A2404" t="str">
            <v>PSS0900</v>
          </cell>
          <cell r="Q2404">
            <v>43556</v>
          </cell>
        </row>
        <row r="2405">
          <cell r="A2405" t="str">
            <v>PSS0901</v>
          </cell>
          <cell r="Q2405">
            <v>43556</v>
          </cell>
        </row>
        <row r="2406">
          <cell r="A2406" t="str">
            <v>PSS0903</v>
          </cell>
          <cell r="Q2406">
            <v>43556</v>
          </cell>
        </row>
        <row r="2407">
          <cell r="A2407" t="str">
            <v>PSS0904</v>
          </cell>
          <cell r="Q2407">
            <v>43556</v>
          </cell>
        </row>
        <row r="2408">
          <cell r="A2408" t="str">
            <v>PSS0905</v>
          </cell>
          <cell r="Q2408">
            <v>43556</v>
          </cell>
        </row>
        <row r="2409">
          <cell r="A2409" t="str">
            <v>PSS0909</v>
          </cell>
          <cell r="Q2409">
            <v>43556</v>
          </cell>
        </row>
        <row r="2410">
          <cell r="A2410" t="str">
            <v>PSS0910</v>
          </cell>
          <cell r="Q2410">
            <v>43556</v>
          </cell>
        </row>
        <row r="2411">
          <cell r="A2411" t="str">
            <v>PSS0912</v>
          </cell>
          <cell r="Q2411">
            <v>43556</v>
          </cell>
        </row>
        <row r="2412">
          <cell r="A2412" t="str">
            <v>PSS0913</v>
          </cell>
          <cell r="Q2412">
            <v>43556</v>
          </cell>
        </row>
        <row r="2413">
          <cell r="A2413" t="str">
            <v>PSS0914</v>
          </cell>
          <cell r="Q2413">
            <v>43556</v>
          </cell>
        </row>
        <row r="2414">
          <cell r="A2414" t="str">
            <v>PSS0915</v>
          </cell>
          <cell r="Q2414">
            <v>43556</v>
          </cell>
        </row>
        <row r="2415">
          <cell r="A2415" t="str">
            <v>PSS0916</v>
          </cell>
          <cell r="Q2415">
            <v>43556</v>
          </cell>
        </row>
        <row r="2416">
          <cell r="A2416" t="str">
            <v>PSS0917</v>
          </cell>
          <cell r="Q2416">
            <v>43556</v>
          </cell>
        </row>
        <row r="2417">
          <cell r="A2417" t="str">
            <v>PSS0918</v>
          </cell>
          <cell r="Q2417">
            <v>43556</v>
          </cell>
        </row>
        <row r="2418">
          <cell r="A2418" t="str">
            <v>PSS0919</v>
          </cell>
          <cell r="Q2418">
            <v>43556</v>
          </cell>
        </row>
        <row r="2419">
          <cell r="A2419" t="str">
            <v>PSS0921</v>
          </cell>
          <cell r="Q2419">
            <v>43556</v>
          </cell>
        </row>
        <row r="2420">
          <cell r="A2420" t="str">
            <v>PSS0922</v>
          </cell>
          <cell r="Q2420">
            <v>43556</v>
          </cell>
        </row>
        <row r="2421">
          <cell r="A2421" t="str">
            <v>PSS0923</v>
          </cell>
          <cell r="Q2421">
            <v>43556</v>
          </cell>
        </row>
        <row r="2422">
          <cell r="A2422" t="str">
            <v>PSS0925</v>
          </cell>
          <cell r="Q2422">
            <v>43556</v>
          </cell>
        </row>
        <row r="2423">
          <cell r="A2423" t="str">
            <v>PSS0926</v>
          </cell>
          <cell r="Q2423">
            <v>43556</v>
          </cell>
        </row>
        <row r="2424">
          <cell r="A2424" t="str">
            <v>PSS0927</v>
          </cell>
          <cell r="Q2424">
            <v>43556</v>
          </cell>
        </row>
        <row r="2425">
          <cell r="A2425" t="str">
            <v>PSS0928</v>
          </cell>
          <cell r="Q2425">
            <v>43556</v>
          </cell>
        </row>
        <row r="2426">
          <cell r="A2426" t="str">
            <v>PSS0931</v>
          </cell>
          <cell r="Q2426">
            <v>43586</v>
          </cell>
        </row>
        <row r="2427">
          <cell r="A2427" t="str">
            <v>PSS0932</v>
          </cell>
          <cell r="Q2427">
            <v>43602</v>
          </cell>
        </row>
        <row r="2428">
          <cell r="A2428" t="str">
            <v>PSS0942</v>
          </cell>
          <cell r="Q2428">
            <v>43622</v>
          </cell>
        </row>
        <row r="2429">
          <cell r="A2429" t="str">
            <v>PSS0946</v>
          </cell>
          <cell r="Q2429">
            <v>43586</v>
          </cell>
        </row>
        <row r="2430">
          <cell r="A2430" t="str">
            <v>PSS0947</v>
          </cell>
          <cell r="Q2430">
            <v>43626</v>
          </cell>
        </row>
        <row r="2431">
          <cell r="A2431" t="str">
            <v>PSS0948</v>
          </cell>
          <cell r="Q2431">
            <v>43626</v>
          </cell>
        </row>
        <row r="2432">
          <cell r="A2432" t="str">
            <v>PSS0950</v>
          </cell>
          <cell r="Q2432">
            <v>43952</v>
          </cell>
        </row>
        <row r="2433">
          <cell r="A2433" t="str">
            <v>PSS0951</v>
          </cell>
          <cell r="Q2433">
            <v>43952</v>
          </cell>
        </row>
        <row r="2434">
          <cell r="A2434" t="str">
            <v>PSS0955</v>
          </cell>
          <cell r="Q2434">
            <v>43647</v>
          </cell>
        </row>
        <row r="2435">
          <cell r="A2435" t="str">
            <v>PSS0956</v>
          </cell>
          <cell r="Q2435">
            <v>43647</v>
          </cell>
        </row>
        <row r="2436">
          <cell r="A2436" t="str">
            <v>PSS0962</v>
          </cell>
          <cell r="Q2436">
            <v>43656</v>
          </cell>
        </row>
        <row r="2437">
          <cell r="A2437" t="str">
            <v>PSS0963</v>
          </cell>
          <cell r="Q2437">
            <v>43664</v>
          </cell>
        </row>
        <row r="2438">
          <cell r="A2438" t="str">
            <v>PSS0964</v>
          </cell>
          <cell r="Q2438">
            <v>43654</v>
          </cell>
        </row>
        <row r="2439">
          <cell r="A2439" t="str">
            <v>PSS0965</v>
          </cell>
          <cell r="Q2439">
            <v>43678</v>
          </cell>
        </row>
        <row r="2440">
          <cell r="A2440" t="str">
            <v>PSS0966</v>
          </cell>
          <cell r="Q2440">
            <v>43678</v>
          </cell>
        </row>
        <row r="2441">
          <cell r="A2441" t="str">
            <v>PSS0969</v>
          </cell>
          <cell r="Q2441">
            <v>43678</v>
          </cell>
        </row>
        <row r="2442">
          <cell r="A2442" t="str">
            <v>PSS0970</v>
          </cell>
          <cell r="Q2442">
            <v>43952</v>
          </cell>
        </row>
        <row r="2443">
          <cell r="A2443" t="str">
            <v>PSS0972</v>
          </cell>
          <cell r="Q2443">
            <v>43684</v>
          </cell>
        </row>
        <row r="2444">
          <cell r="A2444" t="str">
            <v>PSS0973</v>
          </cell>
          <cell r="Q2444">
            <v>43952</v>
          </cell>
        </row>
        <row r="2445">
          <cell r="A2445" t="str">
            <v>PSS0975</v>
          </cell>
          <cell r="Q2445">
            <v>43703</v>
          </cell>
        </row>
        <row r="2446">
          <cell r="A2446" t="str">
            <v>PSS0977</v>
          </cell>
          <cell r="Q2446">
            <v>43720</v>
          </cell>
        </row>
        <row r="2447">
          <cell r="A2447" t="str">
            <v>PSS0978</v>
          </cell>
          <cell r="Q2447">
            <v>43719</v>
          </cell>
        </row>
        <row r="2448">
          <cell r="A2448" t="str">
            <v>PSS0979</v>
          </cell>
          <cell r="Q2448">
            <v>43726</v>
          </cell>
        </row>
        <row r="2449">
          <cell r="A2449" t="str">
            <v>PSS0980</v>
          </cell>
          <cell r="Q2449">
            <v>43709</v>
          </cell>
        </row>
        <row r="2450">
          <cell r="A2450" t="str">
            <v>PSS0981</v>
          </cell>
          <cell r="Q2450">
            <v>43952</v>
          </cell>
        </row>
        <row r="2451">
          <cell r="A2451" t="str">
            <v>PSS0984</v>
          </cell>
          <cell r="Q2451">
            <v>43729</v>
          </cell>
        </row>
        <row r="2452">
          <cell r="A2452" t="str">
            <v>PSS0988</v>
          </cell>
          <cell r="Q2452">
            <v>43756</v>
          </cell>
        </row>
        <row r="2453">
          <cell r="A2453" t="str">
            <v>PSS0989</v>
          </cell>
          <cell r="Q2453">
            <v>43759</v>
          </cell>
        </row>
        <row r="2454">
          <cell r="A2454" t="str">
            <v>PSS0991</v>
          </cell>
          <cell r="Q2454">
            <v>43770</v>
          </cell>
        </row>
        <row r="2455">
          <cell r="A2455" t="str">
            <v>PSS0993</v>
          </cell>
          <cell r="Q2455">
            <v>43766</v>
          </cell>
        </row>
        <row r="2456">
          <cell r="A2456" t="str">
            <v>PSS0994</v>
          </cell>
          <cell r="Q2456">
            <v>43767</v>
          </cell>
        </row>
        <row r="2457">
          <cell r="A2457" t="str">
            <v>PSS0995</v>
          </cell>
          <cell r="Q2457">
            <v>43952</v>
          </cell>
        </row>
        <row r="2458">
          <cell r="A2458" t="str">
            <v>PSS0998</v>
          </cell>
          <cell r="Q2458">
            <v>43773</v>
          </cell>
        </row>
        <row r="2459">
          <cell r="A2459" t="str">
            <v>PSS1001</v>
          </cell>
          <cell r="Q2459">
            <v>43770</v>
          </cell>
        </row>
        <row r="2460">
          <cell r="A2460" t="str">
            <v>PSS1002</v>
          </cell>
          <cell r="Q2460">
            <v>43770</v>
          </cell>
        </row>
        <row r="2461">
          <cell r="A2461" t="str">
            <v>PSS1003</v>
          </cell>
          <cell r="Q2461">
            <v>43770</v>
          </cell>
        </row>
        <row r="2462">
          <cell r="A2462" t="str">
            <v>PSS1007</v>
          </cell>
          <cell r="Q2462">
            <v>43964</v>
          </cell>
        </row>
        <row r="2463">
          <cell r="A2463" t="str">
            <v>PSS1010</v>
          </cell>
          <cell r="Q2463">
            <v>43789</v>
          </cell>
        </row>
        <row r="2464">
          <cell r="A2464" t="str">
            <v>PSS1011</v>
          </cell>
          <cell r="Q2464">
            <v>43789</v>
          </cell>
        </row>
        <row r="2465">
          <cell r="A2465" t="str">
            <v>PSS1012</v>
          </cell>
          <cell r="Q2465">
            <v>44013</v>
          </cell>
        </row>
        <row r="2466">
          <cell r="A2466" t="str">
            <v>PSS1013</v>
          </cell>
          <cell r="Q2466">
            <v>43770</v>
          </cell>
        </row>
        <row r="2467">
          <cell r="A2467" t="str">
            <v>PSS1014</v>
          </cell>
          <cell r="Q2467">
            <v>43796</v>
          </cell>
        </row>
        <row r="2468">
          <cell r="A2468" t="str">
            <v>PSS1015</v>
          </cell>
          <cell r="Q2468">
            <v>43792</v>
          </cell>
        </row>
        <row r="2469">
          <cell r="A2469" t="str">
            <v>PSS1016</v>
          </cell>
          <cell r="Q2469">
            <v>43972</v>
          </cell>
        </row>
        <row r="2470">
          <cell r="A2470" t="str">
            <v>PSS1018</v>
          </cell>
          <cell r="Q2470">
            <v>43794</v>
          </cell>
        </row>
        <row r="2471">
          <cell r="A2471" t="str">
            <v>PSS1020</v>
          </cell>
          <cell r="Q2471">
            <v>43801</v>
          </cell>
        </row>
        <row r="2472">
          <cell r="A2472" t="str">
            <v>PSS1021</v>
          </cell>
          <cell r="Q2472">
            <v>43802</v>
          </cell>
        </row>
        <row r="2473">
          <cell r="A2473" t="str">
            <v>PSS1022</v>
          </cell>
          <cell r="Q2473">
            <v>43808</v>
          </cell>
        </row>
        <row r="2474">
          <cell r="A2474" t="str">
            <v>PSS1023</v>
          </cell>
          <cell r="Q2474">
            <v>43810</v>
          </cell>
        </row>
        <row r="2475">
          <cell r="A2475" t="str">
            <v>PSS1026</v>
          </cell>
          <cell r="Q2475">
            <v>43811</v>
          </cell>
        </row>
        <row r="2476">
          <cell r="A2476" t="str">
            <v>PSS1027</v>
          </cell>
          <cell r="Q2476">
            <v>43801</v>
          </cell>
        </row>
        <row r="2477">
          <cell r="A2477" t="str">
            <v>PSS1028</v>
          </cell>
          <cell r="Q2477">
            <v>43813</v>
          </cell>
        </row>
        <row r="2478">
          <cell r="A2478" t="str">
            <v>PSS1029</v>
          </cell>
          <cell r="Q2478">
            <v>43811</v>
          </cell>
        </row>
        <row r="2479">
          <cell r="A2479" t="str">
            <v>PSS1030</v>
          </cell>
          <cell r="Q2479">
            <v>43829</v>
          </cell>
        </row>
        <row r="2480">
          <cell r="A2480" t="str">
            <v>PSS1031</v>
          </cell>
          <cell r="Q2480">
            <v>43822</v>
          </cell>
        </row>
        <row r="2481">
          <cell r="A2481" t="str">
            <v>PSS1032</v>
          </cell>
          <cell r="Q2481">
            <v>43822</v>
          </cell>
        </row>
        <row r="2482">
          <cell r="A2482" t="str">
            <v>PSS1034</v>
          </cell>
          <cell r="Q2482">
            <v>43800</v>
          </cell>
        </row>
        <row r="2483">
          <cell r="A2483" t="str">
            <v>PSS1035</v>
          </cell>
          <cell r="Q2483">
            <v>43832</v>
          </cell>
        </row>
        <row r="2484">
          <cell r="A2484" t="str">
            <v>PSS1036</v>
          </cell>
          <cell r="Q2484">
            <v>43822</v>
          </cell>
        </row>
        <row r="2485">
          <cell r="A2485" t="str">
            <v>PSS1037</v>
          </cell>
          <cell r="Q2485">
            <v>43808</v>
          </cell>
        </row>
        <row r="2486">
          <cell r="A2486" t="str">
            <v>PSS1039</v>
          </cell>
          <cell r="Q2486">
            <v>43821</v>
          </cell>
        </row>
        <row r="2487">
          <cell r="A2487" t="str">
            <v>PSS1040</v>
          </cell>
          <cell r="Q2487">
            <v>43819</v>
          </cell>
        </row>
        <row r="2488">
          <cell r="A2488" t="str">
            <v>PSS1042</v>
          </cell>
          <cell r="Q2488">
            <v>43800</v>
          </cell>
        </row>
        <row r="2489">
          <cell r="A2489" t="str">
            <v>PSS1044</v>
          </cell>
          <cell r="Q2489">
            <v>43811</v>
          </cell>
        </row>
        <row r="2490">
          <cell r="A2490" t="str">
            <v>PSS1045</v>
          </cell>
          <cell r="Q2490">
            <v>44075</v>
          </cell>
        </row>
        <row r="2491">
          <cell r="A2491" t="str">
            <v>PSS1046</v>
          </cell>
          <cell r="Q2491">
            <v>43800</v>
          </cell>
        </row>
        <row r="2492">
          <cell r="A2492" t="str">
            <v>PSS1047</v>
          </cell>
          <cell r="Q2492">
            <v>43854</v>
          </cell>
        </row>
        <row r="2493">
          <cell r="A2493" t="str">
            <v>PSS1048</v>
          </cell>
          <cell r="Q2493">
            <v>43837</v>
          </cell>
        </row>
        <row r="2494">
          <cell r="A2494" t="str">
            <v>PSS1049</v>
          </cell>
          <cell r="Q2494">
            <v>43845</v>
          </cell>
        </row>
        <row r="2495">
          <cell r="A2495" t="str">
            <v>PSS1052</v>
          </cell>
          <cell r="Q2495">
            <v>43857</v>
          </cell>
        </row>
        <row r="2496">
          <cell r="A2496" t="str">
            <v>PSS1054</v>
          </cell>
          <cell r="Q2496">
            <v>43853</v>
          </cell>
        </row>
        <row r="2497">
          <cell r="A2497" t="str">
            <v>PSS1055</v>
          </cell>
          <cell r="Q2497">
            <v>43857</v>
          </cell>
        </row>
        <row r="2498">
          <cell r="A2498" t="str">
            <v>PSS1056</v>
          </cell>
          <cell r="Q2498">
            <v>43862</v>
          </cell>
        </row>
        <row r="2499">
          <cell r="A2499" t="str">
            <v>PSS1057</v>
          </cell>
          <cell r="Q2499">
            <v>43862</v>
          </cell>
        </row>
        <row r="2500">
          <cell r="A2500" t="str">
            <v>PSS1059</v>
          </cell>
          <cell r="Q2500">
            <v>43862</v>
          </cell>
        </row>
        <row r="2501">
          <cell r="A2501" t="str">
            <v>PSS1060</v>
          </cell>
          <cell r="Q2501">
            <v>43862</v>
          </cell>
        </row>
        <row r="2502">
          <cell r="A2502" t="str">
            <v>PSS1062</v>
          </cell>
          <cell r="Q2502">
            <v>43878</v>
          </cell>
        </row>
        <row r="2503">
          <cell r="A2503" t="str">
            <v>PSS1063</v>
          </cell>
          <cell r="Q2503">
            <v>43878</v>
          </cell>
        </row>
        <row r="2504">
          <cell r="A2504" t="str">
            <v>PSS1064</v>
          </cell>
          <cell r="Q2504">
            <v>43878</v>
          </cell>
        </row>
        <row r="2505">
          <cell r="A2505" t="str">
            <v>PSS1065</v>
          </cell>
          <cell r="Q2505">
            <v>43878</v>
          </cell>
        </row>
        <row r="2506">
          <cell r="A2506" t="str">
            <v>PSS1067</v>
          </cell>
          <cell r="Q2506">
            <v>43873</v>
          </cell>
        </row>
        <row r="2507">
          <cell r="A2507" t="str">
            <v>PSS1068</v>
          </cell>
          <cell r="Q2507">
            <v>43891</v>
          </cell>
        </row>
        <row r="2508">
          <cell r="A2508" t="str">
            <v>PSS1071</v>
          </cell>
          <cell r="Q2508">
            <v>43894</v>
          </cell>
        </row>
        <row r="2509">
          <cell r="A2509" t="str">
            <v>PSS1072</v>
          </cell>
          <cell r="Q2509">
            <v>43963</v>
          </cell>
        </row>
        <row r="2510">
          <cell r="A2510" t="str">
            <v>PSS1073</v>
          </cell>
          <cell r="Q2510">
            <v>43901</v>
          </cell>
        </row>
        <row r="2511">
          <cell r="A2511" t="str">
            <v>PSS1074</v>
          </cell>
          <cell r="Q2511">
            <v>43895</v>
          </cell>
        </row>
        <row r="2512">
          <cell r="A2512" t="str">
            <v>PSS1075</v>
          </cell>
          <cell r="Q2512">
            <v>43907</v>
          </cell>
        </row>
        <row r="2513">
          <cell r="A2513" t="str">
            <v>PSS1076</v>
          </cell>
          <cell r="Q2513">
            <v>43881</v>
          </cell>
        </row>
        <row r="2514">
          <cell r="A2514" t="str">
            <v>PSS1078</v>
          </cell>
          <cell r="Q2514">
            <v>43895</v>
          </cell>
        </row>
        <row r="2515">
          <cell r="A2515" t="str">
            <v>PSS1079</v>
          </cell>
          <cell r="Q2515">
            <v>43897</v>
          </cell>
        </row>
        <row r="2516">
          <cell r="A2516" t="str">
            <v>PSS1080</v>
          </cell>
          <cell r="Q2516">
            <v>44166</v>
          </cell>
        </row>
        <row r="2517">
          <cell r="A2517" t="str">
            <v>PSS1081</v>
          </cell>
          <cell r="Q2517">
            <v>43943</v>
          </cell>
        </row>
        <row r="2518">
          <cell r="A2518" t="str">
            <v>PSS1082</v>
          </cell>
          <cell r="Q2518">
            <v>43952</v>
          </cell>
        </row>
        <row r="2519">
          <cell r="A2519" t="str">
            <v>PSS1083</v>
          </cell>
          <cell r="Q2519">
            <v>43952</v>
          </cell>
        </row>
        <row r="2520">
          <cell r="A2520" t="str">
            <v>PSS1084</v>
          </cell>
          <cell r="Q2520">
            <v>43952</v>
          </cell>
        </row>
        <row r="2521">
          <cell r="A2521" t="str">
            <v>PSS1085</v>
          </cell>
          <cell r="Q2521">
            <v>43952</v>
          </cell>
        </row>
        <row r="2522">
          <cell r="A2522" t="str">
            <v>PSS1086</v>
          </cell>
          <cell r="Q2522">
            <v>43952</v>
          </cell>
        </row>
        <row r="2523">
          <cell r="A2523" t="str">
            <v>PSS1087</v>
          </cell>
          <cell r="Q2523">
            <v>43952</v>
          </cell>
        </row>
        <row r="2524">
          <cell r="A2524" t="str">
            <v>PSS1088</v>
          </cell>
          <cell r="Q2524">
            <v>43952</v>
          </cell>
        </row>
        <row r="2525">
          <cell r="A2525" t="str">
            <v>PSS1089</v>
          </cell>
          <cell r="Q2525">
            <v>43952</v>
          </cell>
        </row>
        <row r="2526">
          <cell r="A2526" t="str">
            <v>PSS1091</v>
          </cell>
          <cell r="Q2526">
            <v>43970</v>
          </cell>
        </row>
        <row r="2527">
          <cell r="A2527" t="str">
            <v>PSS1092</v>
          </cell>
          <cell r="Q2527">
            <v>43983</v>
          </cell>
        </row>
        <row r="2528">
          <cell r="A2528" t="str">
            <v>PSS1093</v>
          </cell>
          <cell r="Q2528">
            <v>43987</v>
          </cell>
        </row>
        <row r="2529">
          <cell r="A2529" t="str">
            <v>PSS1094</v>
          </cell>
          <cell r="Q2529">
            <v>43993</v>
          </cell>
        </row>
        <row r="2530">
          <cell r="A2530" t="str">
            <v>PSS1095</v>
          </cell>
          <cell r="Q2530">
            <v>44004</v>
          </cell>
        </row>
        <row r="2531">
          <cell r="A2531" t="str">
            <v>PSS1096</v>
          </cell>
          <cell r="Q2531">
            <v>44001</v>
          </cell>
        </row>
        <row r="2532">
          <cell r="A2532" t="str">
            <v>PSS1097</v>
          </cell>
          <cell r="Q2532">
            <v>44014</v>
          </cell>
        </row>
        <row r="2533">
          <cell r="A2533" t="str">
            <v>PSS1098</v>
          </cell>
          <cell r="Q2533">
            <v>44014</v>
          </cell>
        </row>
        <row r="2534">
          <cell r="A2534" t="str">
            <v>PSS1099</v>
          </cell>
          <cell r="Q2534">
            <v>44013</v>
          </cell>
        </row>
        <row r="2535">
          <cell r="A2535" t="str">
            <v>PSS1100</v>
          </cell>
          <cell r="Q2535">
            <v>44013</v>
          </cell>
        </row>
        <row r="2536">
          <cell r="A2536" t="str">
            <v>PSS1101</v>
          </cell>
          <cell r="Q2536">
            <v>44022</v>
          </cell>
        </row>
        <row r="2537">
          <cell r="A2537" t="str">
            <v>PSS1102</v>
          </cell>
          <cell r="Q2537">
            <v>44022</v>
          </cell>
        </row>
        <row r="2538">
          <cell r="A2538" t="str">
            <v>PSS1103</v>
          </cell>
          <cell r="Q2538">
            <v>44027</v>
          </cell>
        </row>
        <row r="2539">
          <cell r="A2539" t="str">
            <v>PSS1104</v>
          </cell>
          <cell r="Q2539">
            <v>44044</v>
          </cell>
        </row>
        <row r="2540">
          <cell r="A2540" t="str">
            <v>PSS1105</v>
          </cell>
          <cell r="Q2540">
            <v>44024</v>
          </cell>
        </row>
        <row r="2541">
          <cell r="A2541" t="str">
            <v>PSS1106</v>
          </cell>
          <cell r="Q2541">
            <v>44023</v>
          </cell>
        </row>
        <row r="2542">
          <cell r="A2542" t="str">
            <v>PSS1107</v>
          </cell>
          <cell r="Q2542">
            <v>43992</v>
          </cell>
        </row>
        <row r="2543">
          <cell r="A2543" t="str">
            <v>PSS1108</v>
          </cell>
          <cell r="Q2543">
            <v>44035</v>
          </cell>
        </row>
        <row r="2544">
          <cell r="A2544" t="str">
            <v>PSS1109</v>
          </cell>
          <cell r="Q2544">
            <v>44013</v>
          </cell>
        </row>
        <row r="2545">
          <cell r="A2545" t="str">
            <v>PSS1111</v>
          </cell>
          <cell r="Q2545">
            <v>44035</v>
          </cell>
        </row>
        <row r="2546">
          <cell r="A2546" t="str">
            <v>PSS1112</v>
          </cell>
          <cell r="Q2546">
            <v>44050</v>
          </cell>
        </row>
        <row r="2547">
          <cell r="A2547" t="str">
            <v>PSS1113</v>
          </cell>
          <cell r="Q2547">
            <v>44046</v>
          </cell>
        </row>
        <row r="2548">
          <cell r="A2548" t="str">
            <v>PSS1114</v>
          </cell>
          <cell r="Q2548">
            <v>44075</v>
          </cell>
        </row>
        <row r="2549">
          <cell r="A2549" t="str">
            <v>PSS1115</v>
          </cell>
          <cell r="Q2549">
            <v>44055</v>
          </cell>
        </row>
        <row r="2550">
          <cell r="A2550" t="str">
            <v>PSS1116</v>
          </cell>
          <cell r="Q2550">
            <v>44060</v>
          </cell>
        </row>
        <row r="2551">
          <cell r="A2551" t="str">
            <v>PSS1117</v>
          </cell>
          <cell r="Q2551">
            <v>44056</v>
          </cell>
        </row>
        <row r="2552">
          <cell r="A2552" t="str">
            <v>PSS1118</v>
          </cell>
          <cell r="Q2552">
            <v>44197</v>
          </cell>
        </row>
        <row r="2553">
          <cell r="A2553" t="str">
            <v>PSS1119</v>
          </cell>
          <cell r="Q2553">
            <v>44068</v>
          </cell>
        </row>
        <row r="2554">
          <cell r="A2554" t="str">
            <v>PSS1120</v>
          </cell>
          <cell r="Q2554">
            <v>44053</v>
          </cell>
        </row>
        <row r="2555">
          <cell r="A2555" t="str">
            <v>PSS1121</v>
          </cell>
          <cell r="Q2555">
            <v>44067</v>
          </cell>
        </row>
        <row r="2556">
          <cell r="A2556" t="str">
            <v>PSS1122</v>
          </cell>
          <cell r="Q2556">
            <v>44069</v>
          </cell>
        </row>
        <row r="2557">
          <cell r="A2557" t="str">
            <v>PSS1123</v>
          </cell>
          <cell r="Q2557">
            <v>44090</v>
          </cell>
        </row>
        <row r="2558">
          <cell r="A2558" t="str">
            <v>PSS1124</v>
          </cell>
          <cell r="Q2558">
            <v>44089</v>
          </cell>
        </row>
        <row r="2559">
          <cell r="A2559" t="str">
            <v>PSS1125</v>
          </cell>
          <cell r="Q2559">
            <v>44092</v>
          </cell>
        </row>
        <row r="2560">
          <cell r="A2560" t="str">
            <v>PSS1126</v>
          </cell>
          <cell r="Q2560">
            <v>44091</v>
          </cell>
        </row>
        <row r="2561">
          <cell r="A2561" t="str">
            <v>PSS1127</v>
          </cell>
          <cell r="Q2561">
            <v>44094</v>
          </cell>
        </row>
        <row r="2562">
          <cell r="A2562" t="str">
            <v>PSS1129</v>
          </cell>
          <cell r="Q2562">
            <v>44096</v>
          </cell>
        </row>
        <row r="2563">
          <cell r="A2563" t="str">
            <v>PSS1130</v>
          </cell>
          <cell r="Q2563">
            <v>44097</v>
          </cell>
        </row>
        <row r="2564">
          <cell r="A2564" t="str">
            <v>PSS1131</v>
          </cell>
          <cell r="Q2564">
            <v>44097</v>
          </cell>
        </row>
        <row r="2565">
          <cell r="A2565" t="str">
            <v>PSS1134</v>
          </cell>
          <cell r="Q2565">
            <v>44079</v>
          </cell>
        </row>
        <row r="2566">
          <cell r="A2566" t="str">
            <v>PSS1135</v>
          </cell>
          <cell r="Q2566">
            <v>44097</v>
          </cell>
        </row>
        <row r="2567">
          <cell r="A2567" t="str">
            <v>PSS1136</v>
          </cell>
          <cell r="Q2567">
            <v>44075</v>
          </cell>
        </row>
        <row r="2568">
          <cell r="A2568" t="str">
            <v>PSS1137</v>
          </cell>
          <cell r="Q2568">
            <v>44075</v>
          </cell>
        </row>
        <row r="2569">
          <cell r="A2569" t="str">
            <v>PSS1138</v>
          </cell>
          <cell r="Q2569">
            <v>44109</v>
          </cell>
        </row>
        <row r="2570">
          <cell r="A2570" t="str">
            <v>PSS1139</v>
          </cell>
          <cell r="Q2570">
            <v>44107</v>
          </cell>
        </row>
        <row r="2571">
          <cell r="A2571" t="str">
            <v>PSS1140</v>
          </cell>
          <cell r="Q2571">
            <v>44092</v>
          </cell>
        </row>
        <row r="2572">
          <cell r="A2572" t="str">
            <v>PSS1141</v>
          </cell>
          <cell r="Q2572">
            <v>44111</v>
          </cell>
        </row>
        <row r="2573">
          <cell r="A2573" t="str">
            <v>PSS1142</v>
          </cell>
          <cell r="Q2573">
            <v>44112</v>
          </cell>
        </row>
        <row r="2574">
          <cell r="A2574" t="str">
            <v>PSS1143</v>
          </cell>
          <cell r="Q2574">
            <v>44112</v>
          </cell>
        </row>
        <row r="2575">
          <cell r="A2575" t="str">
            <v>PSS1144</v>
          </cell>
          <cell r="Q2575">
            <v>44117</v>
          </cell>
        </row>
        <row r="2576">
          <cell r="A2576" t="str">
            <v>PSS1145</v>
          </cell>
          <cell r="Q2576">
            <v>44119</v>
          </cell>
        </row>
        <row r="2577">
          <cell r="A2577" t="str">
            <v>PSS1146</v>
          </cell>
          <cell r="Q2577">
            <v>44121</v>
          </cell>
        </row>
        <row r="2578">
          <cell r="A2578" t="str">
            <v>PSS1147</v>
          </cell>
          <cell r="Q2578">
            <v>44137</v>
          </cell>
        </row>
        <row r="2579">
          <cell r="A2579" t="str">
            <v>PSS1148</v>
          </cell>
          <cell r="Q2579">
            <v>44137</v>
          </cell>
        </row>
        <row r="2580">
          <cell r="A2580" t="str">
            <v>PSS1149</v>
          </cell>
          <cell r="Q2580">
            <v>44137</v>
          </cell>
        </row>
        <row r="2581">
          <cell r="A2581" t="str">
            <v>PSS1150</v>
          </cell>
          <cell r="Q2581">
            <v>44137</v>
          </cell>
        </row>
        <row r="2582">
          <cell r="A2582" t="str">
            <v>PSS1151</v>
          </cell>
          <cell r="Q2582">
            <v>44137</v>
          </cell>
        </row>
        <row r="2583">
          <cell r="A2583" t="str">
            <v>PSS1153</v>
          </cell>
          <cell r="Q2583">
            <v>44155</v>
          </cell>
        </row>
        <row r="2584">
          <cell r="A2584" t="str">
            <v>PSS1154</v>
          </cell>
          <cell r="Q2584">
            <v>44151</v>
          </cell>
        </row>
        <row r="2585">
          <cell r="A2585" t="str">
            <v>PSS1155</v>
          </cell>
          <cell r="Q2585">
            <v>44158</v>
          </cell>
        </row>
        <row r="2586">
          <cell r="A2586" t="str">
            <v>PSS1156</v>
          </cell>
          <cell r="Q2586">
            <v>44136</v>
          </cell>
        </row>
        <row r="2587">
          <cell r="A2587" t="str">
            <v>PSS1157</v>
          </cell>
          <cell r="Q2587">
            <v>44158</v>
          </cell>
        </row>
        <row r="2588">
          <cell r="A2588" t="str">
            <v>PSS1158</v>
          </cell>
          <cell r="Q2588">
            <v>44158</v>
          </cell>
        </row>
        <row r="2589">
          <cell r="A2589" t="str">
            <v>PSS1159</v>
          </cell>
          <cell r="Q2589">
            <v>44166</v>
          </cell>
        </row>
        <row r="2590">
          <cell r="A2590" t="str">
            <v>PSS1160</v>
          </cell>
          <cell r="Q2590">
            <v>44172</v>
          </cell>
        </row>
        <row r="2591">
          <cell r="A2591" t="str">
            <v>PSS1161</v>
          </cell>
          <cell r="Q2591">
            <v>44172</v>
          </cell>
        </row>
        <row r="2592">
          <cell r="A2592" t="str">
            <v>PSS1162</v>
          </cell>
          <cell r="Q2592">
            <v>44175</v>
          </cell>
        </row>
        <row r="2593">
          <cell r="A2593" t="str">
            <v>PSS1163</v>
          </cell>
          <cell r="Q2593">
            <v>44175</v>
          </cell>
        </row>
        <row r="2594">
          <cell r="A2594" t="str">
            <v>PSS1164</v>
          </cell>
          <cell r="Q2594">
            <v>44166</v>
          </cell>
        </row>
        <row r="2595">
          <cell r="A2595" t="str">
            <v>PSS1165</v>
          </cell>
          <cell r="Q2595">
            <v>44181</v>
          </cell>
        </row>
        <row r="2596">
          <cell r="A2596" t="str">
            <v>PSS1166</v>
          </cell>
          <cell r="Q2596">
            <v>44166</v>
          </cell>
        </row>
        <row r="2597">
          <cell r="A2597" t="str">
            <v>PSS1167</v>
          </cell>
          <cell r="Q2597">
            <v>44075</v>
          </cell>
        </row>
        <row r="2598">
          <cell r="A2598" t="str">
            <v>PSS1168</v>
          </cell>
          <cell r="Q2598">
            <v>44198</v>
          </cell>
        </row>
        <row r="2599">
          <cell r="A2599" t="str">
            <v>PSS1169</v>
          </cell>
          <cell r="Q2599">
            <v>44200</v>
          </cell>
        </row>
        <row r="2600">
          <cell r="A2600" t="str">
            <v>PSS1170</v>
          </cell>
          <cell r="Q2600">
            <v>44183</v>
          </cell>
        </row>
        <row r="2601">
          <cell r="A2601" t="str">
            <v>PSS1171</v>
          </cell>
          <cell r="Q2601">
            <v>44198</v>
          </cell>
        </row>
        <row r="2602">
          <cell r="A2602" t="str">
            <v>PSS1172</v>
          </cell>
          <cell r="Q2602">
            <v>44190</v>
          </cell>
        </row>
        <row r="2603">
          <cell r="A2603" t="str">
            <v>PSS1173</v>
          </cell>
          <cell r="Q2603">
            <v>44207</v>
          </cell>
        </row>
        <row r="2604">
          <cell r="A2604" t="str">
            <v>PSS1174</v>
          </cell>
          <cell r="Q2604">
            <v>44211</v>
          </cell>
        </row>
        <row r="2605">
          <cell r="A2605" t="str">
            <v>PSS1175</v>
          </cell>
          <cell r="Q2605">
            <v>44209</v>
          </cell>
        </row>
        <row r="2606">
          <cell r="A2606" t="str">
            <v>PSS1176</v>
          </cell>
          <cell r="Q2606">
            <v>44197</v>
          </cell>
        </row>
        <row r="2607">
          <cell r="A2607" t="str">
            <v>PSS1177</v>
          </cell>
          <cell r="Q2607">
            <v>44217</v>
          </cell>
        </row>
        <row r="2608">
          <cell r="A2608" t="str">
            <v>PSS1179</v>
          </cell>
          <cell r="Q2608">
            <v>44228</v>
          </cell>
        </row>
        <row r="2609">
          <cell r="A2609" t="str">
            <v>PSS1180</v>
          </cell>
          <cell r="Q2609">
            <v>44228</v>
          </cell>
        </row>
        <row r="2610">
          <cell r="A2610" t="str">
            <v>PSS1181</v>
          </cell>
          <cell r="Q2610">
            <v>44228</v>
          </cell>
        </row>
        <row r="2611">
          <cell r="A2611" t="str">
            <v>PSS1184</v>
          </cell>
          <cell r="Q2611">
            <v>44228</v>
          </cell>
        </row>
        <row r="2612">
          <cell r="A2612" t="str">
            <v>PSS1185</v>
          </cell>
          <cell r="Q2612">
            <v>44246</v>
          </cell>
        </row>
        <row r="2613">
          <cell r="A2613" t="str">
            <v>PSS1186</v>
          </cell>
          <cell r="Q2613">
            <v>44253</v>
          </cell>
        </row>
        <row r="2614">
          <cell r="A2614" t="str">
            <v>PSS1187</v>
          </cell>
          <cell r="Q2614">
            <v>44258</v>
          </cell>
        </row>
        <row r="2615">
          <cell r="A2615" t="str">
            <v>PSS1188</v>
          </cell>
          <cell r="Q2615">
            <v>44256</v>
          </cell>
        </row>
        <row r="2616">
          <cell r="A2616" t="str">
            <v>PSS1189</v>
          </cell>
          <cell r="Q2616">
            <v>44263</v>
          </cell>
        </row>
        <row r="2617">
          <cell r="A2617" t="str">
            <v>PSS1191</v>
          </cell>
          <cell r="Q2617">
            <v>44270</v>
          </cell>
        </row>
        <row r="2618">
          <cell r="A2618" t="str">
            <v>PSS1192</v>
          </cell>
          <cell r="Q2618">
            <v>44270</v>
          </cell>
        </row>
        <row r="2619">
          <cell r="A2619" t="str">
            <v>PSS1194</v>
          </cell>
          <cell r="Q2619">
            <v>44277</v>
          </cell>
        </row>
        <row r="2620">
          <cell r="A2620" t="str">
            <v>PSS1195</v>
          </cell>
          <cell r="Q2620">
            <v>44277</v>
          </cell>
        </row>
        <row r="2621">
          <cell r="A2621" t="str">
            <v>PSS1196</v>
          </cell>
          <cell r="Q2621">
            <v>44279</v>
          </cell>
        </row>
        <row r="2622">
          <cell r="A2622" t="str">
            <v>PSS1197</v>
          </cell>
          <cell r="Q2622">
            <v>44275</v>
          </cell>
        </row>
        <row r="2623">
          <cell r="A2623" t="str">
            <v>PSS1198</v>
          </cell>
          <cell r="Q2623">
            <v>44280</v>
          </cell>
        </row>
        <row r="2624">
          <cell r="A2624" t="str">
            <v>PSS1199</v>
          </cell>
          <cell r="Q2624">
            <v>44277</v>
          </cell>
        </row>
        <row r="2625">
          <cell r="A2625" t="str">
            <v>PSS1201</v>
          </cell>
          <cell r="Q2625">
            <v>44284</v>
          </cell>
        </row>
        <row r="2626">
          <cell r="A2626" t="str">
            <v>PSS1202</v>
          </cell>
          <cell r="Q2626">
            <v>44281</v>
          </cell>
        </row>
        <row r="2627">
          <cell r="A2627" t="str">
            <v>PSS1203</v>
          </cell>
          <cell r="Q2627">
            <v>44287</v>
          </cell>
        </row>
        <row r="2628">
          <cell r="A2628" t="str">
            <v>PSS1204</v>
          </cell>
          <cell r="Q2628">
            <v>44291</v>
          </cell>
        </row>
        <row r="2629">
          <cell r="A2629" t="str">
            <v>PSS1205</v>
          </cell>
          <cell r="Q2629">
            <v>44293</v>
          </cell>
        </row>
        <row r="2630">
          <cell r="A2630" t="str">
            <v>PSS1206</v>
          </cell>
          <cell r="Q2630">
            <v>44287</v>
          </cell>
        </row>
        <row r="2631">
          <cell r="A2631" t="str">
            <v>PSS1207</v>
          </cell>
          <cell r="Q2631">
            <v>44295</v>
          </cell>
        </row>
        <row r="2632">
          <cell r="A2632" t="str">
            <v>PSS1208</v>
          </cell>
          <cell r="Q2632">
            <v>44245</v>
          </cell>
        </row>
        <row r="2633">
          <cell r="A2633" t="str">
            <v>PSS1209</v>
          </cell>
          <cell r="Q2633">
            <v>44291</v>
          </cell>
        </row>
        <row r="2634">
          <cell r="A2634" t="str">
            <v>PSS1210</v>
          </cell>
          <cell r="Q2634">
            <v>44295</v>
          </cell>
        </row>
        <row r="2635">
          <cell r="A2635" t="str">
            <v>PSS1211</v>
          </cell>
          <cell r="Q2635">
            <v>44291</v>
          </cell>
        </row>
        <row r="2636">
          <cell r="A2636" t="str">
            <v>PSS1212</v>
          </cell>
          <cell r="Q2636">
            <v>43922</v>
          </cell>
        </row>
        <row r="2637">
          <cell r="A2637" t="str">
            <v>PSS1213</v>
          </cell>
          <cell r="Q2637">
            <v>43556</v>
          </cell>
        </row>
        <row r="2638">
          <cell r="A2638" t="str">
            <v>PSS1214</v>
          </cell>
          <cell r="Q2638">
            <v>44314</v>
          </cell>
        </row>
        <row r="2639">
          <cell r="A2639" t="str">
            <v>PSS1215</v>
          </cell>
          <cell r="Q2639">
            <v>44319</v>
          </cell>
        </row>
        <row r="2640">
          <cell r="A2640" t="str">
            <v>PSS1216</v>
          </cell>
          <cell r="Q2640">
            <v>44287</v>
          </cell>
        </row>
        <row r="2641">
          <cell r="A2641" t="str">
            <v>PSS1217</v>
          </cell>
          <cell r="Q2641">
            <v>44287</v>
          </cell>
        </row>
        <row r="2642">
          <cell r="A2642" t="str">
            <v>PSS1218</v>
          </cell>
          <cell r="Q2642">
            <v>44322</v>
          </cell>
        </row>
        <row r="2643">
          <cell r="A2643" t="str">
            <v>PSS1219</v>
          </cell>
          <cell r="Q2643">
            <v>44334</v>
          </cell>
        </row>
        <row r="2644">
          <cell r="A2644" t="str">
            <v>PSS1220</v>
          </cell>
          <cell r="Q2644">
            <v>44361</v>
          </cell>
        </row>
        <row r="2645">
          <cell r="A2645" t="str">
            <v>PSS1221</v>
          </cell>
          <cell r="Q2645">
            <v>44363</v>
          </cell>
        </row>
        <row r="2646">
          <cell r="A2646" t="str">
            <v>PSS1222</v>
          </cell>
          <cell r="Q2646">
            <v>44348</v>
          </cell>
        </row>
        <row r="2647">
          <cell r="A2647" t="str">
            <v>PSS1223</v>
          </cell>
          <cell r="Q2647">
            <v>44317</v>
          </cell>
        </row>
        <row r="2648">
          <cell r="A2648" t="str">
            <v>PSS1224</v>
          </cell>
          <cell r="Q2648">
            <v>44348</v>
          </cell>
        </row>
        <row r="2649">
          <cell r="A2649" t="str">
            <v>PSS1225</v>
          </cell>
          <cell r="Q2649">
            <v>44382</v>
          </cell>
        </row>
        <row r="2650">
          <cell r="A2650" t="str">
            <v>PSS1226</v>
          </cell>
          <cell r="Q2650">
            <v>44382</v>
          </cell>
        </row>
        <row r="2651">
          <cell r="A2651" t="str">
            <v>PSS1227</v>
          </cell>
          <cell r="Q2651">
            <v>44233</v>
          </cell>
        </row>
        <row r="2652">
          <cell r="A2652" t="str">
            <v>PSS1228</v>
          </cell>
          <cell r="Q2652">
            <v>44252</v>
          </cell>
        </row>
        <row r="2653">
          <cell r="A2653" t="str">
            <v>PSS1229</v>
          </cell>
          <cell r="Q2653">
            <v>44348</v>
          </cell>
        </row>
        <row r="2654">
          <cell r="A2654" t="str">
            <v>PSS1230</v>
          </cell>
          <cell r="Q2654">
            <v>44392</v>
          </cell>
        </row>
        <row r="2655">
          <cell r="A2655" t="str">
            <v>PSS1231</v>
          </cell>
          <cell r="Q2655">
            <v>44400</v>
          </cell>
        </row>
        <row r="2656">
          <cell r="A2656" t="str">
            <v>PSS1232</v>
          </cell>
          <cell r="Q2656">
            <v>44400</v>
          </cell>
        </row>
        <row r="2657">
          <cell r="A2657" t="str">
            <v>PSS1233</v>
          </cell>
          <cell r="Q2657">
            <v>44410</v>
          </cell>
        </row>
        <row r="2658">
          <cell r="A2658" t="str">
            <v>PSS1234</v>
          </cell>
          <cell r="Q2658">
            <v>44410</v>
          </cell>
        </row>
        <row r="2659">
          <cell r="A2659" t="str">
            <v>PSS1235</v>
          </cell>
          <cell r="Q2659">
            <v>44410</v>
          </cell>
        </row>
        <row r="2660">
          <cell r="A2660" t="str">
            <v>PSS1236</v>
          </cell>
          <cell r="Q2660">
            <v>44417</v>
          </cell>
        </row>
        <row r="2661">
          <cell r="A2661" t="str">
            <v>PSS1237</v>
          </cell>
          <cell r="Q2661">
            <v>44417</v>
          </cell>
        </row>
        <row r="2662">
          <cell r="A2662" t="str">
            <v>PSS1238</v>
          </cell>
          <cell r="Q2662">
            <v>44417</v>
          </cell>
        </row>
        <row r="2663">
          <cell r="A2663" t="str">
            <v>PSS1239</v>
          </cell>
          <cell r="Q2663">
            <v>44413</v>
          </cell>
        </row>
        <row r="2664">
          <cell r="A2664" t="str">
            <v>PSS1240</v>
          </cell>
          <cell r="Q2664">
            <v>44431</v>
          </cell>
        </row>
        <row r="2665">
          <cell r="A2665" t="str">
            <v>PSS1241</v>
          </cell>
          <cell r="Q2665">
            <v>44433</v>
          </cell>
        </row>
        <row r="2666">
          <cell r="A2666" t="str">
            <v>PSS1242</v>
          </cell>
          <cell r="Q2666">
            <v>44445</v>
          </cell>
        </row>
        <row r="2667">
          <cell r="A2667" t="str">
            <v>PSS1243</v>
          </cell>
          <cell r="Q2667">
            <v>44447</v>
          </cell>
        </row>
        <row r="2668">
          <cell r="A2668" t="str">
            <v>PSS1244</v>
          </cell>
          <cell r="Q2668">
            <v>44452</v>
          </cell>
        </row>
        <row r="2669">
          <cell r="A2669" t="str">
            <v>PSS1245</v>
          </cell>
          <cell r="Q2669">
            <v>44455</v>
          </cell>
        </row>
        <row r="2670">
          <cell r="A2670" t="str">
            <v>PSS1246</v>
          </cell>
          <cell r="Q2670">
            <v>44440</v>
          </cell>
        </row>
        <row r="2671">
          <cell r="A2671" t="str">
            <v>PSS1247</v>
          </cell>
          <cell r="Q2671">
            <v>44448</v>
          </cell>
        </row>
        <row r="2672">
          <cell r="A2672" t="str">
            <v>PSS1248</v>
          </cell>
          <cell r="Q2672">
            <v>44453</v>
          </cell>
        </row>
        <row r="2673">
          <cell r="A2673" t="str">
            <v>PSS1249</v>
          </cell>
          <cell r="Q2673">
            <v>44440</v>
          </cell>
        </row>
        <row r="2674">
          <cell r="A2674" t="str">
            <v>PSS1250</v>
          </cell>
          <cell r="Q2674">
            <v>44470</v>
          </cell>
        </row>
        <row r="2675">
          <cell r="A2675" t="str">
            <v>PSS1251</v>
          </cell>
          <cell r="Q2675">
            <v>44501</v>
          </cell>
        </row>
        <row r="2676">
          <cell r="A2676" t="str">
            <v>PSS1252</v>
          </cell>
          <cell r="Q2676">
            <v>44470</v>
          </cell>
        </row>
        <row r="2677">
          <cell r="A2677" t="str">
            <v>PSS1253</v>
          </cell>
          <cell r="Q2677">
            <v>44470</v>
          </cell>
        </row>
        <row r="2678">
          <cell r="A2678" t="str">
            <v>PSS1254</v>
          </cell>
          <cell r="Q2678">
            <v>44470</v>
          </cell>
        </row>
        <row r="2679">
          <cell r="A2679" t="str">
            <v>PSS1255</v>
          </cell>
          <cell r="Q2679">
            <v>44476</v>
          </cell>
        </row>
        <row r="2680">
          <cell r="A2680" t="str">
            <v>PSS1256</v>
          </cell>
          <cell r="Q2680">
            <v>44476</v>
          </cell>
        </row>
        <row r="2681">
          <cell r="A2681" t="str">
            <v>PSS1257</v>
          </cell>
          <cell r="Q2681">
            <v>44476</v>
          </cell>
        </row>
        <row r="2682">
          <cell r="A2682" t="str">
            <v>PSS1258</v>
          </cell>
          <cell r="Q2682">
            <v>44476</v>
          </cell>
        </row>
        <row r="2683">
          <cell r="A2683" t="str">
            <v>PSS1259</v>
          </cell>
          <cell r="Q2683">
            <v>44494</v>
          </cell>
        </row>
        <row r="2684">
          <cell r="A2684" t="str">
            <v>PSS1260</v>
          </cell>
          <cell r="Q2684">
            <v>44494</v>
          </cell>
        </row>
        <row r="2685">
          <cell r="A2685" t="str">
            <v>PSS1261</v>
          </cell>
          <cell r="Q2685">
            <v>44440</v>
          </cell>
        </row>
        <row r="2686">
          <cell r="A2686" t="str">
            <v>PSS1262</v>
          </cell>
          <cell r="Q2686">
            <v>44487</v>
          </cell>
        </row>
        <row r="2687">
          <cell r="A2687" t="str">
            <v>PSS1263</v>
          </cell>
          <cell r="Q2687">
            <v>44487</v>
          </cell>
        </row>
        <row r="2688">
          <cell r="A2688" t="str">
            <v>PSS1264</v>
          </cell>
          <cell r="Q2688">
            <v>44511</v>
          </cell>
        </row>
        <row r="2689">
          <cell r="A2689" t="str">
            <v>PSS1265</v>
          </cell>
          <cell r="Q2689">
            <v>44515</v>
          </cell>
        </row>
        <row r="2690">
          <cell r="A2690" t="str">
            <v>PSS1266</v>
          </cell>
          <cell r="Q2690">
            <v>44522</v>
          </cell>
        </row>
        <row r="2691">
          <cell r="A2691" t="str">
            <v>PSS1267</v>
          </cell>
          <cell r="Q2691">
            <v>44523</v>
          </cell>
        </row>
        <row r="2692">
          <cell r="A2692" t="str">
            <v>PSS1268</v>
          </cell>
          <cell r="Q2692">
            <v>44531</v>
          </cell>
        </row>
        <row r="2693">
          <cell r="A2693" t="str">
            <v>PSS1269</v>
          </cell>
          <cell r="Q2693">
            <v>44543</v>
          </cell>
        </row>
        <row r="2694">
          <cell r="A2694" t="str">
            <v>PSS1270</v>
          </cell>
          <cell r="Q2694">
            <v>44552</v>
          </cell>
        </row>
        <row r="2695">
          <cell r="A2695" t="str">
            <v>PSS1271</v>
          </cell>
          <cell r="Q2695">
            <v>44547</v>
          </cell>
        </row>
        <row r="2696">
          <cell r="A2696" t="str">
            <v>PSS1272</v>
          </cell>
          <cell r="Q2696">
            <v>44531</v>
          </cell>
        </row>
        <row r="2697">
          <cell r="A2697" t="str">
            <v>PSS1273</v>
          </cell>
          <cell r="Q2697">
            <v>44566</v>
          </cell>
        </row>
        <row r="2698">
          <cell r="A2698" t="str">
            <v>PSS1274</v>
          </cell>
          <cell r="Q2698">
            <v>44575</v>
          </cell>
        </row>
        <row r="2699">
          <cell r="A2699" t="str">
            <v>PSS1275</v>
          </cell>
          <cell r="Q2699">
            <v>44578</v>
          </cell>
        </row>
        <row r="2700">
          <cell r="A2700" t="str">
            <v>PSS1276</v>
          </cell>
          <cell r="Q2700">
            <v>44578</v>
          </cell>
        </row>
        <row r="2701">
          <cell r="A2701" t="str">
            <v>PSS1277</v>
          </cell>
          <cell r="Q2701">
            <v>44578</v>
          </cell>
        </row>
        <row r="2702">
          <cell r="A2702" t="str">
            <v>PSS1278</v>
          </cell>
          <cell r="Q2702">
            <v>44581</v>
          </cell>
        </row>
        <row r="2703">
          <cell r="A2703" t="str">
            <v>PSS1279</v>
          </cell>
          <cell r="Q2703">
            <v>44567</v>
          </cell>
        </row>
        <row r="2704">
          <cell r="A2704" t="str">
            <v>PSS1280</v>
          </cell>
          <cell r="Q2704">
            <v>44567</v>
          </cell>
        </row>
        <row r="2705">
          <cell r="A2705" t="str">
            <v>PSS1281</v>
          </cell>
          <cell r="Q2705">
            <v>44582</v>
          </cell>
        </row>
        <row r="2706">
          <cell r="A2706" t="str">
            <v>PSS1282</v>
          </cell>
          <cell r="Q2706">
            <v>44593</v>
          </cell>
        </row>
        <row r="2707">
          <cell r="A2707" t="str">
            <v>PSS1283</v>
          </cell>
          <cell r="Q2707">
            <v>44593</v>
          </cell>
        </row>
        <row r="2708">
          <cell r="A2708" t="str">
            <v>PSS1284</v>
          </cell>
          <cell r="Q2708">
            <v>44581</v>
          </cell>
        </row>
        <row r="2709">
          <cell r="A2709" t="str">
            <v>PSS1285</v>
          </cell>
          <cell r="Q2709">
            <v>44562</v>
          </cell>
        </row>
        <row r="2710">
          <cell r="A2710" t="str">
            <v>PSS1286</v>
          </cell>
          <cell r="Q2710">
            <v>44601</v>
          </cell>
        </row>
        <row r="2711">
          <cell r="A2711" t="str">
            <v>PSS1287</v>
          </cell>
          <cell r="Q2711">
            <v>44603</v>
          </cell>
        </row>
        <row r="2712">
          <cell r="A2712" t="str">
            <v>PSS1288</v>
          </cell>
          <cell r="Q2712">
            <v>44606</v>
          </cell>
        </row>
        <row r="2713">
          <cell r="A2713" t="str">
            <v>PSS1289</v>
          </cell>
          <cell r="Q2713">
            <v>44621</v>
          </cell>
        </row>
        <row r="2714">
          <cell r="A2714" t="str">
            <v>PSS1290</v>
          </cell>
          <cell r="Q2714">
            <v>44627</v>
          </cell>
        </row>
        <row r="2715">
          <cell r="A2715" t="str">
            <v>PSS1291</v>
          </cell>
          <cell r="Q2715">
            <v>44621</v>
          </cell>
        </row>
        <row r="2716">
          <cell r="A2716" t="str">
            <v>PSS1292</v>
          </cell>
          <cell r="Q2716">
            <v>44636</v>
          </cell>
        </row>
        <row r="2717">
          <cell r="A2717" t="str">
            <v>PSS1293</v>
          </cell>
          <cell r="Q2717">
            <v>44631</v>
          </cell>
        </row>
        <row r="2718">
          <cell r="A2718" t="str">
            <v>PSS1294</v>
          </cell>
          <cell r="Q2718">
            <v>44644</v>
          </cell>
        </row>
        <row r="2719">
          <cell r="A2719" t="str">
            <v>PSS1295</v>
          </cell>
          <cell r="Q2719">
            <v>44648</v>
          </cell>
        </row>
        <row r="2720">
          <cell r="A2720" t="str">
            <v>PSS1296</v>
          </cell>
          <cell r="Q2720">
            <v>44652</v>
          </cell>
        </row>
        <row r="2721">
          <cell r="A2721" t="str">
            <v>PSS1297</v>
          </cell>
          <cell r="Q2721">
            <v>44652</v>
          </cell>
        </row>
        <row r="2722">
          <cell r="A2722" t="str">
            <v>PSS1298</v>
          </cell>
          <cell r="Q2722">
            <v>44652</v>
          </cell>
        </row>
        <row r="2723">
          <cell r="A2723" t="str">
            <v>PSS1299</v>
          </cell>
          <cell r="Q2723">
            <v>44662</v>
          </cell>
        </row>
        <row r="2724">
          <cell r="A2724" t="str">
            <v>PSS1300</v>
          </cell>
          <cell r="Q2724">
            <v>44664</v>
          </cell>
        </row>
        <row r="2725">
          <cell r="A2725" t="str">
            <v>PSS1301</v>
          </cell>
          <cell r="Q2725">
            <v>44669</v>
          </cell>
        </row>
        <row r="2726">
          <cell r="A2726" t="str">
            <v>PSS1302</v>
          </cell>
          <cell r="Q2726">
            <v>44676</v>
          </cell>
        </row>
        <row r="2727">
          <cell r="A2727" t="str">
            <v>PSS1303</v>
          </cell>
          <cell r="Q2727">
            <v>44562</v>
          </cell>
        </row>
        <row r="2728">
          <cell r="A2728" t="str">
            <v>PSS1304</v>
          </cell>
          <cell r="Q2728">
            <v>44690</v>
          </cell>
        </row>
        <row r="2729">
          <cell r="A2729" t="str">
            <v>PSS1305</v>
          </cell>
          <cell r="Q2729">
            <v>44705</v>
          </cell>
        </row>
        <row r="2730">
          <cell r="A2730" t="str">
            <v>PSS1306</v>
          </cell>
          <cell r="Q2730">
            <v>44713</v>
          </cell>
        </row>
        <row r="2731">
          <cell r="A2731" t="str">
            <v>PSS1307</v>
          </cell>
          <cell r="Q2731">
            <v>44720</v>
          </cell>
        </row>
        <row r="2732">
          <cell r="A2732" t="str">
            <v>PSS1308</v>
          </cell>
          <cell r="Q2732">
            <v>44721</v>
          </cell>
        </row>
        <row r="2733">
          <cell r="A2733" t="str">
            <v>PSS1309</v>
          </cell>
          <cell r="Q2733">
            <v>44740</v>
          </cell>
        </row>
        <row r="2734">
          <cell r="A2734" t="str">
            <v>PSS1310</v>
          </cell>
          <cell r="Q2734">
            <v>44727</v>
          </cell>
        </row>
        <row r="2735">
          <cell r="A2735" t="str">
            <v>PSS1311</v>
          </cell>
          <cell r="Q2735">
            <v>44760</v>
          </cell>
        </row>
        <row r="2736">
          <cell r="A2736" t="str">
            <v>PSS1312</v>
          </cell>
          <cell r="Q2736">
            <v>44762</v>
          </cell>
        </row>
        <row r="2737">
          <cell r="A2737" t="str">
            <v>PSS1313</v>
          </cell>
          <cell r="Q2737">
            <v>44762</v>
          </cell>
        </row>
        <row r="2738">
          <cell r="A2738" t="str">
            <v>PSS1314</v>
          </cell>
          <cell r="Q2738">
            <v>44762</v>
          </cell>
        </row>
        <row r="2739">
          <cell r="A2739" t="str">
            <v>PSS1315</v>
          </cell>
          <cell r="Q2739">
            <v>44762</v>
          </cell>
        </row>
        <row r="2740">
          <cell r="A2740" t="str">
            <v>PSS1316</v>
          </cell>
          <cell r="Q2740">
            <v>44767</v>
          </cell>
        </row>
        <row r="2741">
          <cell r="A2741" t="str">
            <v>PSS1317</v>
          </cell>
          <cell r="Q2741">
            <v>44768</v>
          </cell>
        </row>
        <row r="2742">
          <cell r="A2742" t="str">
            <v>PSS1318</v>
          </cell>
          <cell r="Q2742">
            <v>44772</v>
          </cell>
        </row>
        <row r="2743">
          <cell r="A2743" t="str">
            <v>PSS1319</v>
          </cell>
          <cell r="Q2743">
            <v>44777</v>
          </cell>
        </row>
        <row r="2744">
          <cell r="A2744" t="str">
            <v>PSS1320</v>
          </cell>
          <cell r="Q2744">
            <v>44777</v>
          </cell>
        </row>
        <row r="2745">
          <cell r="A2745" t="str">
            <v>PSS1321</v>
          </cell>
          <cell r="Q2745">
            <v>44774</v>
          </cell>
        </row>
        <row r="2746">
          <cell r="A2746" t="str">
            <v>PSS1322</v>
          </cell>
          <cell r="Q2746">
            <v>44805</v>
          </cell>
        </row>
        <row r="2747">
          <cell r="A2747" t="str">
            <v>PSS1323</v>
          </cell>
          <cell r="Q2747">
            <v>44805</v>
          </cell>
        </row>
        <row r="2748">
          <cell r="A2748" t="str">
            <v>PSS1324</v>
          </cell>
          <cell r="Q2748">
            <v>44805</v>
          </cell>
        </row>
        <row r="2749">
          <cell r="A2749" t="str">
            <v>PSS1325</v>
          </cell>
          <cell r="Q2749">
            <v>44805</v>
          </cell>
        </row>
        <row r="2750">
          <cell r="A2750" t="str">
            <v>PSS1326</v>
          </cell>
          <cell r="Q2750">
            <v>44805</v>
          </cell>
        </row>
        <row r="2751">
          <cell r="A2751" t="str">
            <v>PSS1327</v>
          </cell>
          <cell r="Q2751">
            <v>44817</v>
          </cell>
        </row>
        <row r="2752">
          <cell r="A2752" t="str">
            <v>PSS1328</v>
          </cell>
          <cell r="Q2752">
            <v>44820</v>
          </cell>
        </row>
        <row r="2753">
          <cell r="A2753" t="str">
            <v>PSS1329</v>
          </cell>
          <cell r="Q2753">
            <v>44873</v>
          </cell>
        </row>
        <row r="2754">
          <cell r="A2754" t="str">
            <v>PSS1330</v>
          </cell>
          <cell r="Q2754">
            <v>44866</v>
          </cell>
        </row>
        <row r="2755">
          <cell r="A2755" t="str">
            <v>PSS1331</v>
          </cell>
          <cell r="Q2755">
            <v>44866</v>
          </cell>
        </row>
        <row r="2756">
          <cell r="A2756" t="str">
            <v>PSS1332</v>
          </cell>
          <cell r="Q2756">
            <v>44879</v>
          </cell>
        </row>
        <row r="2757">
          <cell r="A2757" t="str">
            <v>PSS1333</v>
          </cell>
          <cell r="Q2757">
            <v>44886</v>
          </cell>
        </row>
        <row r="2758">
          <cell r="A2758" t="str">
            <v>PSS1334</v>
          </cell>
          <cell r="Q2758">
            <v>44900</v>
          </cell>
        </row>
        <row r="2759">
          <cell r="A2759" t="str">
            <v>PSS1335</v>
          </cell>
          <cell r="Q2759">
            <v>44907</v>
          </cell>
        </row>
        <row r="2760">
          <cell r="A2760" t="str">
            <v>PSS1336</v>
          </cell>
          <cell r="Q2760">
            <v>44921</v>
          </cell>
        </row>
        <row r="2761">
          <cell r="A2761" t="str">
            <v>PSS1337</v>
          </cell>
          <cell r="Q2761">
            <v>44937</v>
          </cell>
        </row>
        <row r="2762">
          <cell r="A2762" t="str">
            <v>PSS1338</v>
          </cell>
          <cell r="Q2762">
            <v>44935</v>
          </cell>
        </row>
        <row r="2763">
          <cell r="A2763" t="str">
            <v>PSS1339</v>
          </cell>
          <cell r="Q2763">
            <v>44949</v>
          </cell>
        </row>
        <row r="2764">
          <cell r="A2764" t="str">
            <v>PSS1340</v>
          </cell>
          <cell r="Q2764">
            <v>44949</v>
          </cell>
        </row>
        <row r="2765">
          <cell r="A2765" t="str">
            <v>PSS1341</v>
          </cell>
          <cell r="Q2765">
            <v>44958</v>
          </cell>
        </row>
        <row r="2766">
          <cell r="A2766" t="str">
            <v>PSS1342</v>
          </cell>
          <cell r="Q2766">
            <v>44960</v>
          </cell>
        </row>
        <row r="2767">
          <cell r="A2767" t="str">
            <v>PSS1343</v>
          </cell>
          <cell r="Q2767">
            <v>44960</v>
          </cell>
        </row>
        <row r="2768">
          <cell r="A2768" t="str">
            <v>PSS1344</v>
          </cell>
          <cell r="Q2768">
            <v>44963</v>
          </cell>
        </row>
        <row r="2769">
          <cell r="A2769" t="str">
            <v>PSS1345</v>
          </cell>
          <cell r="Q2769">
            <v>44963</v>
          </cell>
        </row>
        <row r="2770">
          <cell r="A2770" t="str">
            <v>PSS1346</v>
          </cell>
          <cell r="Q2770">
            <v>44963</v>
          </cell>
        </row>
        <row r="2771">
          <cell r="A2771" t="str">
            <v>PSS1347</v>
          </cell>
          <cell r="Q2771">
            <v>44958</v>
          </cell>
        </row>
        <row r="2772">
          <cell r="A2772" t="str">
            <v>PSS1348</v>
          </cell>
          <cell r="Q2772">
            <v>44977</v>
          </cell>
        </row>
        <row r="2773">
          <cell r="A2773" t="str">
            <v>PSS1349</v>
          </cell>
          <cell r="Q2773">
            <v>44986</v>
          </cell>
        </row>
        <row r="2774">
          <cell r="A2774" t="str">
            <v>PSS1350</v>
          </cell>
          <cell r="Q2774">
            <v>45008</v>
          </cell>
        </row>
        <row r="2775">
          <cell r="A2775" t="str">
            <v>PSS1351</v>
          </cell>
          <cell r="Q2775">
            <v>45012</v>
          </cell>
        </row>
        <row r="2776">
          <cell r="A2776" t="str">
            <v>PSS1352</v>
          </cell>
          <cell r="Q2776">
            <v>45012</v>
          </cell>
        </row>
        <row r="2777">
          <cell r="A2777" t="str">
            <v>PSS1353</v>
          </cell>
          <cell r="Q2777">
            <v>45002</v>
          </cell>
        </row>
        <row r="2778">
          <cell r="A2778" t="str">
            <v>PSS1354</v>
          </cell>
          <cell r="Q2778">
            <v>45017</v>
          </cell>
        </row>
        <row r="2779">
          <cell r="A2779" t="str">
            <v>PSS1355</v>
          </cell>
          <cell r="Q2779">
            <v>45037</v>
          </cell>
        </row>
        <row r="2780">
          <cell r="A2780" t="str">
            <v>PSS1356</v>
          </cell>
          <cell r="Q2780">
            <v>45029</v>
          </cell>
        </row>
        <row r="2781">
          <cell r="A2781" t="str">
            <v>PSS1357</v>
          </cell>
          <cell r="Q2781">
            <v>45017</v>
          </cell>
        </row>
        <row r="2782">
          <cell r="A2782" t="str">
            <v>PSS1358</v>
          </cell>
          <cell r="Q2782">
            <v>45070</v>
          </cell>
        </row>
        <row r="2783">
          <cell r="A2783" t="str">
            <v>PSS1359</v>
          </cell>
          <cell r="Q2783">
            <v>45078</v>
          </cell>
        </row>
        <row r="2784">
          <cell r="A2784" t="str">
            <v>PSS1361</v>
          </cell>
          <cell r="Q2784">
            <v>45078</v>
          </cell>
        </row>
        <row r="2785">
          <cell r="A2785" t="str">
            <v>PSS1362</v>
          </cell>
          <cell r="Q2785">
            <v>45092</v>
          </cell>
        </row>
        <row r="2786">
          <cell r="A2786" t="str">
            <v>PSS1363</v>
          </cell>
          <cell r="Q2786">
            <v>45096</v>
          </cell>
        </row>
        <row r="2787">
          <cell r="A2787" t="str">
            <v>PSS1364</v>
          </cell>
          <cell r="Q2787">
            <v>45110</v>
          </cell>
        </row>
        <row r="2788">
          <cell r="A2788" t="str">
            <v>PSS1365</v>
          </cell>
          <cell r="Q2788">
            <v>45110</v>
          </cell>
        </row>
        <row r="2789">
          <cell r="A2789" t="str">
            <v>PSS1366</v>
          </cell>
          <cell r="Q2789">
            <v>45078</v>
          </cell>
        </row>
        <row r="2790">
          <cell r="A2790" t="str">
            <v>PSS1367</v>
          </cell>
          <cell r="Q2790">
            <v>45110</v>
          </cell>
        </row>
        <row r="2791">
          <cell r="A2791" t="str">
            <v>PSS1368</v>
          </cell>
          <cell r="Q2791">
            <v>45120</v>
          </cell>
        </row>
        <row r="2792">
          <cell r="A2792" t="str">
            <v>PSS1369</v>
          </cell>
          <cell r="Q2792">
            <v>45124</v>
          </cell>
        </row>
        <row r="2793">
          <cell r="A2793" t="str">
            <v>PSS1371</v>
          </cell>
          <cell r="Q2793">
            <v>45139</v>
          </cell>
        </row>
        <row r="2794">
          <cell r="A2794" t="str">
            <v>PSS1372</v>
          </cell>
          <cell r="Q2794">
            <v>45124</v>
          </cell>
        </row>
        <row r="2795">
          <cell r="A2795" t="str">
            <v>PSS1373</v>
          </cell>
          <cell r="Q2795">
            <v>45170</v>
          </cell>
        </row>
        <row r="2796">
          <cell r="A2796" t="str">
            <v>PSS1374</v>
          </cell>
          <cell r="Q2796">
            <v>45177</v>
          </cell>
        </row>
        <row r="2797">
          <cell r="A2797" t="str">
            <v>PSS1375</v>
          </cell>
          <cell r="Q2797">
            <v>45189</v>
          </cell>
        </row>
        <row r="2798">
          <cell r="A2798" t="str">
            <v>PSS1376</v>
          </cell>
          <cell r="Q2798">
            <v>45194</v>
          </cell>
        </row>
        <row r="2799">
          <cell r="A2799" t="str">
            <v>PSS1377</v>
          </cell>
          <cell r="Q2799">
            <v>45194</v>
          </cell>
        </row>
        <row r="2800">
          <cell r="A2800" t="str">
            <v>PSS1378</v>
          </cell>
          <cell r="Q2800">
            <v>45199</v>
          </cell>
        </row>
        <row r="2801">
          <cell r="A2801" t="str">
            <v>PSS1379</v>
          </cell>
          <cell r="Q2801">
            <v>45238</v>
          </cell>
        </row>
        <row r="2802">
          <cell r="A2802" t="str">
            <v>PSS1380</v>
          </cell>
          <cell r="Q2802">
            <v>45238</v>
          </cell>
        </row>
        <row r="2803">
          <cell r="A2803" t="str">
            <v>PSS1381</v>
          </cell>
          <cell r="Q2803">
            <v>45247</v>
          </cell>
        </row>
        <row r="2804">
          <cell r="A2804" t="str">
            <v>PSS1382</v>
          </cell>
          <cell r="Q2804">
            <v>45264</v>
          </cell>
        </row>
        <row r="2805">
          <cell r="A2805" t="str">
            <v>PSS1383</v>
          </cell>
          <cell r="Q2805">
            <v>45237</v>
          </cell>
        </row>
        <row r="2806">
          <cell r="A2806" t="str">
            <v>PSS1384</v>
          </cell>
          <cell r="Q2806">
            <v>45282</v>
          </cell>
        </row>
        <row r="2807">
          <cell r="A2807" t="str">
            <v>PSS1385</v>
          </cell>
          <cell r="Q2807">
            <v>45286</v>
          </cell>
        </row>
        <row r="2808">
          <cell r="A2808" t="str">
            <v>PSS1386</v>
          </cell>
          <cell r="Q2808">
            <v>45286</v>
          </cell>
        </row>
        <row r="2809">
          <cell r="A2809" t="str">
            <v>PSS1387</v>
          </cell>
          <cell r="Q2809">
            <v>45293</v>
          </cell>
        </row>
        <row r="2810">
          <cell r="A2810" t="str">
            <v>PSS1388</v>
          </cell>
          <cell r="Q2810">
            <v>45294</v>
          </cell>
        </row>
        <row r="2811">
          <cell r="A2811" t="str">
            <v>PSS1389</v>
          </cell>
          <cell r="Q2811">
            <v>45299</v>
          </cell>
        </row>
        <row r="2812">
          <cell r="A2812" t="str">
            <v>PSS1390</v>
          </cell>
          <cell r="Q2812">
            <v>45278</v>
          </cell>
        </row>
        <row r="2813">
          <cell r="A2813" t="str">
            <v>PSS1391</v>
          </cell>
          <cell r="Q2813">
            <v>45297</v>
          </cell>
        </row>
        <row r="2814">
          <cell r="A2814" t="str">
            <v>PSS1392</v>
          </cell>
          <cell r="Q2814">
            <v>45311</v>
          </cell>
        </row>
        <row r="2815">
          <cell r="A2815" t="str">
            <v>PSS1393</v>
          </cell>
          <cell r="Q2815">
            <v>45313</v>
          </cell>
        </row>
        <row r="2816">
          <cell r="A2816" t="str">
            <v>PSS1394</v>
          </cell>
          <cell r="Q2816">
            <v>45313</v>
          </cell>
        </row>
        <row r="2817">
          <cell r="A2817" t="str">
            <v>PSS1395</v>
          </cell>
          <cell r="Q2817">
            <v>45300</v>
          </cell>
        </row>
        <row r="2818">
          <cell r="A2818" t="str">
            <v>PSS1396</v>
          </cell>
          <cell r="Q2818">
            <v>45341</v>
          </cell>
        </row>
        <row r="2819">
          <cell r="A2819" t="str">
            <v>PSS1397</v>
          </cell>
          <cell r="Q2819">
            <v>45341</v>
          </cell>
        </row>
        <row r="2820">
          <cell r="A2820" t="str">
            <v>PSS1398</v>
          </cell>
          <cell r="Q2820">
            <v>45350</v>
          </cell>
        </row>
        <row r="2821">
          <cell r="A2821" t="str">
            <v>PSS1399</v>
          </cell>
          <cell r="Q2821">
            <v>45352</v>
          </cell>
        </row>
        <row r="2822">
          <cell r="A2822" t="str">
            <v>PSS1400</v>
          </cell>
          <cell r="Q2822">
            <v>45359</v>
          </cell>
        </row>
        <row r="2823">
          <cell r="A2823" t="str">
            <v>PSS1401</v>
          </cell>
          <cell r="Q2823">
            <v>45359</v>
          </cell>
        </row>
        <row r="2824">
          <cell r="A2824" t="str">
            <v>PSS1402</v>
          </cell>
          <cell r="Q2824">
            <v>45359</v>
          </cell>
        </row>
        <row r="2825">
          <cell r="A2825" t="str">
            <v>PSS1403</v>
          </cell>
          <cell r="Q2825">
            <v>45362</v>
          </cell>
        </row>
        <row r="2826">
          <cell r="A2826" t="str">
            <v>PSS1404</v>
          </cell>
          <cell r="Q2826">
            <v>45387</v>
          </cell>
        </row>
        <row r="2827">
          <cell r="A2827" t="str">
            <v>PSS1405</v>
          </cell>
          <cell r="Q2827">
            <v>45390</v>
          </cell>
        </row>
        <row r="2828">
          <cell r="A2828" t="str">
            <v>PSS1406</v>
          </cell>
          <cell r="Q2828">
            <v>45390</v>
          </cell>
        </row>
        <row r="2829">
          <cell r="A2829" t="str">
            <v>PSS1407</v>
          </cell>
          <cell r="Q2829">
            <v>45406</v>
          </cell>
        </row>
        <row r="2830">
          <cell r="A2830" t="str">
            <v>PSS1408</v>
          </cell>
          <cell r="Q2830">
            <v>45411</v>
          </cell>
        </row>
        <row r="2831">
          <cell r="A2831" t="str">
            <v>PSS1409</v>
          </cell>
          <cell r="Q2831">
            <v>45426</v>
          </cell>
        </row>
        <row r="2832">
          <cell r="A2832" t="str">
            <v>PSS1410</v>
          </cell>
          <cell r="Q2832">
            <v>45429</v>
          </cell>
        </row>
        <row r="2833">
          <cell r="A2833" t="str">
            <v>PSS1411</v>
          </cell>
          <cell r="Q2833">
            <v>45432</v>
          </cell>
        </row>
        <row r="2834">
          <cell r="A2834" t="str">
            <v>PSS1412</v>
          </cell>
          <cell r="Q2834">
            <v>45432</v>
          </cell>
        </row>
        <row r="2835">
          <cell r="A2835" t="str">
            <v>PSS1413</v>
          </cell>
          <cell r="Q2835">
            <v>45439</v>
          </cell>
        </row>
        <row r="2836">
          <cell r="A2836" t="str">
            <v>PSS1414</v>
          </cell>
          <cell r="Q2836">
            <v>45439</v>
          </cell>
        </row>
        <row r="2837">
          <cell r="A2837" t="str">
            <v>PSS1415</v>
          </cell>
          <cell r="Q2837">
            <v>45442</v>
          </cell>
        </row>
        <row r="2838">
          <cell r="A2838" t="str">
            <v>PSS1416</v>
          </cell>
          <cell r="Q2838">
            <v>45439</v>
          </cell>
        </row>
        <row r="2839">
          <cell r="A2839" t="str">
            <v>PSS1417</v>
          </cell>
          <cell r="Q2839">
            <v>45446</v>
          </cell>
        </row>
        <row r="2840">
          <cell r="A2840" t="str">
            <v>PSS1418</v>
          </cell>
          <cell r="Q2840">
            <v>45446</v>
          </cell>
        </row>
        <row r="2841">
          <cell r="A2841" t="str">
            <v>PSS1419</v>
          </cell>
          <cell r="Q2841">
            <v>45446</v>
          </cell>
        </row>
        <row r="2842">
          <cell r="A2842" t="str">
            <v>PSS1420</v>
          </cell>
          <cell r="Q2842">
            <v>45453</v>
          </cell>
        </row>
        <row r="2843">
          <cell r="A2843" t="str">
            <v>PSS1421</v>
          </cell>
          <cell r="Q2843">
            <v>45455</v>
          </cell>
        </row>
        <row r="2844">
          <cell r="A2844" t="str">
            <v>PSS1422</v>
          </cell>
          <cell r="Q2844">
            <v>45444</v>
          </cell>
        </row>
        <row r="2845">
          <cell r="A2845" t="str">
            <v>PSS1423</v>
          </cell>
          <cell r="Q2845">
            <v>45474</v>
          </cell>
        </row>
        <row r="2846">
          <cell r="A2846" t="str">
            <v>PSS1424</v>
          </cell>
          <cell r="Q2846">
            <v>45474</v>
          </cell>
        </row>
        <row r="2847">
          <cell r="A2847" t="str">
            <v>PSS1425</v>
          </cell>
          <cell r="Q2847">
            <v>45476</v>
          </cell>
        </row>
        <row r="2848">
          <cell r="A2848" t="str">
            <v>PSS1426</v>
          </cell>
          <cell r="Q2848">
            <v>45476</v>
          </cell>
        </row>
        <row r="2849">
          <cell r="A2849" t="str">
            <v>PSS1427</v>
          </cell>
          <cell r="Q2849">
            <v>45481</v>
          </cell>
        </row>
        <row r="2850">
          <cell r="A2850" t="str">
            <v>PSS1428</v>
          </cell>
          <cell r="Q2850">
            <v>45495</v>
          </cell>
        </row>
        <row r="2851">
          <cell r="A2851" t="str">
            <v>PSS1429</v>
          </cell>
          <cell r="Q2851">
            <v>45509</v>
          </cell>
        </row>
        <row r="2852">
          <cell r="A2852" t="str">
            <v>PSS1430</v>
          </cell>
          <cell r="Q2852">
            <v>45544</v>
          </cell>
        </row>
        <row r="2853">
          <cell r="A2853" t="str">
            <v>PSS1431</v>
          </cell>
          <cell r="Q2853">
            <v>45541</v>
          </cell>
        </row>
        <row r="2854">
          <cell r="A2854" t="str">
            <v>PSS1432</v>
          </cell>
          <cell r="Q2854">
            <v>45547</v>
          </cell>
        </row>
        <row r="2855">
          <cell r="A2855" t="str">
            <v>PSS1433</v>
          </cell>
          <cell r="Q2855">
            <v>45552</v>
          </cell>
        </row>
        <row r="2856">
          <cell r="A2856" t="str">
            <v>PSS1434</v>
          </cell>
          <cell r="Q2856">
            <v>45505</v>
          </cell>
        </row>
        <row r="2857">
          <cell r="A2857" t="str">
            <v>PSS1435</v>
          </cell>
          <cell r="Q2857">
            <v>45562</v>
          </cell>
        </row>
        <row r="2858">
          <cell r="A2858" t="str">
            <v>10000</v>
          </cell>
          <cell r="Q2858">
            <v>36526</v>
          </cell>
        </row>
        <row r="2859">
          <cell r="A2859" t="str">
            <v>10001</v>
          </cell>
          <cell r="Q2859">
            <v>34790</v>
          </cell>
        </row>
      </sheetData>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its"/>
      <sheetName val="Sheet1"/>
      <sheetName val="Sheet2"/>
      <sheetName val="New employ excl ICT"/>
      <sheetName val="Snapshot_details"/>
      <sheetName val="Filters"/>
    </sheetNames>
    <sheetDataSet>
      <sheetData sheetId="0"/>
      <sheetData sheetId="1"/>
      <sheetData sheetId="2"/>
      <sheetData sheetId="3"/>
      <sheetData sheetId="4">
        <row r="1">
          <cell r="A1" t="str">
            <v>Employee Code</v>
          </cell>
          <cell r="Y1" t="str">
            <v>Designation</v>
          </cell>
        </row>
        <row r="2">
          <cell r="A2" t="str">
            <v>PSS1372</v>
          </cell>
          <cell r="Y2" t="str">
            <v>Executive - Procurement</v>
          </cell>
        </row>
        <row r="3">
          <cell r="A3" t="str">
            <v>PEIPL0121</v>
          </cell>
          <cell r="Y3" t="str">
            <v>Senior Financial Consultant</v>
          </cell>
        </row>
        <row r="4">
          <cell r="A4" t="str">
            <v>PSS1321</v>
          </cell>
          <cell r="Y4" t="str">
            <v>Driver</v>
          </cell>
        </row>
        <row r="5">
          <cell r="A5" t="str">
            <v>PSS0963</v>
          </cell>
          <cell r="Y5" t="str">
            <v>Accounts Executive</v>
          </cell>
        </row>
        <row r="6">
          <cell r="A6" t="str">
            <v>PEIPL0032</v>
          </cell>
          <cell r="Y6" t="str">
            <v>Executive - Human Resources</v>
          </cell>
        </row>
        <row r="7">
          <cell r="A7" t="str">
            <v>PSS1434</v>
          </cell>
          <cell r="Y7" t="str">
            <v>Consultant</v>
          </cell>
        </row>
        <row r="8">
          <cell r="A8" t="str">
            <v>PSS1398</v>
          </cell>
          <cell r="Y8" t="str">
            <v>Chief Growth Officer</v>
          </cell>
        </row>
        <row r="9">
          <cell r="A9" t="str">
            <v>PEPPL0340</v>
          </cell>
          <cell r="Y9" t="str">
            <v>Engineer</v>
          </cell>
        </row>
        <row r="10">
          <cell r="A10" t="str">
            <v>PSS1332</v>
          </cell>
          <cell r="Y10" t="str">
            <v>Service Technician</v>
          </cell>
        </row>
        <row r="11">
          <cell r="A11" t="str">
            <v>PEPPL0024</v>
          </cell>
          <cell r="Y11" t="str">
            <v>Assistant Manager - Safety</v>
          </cell>
        </row>
        <row r="12">
          <cell r="A12" t="str">
            <v>PEPPL0837</v>
          </cell>
          <cell r="Y12" t="str">
            <v>Graduate Engineer Trainee</v>
          </cell>
        </row>
        <row r="13">
          <cell r="A13" t="str">
            <v>PEPPL0858</v>
          </cell>
          <cell r="Y13" t="str">
            <v>Junior Engineer</v>
          </cell>
        </row>
        <row r="14">
          <cell r="A14" t="str">
            <v>PEIPL0256</v>
          </cell>
          <cell r="Y14" t="str">
            <v>Engineer</v>
          </cell>
        </row>
        <row r="15">
          <cell r="A15" t="str">
            <v>PEGEPL0130</v>
          </cell>
          <cell r="Y15" t="str">
            <v>Junior Engineer</v>
          </cell>
        </row>
        <row r="16">
          <cell r="A16" t="str">
            <v>PEPPL0748</v>
          </cell>
          <cell r="Y16" t="str">
            <v>Diploma Engineer Trainee</v>
          </cell>
        </row>
        <row r="17">
          <cell r="A17" t="str">
            <v>PSS1207</v>
          </cell>
          <cell r="Y17" t="str">
            <v>Site Engineer</v>
          </cell>
        </row>
        <row r="18">
          <cell r="A18" t="str">
            <v>PEIPL0629</v>
          </cell>
          <cell r="Y18" t="str">
            <v>Diploma Engineer Trainee</v>
          </cell>
        </row>
        <row r="19">
          <cell r="A19" t="str">
            <v>PEIPL0663</v>
          </cell>
          <cell r="Y19" t="str">
            <v>Junior Technician</v>
          </cell>
        </row>
        <row r="20">
          <cell r="A20" t="str">
            <v>PEIPL0773</v>
          </cell>
          <cell r="Y20" t="str">
            <v>Senior Engineer</v>
          </cell>
        </row>
        <row r="21">
          <cell r="A21" t="str">
            <v>PSS1122</v>
          </cell>
          <cell r="Y21" t="str">
            <v>Helper</v>
          </cell>
        </row>
        <row r="22">
          <cell r="A22" t="str">
            <v>P0124</v>
          </cell>
          <cell r="Y22" t="str">
            <v>Operator</v>
          </cell>
        </row>
        <row r="23">
          <cell r="A23" t="str">
            <v>PEPPL0703</v>
          </cell>
          <cell r="Y23" t="str">
            <v>Junior Engineer</v>
          </cell>
        </row>
        <row r="24">
          <cell r="A24" t="str">
            <v>PEPPL0754</v>
          </cell>
          <cell r="Y24" t="str">
            <v>Diploma Engineer Trainee</v>
          </cell>
        </row>
        <row r="25">
          <cell r="A25" t="str">
            <v>PEPPL0743</v>
          </cell>
          <cell r="Y25" t="str">
            <v>Technician</v>
          </cell>
        </row>
        <row r="26">
          <cell r="A26" t="str">
            <v>PEIPL0227</v>
          </cell>
          <cell r="Y26" t="str">
            <v>Junior Engineer</v>
          </cell>
        </row>
        <row r="27">
          <cell r="A27" t="str">
            <v>PEPPL0811</v>
          </cell>
          <cell r="Y27" t="str">
            <v>Technician</v>
          </cell>
        </row>
        <row r="28">
          <cell r="A28" t="str">
            <v>PEPPL0787</v>
          </cell>
          <cell r="Y28" t="str">
            <v>Senior Engineer</v>
          </cell>
        </row>
        <row r="29">
          <cell r="A29" t="str">
            <v>PEIPL0785</v>
          </cell>
          <cell r="Y29" t="str">
            <v>Junior Maintenance Engineer</v>
          </cell>
        </row>
        <row r="30">
          <cell r="A30" t="str">
            <v>PEIPL0418</v>
          </cell>
          <cell r="Y30" t="str">
            <v>Engineer</v>
          </cell>
        </row>
        <row r="31">
          <cell r="A31" t="str">
            <v>PSS0950</v>
          </cell>
          <cell r="Y31" t="str">
            <v>Service Technician</v>
          </cell>
        </row>
        <row r="32">
          <cell r="A32" t="str">
            <v>PEGEPL0084</v>
          </cell>
          <cell r="Y32" t="str">
            <v>Technician</v>
          </cell>
        </row>
        <row r="33">
          <cell r="A33" t="str">
            <v>PEGEPL0085</v>
          </cell>
          <cell r="Y33" t="str">
            <v>Technician</v>
          </cell>
        </row>
        <row r="34">
          <cell r="A34" t="str">
            <v>PEIPL0767</v>
          </cell>
          <cell r="Y34" t="str">
            <v>Junior Engineer</v>
          </cell>
        </row>
        <row r="35">
          <cell r="A35" t="str">
            <v>PSS1125</v>
          </cell>
          <cell r="Y35" t="str">
            <v>Executive</v>
          </cell>
        </row>
        <row r="36">
          <cell r="A36" t="str">
            <v>PEPPL0824</v>
          </cell>
          <cell r="Y36" t="str">
            <v>Assistant Manager - Finance &amp; Accounts</v>
          </cell>
        </row>
        <row r="37">
          <cell r="A37" t="str">
            <v>PEIPL0364</v>
          </cell>
          <cell r="Y37" t="str">
            <v>Senior Technician</v>
          </cell>
        </row>
        <row r="38">
          <cell r="A38" t="str">
            <v>PEGEPL0108</v>
          </cell>
          <cell r="Y38" t="str">
            <v>Diploma Engineer Trainee</v>
          </cell>
        </row>
        <row r="39">
          <cell r="A39" t="str">
            <v>PSS0807</v>
          </cell>
          <cell r="Y39" t="str">
            <v>Executive</v>
          </cell>
        </row>
        <row r="40">
          <cell r="A40" t="str">
            <v>PSS0998</v>
          </cell>
          <cell r="Y40" t="str">
            <v>Project Coordinator</v>
          </cell>
        </row>
        <row r="41">
          <cell r="A41" t="str">
            <v>PEIPL0275</v>
          </cell>
          <cell r="Y41" t="str">
            <v>Junior Engineer</v>
          </cell>
        </row>
        <row r="42">
          <cell r="A42" t="str">
            <v>PEIPL0087</v>
          </cell>
          <cell r="Y42" t="str">
            <v>Engineer</v>
          </cell>
        </row>
        <row r="43">
          <cell r="A43" t="str">
            <v>PEPPL0426</v>
          </cell>
          <cell r="Y43" t="str">
            <v>Technician</v>
          </cell>
        </row>
        <row r="44">
          <cell r="A44" t="str">
            <v>PEPPL0849</v>
          </cell>
          <cell r="Y44" t="str">
            <v>Junior Engineer</v>
          </cell>
        </row>
        <row r="45">
          <cell r="A45" t="str">
            <v>PSS1298</v>
          </cell>
          <cell r="Y45" t="str">
            <v>Engineer</v>
          </cell>
        </row>
        <row r="46">
          <cell r="A46" t="str">
            <v>PSS1376</v>
          </cell>
          <cell r="Y46" t="str">
            <v>Assistant Manager - Finance &amp; Accounts</v>
          </cell>
        </row>
        <row r="47">
          <cell r="A47" t="str">
            <v>PEPPL0299</v>
          </cell>
          <cell r="Y47" t="str">
            <v>Technician</v>
          </cell>
        </row>
        <row r="48">
          <cell r="A48" t="str">
            <v>PEPPL0216</v>
          </cell>
          <cell r="Y48" t="str">
            <v>Technician</v>
          </cell>
        </row>
        <row r="49">
          <cell r="A49" t="str">
            <v>PEIPL0372</v>
          </cell>
          <cell r="Y49" t="str">
            <v>Technician</v>
          </cell>
        </row>
        <row r="50">
          <cell r="A50" t="str">
            <v>PEPPL0690</v>
          </cell>
          <cell r="Y50" t="str">
            <v>Technician</v>
          </cell>
        </row>
        <row r="51">
          <cell r="A51" t="str">
            <v>PEGEPL0052</v>
          </cell>
          <cell r="Y51" t="str">
            <v>Graduate Engineer Trainee</v>
          </cell>
        </row>
        <row r="52">
          <cell r="A52" t="str">
            <v>PEPPL0271</v>
          </cell>
          <cell r="Y52" t="str">
            <v>Technician</v>
          </cell>
        </row>
        <row r="53">
          <cell r="A53" t="str">
            <v>PEPPL0526</v>
          </cell>
          <cell r="Y53" t="str">
            <v>Junior Technician</v>
          </cell>
        </row>
        <row r="54">
          <cell r="A54" t="str">
            <v>PEIPL0692</v>
          </cell>
          <cell r="Y54" t="str">
            <v>Senior Technician</v>
          </cell>
        </row>
        <row r="55">
          <cell r="A55" t="str">
            <v>PSS1002</v>
          </cell>
          <cell r="Y55" t="str">
            <v>Supervisor</v>
          </cell>
        </row>
        <row r="56">
          <cell r="A56" t="str">
            <v>P0392</v>
          </cell>
          <cell r="Y56" t="str">
            <v>Helper</v>
          </cell>
        </row>
        <row r="57">
          <cell r="A57" t="str">
            <v>PEGEPL0002</v>
          </cell>
          <cell r="Y57" t="str">
            <v>Senior Executive - Finance &amp; Accounts</v>
          </cell>
        </row>
        <row r="58">
          <cell r="A58" t="str">
            <v>PEPPL0535</v>
          </cell>
          <cell r="Y58" t="str">
            <v>Technician</v>
          </cell>
        </row>
        <row r="59">
          <cell r="A59" t="str">
            <v>PEIPL0551</v>
          </cell>
          <cell r="Y59" t="str">
            <v>Technician</v>
          </cell>
        </row>
        <row r="60">
          <cell r="A60" t="str">
            <v>PEIPL0498</v>
          </cell>
          <cell r="Y60" t="str">
            <v>Engineer</v>
          </cell>
        </row>
        <row r="61">
          <cell r="A61" t="str">
            <v>PEGEPL0034</v>
          </cell>
          <cell r="Y61" t="str">
            <v>Technician</v>
          </cell>
        </row>
        <row r="62">
          <cell r="A62" t="str">
            <v>PSS0905</v>
          </cell>
          <cell r="Y62" t="str">
            <v>Operator</v>
          </cell>
        </row>
        <row r="63">
          <cell r="A63" t="str">
            <v>PEPPL0577</v>
          </cell>
          <cell r="Y63" t="str">
            <v>Senior Technician</v>
          </cell>
        </row>
        <row r="64">
          <cell r="A64" t="str">
            <v>PEPPL0686</v>
          </cell>
          <cell r="Y64" t="str">
            <v>Technician</v>
          </cell>
        </row>
        <row r="65">
          <cell r="A65" t="str">
            <v>PSS0572</v>
          </cell>
          <cell r="Y65" t="str">
            <v>Operator</v>
          </cell>
        </row>
        <row r="66">
          <cell r="A66" t="str">
            <v>PEPPL0347</v>
          </cell>
          <cell r="Y66" t="str">
            <v>Technician</v>
          </cell>
        </row>
        <row r="67">
          <cell r="A67" t="str">
            <v>PEPPL0693</v>
          </cell>
          <cell r="Y67" t="str">
            <v>Technician</v>
          </cell>
        </row>
        <row r="68">
          <cell r="A68" t="str">
            <v>PSS1292</v>
          </cell>
          <cell r="Y68" t="str">
            <v>Senior Executive - Liasoning</v>
          </cell>
        </row>
        <row r="69">
          <cell r="A69" t="str">
            <v>PSS1423</v>
          </cell>
          <cell r="Y69" t="str">
            <v>Data Analyst</v>
          </cell>
        </row>
        <row r="70">
          <cell r="A70" t="str">
            <v>PEPPL0188</v>
          </cell>
          <cell r="Y70" t="str">
            <v>Junior Technician</v>
          </cell>
        </row>
        <row r="71">
          <cell r="A71" t="str">
            <v>PEPPL0696</v>
          </cell>
          <cell r="Y71" t="str">
            <v>Junior Engineer</v>
          </cell>
        </row>
        <row r="72">
          <cell r="A72" t="str">
            <v>PSS0449</v>
          </cell>
          <cell r="Y72" t="str">
            <v>Helper</v>
          </cell>
        </row>
        <row r="73">
          <cell r="A73" t="str">
            <v>PEIPL0369</v>
          </cell>
          <cell r="Y73" t="str">
            <v>Technician</v>
          </cell>
        </row>
        <row r="74">
          <cell r="A74" t="str">
            <v>PSS1401</v>
          </cell>
          <cell r="Y74" t="str">
            <v>Consultant</v>
          </cell>
        </row>
        <row r="75">
          <cell r="A75" t="str">
            <v>PEIPL0456</v>
          </cell>
          <cell r="Y75" t="str">
            <v>Deputy Engineer</v>
          </cell>
        </row>
        <row r="76">
          <cell r="A76" t="str">
            <v>PEPPL0536</v>
          </cell>
          <cell r="Y76" t="str">
            <v>Engineer</v>
          </cell>
        </row>
        <row r="77">
          <cell r="A77" t="str">
            <v>PEPPL0715</v>
          </cell>
          <cell r="Y77" t="str">
            <v>Technician</v>
          </cell>
        </row>
        <row r="78">
          <cell r="A78" t="str">
            <v>PSS1164</v>
          </cell>
          <cell r="Y78" t="str">
            <v>Driver</v>
          </cell>
        </row>
        <row r="79">
          <cell r="A79" t="str">
            <v>PEPPL0581</v>
          </cell>
          <cell r="Y79" t="str">
            <v>Technician</v>
          </cell>
        </row>
        <row r="80">
          <cell r="A80" t="str">
            <v>PEPPL0854</v>
          </cell>
          <cell r="Y80" t="str">
            <v>Admin Executive</v>
          </cell>
        </row>
        <row r="81">
          <cell r="A81" t="str">
            <v>PEIPL0798</v>
          </cell>
          <cell r="Y81" t="str">
            <v>Senior Executive -  Human Resources</v>
          </cell>
        </row>
        <row r="82">
          <cell r="A82" t="str">
            <v>PEPPL0310</v>
          </cell>
          <cell r="Y82" t="str">
            <v>Technician</v>
          </cell>
        </row>
        <row r="83">
          <cell r="A83" t="str">
            <v>PEGEPL0101</v>
          </cell>
          <cell r="Y83" t="str">
            <v>Technician</v>
          </cell>
        </row>
        <row r="84">
          <cell r="A84" t="str">
            <v>PEPPL0378</v>
          </cell>
          <cell r="Y84" t="str">
            <v>Technician</v>
          </cell>
        </row>
        <row r="85">
          <cell r="A85" t="str">
            <v>PEGEPL0035</v>
          </cell>
          <cell r="Y85" t="str">
            <v>Diploma Engineer Trainee</v>
          </cell>
        </row>
        <row r="86">
          <cell r="A86" t="str">
            <v>PEPPL0735</v>
          </cell>
          <cell r="Y86" t="str">
            <v>Technician</v>
          </cell>
        </row>
        <row r="87">
          <cell r="A87" t="str">
            <v>PSS0764</v>
          </cell>
          <cell r="Y87" t="str">
            <v>Manager Accounts</v>
          </cell>
        </row>
        <row r="88">
          <cell r="A88" t="str">
            <v>PEIPL0714</v>
          </cell>
          <cell r="Y88" t="str">
            <v>Officer</v>
          </cell>
        </row>
        <row r="89">
          <cell r="A89" t="str">
            <v>PEPPL0326</v>
          </cell>
          <cell r="Y89" t="str">
            <v>Senior Technician</v>
          </cell>
        </row>
        <row r="90">
          <cell r="A90" t="str">
            <v>PEPPL0721</v>
          </cell>
          <cell r="Y90" t="str">
            <v>Technician</v>
          </cell>
        </row>
        <row r="91">
          <cell r="A91" t="str">
            <v>PEPPL0679</v>
          </cell>
          <cell r="Y91" t="str">
            <v>Technician</v>
          </cell>
        </row>
        <row r="92">
          <cell r="A92" t="str">
            <v>PEPPL0219</v>
          </cell>
          <cell r="Y92" t="str">
            <v>Assistant Manager</v>
          </cell>
        </row>
        <row r="93">
          <cell r="A93" t="str">
            <v>PEPPL0488</v>
          </cell>
          <cell r="Y93" t="str">
            <v>Junior Technician</v>
          </cell>
        </row>
        <row r="94">
          <cell r="A94" t="str">
            <v>PEPPL0432</v>
          </cell>
          <cell r="Y94" t="str">
            <v>Technician</v>
          </cell>
        </row>
        <row r="95">
          <cell r="A95" t="str">
            <v>PEIPL0580</v>
          </cell>
          <cell r="Y95" t="str">
            <v>Junior Engineer</v>
          </cell>
        </row>
        <row r="96">
          <cell r="A96" t="str">
            <v>PSS1205</v>
          </cell>
          <cell r="Y96" t="str">
            <v>Deputy Manager - Finance &amp; Accounts</v>
          </cell>
        </row>
        <row r="97">
          <cell r="A97" t="str">
            <v>PSS0355</v>
          </cell>
          <cell r="Y97" t="str">
            <v>Assistant Manager</v>
          </cell>
        </row>
        <row r="98">
          <cell r="A98" t="str">
            <v>PEIPL0517</v>
          </cell>
          <cell r="Y98" t="str">
            <v>Assistant Manager</v>
          </cell>
        </row>
        <row r="99">
          <cell r="A99" t="str">
            <v>PEIPL0125</v>
          </cell>
          <cell r="Y99" t="str">
            <v>Engineer</v>
          </cell>
        </row>
        <row r="100">
          <cell r="A100" t="str">
            <v>PEIPL0047</v>
          </cell>
          <cell r="Y100" t="str">
            <v>Assistant Engineer</v>
          </cell>
        </row>
        <row r="101">
          <cell r="A101" t="str">
            <v>PEIPL0805</v>
          </cell>
          <cell r="Y101" t="str">
            <v>Technician</v>
          </cell>
        </row>
        <row r="102">
          <cell r="A102" t="str">
            <v>PSS0792</v>
          </cell>
          <cell r="Y102" t="str">
            <v>Technician</v>
          </cell>
        </row>
        <row r="103">
          <cell r="A103" t="str">
            <v>PEGEPL0141</v>
          </cell>
          <cell r="Y103" t="str">
            <v>Graduate Engineer Trainee</v>
          </cell>
        </row>
        <row r="104">
          <cell r="A104" t="str">
            <v>PSS1150</v>
          </cell>
          <cell r="Y104" t="str">
            <v>Graduate Engineer Trainee</v>
          </cell>
        </row>
        <row r="105">
          <cell r="A105" t="str">
            <v>PEPPL0287</v>
          </cell>
          <cell r="Y105" t="str">
            <v>GEM - 2</v>
          </cell>
        </row>
        <row r="106">
          <cell r="A106" t="str">
            <v>PEGEPL0096</v>
          </cell>
          <cell r="Y106" t="str">
            <v>Senior Executive - Human Resources</v>
          </cell>
        </row>
        <row r="107">
          <cell r="A107" t="str">
            <v>PEIPL0132</v>
          </cell>
          <cell r="Y107" t="str">
            <v>Technician</v>
          </cell>
        </row>
        <row r="108">
          <cell r="A108" t="str">
            <v>PEIPL0528</v>
          </cell>
          <cell r="Y108" t="str">
            <v>Senior Engineer</v>
          </cell>
        </row>
        <row r="109">
          <cell r="A109" t="str">
            <v>PSS1198</v>
          </cell>
          <cell r="Y109" t="str">
            <v>Senior Engineer</v>
          </cell>
        </row>
        <row r="110">
          <cell r="A110" t="str">
            <v>PEIPL0801</v>
          </cell>
          <cell r="Y110" t="str">
            <v>Technician</v>
          </cell>
        </row>
        <row r="111">
          <cell r="A111" t="str">
            <v>PEPPL0467</v>
          </cell>
          <cell r="Y111" t="str">
            <v>Associate Manager</v>
          </cell>
        </row>
        <row r="112">
          <cell r="A112" t="str">
            <v>PEGEPL0060</v>
          </cell>
          <cell r="Y112" t="str">
            <v>Technician</v>
          </cell>
        </row>
        <row r="113">
          <cell r="A113" t="str">
            <v>P0338</v>
          </cell>
          <cell r="Y113" t="str">
            <v>Helper</v>
          </cell>
        </row>
        <row r="114">
          <cell r="A114" t="str">
            <v>P0359</v>
          </cell>
          <cell r="Y114" t="str">
            <v>Helper</v>
          </cell>
        </row>
        <row r="115">
          <cell r="A115" t="str">
            <v>BDPL0007</v>
          </cell>
          <cell r="Y115" t="str">
            <v>Helper</v>
          </cell>
        </row>
        <row r="116">
          <cell r="A116" t="str">
            <v>P0347</v>
          </cell>
          <cell r="Y116" t="str">
            <v>Helper</v>
          </cell>
        </row>
        <row r="117">
          <cell r="A117" t="str">
            <v>P0478</v>
          </cell>
          <cell r="Y117" t="str">
            <v>Helper</v>
          </cell>
        </row>
        <row r="118">
          <cell r="A118" t="str">
            <v>PEIPL0232</v>
          </cell>
          <cell r="Y118" t="str">
            <v>Technician</v>
          </cell>
        </row>
        <row r="119">
          <cell r="A119" t="str">
            <v>P0449</v>
          </cell>
          <cell r="Y119" t="str">
            <v>Helper</v>
          </cell>
        </row>
        <row r="120">
          <cell r="A120" t="str">
            <v>PEIPL0545</v>
          </cell>
          <cell r="Y120" t="str">
            <v>Technician</v>
          </cell>
        </row>
        <row r="121">
          <cell r="A121" t="str">
            <v>PEPPL0665</v>
          </cell>
          <cell r="Y121" t="str">
            <v>Junior Engineer</v>
          </cell>
        </row>
        <row r="122">
          <cell r="A122" t="str">
            <v>PEIPL0796</v>
          </cell>
          <cell r="Y122" t="str">
            <v>Assistant Engineer</v>
          </cell>
        </row>
        <row r="123">
          <cell r="A123" t="str">
            <v>PEGEPL0044</v>
          </cell>
          <cell r="Y123" t="str">
            <v>Deputy Engineer</v>
          </cell>
        </row>
        <row r="124">
          <cell r="A124" t="str">
            <v>PEIPL0538</v>
          </cell>
          <cell r="Y124" t="str">
            <v>Junior Engineer</v>
          </cell>
        </row>
        <row r="125">
          <cell r="A125" t="str">
            <v>PEPPL0611</v>
          </cell>
          <cell r="Y125" t="str">
            <v>Engineer</v>
          </cell>
        </row>
        <row r="126">
          <cell r="A126" t="str">
            <v>PEGEPL0070</v>
          </cell>
          <cell r="Y126" t="str">
            <v>Junior Engineer</v>
          </cell>
        </row>
        <row r="127">
          <cell r="A127" t="str">
            <v>PEPPL0687</v>
          </cell>
          <cell r="Y127" t="str">
            <v>Helper</v>
          </cell>
        </row>
        <row r="128">
          <cell r="A128" t="str">
            <v>PEPPL0325</v>
          </cell>
          <cell r="Y128" t="str">
            <v>Junior Technician</v>
          </cell>
        </row>
        <row r="129">
          <cell r="A129" t="str">
            <v>PEIPL0171</v>
          </cell>
          <cell r="Y129" t="str">
            <v>Senior Technician</v>
          </cell>
        </row>
        <row r="130">
          <cell r="A130" t="str">
            <v>PEPPL0330</v>
          </cell>
          <cell r="Y130" t="str">
            <v>Junior Technician</v>
          </cell>
        </row>
        <row r="131">
          <cell r="A131" t="str">
            <v>PEPPL0838</v>
          </cell>
          <cell r="Y131" t="str">
            <v>Junior Engineer</v>
          </cell>
        </row>
        <row r="132">
          <cell r="A132" t="str">
            <v>PEPPL0880</v>
          </cell>
          <cell r="Y132" t="str">
            <v>Junior Engineer</v>
          </cell>
        </row>
        <row r="133">
          <cell r="A133" t="str">
            <v>PEGEPL0022</v>
          </cell>
          <cell r="Y133" t="str">
            <v>Junior Technician</v>
          </cell>
        </row>
        <row r="134">
          <cell r="A134" t="str">
            <v>PEIPL0695</v>
          </cell>
          <cell r="Y134" t="str">
            <v>Junior Technician</v>
          </cell>
        </row>
        <row r="135">
          <cell r="A135" t="str">
            <v>PSS1109</v>
          </cell>
          <cell r="Y135" t="str">
            <v>Helper</v>
          </cell>
        </row>
        <row r="136">
          <cell r="A136" t="str">
            <v>PEIPL0790</v>
          </cell>
          <cell r="Y136" t="str">
            <v>Junior Engineer</v>
          </cell>
        </row>
        <row r="137">
          <cell r="A137" t="str">
            <v>P0452</v>
          </cell>
          <cell r="Y137" t="str">
            <v>Helper</v>
          </cell>
        </row>
        <row r="138">
          <cell r="A138" t="str">
            <v>P0467</v>
          </cell>
          <cell r="Y138" t="str">
            <v>Helper</v>
          </cell>
        </row>
        <row r="139">
          <cell r="A139" t="str">
            <v>P0451</v>
          </cell>
          <cell r="Y139" t="str">
            <v>Technician</v>
          </cell>
        </row>
        <row r="140">
          <cell r="A140" t="str">
            <v>PEPPL0610</v>
          </cell>
          <cell r="Y140" t="str">
            <v>GEM - 1</v>
          </cell>
        </row>
        <row r="141">
          <cell r="A141" t="str">
            <v>PEIPL0740</v>
          </cell>
          <cell r="Y141" t="str">
            <v>Technician</v>
          </cell>
        </row>
        <row r="142">
          <cell r="A142" t="str">
            <v>P0368</v>
          </cell>
          <cell r="Y142" t="str">
            <v>Helper</v>
          </cell>
        </row>
        <row r="143">
          <cell r="A143" t="str">
            <v>P0255</v>
          </cell>
          <cell r="Y143" t="str">
            <v>Operator</v>
          </cell>
        </row>
        <row r="144">
          <cell r="A144" t="str">
            <v>PEIPL0327</v>
          </cell>
          <cell r="Y144" t="str">
            <v>Junior Technician</v>
          </cell>
        </row>
        <row r="145">
          <cell r="A145" t="str">
            <v>P0295</v>
          </cell>
          <cell r="Y145" t="str">
            <v>Helper</v>
          </cell>
        </row>
        <row r="146">
          <cell r="A146" t="str">
            <v>P0427</v>
          </cell>
          <cell r="Y146" t="str">
            <v>Senior Engineer</v>
          </cell>
        </row>
        <row r="147">
          <cell r="A147" t="str">
            <v>P0502</v>
          </cell>
          <cell r="Y147" t="str">
            <v>Helper</v>
          </cell>
        </row>
        <row r="148">
          <cell r="A148" t="str">
            <v>PSS1313</v>
          </cell>
          <cell r="Y148" t="str">
            <v>Junior Engineer</v>
          </cell>
        </row>
        <row r="149">
          <cell r="A149" t="str">
            <v>PSS0948</v>
          </cell>
          <cell r="Y149" t="str">
            <v>Technician</v>
          </cell>
        </row>
        <row r="150">
          <cell r="A150" t="str">
            <v>PEPPL0848</v>
          </cell>
          <cell r="Y150" t="str">
            <v>Junior Engineer</v>
          </cell>
        </row>
        <row r="151">
          <cell r="A151" t="str">
            <v>PEIPL0071</v>
          </cell>
          <cell r="Y151" t="str">
            <v>Junior Engineer</v>
          </cell>
        </row>
        <row r="152">
          <cell r="A152" t="str">
            <v>PEIPL0022</v>
          </cell>
          <cell r="Y152" t="str">
            <v>Associate Manager</v>
          </cell>
        </row>
        <row r="153">
          <cell r="A153" t="str">
            <v>PEPPL0128</v>
          </cell>
          <cell r="Y153" t="str">
            <v>Assistant Manager</v>
          </cell>
        </row>
        <row r="154">
          <cell r="A154" t="str">
            <v>PEPPL0403</v>
          </cell>
          <cell r="Y154" t="str">
            <v>Senior Technician</v>
          </cell>
        </row>
        <row r="155">
          <cell r="A155" t="str">
            <v>PEIPL0167</v>
          </cell>
          <cell r="Y155" t="str">
            <v>Engineer</v>
          </cell>
        </row>
        <row r="156">
          <cell r="A156" t="str">
            <v>PEIPL0616</v>
          </cell>
          <cell r="Y156" t="str">
            <v>Senior Executive</v>
          </cell>
        </row>
        <row r="157">
          <cell r="A157" t="str">
            <v>PEPPL0027</v>
          </cell>
          <cell r="Y157" t="str">
            <v>Senior Engineer</v>
          </cell>
        </row>
        <row r="158">
          <cell r="A158" t="str">
            <v>PEGEPL0131</v>
          </cell>
          <cell r="Y158" t="str">
            <v>Assistant Manager - Maintenance</v>
          </cell>
        </row>
        <row r="159">
          <cell r="A159" t="str">
            <v>PEIPL0067</v>
          </cell>
          <cell r="Y159" t="str">
            <v>Assistant Engineer</v>
          </cell>
        </row>
        <row r="160">
          <cell r="A160" t="str">
            <v>PSS1015</v>
          </cell>
          <cell r="Y160" t="str">
            <v>Supervisor</v>
          </cell>
        </row>
        <row r="161">
          <cell r="A161" t="str">
            <v>PSS1018</v>
          </cell>
          <cell r="Y161" t="str">
            <v>Site Engineer</v>
          </cell>
        </row>
        <row r="162">
          <cell r="A162" t="str">
            <v>PEIPL0667</v>
          </cell>
          <cell r="Y162" t="str">
            <v>Junior Technician</v>
          </cell>
        </row>
        <row r="163">
          <cell r="A163" t="str">
            <v>P0419</v>
          </cell>
          <cell r="Y163" t="str">
            <v>Senior Technician</v>
          </cell>
        </row>
        <row r="164">
          <cell r="A164" t="str">
            <v>PEPPL0041</v>
          </cell>
          <cell r="Y164" t="str">
            <v>HR Generalist</v>
          </cell>
        </row>
        <row r="165">
          <cell r="A165" t="str">
            <v>PEIPL0099</v>
          </cell>
          <cell r="Y165" t="str">
            <v>Junior Engineer</v>
          </cell>
        </row>
        <row r="166">
          <cell r="A166" t="str">
            <v>PEPPL0706</v>
          </cell>
          <cell r="Y166" t="str">
            <v>Junior Officer</v>
          </cell>
        </row>
        <row r="167">
          <cell r="A167" t="str">
            <v>PEPPL0113</v>
          </cell>
          <cell r="Y167" t="str">
            <v>Assistant Manager - Production</v>
          </cell>
        </row>
        <row r="168">
          <cell r="A168" t="str">
            <v>PEIPL0083</v>
          </cell>
          <cell r="Y168" t="str">
            <v>Engineer</v>
          </cell>
        </row>
        <row r="169">
          <cell r="A169" t="str">
            <v>PEIPL0231</v>
          </cell>
          <cell r="Y169" t="str">
            <v>Technician</v>
          </cell>
        </row>
        <row r="170">
          <cell r="A170" t="str">
            <v>PEPPL0443</v>
          </cell>
          <cell r="Y170" t="str">
            <v>Engineer</v>
          </cell>
        </row>
        <row r="171">
          <cell r="A171" t="str">
            <v>PEPPL0135</v>
          </cell>
          <cell r="Y171" t="str">
            <v>Senior Engineer</v>
          </cell>
        </row>
        <row r="172">
          <cell r="A172" t="str">
            <v>PEIPL0636</v>
          </cell>
          <cell r="Y172" t="str">
            <v>Technician</v>
          </cell>
        </row>
        <row r="173">
          <cell r="A173" t="str">
            <v>PEPPL0663</v>
          </cell>
          <cell r="Y173" t="str">
            <v>Junior Engineer</v>
          </cell>
        </row>
        <row r="174">
          <cell r="A174" t="str">
            <v>PEPPL0784</v>
          </cell>
          <cell r="Y174" t="str">
            <v>Technician</v>
          </cell>
        </row>
        <row r="175">
          <cell r="A175" t="str">
            <v>PEIPL0443</v>
          </cell>
          <cell r="Y175" t="str">
            <v>Assistant Engineer</v>
          </cell>
        </row>
        <row r="176">
          <cell r="A176" t="str">
            <v>PEPPL0089</v>
          </cell>
          <cell r="Y176" t="str">
            <v>Senior Engineer</v>
          </cell>
        </row>
        <row r="177">
          <cell r="A177" t="str">
            <v>PEPPL0337</v>
          </cell>
          <cell r="Y177" t="str">
            <v>Engineer</v>
          </cell>
        </row>
        <row r="178">
          <cell r="A178" t="str">
            <v>PSS1156</v>
          </cell>
          <cell r="Y178" t="str">
            <v>Driver</v>
          </cell>
        </row>
        <row r="179">
          <cell r="A179" t="str">
            <v>PSS0965</v>
          </cell>
          <cell r="Y179" t="str">
            <v>Driver</v>
          </cell>
        </row>
        <row r="180">
          <cell r="A180" t="str">
            <v>PSS1095</v>
          </cell>
          <cell r="Y180" t="str">
            <v>Deputy Manager - Human Resources</v>
          </cell>
        </row>
        <row r="181">
          <cell r="A181" t="str">
            <v>PSS0879</v>
          </cell>
          <cell r="Y181" t="str">
            <v>Junior Engineer</v>
          </cell>
        </row>
        <row r="182">
          <cell r="A182" t="str">
            <v>PEIPL0513</v>
          </cell>
          <cell r="Y182" t="str">
            <v>Senior Technician</v>
          </cell>
        </row>
        <row r="183">
          <cell r="A183" t="str">
            <v>PSS0910</v>
          </cell>
          <cell r="Y183" t="str">
            <v>Senior Technician</v>
          </cell>
        </row>
        <row r="184">
          <cell r="A184" t="str">
            <v>PEIPL0287</v>
          </cell>
          <cell r="Y184" t="str">
            <v>Junior Engineer</v>
          </cell>
        </row>
        <row r="185">
          <cell r="A185" t="str">
            <v>PEPPL0177</v>
          </cell>
          <cell r="Y185" t="str">
            <v>Junior Technician</v>
          </cell>
        </row>
        <row r="186">
          <cell r="A186" t="str">
            <v>PEIPL0720</v>
          </cell>
          <cell r="Y186" t="str">
            <v>Junior Engineer</v>
          </cell>
        </row>
        <row r="187">
          <cell r="A187" t="str">
            <v>PEIPL0630</v>
          </cell>
          <cell r="Y187" t="str">
            <v>Junior Technician</v>
          </cell>
        </row>
        <row r="188">
          <cell r="A188" t="str">
            <v>PSS1028</v>
          </cell>
          <cell r="Y188" t="str">
            <v>Site Engineer</v>
          </cell>
        </row>
        <row r="189">
          <cell r="A189" t="str">
            <v>PEPPL0341</v>
          </cell>
          <cell r="Y189" t="str">
            <v>Engineer</v>
          </cell>
        </row>
        <row r="190">
          <cell r="A190" t="str">
            <v>PSS1391</v>
          </cell>
          <cell r="Y190" t="str">
            <v>Consultant</v>
          </cell>
        </row>
        <row r="191">
          <cell r="A191" t="str">
            <v>PEIPL0319</v>
          </cell>
          <cell r="Y191" t="str">
            <v>Assistant Engineer</v>
          </cell>
        </row>
        <row r="192">
          <cell r="A192" t="str">
            <v>PEIPL0400</v>
          </cell>
          <cell r="Y192" t="str">
            <v>Junior Engineer</v>
          </cell>
        </row>
        <row r="193">
          <cell r="A193" t="str">
            <v>PEIPL0774</v>
          </cell>
          <cell r="Y193" t="str">
            <v>Junior Engineer</v>
          </cell>
        </row>
        <row r="194">
          <cell r="A194" t="str">
            <v>PSS1355</v>
          </cell>
          <cell r="Y194" t="str">
            <v>Engineer</v>
          </cell>
        </row>
        <row r="195">
          <cell r="A195" t="str">
            <v>PEPPL0045</v>
          </cell>
          <cell r="Y195" t="str">
            <v>Assistant Manager - Maintenance</v>
          </cell>
        </row>
        <row r="196">
          <cell r="A196" t="str">
            <v>PSS1405</v>
          </cell>
          <cell r="Y196" t="str">
            <v>Senior Manager - Global Marketing &amp; Communication</v>
          </cell>
        </row>
        <row r="197">
          <cell r="A197" t="str">
            <v>PEPPL0292</v>
          </cell>
          <cell r="Y197" t="str">
            <v>Shift Incharge</v>
          </cell>
        </row>
        <row r="198">
          <cell r="A198" t="str">
            <v>PEIPL0431</v>
          </cell>
          <cell r="Y198" t="str">
            <v>Technician</v>
          </cell>
        </row>
        <row r="199">
          <cell r="A199" t="str">
            <v>P0503</v>
          </cell>
          <cell r="Y199" t="str">
            <v>Deputy Engineer</v>
          </cell>
        </row>
        <row r="200">
          <cell r="A200" t="str">
            <v>PEIPL0621</v>
          </cell>
          <cell r="Y200" t="str">
            <v>Senior Engineer</v>
          </cell>
        </row>
        <row r="201">
          <cell r="A201" t="str">
            <v>PSS1310</v>
          </cell>
          <cell r="Y201" t="str">
            <v>Technician</v>
          </cell>
        </row>
        <row r="202">
          <cell r="A202" t="str">
            <v>PEPPL0525</v>
          </cell>
          <cell r="Y202" t="str">
            <v>Senior Technician - Production</v>
          </cell>
        </row>
        <row r="203">
          <cell r="A203" t="str">
            <v>PEPPL0203</v>
          </cell>
          <cell r="Y203" t="str">
            <v>Technician</v>
          </cell>
        </row>
        <row r="204">
          <cell r="A204" t="str">
            <v>BDPL0005</v>
          </cell>
          <cell r="Y204" t="str">
            <v>Helper</v>
          </cell>
        </row>
        <row r="205">
          <cell r="A205" t="str">
            <v>P0332</v>
          </cell>
          <cell r="Y205" t="str">
            <v>Helper</v>
          </cell>
        </row>
        <row r="206">
          <cell r="A206" t="str">
            <v>P0486</v>
          </cell>
          <cell r="Y206" t="str">
            <v>Helper</v>
          </cell>
        </row>
        <row r="207">
          <cell r="A207" t="str">
            <v>PSS1229</v>
          </cell>
          <cell r="Y207" t="str">
            <v>Assistant Manager - Administration</v>
          </cell>
        </row>
        <row r="208">
          <cell r="A208" t="str">
            <v>PEIPL0277</v>
          </cell>
          <cell r="Y208" t="str">
            <v>Senior Technician</v>
          </cell>
        </row>
        <row r="209">
          <cell r="A209" t="str">
            <v>PEPPL0689</v>
          </cell>
          <cell r="Y209" t="str">
            <v>Assistant Engineer</v>
          </cell>
        </row>
        <row r="210">
          <cell r="A210" t="str">
            <v>BDPL0020</v>
          </cell>
          <cell r="Y210" t="str">
            <v>Helper</v>
          </cell>
        </row>
        <row r="211">
          <cell r="A211" t="str">
            <v>P0472</v>
          </cell>
          <cell r="Y211" t="str">
            <v>Helper</v>
          </cell>
        </row>
        <row r="212">
          <cell r="A212" t="str">
            <v>PSS1254</v>
          </cell>
          <cell r="Y212" t="str">
            <v>Plumber</v>
          </cell>
        </row>
        <row r="213">
          <cell r="A213" t="str">
            <v>PEIPL0328</v>
          </cell>
          <cell r="Y213" t="str">
            <v>Senior Technician</v>
          </cell>
        </row>
        <row r="214">
          <cell r="A214" t="str">
            <v>PSS1374</v>
          </cell>
          <cell r="Y214" t="str">
            <v>Assistant Manager - MIS</v>
          </cell>
        </row>
        <row r="215">
          <cell r="A215" t="str">
            <v>PEIPL0050</v>
          </cell>
          <cell r="Y215" t="str">
            <v>Engineer</v>
          </cell>
        </row>
        <row r="216">
          <cell r="A216" t="str">
            <v>PEPPL0457</v>
          </cell>
          <cell r="Y216" t="str">
            <v>Engineer</v>
          </cell>
        </row>
        <row r="217">
          <cell r="A217" t="str">
            <v>PEIPL0687</v>
          </cell>
          <cell r="Y217" t="str">
            <v>Engineer</v>
          </cell>
        </row>
        <row r="218">
          <cell r="A218" t="str">
            <v>PSS0921</v>
          </cell>
          <cell r="Y218" t="str">
            <v>Engineer</v>
          </cell>
        </row>
        <row r="219">
          <cell r="A219" t="str">
            <v>PEPPL0392</v>
          </cell>
          <cell r="Y219" t="str">
            <v>Technician</v>
          </cell>
        </row>
        <row r="220">
          <cell r="A220" t="str">
            <v>PEPPL0336</v>
          </cell>
          <cell r="Y220" t="str">
            <v>Consultant</v>
          </cell>
        </row>
        <row r="221">
          <cell r="A221" t="str">
            <v>PSS0653</v>
          </cell>
          <cell r="Y221" t="str">
            <v>Company Secretary</v>
          </cell>
        </row>
        <row r="222">
          <cell r="A222" t="str">
            <v>PEPPL0538</v>
          </cell>
          <cell r="Y222" t="str">
            <v>Senior Officer - Safety</v>
          </cell>
        </row>
        <row r="223">
          <cell r="A223" t="str">
            <v>PEPPL0430</v>
          </cell>
          <cell r="Y223" t="str">
            <v>Assistant Engineer</v>
          </cell>
        </row>
        <row r="224">
          <cell r="A224" t="str">
            <v>PEPPL0395</v>
          </cell>
          <cell r="Y224" t="str">
            <v>Technician</v>
          </cell>
        </row>
        <row r="225">
          <cell r="A225" t="str">
            <v>PSS1273</v>
          </cell>
          <cell r="Y225" t="str">
            <v>Senior Executive - Finance &amp; Accounts</v>
          </cell>
        </row>
        <row r="226">
          <cell r="A226" t="str">
            <v>PEPPL0160</v>
          </cell>
          <cell r="Y226" t="str">
            <v>Fork Lift Driver</v>
          </cell>
        </row>
        <row r="227">
          <cell r="A227" t="str">
            <v>PSS1408</v>
          </cell>
          <cell r="Y227" t="str">
            <v>Assistant Manager - Finance &amp; Accounts</v>
          </cell>
        </row>
        <row r="228">
          <cell r="A228" t="str">
            <v>PEPPL0509</v>
          </cell>
          <cell r="Y228" t="str">
            <v>Technician</v>
          </cell>
        </row>
        <row r="229">
          <cell r="A229" t="str">
            <v>PSS0513</v>
          </cell>
          <cell r="Y229" t="str">
            <v>Senior Engineer</v>
          </cell>
        </row>
        <row r="230">
          <cell r="A230" t="str">
            <v>PEIPL0024</v>
          </cell>
          <cell r="Y230" t="str">
            <v>Assistant Engineer</v>
          </cell>
        </row>
        <row r="231">
          <cell r="A231" t="str">
            <v>PSS0780</v>
          </cell>
          <cell r="Y231" t="str">
            <v>Assistant</v>
          </cell>
        </row>
        <row r="232">
          <cell r="A232" t="str">
            <v>PEIPL0579</v>
          </cell>
          <cell r="Y232" t="str">
            <v>Engineer</v>
          </cell>
        </row>
        <row r="233">
          <cell r="A233" t="str">
            <v>PEGEPL0011</v>
          </cell>
          <cell r="Y233" t="str">
            <v>Senior Technician</v>
          </cell>
        </row>
        <row r="234">
          <cell r="A234" t="str">
            <v>PSS0439</v>
          </cell>
          <cell r="Y234" t="str">
            <v>Operator</v>
          </cell>
        </row>
        <row r="235">
          <cell r="A235" t="str">
            <v>PEGEPL0113</v>
          </cell>
          <cell r="Y235" t="str">
            <v>Technician</v>
          </cell>
        </row>
        <row r="236">
          <cell r="A236" t="str">
            <v>PEPPL0774</v>
          </cell>
          <cell r="Y236" t="str">
            <v>Executive - Procurement</v>
          </cell>
        </row>
        <row r="237">
          <cell r="A237" t="str">
            <v>PEIPL0034</v>
          </cell>
          <cell r="Y237" t="str">
            <v>Assistant Manager</v>
          </cell>
        </row>
        <row r="238">
          <cell r="A238" t="str">
            <v>PSS1016</v>
          </cell>
          <cell r="Y238" t="str">
            <v>Site Supervisor</v>
          </cell>
        </row>
        <row r="239">
          <cell r="A239" t="str">
            <v>PEPPL0831</v>
          </cell>
          <cell r="Y239" t="str">
            <v>Head - Process &amp; Technology</v>
          </cell>
        </row>
        <row r="240">
          <cell r="A240" t="str">
            <v>P0507</v>
          </cell>
          <cell r="Y240" t="str">
            <v>Engineer</v>
          </cell>
        </row>
        <row r="241">
          <cell r="A241" t="str">
            <v>PEPPL0678</v>
          </cell>
          <cell r="Y241" t="str">
            <v>Assistant Engineer</v>
          </cell>
        </row>
        <row r="242">
          <cell r="A242" t="str">
            <v>PEIPL0104</v>
          </cell>
          <cell r="Y242" t="str">
            <v>Engineer</v>
          </cell>
        </row>
        <row r="243">
          <cell r="A243" t="str">
            <v>PEPPL0677</v>
          </cell>
          <cell r="Y243" t="str">
            <v>Junior Engineer</v>
          </cell>
        </row>
        <row r="244">
          <cell r="A244" t="str">
            <v>PEIPL0624</v>
          </cell>
          <cell r="Y244" t="str">
            <v>Technician</v>
          </cell>
        </row>
        <row r="245">
          <cell r="A245" t="str">
            <v>PEIPL0395</v>
          </cell>
          <cell r="Y245" t="str">
            <v>Technician</v>
          </cell>
        </row>
        <row r="246">
          <cell r="A246" t="str">
            <v>PEPPL0642</v>
          </cell>
          <cell r="Y246" t="str">
            <v>Senior Engineer</v>
          </cell>
        </row>
        <row r="247">
          <cell r="A247" t="str">
            <v>PEPPL0249</v>
          </cell>
          <cell r="Y247" t="str">
            <v>Shift Incharge</v>
          </cell>
        </row>
        <row r="248">
          <cell r="A248" t="str">
            <v>PSS1039</v>
          </cell>
          <cell r="Y248" t="str">
            <v>Supervisor</v>
          </cell>
        </row>
        <row r="249">
          <cell r="A249" t="str">
            <v>PEIPL0646</v>
          </cell>
          <cell r="Y249" t="str">
            <v>Technician</v>
          </cell>
        </row>
        <row r="250">
          <cell r="A250" t="str">
            <v>PEPPL0418</v>
          </cell>
          <cell r="Y250" t="str">
            <v>Technician</v>
          </cell>
        </row>
        <row r="251">
          <cell r="A251" t="str">
            <v>PEIPL0039</v>
          </cell>
          <cell r="Y251" t="str">
            <v>Senior Engineer</v>
          </cell>
        </row>
        <row r="252">
          <cell r="A252" t="str">
            <v>PEIPL0114</v>
          </cell>
          <cell r="Y252" t="str">
            <v>Junior Engineer</v>
          </cell>
        </row>
        <row r="253">
          <cell r="A253" t="str">
            <v>PEPPL0017</v>
          </cell>
          <cell r="Y253" t="str">
            <v>Manager-Utility</v>
          </cell>
        </row>
        <row r="254">
          <cell r="A254" t="str">
            <v>PEIPL0705</v>
          </cell>
          <cell r="Y254" t="str">
            <v>General Manager - Stores &amp; Logistics</v>
          </cell>
        </row>
        <row r="255">
          <cell r="A255" t="str">
            <v>PEIPL0683</v>
          </cell>
          <cell r="Y255" t="str">
            <v>Junior Engineer</v>
          </cell>
        </row>
        <row r="256">
          <cell r="A256" t="str">
            <v>PEIPL0347</v>
          </cell>
          <cell r="Y256" t="str">
            <v>Graduate Engineer Trainee</v>
          </cell>
        </row>
        <row r="257">
          <cell r="A257" t="str">
            <v>PEPPL0423</v>
          </cell>
          <cell r="Y257" t="str">
            <v>Engineer</v>
          </cell>
        </row>
        <row r="258">
          <cell r="A258" t="str">
            <v>PEPPL0798</v>
          </cell>
          <cell r="Y258" t="str">
            <v>Technician</v>
          </cell>
        </row>
        <row r="259">
          <cell r="A259" t="str">
            <v>PSS0277</v>
          </cell>
          <cell r="Y259" t="str">
            <v>Helper</v>
          </cell>
        </row>
        <row r="260">
          <cell r="A260" t="str">
            <v>PSS1428</v>
          </cell>
          <cell r="Y260" t="str">
            <v>Management Trainee - Finance &amp; Accounts</v>
          </cell>
        </row>
        <row r="261">
          <cell r="A261" t="str">
            <v>PEPPL0815</v>
          </cell>
          <cell r="Y261" t="str">
            <v>Senior Executive - Human Resources</v>
          </cell>
        </row>
        <row r="262">
          <cell r="A262" t="str">
            <v>PEPPL0530</v>
          </cell>
          <cell r="Y262" t="str">
            <v>Junior Engineer</v>
          </cell>
        </row>
        <row r="263">
          <cell r="A263" t="str">
            <v>PEIPL0101</v>
          </cell>
          <cell r="Y263" t="str">
            <v>Assistant Engineer</v>
          </cell>
        </row>
        <row r="264">
          <cell r="A264" t="str">
            <v>PEIPL0335</v>
          </cell>
          <cell r="Y264" t="str">
            <v>Junior Engineer</v>
          </cell>
        </row>
        <row r="265">
          <cell r="A265" t="str">
            <v>PEIPL0389</v>
          </cell>
          <cell r="Y265" t="str">
            <v>Assistant Engineer</v>
          </cell>
        </row>
        <row r="266">
          <cell r="A266" t="str">
            <v>PEIPL0122</v>
          </cell>
          <cell r="Y266" t="str">
            <v>Junior Engineer</v>
          </cell>
        </row>
        <row r="267">
          <cell r="A267" t="str">
            <v>PEPPL0796</v>
          </cell>
          <cell r="Y267" t="str">
            <v>Assistant Engineer</v>
          </cell>
        </row>
        <row r="268">
          <cell r="A268" t="str">
            <v>PEIPL0279</v>
          </cell>
          <cell r="Y268" t="str">
            <v>Junior Engineer</v>
          </cell>
        </row>
        <row r="269">
          <cell r="A269" t="str">
            <v>PEPPL0359</v>
          </cell>
          <cell r="Y269" t="str">
            <v>Junior Technician</v>
          </cell>
        </row>
        <row r="270">
          <cell r="A270" t="str">
            <v>PSS1144</v>
          </cell>
          <cell r="Y270" t="str">
            <v>Engineer</v>
          </cell>
        </row>
        <row r="271">
          <cell r="A271" t="str">
            <v>PSS1300</v>
          </cell>
          <cell r="Y271" t="str">
            <v>Engineer</v>
          </cell>
        </row>
        <row r="272">
          <cell r="A272" t="str">
            <v>PSS1356</v>
          </cell>
          <cell r="Y272" t="str">
            <v>Engineer</v>
          </cell>
        </row>
        <row r="273">
          <cell r="A273" t="str">
            <v>PEIPL0620</v>
          </cell>
          <cell r="Y273" t="str">
            <v>Junior Engineer</v>
          </cell>
        </row>
        <row r="274">
          <cell r="A274" t="str">
            <v>PEIPL0660</v>
          </cell>
          <cell r="Y274" t="str">
            <v>Junior Engineer</v>
          </cell>
        </row>
        <row r="275">
          <cell r="A275" t="str">
            <v>PEIPL0407</v>
          </cell>
          <cell r="Y275" t="str">
            <v>Graduate Engineer Trainee</v>
          </cell>
        </row>
        <row r="276">
          <cell r="A276" t="str">
            <v>PSS0322</v>
          </cell>
          <cell r="Y276" t="str">
            <v>Senior Engineer</v>
          </cell>
        </row>
        <row r="277">
          <cell r="A277" t="str">
            <v>PEIPL0388</v>
          </cell>
          <cell r="Y277" t="str">
            <v>Junior Engineer</v>
          </cell>
        </row>
        <row r="278">
          <cell r="A278" t="str">
            <v>PEPPL0273</v>
          </cell>
          <cell r="Y278" t="str">
            <v>Assistant Manager - Maintenance</v>
          </cell>
        </row>
        <row r="279">
          <cell r="A279" t="str">
            <v>PEIPL0293</v>
          </cell>
          <cell r="Y279" t="str">
            <v>Deputy Engineer</v>
          </cell>
        </row>
        <row r="280">
          <cell r="A280" t="str">
            <v>PEIPL0593</v>
          </cell>
          <cell r="Y280" t="str">
            <v>Technician</v>
          </cell>
        </row>
        <row r="281">
          <cell r="A281" t="str">
            <v>PEGEPL0094</v>
          </cell>
          <cell r="Y281" t="str">
            <v>Technician</v>
          </cell>
        </row>
        <row r="282">
          <cell r="A282" t="str">
            <v>PEIPL0781</v>
          </cell>
          <cell r="Y282" t="str">
            <v>Engineer - Maintenance</v>
          </cell>
        </row>
        <row r="283">
          <cell r="A283" t="str">
            <v>PSS1432</v>
          </cell>
          <cell r="Y283" t="str">
            <v>Deputy Manager - Finance &amp; Accounts</v>
          </cell>
        </row>
        <row r="284">
          <cell r="A284" t="str">
            <v>PEPPL0362</v>
          </cell>
          <cell r="Y284" t="str">
            <v>Engineer</v>
          </cell>
        </row>
        <row r="285">
          <cell r="A285" t="str">
            <v>PEPPL0281</v>
          </cell>
          <cell r="Y285" t="str">
            <v>GEM - 2</v>
          </cell>
        </row>
        <row r="286">
          <cell r="A286" t="str">
            <v>PSS0880</v>
          </cell>
          <cell r="Y286" t="str">
            <v>Executive - Administration</v>
          </cell>
        </row>
        <row r="287">
          <cell r="A287" t="str">
            <v>PEPPL0185</v>
          </cell>
          <cell r="Y287" t="str">
            <v>Senior Technician</v>
          </cell>
        </row>
        <row r="288">
          <cell r="A288" t="str">
            <v>PSS1338</v>
          </cell>
          <cell r="Y288" t="str">
            <v>Coordinator - Hospitality</v>
          </cell>
        </row>
        <row r="289">
          <cell r="A289" t="str">
            <v>PEIPL0385</v>
          </cell>
          <cell r="Y289" t="str">
            <v>Technician</v>
          </cell>
        </row>
        <row r="290">
          <cell r="A290" t="str">
            <v>PEPPL0669</v>
          </cell>
          <cell r="Y290" t="str">
            <v>Helper</v>
          </cell>
        </row>
        <row r="291">
          <cell r="A291" t="str">
            <v>PEPPL0228</v>
          </cell>
          <cell r="Y291" t="str">
            <v>Senior Technician</v>
          </cell>
        </row>
        <row r="292">
          <cell r="A292" t="str">
            <v>PSS0569</v>
          </cell>
          <cell r="Y292" t="str">
            <v>Operator</v>
          </cell>
        </row>
        <row r="293">
          <cell r="A293" t="str">
            <v>PSS0970</v>
          </cell>
          <cell r="Y293" t="str">
            <v>Project Coordinator</v>
          </cell>
        </row>
        <row r="294">
          <cell r="A294" t="str">
            <v>PEPPL0533</v>
          </cell>
          <cell r="Y294" t="str">
            <v>Technician</v>
          </cell>
        </row>
        <row r="295">
          <cell r="A295" t="str">
            <v>PEIPL0728</v>
          </cell>
          <cell r="Y295" t="str">
            <v>Engineer</v>
          </cell>
        </row>
        <row r="296">
          <cell r="A296" t="str">
            <v>PEIPL0739</v>
          </cell>
          <cell r="Y296" t="str">
            <v>Graphic Designer</v>
          </cell>
        </row>
        <row r="297">
          <cell r="A297" t="str">
            <v>PEPPL0220</v>
          </cell>
          <cell r="Y297" t="str">
            <v>Technician</v>
          </cell>
        </row>
        <row r="298">
          <cell r="A298" t="str">
            <v>PEIPL0566</v>
          </cell>
          <cell r="Y298" t="str">
            <v>Senior Technician</v>
          </cell>
        </row>
        <row r="299">
          <cell r="A299" t="str">
            <v>PEPPL0315</v>
          </cell>
          <cell r="Y299" t="str">
            <v>Technician</v>
          </cell>
        </row>
        <row r="300">
          <cell r="A300" t="str">
            <v>PEPPL0770</v>
          </cell>
          <cell r="Y300" t="str">
            <v>Senior Executive - Procurement</v>
          </cell>
        </row>
        <row r="301">
          <cell r="A301" t="str">
            <v>PEIPL0371</v>
          </cell>
          <cell r="Y301" t="str">
            <v>Technician</v>
          </cell>
        </row>
        <row r="302">
          <cell r="A302" t="str">
            <v>PEIPL0225</v>
          </cell>
          <cell r="Y302" t="str">
            <v>Junior Engineer</v>
          </cell>
        </row>
        <row r="303">
          <cell r="A303" t="str">
            <v>PEPPL0819</v>
          </cell>
          <cell r="Y303" t="str">
            <v>Junior Officer</v>
          </cell>
        </row>
        <row r="304">
          <cell r="A304" t="str">
            <v>PEIPL0161</v>
          </cell>
          <cell r="Y304" t="str">
            <v>Assistant Engineer</v>
          </cell>
        </row>
        <row r="305">
          <cell r="A305" t="str">
            <v>PEIPL0465</v>
          </cell>
          <cell r="Y305" t="str">
            <v>Technician</v>
          </cell>
        </row>
        <row r="306">
          <cell r="A306" t="str">
            <v>PSS1226</v>
          </cell>
          <cell r="Y306" t="str">
            <v>Coordinator - Procurement</v>
          </cell>
        </row>
        <row r="307">
          <cell r="A307" t="str">
            <v>PSS1073</v>
          </cell>
          <cell r="Y307" t="str">
            <v>EA</v>
          </cell>
        </row>
        <row r="308">
          <cell r="A308" t="str">
            <v>PSS1223</v>
          </cell>
          <cell r="Y308" t="str">
            <v>Executive - Service</v>
          </cell>
        </row>
        <row r="309">
          <cell r="A309" t="str">
            <v>PEPPL0698</v>
          </cell>
          <cell r="Y309" t="str">
            <v>Technician</v>
          </cell>
        </row>
        <row r="310">
          <cell r="A310" t="str">
            <v>BDPL0018</v>
          </cell>
          <cell r="Y310" t="str">
            <v>Technician</v>
          </cell>
        </row>
        <row r="311">
          <cell r="A311" t="str">
            <v>P0471</v>
          </cell>
          <cell r="Y311" t="str">
            <v>Technician</v>
          </cell>
        </row>
        <row r="312">
          <cell r="A312" t="str">
            <v>PEIPL0558</v>
          </cell>
          <cell r="Y312" t="str">
            <v>Technician</v>
          </cell>
        </row>
        <row r="313">
          <cell r="A313" t="str">
            <v>PEPPL0035</v>
          </cell>
          <cell r="Y313" t="str">
            <v>Manager</v>
          </cell>
        </row>
        <row r="314">
          <cell r="A314" t="str">
            <v>PEIPL0594</v>
          </cell>
          <cell r="Y314" t="str">
            <v>Officer</v>
          </cell>
        </row>
        <row r="315">
          <cell r="A315" t="str">
            <v>PEPPL0615</v>
          </cell>
          <cell r="Y315" t="str">
            <v>Technician</v>
          </cell>
        </row>
        <row r="316">
          <cell r="A316" t="str">
            <v>PSS1415</v>
          </cell>
          <cell r="Y316" t="str">
            <v>Senior Manager - Business Analytics</v>
          </cell>
        </row>
        <row r="317">
          <cell r="A317" t="str">
            <v>PEIPL0678</v>
          </cell>
          <cell r="Y317" t="str">
            <v>Senior Technician</v>
          </cell>
        </row>
        <row r="318">
          <cell r="A318" t="str">
            <v>PSS1162</v>
          </cell>
          <cell r="Y318" t="str">
            <v>Engineer</v>
          </cell>
        </row>
        <row r="319">
          <cell r="A319" t="str">
            <v>PEIPL0547</v>
          </cell>
          <cell r="Y319" t="str">
            <v>Senior Technician - Maintenance</v>
          </cell>
        </row>
        <row r="320">
          <cell r="A320" t="str">
            <v>PEIPL0540</v>
          </cell>
          <cell r="Y320" t="str">
            <v>Junior Engineer</v>
          </cell>
        </row>
        <row r="321">
          <cell r="A321" t="str">
            <v>PEPPL0697</v>
          </cell>
          <cell r="Y321" t="str">
            <v>Technician</v>
          </cell>
        </row>
        <row r="322">
          <cell r="A322" t="str">
            <v>P0282</v>
          </cell>
          <cell r="Y322" t="str">
            <v>Helper</v>
          </cell>
        </row>
        <row r="323">
          <cell r="A323" t="str">
            <v>P0267</v>
          </cell>
          <cell r="Y323" t="str">
            <v>Operator</v>
          </cell>
        </row>
        <row r="324">
          <cell r="A324" t="str">
            <v>PEPPL0470</v>
          </cell>
          <cell r="Y324" t="str">
            <v>Junior Technician</v>
          </cell>
        </row>
        <row r="325">
          <cell r="A325" t="str">
            <v>PEGEPL0032</v>
          </cell>
          <cell r="Y325" t="str">
            <v>Junior Engineer</v>
          </cell>
        </row>
        <row r="326">
          <cell r="A326" t="str">
            <v>PEPPL0589</v>
          </cell>
          <cell r="Y326" t="str">
            <v>Senior Technician</v>
          </cell>
        </row>
        <row r="327">
          <cell r="A327" t="str">
            <v>PEPPL0685</v>
          </cell>
          <cell r="Y327" t="str">
            <v>Assistant Engineer</v>
          </cell>
        </row>
        <row r="328">
          <cell r="A328" t="str">
            <v>PEIPL0352</v>
          </cell>
          <cell r="Y328" t="str">
            <v>Graduate Engineer Trainee</v>
          </cell>
        </row>
        <row r="329">
          <cell r="A329" t="str">
            <v>PEPPL0087</v>
          </cell>
          <cell r="Y329" t="str">
            <v>Assistant Manager</v>
          </cell>
        </row>
        <row r="330">
          <cell r="A330" t="str">
            <v>PEIPL0294</v>
          </cell>
          <cell r="Y330" t="str">
            <v>Junior Engineer</v>
          </cell>
        </row>
        <row r="331">
          <cell r="A331" t="str">
            <v>PEPPL0762</v>
          </cell>
          <cell r="Y331" t="str">
            <v>Fork Lift Driver</v>
          </cell>
        </row>
        <row r="332">
          <cell r="A332" t="str">
            <v>PEPPL0267</v>
          </cell>
          <cell r="Y332" t="str">
            <v>Technician</v>
          </cell>
        </row>
        <row r="333">
          <cell r="A333" t="str">
            <v>P0406</v>
          </cell>
          <cell r="Y333" t="str">
            <v>Sale Executive</v>
          </cell>
        </row>
        <row r="334">
          <cell r="A334" t="str">
            <v>PSS0584</v>
          </cell>
          <cell r="Y334" t="str">
            <v>Supervisor</v>
          </cell>
        </row>
        <row r="335">
          <cell r="A335" t="str">
            <v>PEIPL0690</v>
          </cell>
          <cell r="Y335" t="str">
            <v>Technician</v>
          </cell>
        </row>
        <row r="336">
          <cell r="A336" t="str">
            <v>PEPPL0357</v>
          </cell>
          <cell r="Y336" t="str">
            <v>Fork Lift Driver</v>
          </cell>
        </row>
        <row r="337">
          <cell r="A337" t="str">
            <v>PSS1315</v>
          </cell>
          <cell r="Y337" t="str">
            <v>Coordinator - O&amp;M</v>
          </cell>
        </row>
        <row r="338">
          <cell r="A338" t="str">
            <v>PEGEPL0016</v>
          </cell>
          <cell r="Y338" t="str">
            <v>Senior Technician</v>
          </cell>
        </row>
        <row r="339">
          <cell r="A339" t="str">
            <v>PSS0438</v>
          </cell>
          <cell r="Y339" t="str">
            <v>Helper</v>
          </cell>
        </row>
        <row r="340">
          <cell r="A340" t="str">
            <v>PEPPL0752</v>
          </cell>
          <cell r="Y340" t="str">
            <v>Diploma Engineer Trainee</v>
          </cell>
        </row>
        <row r="341">
          <cell r="A341" t="str">
            <v>PEIPL0627</v>
          </cell>
          <cell r="Y341" t="str">
            <v>Graduate Engineer Trainee</v>
          </cell>
        </row>
        <row r="342">
          <cell r="A342" t="str">
            <v>P0300</v>
          </cell>
          <cell r="Y342" t="str">
            <v>Helper</v>
          </cell>
        </row>
        <row r="343">
          <cell r="A343" t="str">
            <v>PSS0956</v>
          </cell>
          <cell r="Y343" t="str">
            <v>Helper</v>
          </cell>
        </row>
        <row r="344">
          <cell r="A344" t="str">
            <v>PEIPL0763</v>
          </cell>
          <cell r="Y344" t="str">
            <v>Junior Maintenance Engineer</v>
          </cell>
        </row>
        <row r="345">
          <cell r="A345" t="str">
            <v>PEPPL0175</v>
          </cell>
          <cell r="Y345" t="str">
            <v>Senior Technician</v>
          </cell>
        </row>
        <row r="346">
          <cell r="A346" t="str">
            <v>PSS0844</v>
          </cell>
          <cell r="Y346" t="str">
            <v>Engineer</v>
          </cell>
        </row>
        <row r="347">
          <cell r="A347" t="str">
            <v>PEPPL0048</v>
          </cell>
          <cell r="Y347" t="str">
            <v>Senior Officer - Safety</v>
          </cell>
        </row>
        <row r="348">
          <cell r="A348" t="str">
            <v>PSS1118</v>
          </cell>
          <cell r="Y348" t="str">
            <v>Supervisor</v>
          </cell>
        </row>
        <row r="349">
          <cell r="A349" t="str">
            <v>PEIPL0377</v>
          </cell>
          <cell r="Y349" t="str">
            <v>Junior Engineer</v>
          </cell>
        </row>
        <row r="350">
          <cell r="A350" t="str">
            <v>PEPPL0620</v>
          </cell>
          <cell r="Y350" t="str">
            <v>Junior Technician</v>
          </cell>
        </row>
        <row r="351">
          <cell r="A351" t="str">
            <v>PEIPL0653</v>
          </cell>
          <cell r="Y351" t="str">
            <v>Assistant Engineer</v>
          </cell>
        </row>
        <row r="352">
          <cell r="A352" t="str">
            <v>PSS1410</v>
          </cell>
          <cell r="Y352" t="str">
            <v>Assistant Manager - Finance &amp; Accounts</v>
          </cell>
        </row>
        <row r="353">
          <cell r="A353" t="str">
            <v>PSS0437</v>
          </cell>
          <cell r="Y353" t="str">
            <v>Helper</v>
          </cell>
        </row>
        <row r="354">
          <cell r="A354" t="str">
            <v>PSS0919</v>
          </cell>
          <cell r="Y354" t="str">
            <v>Operator</v>
          </cell>
        </row>
        <row r="355">
          <cell r="A355" t="str">
            <v>PSS0309</v>
          </cell>
          <cell r="Y355" t="str">
            <v>Assistant General Manager - Service</v>
          </cell>
        </row>
        <row r="356">
          <cell r="A356" t="str">
            <v>PEIPL0214</v>
          </cell>
          <cell r="Y356" t="str">
            <v>Technician</v>
          </cell>
        </row>
        <row r="357">
          <cell r="A357" t="str">
            <v>PSS0975</v>
          </cell>
          <cell r="Y357" t="str">
            <v>House Keeper</v>
          </cell>
        </row>
        <row r="358">
          <cell r="A358" t="str">
            <v>PEIPL0730</v>
          </cell>
          <cell r="Y358" t="str">
            <v>Junior Engineer</v>
          </cell>
        </row>
        <row r="359">
          <cell r="A359" t="str">
            <v>PSS1328</v>
          </cell>
          <cell r="Y359" t="str">
            <v>Assistant Manager - Procurement</v>
          </cell>
        </row>
        <row r="360">
          <cell r="A360" t="str">
            <v>PSS0289</v>
          </cell>
          <cell r="Y360" t="str">
            <v>Accountant</v>
          </cell>
        </row>
        <row r="361">
          <cell r="A361" t="str">
            <v>PEIPL0647</v>
          </cell>
          <cell r="Y361" t="str">
            <v>Senior Engineer</v>
          </cell>
        </row>
        <row r="362">
          <cell r="A362" t="str">
            <v>PEGEPL0095</v>
          </cell>
          <cell r="Y362" t="str">
            <v>Deputy Engineer</v>
          </cell>
        </row>
        <row r="363">
          <cell r="A363" t="str">
            <v>PEIPL0747</v>
          </cell>
          <cell r="Y363" t="str">
            <v>Graduate Engineer Trainee</v>
          </cell>
        </row>
        <row r="364">
          <cell r="A364" t="str">
            <v>PEGEPL0055</v>
          </cell>
          <cell r="Y364" t="str">
            <v>Senior Technician</v>
          </cell>
        </row>
        <row r="365">
          <cell r="A365" t="str">
            <v>P0414</v>
          </cell>
          <cell r="Y365" t="str">
            <v>Helper</v>
          </cell>
        </row>
        <row r="366">
          <cell r="A366" t="str">
            <v>PEPPL0528</v>
          </cell>
          <cell r="Y366" t="str">
            <v>Senior Engineer</v>
          </cell>
        </row>
        <row r="367">
          <cell r="A367" t="str">
            <v>PEIPL0205</v>
          </cell>
          <cell r="Y367" t="str">
            <v>Junior Engineer</v>
          </cell>
        </row>
        <row r="368">
          <cell r="A368" t="str">
            <v>PSS1059</v>
          </cell>
          <cell r="Y368" t="str">
            <v>QA Engineer</v>
          </cell>
        </row>
        <row r="369">
          <cell r="A369" t="str">
            <v>PSS1076</v>
          </cell>
          <cell r="Y369" t="str">
            <v>Technician</v>
          </cell>
        </row>
        <row r="370">
          <cell r="A370" t="str">
            <v>PEIPL0300</v>
          </cell>
          <cell r="Y370" t="str">
            <v>Junior Engineer</v>
          </cell>
        </row>
        <row r="371">
          <cell r="A371" t="str">
            <v>PEPPL0865</v>
          </cell>
          <cell r="Y371" t="str">
            <v>Junior Engineer</v>
          </cell>
        </row>
        <row r="372">
          <cell r="A372" t="str">
            <v>PEPPL0808</v>
          </cell>
          <cell r="Y372" t="str">
            <v>Junior Engineer</v>
          </cell>
        </row>
        <row r="373">
          <cell r="A373" t="str">
            <v>PEIPL0350</v>
          </cell>
          <cell r="Y373" t="str">
            <v>Graduate Engineer Trainee</v>
          </cell>
        </row>
        <row r="374">
          <cell r="A374" t="str">
            <v>PEPPL0429</v>
          </cell>
          <cell r="Y374" t="str">
            <v>Engineer</v>
          </cell>
        </row>
        <row r="375">
          <cell r="A375" t="str">
            <v>PEPPL0138</v>
          </cell>
          <cell r="Y375" t="str">
            <v>Coordinator - Procurement</v>
          </cell>
        </row>
        <row r="376">
          <cell r="A376" t="str">
            <v>PEPPL0461</v>
          </cell>
          <cell r="Y376" t="str">
            <v>Senior Engineer</v>
          </cell>
        </row>
        <row r="377">
          <cell r="A377" t="str">
            <v>PEGEPL0049</v>
          </cell>
          <cell r="Y377" t="str">
            <v>Technician</v>
          </cell>
        </row>
        <row r="378">
          <cell r="A378" t="str">
            <v>PEIPL0440</v>
          </cell>
          <cell r="Y378" t="str">
            <v>Engineer</v>
          </cell>
        </row>
        <row r="379">
          <cell r="A379" t="str">
            <v>PEGEPL0127</v>
          </cell>
          <cell r="Y379" t="str">
            <v>Junior Engineer</v>
          </cell>
        </row>
        <row r="380">
          <cell r="A380" t="str">
            <v>PEPPL0792</v>
          </cell>
          <cell r="Y380" t="str">
            <v>Junior Engineer</v>
          </cell>
        </row>
        <row r="381">
          <cell r="A381" t="str">
            <v>PEPPL0268</v>
          </cell>
          <cell r="Y381" t="str">
            <v>Technician</v>
          </cell>
        </row>
        <row r="382">
          <cell r="A382" t="str">
            <v>PEIPL0552</v>
          </cell>
          <cell r="Y382" t="str">
            <v>Engineer</v>
          </cell>
        </row>
        <row r="383">
          <cell r="A383" t="str">
            <v>PEIPL0202</v>
          </cell>
          <cell r="Y383" t="str">
            <v>Fork Lift Driver</v>
          </cell>
        </row>
        <row r="384">
          <cell r="A384" t="str">
            <v>PEPPL0393</v>
          </cell>
          <cell r="Y384" t="str">
            <v>Technician</v>
          </cell>
        </row>
        <row r="385">
          <cell r="A385" t="str">
            <v>PEPPL0446</v>
          </cell>
          <cell r="Y385" t="str">
            <v>Fork Lift Driver</v>
          </cell>
        </row>
        <row r="386">
          <cell r="A386" t="str">
            <v>PEPPL0695</v>
          </cell>
          <cell r="Y386" t="str">
            <v>Technician</v>
          </cell>
        </row>
        <row r="387">
          <cell r="A387" t="str">
            <v>PSS0754</v>
          </cell>
          <cell r="Y387" t="str">
            <v>Service Technician</v>
          </cell>
        </row>
        <row r="388">
          <cell r="A388" t="str">
            <v>PEGEPL0064</v>
          </cell>
          <cell r="Y388" t="str">
            <v>Assistant Engineer</v>
          </cell>
        </row>
        <row r="389">
          <cell r="A389" t="str">
            <v>PEIPL0570</v>
          </cell>
          <cell r="Y389" t="str">
            <v>Executive</v>
          </cell>
        </row>
        <row r="390">
          <cell r="A390" t="str">
            <v>P0453</v>
          </cell>
          <cell r="Y390" t="str">
            <v>Senior Executive - Finance &amp; Accounts</v>
          </cell>
        </row>
        <row r="391">
          <cell r="A391" t="str">
            <v>PEPPL0455</v>
          </cell>
          <cell r="Y391" t="str">
            <v>Engineer</v>
          </cell>
        </row>
        <row r="392">
          <cell r="A392" t="str">
            <v>PSS1108</v>
          </cell>
          <cell r="Y392" t="str">
            <v>Executive - Procurement</v>
          </cell>
        </row>
        <row r="393">
          <cell r="A393" t="str">
            <v>PSS1135</v>
          </cell>
          <cell r="Y393" t="str">
            <v>Maintenance Engineer</v>
          </cell>
        </row>
        <row r="394">
          <cell r="A394" t="str">
            <v>PEIPL0013</v>
          </cell>
          <cell r="Y394" t="str">
            <v>Deputy Manager</v>
          </cell>
        </row>
        <row r="395">
          <cell r="A395" t="str">
            <v>PEPPL0242</v>
          </cell>
          <cell r="Y395" t="str">
            <v>Senior Engineer</v>
          </cell>
        </row>
        <row r="396">
          <cell r="A396" t="str">
            <v>PSS1188</v>
          </cell>
          <cell r="Y396" t="str">
            <v>Senior Engineer</v>
          </cell>
        </row>
        <row r="397">
          <cell r="A397" t="str">
            <v>PEIPL0190</v>
          </cell>
          <cell r="Y397" t="str">
            <v>Senior Executive - Stores</v>
          </cell>
        </row>
        <row r="398">
          <cell r="A398" t="str">
            <v>PEPPL0468</v>
          </cell>
          <cell r="Y398" t="str">
            <v>Senior Technician</v>
          </cell>
        </row>
        <row r="399">
          <cell r="A399" t="str">
            <v>PEIPL0066</v>
          </cell>
          <cell r="Y399" t="str">
            <v>Senior Technician</v>
          </cell>
        </row>
        <row r="400">
          <cell r="A400" t="str">
            <v>P0429</v>
          </cell>
          <cell r="Y400" t="str">
            <v>Engineer</v>
          </cell>
        </row>
        <row r="401">
          <cell r="A401" t="str">
            <v>PEIPL0615</v>
          </cell>
          <cell r="Y401" t="str">
            <v>Senior Technician - Maintenance</v>
          </cell>
        </row>
        <row r="402">
          <cell r="A402" t="str">
            <v>PEIPL0242</v>
          </cell>
          <cell r="Y402" t="str">
            <v>Senior Technician</v>
          </cell>
        </row>
        <row r="403">
          <cell r="A403" t="str">
            <v>PEPPL0745</v>
          </cell>
          <cell r="Y403" t="str">
            <v>Technician</v>
          </cell>
        </row>
        <row r="404">
          <cell r="A404" t="str">
            <v>PEIPL0586</v>
          </cell>
          <cell r="Y404" t="str">
            <v>Engineer</v>
          </cell>
        </row>
        <row r="405">
          <cell r="A405" t="str">
            <v>PEIPL0508</v>
          </cell>
          <cell r="Y405" t="str">
            <v>Deputy Engineer</v>
          </cell>
        </row>
        <row r="406">
          <cell r="A406" t="str">
            <v>PSS1157</v>
          </cell>
          <cell r="Y406" t="str">
            <v>Assistant Engineer</v>
          </cell>
        </row>
        <row r="407">
          <cell r="A407" t="str">
            <v>PEIPL0598</v>
          </cell>
          <cell r="Y407" t="str">
            <v>Deputy Engineer</v>
          </cell>
        </row>
        <row r="408">
          <cell r="A408" t="str">
            <v>P0278</v>
          </cell>
          <cell r="Y408" t="str">
            <v>Helper</v>
          </cell>
        </row>
        <row r="409">
          <cell r="A409" t="str">
            <v>BDPL0015</v>
          </cell>
          <cell r="Y409" t="str">
            <v>Helper</v>
          </cell>
        </row>
        <row r="410">
          <cell r="A410" t="str">
            <v>P0355</v>
          </cell>
          <cell r="Y410" t="str">
            <v>Helper</v>
          </cell>
        </row>
        <row r="411">
          <cell r="A411" t="str">
            <v>P0490</v>
          </cell>
          <cell r="Y411" t="str">
            <v>Helper</v>
          </cell>
        </row>
        <row r="412">
          <cell r="A412" t="str">
            <v>PEIPL0373</v>
          </cell>
          <cell r="Y412" t="str">
            <v>Technician</v>
          </cell>
        </row>
        <row r="413">
          <cell r="A413" t="str">
            <v>PSS0863</v>
          </cell>
          <cell r="Y413" t="str">
            <v>Service Head - MP</v>
          </cell>
        </row>
        <row r="414">
          <cell r="A414" t="str">
            <v>PSS1344</v>
          </cell>
          <cell r="Y414" t="str">
            <v>Coordinator - Procurement</v>
          </cell>
        </row>
        <row r="415">
          <cell r="A415" t="str">
            <v>PSS0328</v>
          </cell>
          <cell r="Y415" t="str">
            <v>Executive Assistant To Chairman</v>
          </cell>
        </row>
        <row r="416">
          <cell r="A416" t="str">
            <v>PSS1155</v>
          </cell>
          <cell r="Y416" t="str">
            <v>Assistant Manager - Finance &amp; Accounts</v>
          </cell>
        </row>
        <row r="417">
          <cell r="A417" t="str">
            <v>P0457</v>
          </cell>
          <cell r="Y417" t="str">
            <v>Assistant Manager - O&amp;M</v>
          </cell>
        </row>
        <row r="418">
          <cell r="A418" t="str">
            <v>PEPPL0476</v>
          </cell>
          <cell r="Y418" t="str">
            <v>Senior Officer - Safety</v>
          </cell>
        </row>
        <row r="419">
          <cell r="A419" t="str">
            <v>PEIPL0777</v>
          </cell>
          <cell r="Y419" t="str">
            <v>Deputy Engineer</v>
          </cell>
        </row>
        <row r="420">
          <cell r="A420" t="str">
            <v>PEPPL0307</v>
          </cell>
          <cell r="Y420" t="str">
            <v>Senior Engineer</v>
          </cell>
        </row>
        <row r="421">
          <cell r="A421" t="str">
            <v>PEPPL0600</v>
          </cell>
          <cell r="Y421" t="str">
            <v>Engineer</v>
          </cell>
        </row>
        <row r="422">
          <cell r="A422" t="str">
            <v>PSS0244</v>
          </cell>
          <cell r="Y422" t="str">
            <v>Senior Engineer - Projects</v>
          </cell>
        </row>
        <row r="423">
          <cell r="A423" t="str">
            <v>P0373</v>
          </cell>
          <cell r="Y423" t="str">
            <v>Operator</v>
          </cell>
        </row>
        <row r="424">
          <cell r="A424" t="str">
            <v>PEIPL0045</v>
          </cell>
          <cell r="Y424" t="str">
            <v>Assistant Engineer</v>
          </cell>
        </row>
        <row r="425">
          <cell r="A425" t="str">
            <v>PEIPL0782</v>
          </cell>
          <cell r="Y425" t="str">
            <v>Junior Technician</v>
          </cell>
        </row>
        <row r="426">
          <cell r="A426" t="str">
            <v>PEIPL0272</v>
          </cell>
          <cell r="Y426" t="str">
            <v>Senior Engineer</v>
          </cell>
        </row>
        <row r="427">
          <cell r="A427" t="str">
            <v>PSS1227</v>
          </cell>
          <cell r="Y427" t="str">
            <v>Site Supervisor</v>
          </cell>
        </row>
        <row r="428">
          <cell r="A428" t="str">
            <v>PEIPL0140</v>
          </cell>
          <cell r="Y428" t="str">
            <v>Assistant Engineer</v>
          </cell>
        </row>
        <row r="429">
          <cell r="A429" t="str">
            <v>PEIPL0252</v>
          </cell>
          <cell r="Y429" t="str">
            <v>Engineer</v>
          </cell>
        </row>
        <row r="430">
          <cell r="A430" t="str">
            <v>PEIPL0244</v>
          </cell>
          <cell r="Y430" t="str">
            <v>Junior Engineer</v>
          </cell>
        </row>
        <row r="431">
          <cell r="A431" t="str">
            <v>P0367</v>
          </cell>
          <cell r="Y431" t="str">
            <v>Helper</v>
          </cell>
        </row>
        <row r="432">
          <cell r="A432" t="str">
            <v>PEPPL0180</v>
          </cell>
          <cell r="Y432" t="str">
            <v>Technician</v>
          </cell>
        </row>
        <row r="433">
          <cell r="A433" t="str">
            <v>PEPPL0559</v>
          </cell>
          <cell r="Y433" t="str">
            <v>Senior Engineer</v>
          </cell>
        </row>
        <row r="434">
          <cell r="A434" t="str">
            <v>PEPPL0872</v>
          </cell>
          <cell r="Y434" t="str">
            <v>Junior Maintenance Engineer</v>
          </cell>
        </row>
        <row r="435">
          <cell r="A435" t="str">
            <v>PEIPL0448</v>
          </cell>
          <cell r="Y435" t="str">
            <v>Junior Associate</v>
          </cell>
        </row>
        <row r="436">
          <cell r="A436" t="str">
            <v>PEPPL0099</v>
          </cell>
          <cell r="Y436" t="str">
            <v>Senior Engineer</v>
          </cell>
        </row>
        <row r="437">
          <cell r="A437" t="str">
            <v>PEIPL0191</v>
          </cell>
          <cell r="Y437" t="str">
            <v>Senior Engineer</v>
          </cell>
        </row>
        <row r="438">
          <cell r="A438" t="str">
            <v>PSS0034</v>
          </cell>
          <cell r="Y438" t="str">
            <v>Senior Operator</v>
          </cell>
        </row>
        <row r="439">
          <cell r="A439" t="str">
            <v>PEIPL0203</v>
          </cell>
          <cell r="Y439" t="str">
            <v>Fork Lift Driver</v>
          </cell>
        </row>
        <row r="440">
          <cell r="A440" t="str">
            <v>PEPPL0210</v>
          </cell>
          <cell r="Y440" t="str">
            <v>Technician</v>
          </cell>
        </row>
        <row r="441">
          <cell r="A441" t="str">
            <v>PEIPL0368</v>
          </cell>
          <cell r="Y441" t="str">
            <v>Technician</v>
          </cell>
        </row>
        <row r="442">
          <cell r="A442" t="str">
            <v>PEPPL0730</v>
          </cell>
          <cell r="Y442" t="str">
            <v>Junior Engineer</v>
          </cell>
        </row>
        <row r="443">
          <cell r="A443" t="str">
            <v>PSS1204</v>
          </cell>
          <cell r="Y443" t="str">
            <v>Deputy Manager - Finance &amp; Accounts</v>
          </cell>
        </row>
        <row r="444">
          <cell r="A444" t="str">
            <v>PSS1255</v>
          </cell>
          <cell r="Y444" t="str">
            <v>Service Technician</v>
          </cell>
        </row>
        <row r="445">
          <cell r="A445" t="str">
            <v>PEPPL0747</v>
          </cell>
          <cell r="Y445" t="str">
            <v>Graduate Engineer Trainee</v>
          </cell>
        </row>
        <row r="446">
          <cell r="A446" t="str">
            <v>PEIPL0308</v>
          </cell>
          <cell r="Y446" t="str">
            <v>Junior Engineer</v>
          </cell>
        </row>
        <row r="447">
          <cell r="A447" t="str">
            <v>PEIPL0723</v>
          </cell>
          <cell r="Y447" t="str">
            <v>Technician</v>
          </cell>
        </row>
        <row r="448">
          <cell r="A448" t="str">
            <v>PEIPL0320</v>
          </cell>
          <cell r="Y448" t="str">
            <v>Junior Engineer</v>
          </cell>
        </row>
        <row r="449">
          <cell r="A449" t="str">
            <v>PEPPL0424</v>
          </cell>
          <cell r="Y449" t="str">
            <v>Junior Technician</v>
          </cell>
        </row>
        <row r="450">
          <cell r="A450" t="str">
            <v>PEPPL0766</v>
          </cell>
          <cell r="Y450" t="str">
            <v>Senior Engineer</v>
          </cell>
        </row>
        <row r="451">
          <cell r="A451" t="str">
            <v>PEIPL0554</v>
          </cell>
          <cell r="Y451" t="str">
            <v>Senior Technician</v>
          </cell>
        </row>
        <row r="452">
          <cell r="A452" t="str">
            <v>PEPPL0469</v>
          </cell>
          <cell r="Y452" t="str">
            <v>Senior Technician</v>
          </cell>
        </row>
        <row r="453">
          <cell r="A453" t="str">
            <v>PEPPL0408</v>
          </cell>
          <cell r="Y453" t="str">
            <v>Technician</v>
          </cell>
        </row>
        <row r="454">
          <cell r="A454" t="str">
            <v>PEPPL0427</v>
          </cell>
          <cell r="Y454" t="str">
            <v>Technician</v>
          </cell>
        </row>
        <row r="455">
          <cell r="A455" t="str">
            <v>PEPPL0805</v>
          </cell>
          <cell r="Y455" t="str">
            <v>Graduate Engineer Trainee</v>
          </cell>
        </row>
        <row r="456">
          <cell r="A456" t="str">
            <v>PEIPL0043</v>
          </cell>
          <cell r="Y456" t="str">
            <v>Senior Engineer</v>
          </cell>
        </row>
        <row r="457">
          <cell r="A457" t="str">
            <v>PEPPL0711</v>
          </cell>
          <cell r="Y457" t="str">
            <v>Technician</v>
          </cell>
        </row>
        <row r="458">
          <cell r="A458" t="str">
            <v>PSS1309</v>
          </cell>
          <cell r="Y458" t="str">
            <v>Technician</v>
          </cell>
        </row>
        <row r="459">
          <cell r="A459" t="str">
            <v>PEPPL0060</v>
          </cell>
          <cell r="Y459" t="str">
            <v>Assistant Manager - Safety</v>
          </cell>
        </row>
        <row r="460">
          <cell r="A460" t="str">
            <v>PEPPL0107</v>
          </cell>
          <cell r="Y460" t="str">
            <v>Assistant Manager - Technical</v>
          </cell>
        </row>
        <row r="461">
          <cell r="A461" t="str">
            <v>PSS1239</v>
          </cell>
          <cell r="Y461" t="str">
            <v>Site Supervisor</v>
          </cell>
        </row>
        <row r="462">
          <cell r="A462" t="str">
            <v>PEPPL0852</v>
          </cell>
          <cell r="Y462" t="str">
            <v>Junior Engineer</v>
          </cell>
        </row>
        <row r="463">
          <cell r="A463" t="str">
            <v>PEIPL0631</v>
          </cell>
          <cell r="Y463" t="str">
            <v>Diploma Engineer Trainee</v>
          </cell>
        </row>
        <row r="464">
          <cell r="A464" t="str">
            <v>PEIPL0756</v>
          </cell>
          <cell r="Y464" t="str">
            <v>Diploma Engineer Trainee</v>
          </cell>
        </row>
        <row r="465">
          <cell r="A465" t="str">
            <v>PSS0040</v>
          </cell>
          <cell r="Y465" t="str">
            <v>Operator</v>
          </cell>
        </row>
        <row r="466">
          <cell r="A466" t="str">
            <v>PEPPL0226</v>
          </cell>
          <cell r="Y466" t="str">
            <v>Senior Technician</v>
          </cell>
        </row>
        <row r="467">
          <cell r="A467" t="str">
            <v>PEPPL0728</v>
          </cell>
          <cell r="Y467" t="str">
            <v>Helper</v>
          </cell>
        </row>
        <row r="468">
          <cell r="A468" t="str">
            <v>PEPPL0234</v>
          </cell>
          <cell r="Y468" t="str">
            <v>Engineer</v>
          </cell>
        </row>
        <row r="469">
          <cell r="A469" t="str">
            <v>PSS1001</v>
          </cell>
          <cell r="Y469" t="str">
            <v>Engineer</v>
          </cell>
        </row>
        <row r="470">
          <cell r="A470" t="str">
            <v>PEIPL0055</v>
          </cell>
          <cell r="Y470" t="str">
            <v>Junior Engineer</v>
          </cell>
        </row>
        <row r="471">
          <cell r="A471" t="str">
            <v>PEGEPL0090</v>
          </cell>
          <cell r="Y471" t="str">
            <v>Deputy Engineer</v>
          </cell>
        </row>
        <row r="472">
          <cell r="A472" t="str">
            <v>PEIPL0317</v>
          </cell>
          <cell r="Y472" t="str">
            <v>Junior Engineer</v>
          </cell>
        </row>
        <row r="473">
          <cell r="A473" t="str">
            <v>P0288</v>
          </cell>
          <cell r="Y473" t="str">
            <v>Helper</v>
          </cell>
        </row>
        <row r="474">
          <cell r="A474" t="str">
            <v>P0285</v>
          </cell>
          <cell r="Y474" t="str">
            <v>Helper</v>
          </cell>
        </row>
        <row r="475">
          <cell r="A475" t="str">
            <v>PEPPL0645</v>
          </cell>
          <cell r="Y475" t="str">
            <v>Executive - Human Resources</v>
          </cell>
        </row>
        <row r="476">
          <cell r="A476" t="str">
            <v>PSS1319</v>
          </cell>
          <cell r="Y476" t="str">
            <v>Junior Officer</v>
          </cell>
        </row>
        <row r="477">
          <cell r="A477" t="str">
            <v>PEGEPL0019</v>
          </cell>
          <cell r="Y477" t="str">
            <v>Assistant Manager</v>
          </cell>
        </row>
        <row r="478">
          <cell r="A478" t="str">
            <v>PSS0240</v>
          </cell>
          <cell r="Y478" t="str">
            <v>Assistant Manager - Stores</v>
          </cell>
        </row>
        <row r="479">
          <cell r="A479" t="str">
            <v>PEIPL0640</v>
          </cell>
          <cell r="Y479" t="str">
            <v>Engineer</v>
          </cell>
        </row>
        <row r="480">
          <cell r="A480" t="str">
            <v>PSS0897</v>
          </cell>
          <cell r="Y480" t="str">
            <v>Engineer</v>
          </cell>
        </row>
        <row r="481">
          <cell r="A481" t="str">
            <v>P0459</v>
          </cell>
          <cell r="Y481" t="str">
            <v>Engineer</v>
          </cell>
        </row>
        <row r="482">
          <cell r="A482" t="str">
            <v>PEIPL0602</v>
          </cell>
          <cell r="Y482" t="str">
            <v>Senior Manager - Finance &amp; Accounts</v>
          </cell>
        </row>
        <row r="483">
          <cell r="A483" t="str">
            <v>PEIPL0803</v>
          </cell>
          <cell r="Y483" t="str">
            <v>Engineer - Maintenance</v>
          </cell>
        </row>
        <row r="484">
          <cell r="A484" t="str">
            <v>PEPPL0214</v>
          </cell>
          <cell r="Y484" t="str">
            <v>Technician</v>
          </cell>
        </row>
        <row r="485">
          <cell r="A485" t="str">
            <v>PEPPL0481</v>
          </cell>
          <cell r="Y485" t="str">
            <v>Assistant Manager - Finance &amp; Accounts</v>
          </cell>
        </row>
        <row r="486">
          <cell r="A486" t="str">
            <v>PSS1276</v>
          </cell>
          <cell r="Y486" t="str">
            <v>Assistant Manager - Finance &amp; Accounts</v>
          </cell>
        </row>
        <row r="487">
          <cell r="A487" t="str">
            <v>PSS0170</v>
          </cell>
          <cell r="Y487" t="str">
            <v>Service Manager</v>
          </cell>
        </row>
        <row r="488">
          <cell r="A488" t="str">
            <v>PSS0636</v>
          </cell>
          <cell r="Y488" t="str">
            <v>Assistant Manager</v>
          </cell>
        </row>
        <row r="489">
          <cell r="A489" t="str">
            <v>PEIPL0617</v>
          </cell>
          <cell r="Y489" t="str">
            <v>Officer</v>
          </cell>
        </row>
        <row r="490">
          <cell r="A490" t="str">
            <v>PEIPL0073</v>
          </cell>
          <cell r="Y490" t="str">
            <v>Junior Engineer</v>
          </cell>
        </row>
        <row r="491">
          <cell r="A491" t="str">
            <v>PEPPL0218</v>
          </cell>
          <cell r="Y491" t="str">
            <v>Senior Engineer</v>
          </cell>
        </row>
        <row r="492">
          <cell r="A492" t="str">
            <v>PEPPL0071</v>
          </cell>
          <cell r="Y492" t="str">
            <v>Assistant Manager - Production</v>
          </cell>
        </row>
        <row r="493">
          <cell r="A493" t="str">
            <v>PEPPL0560</v>
          </cell>
          <cell r="Y493" t="str">
            <v>Senior Technician</v>
          </cell>
        </row>
        <row r="494">
          <cell r="A494" t="str">
            <v>PSS0619</v>
          </cell>
          <cell r="Y494" t="str">
            <v>Deputy Manager - Finance &amp; Accounts</v>
          </cell>
        </row>
        <row r="495">
          <cell r="A495" t="str">
            <v>PEGEPL0014</v>
          </cell>
          <cell r="Y495" t="str">
            <v>Senior Technician</v>
          </cell>
        </row>
        <row r="496">
          <cell r="A496" t="str">
            <v>PSS0346</v>
          </cell>
          <cell r="Y496" t="str">
            <v>Technician</v>
          </cell>
        </row>
        <row r="497">
          <cell r="A497" t="str">
            <v>PEIPL0706</v>
          </cell>
          <cell r="Y497" t="str">
            <v>Senior Technician</v>
          </cell>
        </row>
        <row r="498">
          <cell r="A498" t="str">
            <v>PEGEPL0069</v>
          </cell>
          <cell r="Y498" t="str">
            <v>Deputy Engineer</v>
          </cell>
        </row>
        <row r="499">
          <cell r="A499" t="str">
            <v>PEIPL0422</v>
          </cell>
          <cell r="Y499" t="str">
            <v>Technician</v>
          </cell>
        </row>
        <row r="500">
          <cell r="A500" t="str">
            <v>PSS1278</v>
          </cell>
          <cell r="Y500" t="str">
            <v>Senior Engineer</v>
          </cell>
        </row>
        <row r="501">
          <cell r="A501" t="str">
            <v>PSS0275</v>
          </cell>
          <cell r="Y501" t="str">
            <v>Helper</v>
          </cell>
        </row>
        <row r="502">
          <cell r="A502" t="str">
            <v>PEPPL0736</v>
          </cell>
          <cell r="Y502" t="str">
            <v>Assistant Engineer</v>
          </cell>
        </row>
        <row r="503">
          <cell r="A503" t="str">
            <v>PSS0276</v>
          </cell>
          <cell r="Y503" t="str">
            <v>Helper</v>
          </cell>
        </row>
        <row r="504">
          <cell r="A504" t="str">
            <v>P0118</v>
          </cell>
          <cell r="Y504" t="str">
            <v>Assistant Manager - Projects</v>
          </cell>
        </row>
        <row r="505">
          <cell r="A505" t="str">
            <v>BDPL0001</v>
          </cell>
          <cell r="Y505" t="str">
            <v>Senior Manager - O&amp;M Projects</v>
          </cell>
        </row>
        <row r="506">
          <cell r="A506" t="str">
            <v>P0481</v>
          </cell>
          <cell r="Y506" t="str">
            <v>Senior Manager - O&amp;M Projects</v>
          </cell>
        </row>
        <row r="507">
          <cell r="A507" t="str">
            <v>P0128</v>
          </cell>
          <cell r="Y507" t="str">
            <v>Senior Manager - Projects</v>
          </cell>
        </row>
        <row r="508">
          <cell r="A508" t="str">
            <v>PSS0624</v>
          </cell>
          <cell r="Y508" t="str">
            <v>Helper</v>
          </cell>
        </row>
        <row r="509">
          <cell r="A509" t="str">
            <v>PEPPL0471</v>
          </cell>
          <cell r="Y509" t="str">
            <v>Engineer</v>
          </cell>
        </row>
        <row r="510">
          <cell r="A510" t="str">
            <v>PEPPL0052</v>
          </cell>
          <cell r="Y510" t="str">
            <v>Senior Engineer</v>
          </cell>
        </row>
        <row r="511">
          <cell r="A511" t="str">
            <v>PSPT01</v>
          </cell>
          <cell r="Y511" t="str">
            <v>Head-Finance</v>
          </cell>
        </row>
        <row r="512">
          <cell r="A512" t="str">
            <v>PSS0917</v>
          </cell>
          <cell r="Y512" t="str">
            <v>Senior Technician</v>
          </cell>
        </row>
        <row r="513">
          <cell r="A513" t="str">
            <v>PSS0335</v>
          </cell>
          <cell r="Y513" t="str">
            <v>Senior Technician</v>
          </cell>
        </row>
        <row r="514">
          <cell r="A514" t="str">
            <v>PEIPL0481</v>
          </cell>
          <cell r="Y514" t="str">
            <v>Senior Technician</v>
          </cell>
        </row>
        <row r="515">
          <cell r="A515" t="str">
            <v>PEIPL0176</v>
          </cell>
          <cell r="Y515" t="str">
            <v>Senior Technician</v>
          </cell>
        </row>
        <row r="516">
          <cell r="A516" t="str">
            <v>PEIPL0794</v>
          </cell>
          <cell r="Y516" t="str">
            <v>Deputy Engineer</v>
          </cell>
        </row>
        <row r="517">
          <cell r="A517" t="str">
            <v>PEIPL0097</v>
          </cell>
          <cell r="Y517" t="str">
            <v>Junior Engineer</v>
          </cell>
        </row>
        <row r="518">
          <cell r="A518" t="str">
            <v>PEPPL0828</v>
          </cell>
          <cell r="Y518" t="str">
            <v>Technician</v>
          </cell>
        </row>
        <row r="519">
          <cell r="A519" t="str">
            <v>PEPPL0878</v>
          </cell>
          <cell r="Y519" t="str">
            <v>Assistant Manager</v>
          </cell>
        </row>
        <row r="520">
          <cell r="A520" t="str">
            <v>PEPPL0888</v>
          </cell>
          <cell r="Y520" t="str">
            <v>Assistant Manager</v>
          </cell>
        </row>
        <row r="521">
          <cell r="A521" t="str">
            <v>PEIPL0216</v>
          </cell>
          <cell r="Y521" t="str">
            <v>Junior Engineer</v>
          </cell>
        </row>
        <row r="522">
          <cell r="A522" t="str">
            <v>PEPPL0651</v>
          </cell>
          <cell r="Y522" t="str">
            <v>Regional Head - Sales</v>
          </cell>
        </row>
        <row r="523">
          <cell r="A523" t="str">
            <v>PEIPL0325</v>
          </cell>
          <cell r="Y523" t="str">
            <v>Junior Engineer</v>
          </cell>
        </row>
        <row r="524">
          <cell r="A524" t="str">
            <v>PEPPL0755</v>
          </cell>
          <cell r="Y524" t="str">
            <v>Junior Engineer</v>
          </cell>
        </row>
        <row r="525">
          <cell r="A525" t="str">
            <v>PEPPL0523</v>
          </cell>
          <cell r="Y525" t="str">
            <v>Junior Engineer</v>
          </cell>
        </row>
        <row r="526">
          <cell r="A526" t="str">
            <v>PEPPL0351</v>
          </cell>
          <cell r="Y526" t="str">
            <v>Engineer</v>
          </cell>
        </row>
        <row r="527">
          <cell r="A527" t="str">
            <v>PEIPL0365</v>
          </cell>
          <cell r="Y527" t="str">
            <v>Helper</v>
          </cell>
        </row>
        <row r="528">
          <cell r="A528" t="str">
            <v>PSS1389</v>
          </cell>
          <cell r="Y528" t="str">
            <v>Executive Assistant to Director</v>
          </cell>
        </row>
        <row r="529">
          <cell r="A529" t="str">
            <v>PEPPL0283</v>
          </cell>
          <cell r="Y529" t="str">
            <v>Senior Engineer</v>
          </cell>
        </row>
        <row r="530">
          <cell r="A530" t="str">
            <v>PSS1180</v>
          </cell>
          <cell r="Y530" t="str">
            <v>Co Ordinator</v>
          </cell>
        </row>
        <row r="531">
          <cell r="A531" t="str">
            <v>PEPPL0279</v>
          </cell>
          <cell r="Y531" t="str">
            <v>GEM - 2</v>
          </cell>
        </row>
        <row r="532">
          <cell r="A532" t="str">
            <v>PEPPL0885</v>
          </cell>
          <cell r="Y532" t="str">
            <v>Senior Executive - Finance &amp; Accounts</v>
          </cell>
        </row>
        <row r="533">
          <cell r="A533" t="str">
            <v>PEIPL0542</v>
          </cell>
          <cell r="Y533" t="str">
            <v>Junior Technician</v>
          </cell>
        </row>
        <row r="534">
          <cell r="A534" t="str">
            <v>PEPPL0816</v>
          </cell>
          <cell r="Y534" t="str">
            <v>Senior Engineer</v>
          </cell>
        </row>
        <row r="535">
          <cell r="A535" t="str">
            <v>PEPPL0241</v>
          </cell>
          <cell r="Y535" t="str">
            <v>Engineer</v>
          </cell>
        </row>
        <row r="536">
          <cell r="A536" t="str">
            <v>PSS0962</v>
          </cell>
          <cell r="Y536" t="str">
            <v>Assistant</v>
          </cell>
        </row>
        <row r="537">
          <cell r="A537" t="str">
            <v>PEPPL0196</v>
          </cell>
          <cell r="Y537" t="str">
            <v>Technician</v>
          </cell>
        </row>
        <row r="538">
          <cell r="A538" t="str">
            <v>PEIPL0425</v>
          </cell>
          <cell r="Y538" t="str">
            <v>Graduate Engineer Trainee</v>
          </cell>
        </row>
        <row r="539">
          <cell r="A539" t="str">
            <v>PEGEPL0025</v>
          </cell>
          <cell r="Y539" t="str">
            <v>Technician</v>
          </cell>
        </row>
        <row r="540">
          <cell r="A540" t="str">
            <v>PEGEPL0061</v>
          </cell>
          <cell r="Y540" t="str">
            <v>Technician</v>
          </cell>
        </row>
        <row r="541">
          <cell r="A541" t="str">
            <v>PEPPL0141</v>
          </cell>
          <cell r="Y541" t="str">
            <v>Junior Engineer</v>
          </cell>
        </row>
        <row r="542">
          <cell r="A542" t="str">
            <v>P0114</v>
          </cell>
          <cell r="Y542" t="str">
            <v>Operator</v>
          </cell>
        </row>
        <row r="543">
          <cell r="A543" t="str">
            <v>P0438</v>
          </cell>
          <cell r="Y543" t="str">
            <v>Operator</v>
          </cell>
        </row>
        <row r="544">
          <cell r="A544" t="str">
            <v>PEPPL0739</v>
          </cell>
          <cell r="Y544" t="str">
            <v>Senior Technician</v>
          </cell>
        </row>
        <row r="545">
          <cell r="A545" t="str">
            <v>PEIPL0454</v>
          </cell>
          <cell r="Y545" t="str">
            <v>Junior Engineer</v>
          </cell>
        </row>
        <row r="546">
          <cell r="A546" t="str">
            <v>PEIPL0437</v>
          </cell>
          <cell r="Y546" t="str">
            <v>Graduate Engineer Trainee</v>
          </cell>
        </row>
        <row r="547">
          <cell r="A547" t="str">
            <v>PEIPL0134</v>
          </cell>
          <cell r="Y547" t="str">
            <v>Engineer</v>
          </cell>
        </row>
        <row r="548">
          <cell r="A548" t="str">
            <v>PEIPL0110</v>
          </cell>
          <cell r="Y548" t="str">
            <v>Engineer</v>
          </cell>
        </row>
        <row r="549">
          <cell r="A549" t="str">
            <v>PEIPL0439</v>
          </cell>
          <cell r="Y549" t="str">
            <v>Senior Technician</v>
          </cell>
        </row>
        <row r="550">
          <cell r="A550" t="str">
            <v>PEPPL0744</v>
          </cell>
          <cell r="Y550" t="str">
            <v>Technician</v>
          </cell>
        </row>
        <row r="551">
          <cell r="A551" t="str">
            <v>PEIPL0233</v>
          </cell>
          <cell r="Y551" t="str">
            <v>Senior Engineer</v>
          </cell>
        </row>
        <row r="552">
          <cell r="A552" t="str">
            <v>PEPPL0137</v>
          </cell>
          <cell r="Y552" t="str">
            <v>Senior Engineer</v>
          </cell>
        </row>
        <row r="553">
          <cell r="A553" t="str">
            <v>PSS1420</v>
          </cell>
          <cell r="Y553" t="str">
            <v>Assistant Manager - Human Resources</v>
          </cell>
        </row>
        <row r="554">
          <cell r="A554" t="str">
            <v>PEPPL0658</v>
          </cell>
          <cell r="Y554" t="str">
            <v>Deputy Manager - Business Finance</v>
          </cell>
        </row>
        <row r="555">
          <cell r="A555" t="str">
            <v>PEIPL0597</v>
          </cell>
          <cell r="Y555" t="str">
            <v>Senior Engineer</v>
          </cell>
        </row>
        <row r="556">
          <cell r="A556" t="str">
            <v>PEPPL0495</v>
          </cell>
          <cell r="Y556" t="str">
            <v>Senior Technician</v>
          </cell>
        </row>
        <row r="557">
          <cell r="A557" t="str">
            <v>P0450</v>
          </cell>
          <cell r="Y557" t="str">
            <v>Senior Design Engineer</v>
          </cell>
        </row>
        <row r="558">
          <cell r="A558" t="str">
            <v>PEIPL0641</v>
          </cell>
          <cell r="Y558" t="str">
            <v>Assistant Manager</v>
          </cell>
        </row>
        <row r="559">
          <cell r="A559" t="str">
            <v>PSS0668</v>
          </cell>
          <cell r="Y559" t="str">
            <v>Assistant Manager</v>
          </cell>
        </row>
        <row r="560">
          <cell r="A560" t="str">
            <v>PEIPL0268</v>
          </cell>
          <cell r="Y560" t="str">
            <v>Technician</v>
          </cell>
        </row>
        <row r="561">
          <cell r="A561" t="str">
            <v>PEIPL0664</v>
          </cell>
          <cell r="Y561" t="str">
            <v>Junior Technician</v>
          </cell>
        </row>
        <row r="562">
          <cell r="A562" t="str">
            <v>PSS1143</v>
          </cell>
          <cell r="Y562" t="str">
            <v>Executive</v>
          </cell>
        </row>
        <row r="563">
          <cell r="A563" t="str">
            <v>PEPPL0602</v>
          </cell>
          <cell r="Y563" t="str">
            <v>Senior Executive - Stores</v>
          </cell>
        </row>
        <row r="564">
          <cell r="A564" t="str">
            <v>PEIPL0401</v>
          </cell>
          <cell r="Y564" t="str">
            <v>Junior Engineer</v>
          </cell>
        </row>
        <row r="565">
          <cell r="A565" t="str">
            <v>PEIPL0387</v>
          </cell>
          <cell r="Y565" t="str">
            <v>Junior Engineer</v>
          </cell>
        </row>
        <row r="566">
          <cell r="A566" t="str">
            <v>PEIPL0337</v>
          </cell>
          <cell r="Y566" t="str">
            <v>Junior Engineer</v>
          </cell>
        </row>
        <row r="567">
          <cell r="A567" t="str">
            <v>PEIPL0755</v>
          </cell>
          <cell r="Y567" t="str">
            <v>Senior Engineer</v>
          </cell>
        </row>
        <row r="568">
          <cell r="A568" t="str">
            <v>PEPPL0224</v>
          </cell>
          <cell r="Y568" t="str">
            <v>Assistant Engineer</v>
          </cell>
        </row>
        <row r="569">
          <cell r="A569" t="str">
            <v>PEIPL0802</v>
          </cell>
          <cell r="Y569" t="str">
            <v>Deputy Engineer</v>
          </cell>
        </row>
        <row r="570">
          <cell r="A570" t="str">
            <v>PEIPL0023</v>
          </cell>
          <cell r="Y570" t="str">
            <v>Assistant Engineer</v>
          </cell>
        </row>
        <row r="571">
          <cell r="A571" t="str">
            <v>PEIPL0622</v>
          </cell>
          <cell r="Y571" t="str">
            <v>Diploma Engineer Trainee</v>
          </cell>
        </row>
        <row r="572">
          <cell r="A572" t="str">
            <v>PEIPL0222</v>
          </cell>
          <cell r="Y572" t="str">
            <v>Technician</v>
          </cell>
        </row>
        <row r="573">
          <cell r="A573" t="str">
            <v>PEIPL0353</v>
          </cell>
          <cell r="Y573" t="str">
            <v>Graduate Engineer Trainee</v>
          </cell>
        </row>
        <row r="574">
          <cell r="A574" t="str">
            <v>PEIPL0557</v>
          </cell>
          <cell r="Y574" t="str">
            <v>Diploma Engineer Trainee</v>
          </cell>
        </row>
        <row r="575">
          <cell r="A575" t="str">
            <v>PEPPL0797</v>
          </cell>
          <cell r="Y575" t="str">
            <v>Junior Executive-F&amp;A</v>
          </cell>
        </row>
        <row r="576">
          <cell r="A576" t="str">
            <v>PEPPL0112</v>
          </cell>
          <cell r="Y576" t="str">
            <v>Assistant Manager</v>
          </cell>
        </row>
        <row r="577">
          <cell r="A577" t="str">
            <v>PEPPL0085</v>
          </cell>
          <cell r="Y577" t="str">
            <v>Senior Engineer</v>
          </cell>
        </row>
        <row r="578">
          <cell r="A578" t="str">
            <v>PEIPL0117</v>
          </cell>
          <cell r="Y578" t="str">
            <v>Senior Technician</v>
          </cell>
        </row>
        <row r="579">
          <cell r="A579" t="str">
            <v>P0437</v>
          </cell>
          <cell r="Y579" t="str">
            <v>Helper</v>
          </cell>
        </row>
        <row r="580">
          <cell r="A580" t="str">
            <v>PEPPL0829</v>
          </cell>
          <cell r="Y580" t="str">
            <v>Manager - Business Development</v>
          </cell>
        </row>
        <row r="581">
          <cell r="A581" t="str">
            <v>PEPPL0206</v>
          </cell>
          <cell r="Y581" t="str">
            <v>Engineer</v>
          </cell>
        </row>
        <row r="582">
          <cell r="A582" t="str">
            <v>PSS0931</v>
          </cell>
          <cell r="Y582" t="str">
            <v>Site Engineer</v>
          </cell>
        </row>
        <row r="583">
          <cell r="A583" t="str">
            <v>PEPPL0666</v>
          </cell>
          <cell r="Y583" t="str">
            <v>Junior Associate</v>
          </cell>
        </row>
        <row r="584">
          <cell r="A584" t="str">
            <v>PEPPL0670</v>
          </cell>
          <cell r="Y584" t="str">
            <v>Technician</v>
          </cell>
        </row>
        <row r="585">
          <cell r="A585" t="str">
            <v>BDPL0021</v>
          </cell>
          <cell r="Y585" t="str">
            <v>Helper</v>
          </cell>
        </row>
        <row r="586">
          <cell r="A586" t="str">
            <v>P0363</v>
          </cell>
          <cell r="Y586" t="str">
            <v>Helper</v>
          </cell>
        </row>
        <row r="587">
          <cell r="A587" t="str">
            <v>P0473</v>
          </cell>
          <cell r="Y587" t="str">
            <v>Helper</v>
          </cell>
        </row>
        <row r="588">
          <cell r="A588" t="str">
            <v>PEPPL0139</v>
          </cell>
          <cell r="Y588" t="str">
            <v>Deputy Manager -  Stores</v>
          </cell>
        </row>
        <row r="589">
          <cell r="A589" t="str">
            <v>PEPPL0011</v>
          </cell>
          <cell r="Y589" t="str">
            <v>Executive Digital Marketing &amp; Communications</v>
          </cell>
        </row>
        <row r="590">
          <cell r="A590" t="str">
            <v>PEIPL0094</v>
          </cell>
          <cell r="Y590" t="str">
            <v>Manager - Sales &amp; Operations</v>
          </cell>
        </row>
        <row r="591">
          <cell r="A591" t="str">
            <v>PSS1364</v>
          </cell>
          <cell r="Y591" t="str">
            <v>Senior Executive - Finance &amp; Accounts</v>
          </cell>
        </row>
        <row r="592">
          <cell r="A592" t="str">
            <v>PEPPL0039</v>
          </cell>
          <cell r="Y592" t="str">
            <v>Executive - Administration</v>
          </cell>
        </row>
        <row r="593">
          <cell r="A593" t="str">
            <v>PEPPL0668</v>
          </cell>
          <cell r="Y593" t="str">
            <v>Assistant Engineer</v>
          </cell>
        </row>
        <row r="594">
          <cell r="A594" t="str">
            <v>PSS0891</v>
          </cell>
          <cell r="Y594" t="str">
            <v>Operator</v>
          </cell>
        </row>
        <row r="595">
          <cell r="A595" t="str">
            <v>PEGEPL0047</v>
          </cell>
          <cell r="Y595" t="str">
            <v>Deputy Engineer</v>
          </cell>
        </row>
        <row r="596">
          <cell r="A596" t="str">
            <v>PEPPL0667</v>
          </cell>
          <cell r="Y596" t="str">
            <v>Technician</v>
          </cell>
        </row>
        <row r="597">
          <cell r="A597" t="str">
            <v>PEPPL0664</v>
          </cell>
          <cell r="Y597" t="str">
            <v>Junior Engineer</v>
          </cell>
        </row>
        <row r="598">
          <cell r="A598" t="str">
            <v>PSS1208</v>
          </cell>
          <cell r="Y598" t="str">
            <v>Site Supervisor</v>
          </cell>
        </row>
        <row r="599">
          <cell r="A599" t="str">
            <v>PEPPL0190</v>
          </cell>
          <cell r="Y599" t="str">
            <v>Technician</v>
          </cell>
        </row>
        <row r="600">
          <cell r="A600" t="str">
            <v>PSS1047</v>
          </cell>
          <cell r="Y600" t="str">
            <v>Engineer</v>
          </cell>
        </row>
        <row r="601">
          <cell r="A601" t="str">
            <v>P0110</v>
          </cell>
          <cell r="Y601" t="str">
            <v>Operator</v>
          </cell>
        </row>
        <row r="602">
          <cell r="A602" t="str">
            <v>PEPPL0750</v>
          </cell>
          <cell r="Y602" t="str">
            <v>Diploma Engineer Trainee</v>
          </cell>
        </row>
        <row r="603">
          <cell r="A603" t="str">
            <v>PEPPL0223</v>
          </cell>
          <cell r="Y603" t="str">
            <v>Senior Technician</v>
          </cell>
        </row>
        <row r="604">
          <cell r="A604" t="str">
            <v>PEIPL0123</v>
          </cell>
          <cell r="Y604" t="str">
            <v>Engineer</v>
          </cell>
        </row>
        <row r="605">
          <cell r="A605" t="str">
            <v>PEIPL0093</v>
          </cell>
          <cell r="Y605" t="str">
            <v>Senior Engineer</v>
          </cell>
        </row>
        <row r="606">
          <cell r="A606" t="str">
            <v>PEPPL0327</v>
          </cell>
          <cell r="Y606" t="str">
            <v>Technician</v>
          </cell>
        </row>
        <row r="607">
          <cell r="A607" t="str">
            <v>PEIPL0472</v>
          </cell>
          <cell r="Y607" t="str">
            <v>Technician</v>
          </cell>
        </row>
        <row r="608">
          <cell r="A608" t="str">
            <v>PSS1169</v>
          </cell>
          <cell r="Y608" t="str">
            <v>Deputy General Manager - Business Development</v>
          </cell>
        </row>
        <row r="609">
          <cell r="A609" t="str">
            <v>PSS1366</v>
          </cell>
          <cell r="Y609" t="str">
            <v>Technician</v>
          </cell>
        </row>
        <row r="610">
          <cell r="A610" t="str">
            <v>PEIPL0392</v>
          </cell>
          <cell r="Y610" t="str">
            <v>Technician</v>
          </cell>
        </row>
        <row r="611">
          <cell r="A611" t="str">
            <v>PEPPL0170</v>
          </cell>
          <cell r="Y611" t="str">
            <v>Technician</v>
          </cell>
        </row>
        <row r="612">
          <cell r="A612" t="str">
            <v>PEIPL0196</v>
          </cell>
          <cell r="Y612" t="str">
            <v>Assistant Engineer</v>
          </cell>
        </row>
        <row r="613">
          <cell r="A613" t="str">
            <v>PEPPL0451</v>
          </cell>
          <cell r="Y613" t="str">
            <v>Senior Technician</v>
          </cell>
        </row>
        <row r="614">
          <cell r="A614" t="str">
            <v>PEIPL0068</v>
          </cell>
          <cell r="Y614" t="str">
            <v>Junior Engineer</v>
          </cell>
        </row>
        <row r="615">
          <cell r="A615" t="str">
            <v>PEPPL0599</v>
          </cell>
          <cell r="Y615" t="str">
            <v>Technician</v>
          </cell>
        </row>
        <row r="616">
          <cell r="A616" t="str">
            <v>PSS1034</v>
          </cell>
          <cell r="Y616" t="str">
            <v>Technician</v>
          </cell>
        </row>
        <row r="617">
          <cell r="A617" t="str">
            <v>PEPPL0482</v>
          </cell>
          <cell r="Y617" t="str">
            <v>Deputy Manager - Maintenance</v>
          </cell>
        </row>
        <row r="618">
          <cell r="A618" t="str">
            <v>PSS1219</v>
          </cell>
          <cell r="Y618" t="str">
            <v>Service Engineer</v>
          </cell>
        </row>
        <row r="619">
          <cell r="A619" t="str">
            <v>PEPPL0377</v>
          </cell>
          <cell r="Y619" t="str">
            <v>Technician</v>
          </cell>
        </row>
        <row r="620">
          <cell r="A620" t="str">
            <v>PEPPL0212</v>
          </cell>
          <cell r="Y620" t="str">
            <v>Technician</v>
          </cell>
        </row>
        <row r="621">
          <cell r="A621" t="str">
            <v>PEIPL0229</v>
          </cell>
          <cell r="Y621" t="str">
            <v>Technician</v>
          </cell>
        </row>
        <row r="622">
          <cell r="A622" t="str">
            <v>PEPPL0453</v>
          </cell>
          <cell r="Y622" t="str">
            <v>Senior Technician</v>
          </cell>
        </row>
        <row r="623">
          <cell r="A623" t="str">
            <v>PSS1306</v>
          </cell>
          <cell r="Y623" t="str">
            <v>Management Trainee - Business Development</v>
          </cell>
        </row>
        <row r="624">
          <cell r="A624" t="str">
            <v>PSS1274</v>
          </cell>
          <cell r="Y624" t="str">
            <v>Assistant Manager - Finance &amp; Accounts</v>
          </cell>
        </row>
        <row r="625">
          <cell r="A625" t="str">
            <v>PEPPL0115</v>
          </cell>
          <cell r="Y625" t="str">
            <v>Assistant Manager</v>
          </cell>
        </row>
        <row r="626">
          <cell r="A626" t="str">
            <v>PEPPL0474</v>
          </cell>
          <cell r="Y626" t="str">
            <v>Deputy Engineer</v>
          </cell>
        </row>
        <row r="627">
          <cell r="A627" t="str">
            <v>PEPPL0240</v>
          </cell>
          <cell r="Y627" t="str">
            <v>Assistant Engineer</v>
          </cell>
        </row>
        <row r="628">
          <cell r="A628" t="str">
            <v>PSS1151</v>
          </cell>
          <cell r="Y628" t="str">
            <v>Graduate Engineer Trainee</v>
          </cell>
        </row>
        <row r="629">
          <cell r="A629" t="str">
            <v>PEIPL0116</v>
          </cell>
          <cell r="Y629" t="str">
            <v>Senior Engineer</v>
          </cell>
        </row>
        <row r="630">
          <cell r="A630" t="str">
            <v>PEPPL0253</v>
          </cell>
          <cell r="Y630" t="str">
            <v>GEM - 1</v>
          </cell>
        </row>
        <row r="631">
          <cell r="A631" t="str">
            <v>PSS1345</v>
          </cell>
          <cell r="Y631" t="str">
            <v>Senior Executive - Finance &amp; Accounts</v>
          </cell>
        </row>
        <row r="632">
          <cell r="A632" t="str">
            <v>PEGEPL0134</v>
          </cell>
          <cell r="Y632" t="str">
            <v>Assistant Manager - Finance &amp; Accounts</v>
          </cell>
        </row>
        <row r="633">
          <cell r="A633" t="str">
            <v>PEIPL0504</v>
          </cell>
          <cell r="Y633" t="str">
            <v>Senior Technician</v>
          </cell>
        </row>
        <row r="634">
          <cell r="A634" t="str">
            <v>PSS0577</v>
          </cell>
          <cell r="Y634" t="str">
            <v>Senior Technician</v>
          </cell>
        </row>
        <row r="635">
          <cell r="A635" t="str">
            <v>PEIPL0780</v>
          </cell>
          <cell r="Y635" t="str">
            <v>Executive - Finance &amp; Accounts</v>
          </cell>
        </row>
        <row r="636">
          <cell r="A636" t="str">
            <v>PSS0187</v>
          </cell>
          <cell r="Y636" t="str">
            <v>Office Assistant</v>
          </cell>
        </row>
        <row r="637">
          <cell r="A637" t="str">
            <v>PEGEPL0072</v>
          </cell>
          <cell r="Y637" t="str">
            <v>Senior Technician</v>
          </cell>
        </row>
        <row r="638">
          <cell r="A638" t="str">
            <v>PEPPL0760</v>
          </cell>
          <cell r="Y638" t="str">
            <v>Junior Engineer</v>
          </cell>
        </row>
        <row r="639">
          <cell r="A639" t="str">
            <v>PEPPL0168</v>
          </cell>
          <cell r="Y639" t="str">
            <v>Senior Technician</v>
          </cell>
        </row>
        <row r="640">
          <cell r="A640" t="str">
            <v>PEPPL0317</v>
          </cell>
          <cell r="Y640" t="str">
            <v>Junior Technician</v>
          </cell>
        </row>
        <row r="641">
          <cell r="A641" t="str">
            <v>P0296</v>
          </cell>
          <cell r="Y641" t="str">
            <v>Helper</v>
          </cell>
        </row>
        <row r="642">
          <cell r="A642" t="str">
            <v>P0279</v>
          </cell>
          <cell r="Y642" t="str">
            <v>Helper</v>
          </cell>
        </row>
        <row r="643">
          <cell r="A643" t="str">
            <v>P0266</v>
          </cell>
          <cell r="Y643" t="str">
            <v>Operator</v>
          </cell>
        </row>
        <row r="644">
          <cell r="A644" t="str">
            <v>P0301</v>
          </cell>
          <cell r="Y644" t="str">
            <v>Helper</v>
          </cell>
        </row>
        <row r="645">
          <cell r="A645" t="str">
            <v>PEPPL0827</v>
          </cell>
          <cell r="Y645" t="str">
            <v>Engineer</v>
          </cell>
        </row>
        <row r="646">
          <cell r="A646" t="str">
            <v>PEIPL0402</v>
          </cell>
          <cell r="Y646" t="str">
            <v>Junior Engineer</v>
          </cell>
        </row>
        <row r="647">
          <cell r="A647" t="str">
            <v>P0253</v>
          </cell>
          <cell r="Y647" t="str">
            <v>Senior Operator</v>
          </cell>
        </row>
        <row r="648">
          <cell r="A648" t="str">
            <v>P0287</v>
          </cell>
          <cell r="Y648" t="str">
            <v>Helper</v>
          </cell>
        </row>
        <row r="649">
          <cell r="A649" t="str">
            <v>P0283</v>
          </cell>
          <cell r="Y649" t="str">
            <v>Helper</v>
          </cell>
        </row>
        <row r="650">
          <cell r="A650" t="str">
            <v>PSS0621</v>
          </cell>
          <cell r="Y650" t="str">
            <v>Senior Executive - Finance &amp; Accounts</v>
          </cell>
        </row>
        <row r="651">
          <cell r="A651" t="str">
            <v>PSS0800</v>
          </cell>
          <cell r="Y651" t="str">
            <v>Project Coordinator</v>
          </cell>
        </row>
        <row r="652">
          <cell r="A652" t="str">
            <v>P0234</v>
          </cell>
          <cell r="Y652" t="str">
            <v>Senior Manager - O&amp;M</v>
          </cell>
        </row>
        <row r="653">
          <cell r="A653" t="str">
            <v>P0370</v>
          </cell>
          <cell r="Y653" t="str">
            <v>Helper</v>
          </cell>
        </row>
        <row r="654">
          <cell r="A654" t="str">
            <v>P0302</v>
          </cell>
          <cell r="Y654" t="str">
            <v>Helper</v>
          </cell>
        </row>
        <row r="655">
          <cell r="A655" t="str">
            <v>P0108</v>
          </cell>
          <cell r="Y655" t="str">
            <v>Operator</v>
          </cell>
        </row>
        <row r="656">
          <cell r="A656" t="str">
            <v>PSS1044</v>
          </cell>
          <cell r="Y656" t="str">
            <v>Engineer</v>
          </cell>
        </row>
        <row r="657">
          <cell r="A657" t="str">
            <v>PSS1040</v>
          </cell>
          <cell r="Y657" t="str">
            <v>Supervisor</v>
          </cell>
        </row>
        <row r="658">
          <cell r="A658" t="str">
            <v>PEPPL0814</v>
          </cell>
          <cell r="Y658" t="str">
            <v>Associate Manager</v>
          </cell>
        </row>
        <row r="659">
          <cell r="A659" t="str">
            <v>PSS0639</v>
          </cell>
          <cell r="Y659" t="str">
            <v>Office Executive</v>
          </cell>
        </row>
        <row r="660">
          <cell r="A660" t="str">
            <v>PEIPL0307</v>
          </cell>
          <cell r="Y660" t="str">
            <v>Assistant Engineer</v>
          </cell>
        </row>
        <row r="661">
          <cell r="A661" t="str">
            <v>PEIPL0211</v>
          </cell>
          <cell r="Y661" t="str">
            <v>Junior Technician</v>
          </cell>
        </row>
        <row r="662">
          <cell r="A662" t="str">
            <v>PSS1012</v>
          </cell>
          <cell r="Y662" t="str">
            <v>Executive</v>
          </cell>
        </row>
        <row r="663">
          <cell r="A663" t="str">
            <v>PEIPL0323</v>
          </cell>
          <cell r="Y663" t="str">
            <v>Deputy Engineer</v>
          </cell>
        </row>
        <row r="664">
          <cell r="A664" t="str">
            <v>PEPPL0078</v>
          </cell>
          <cell r="Y664" t="str">
            <v>Junior Engineer</v>
          </cell>
        </row>
        <row r="665">
          <cell r="A665" t="str">
            <v>PEPPL0123</v>
          </cell>
          <cell r="Y665" t="str">
            <v>Deputy Manager - Technical</v>
          </cell>
        </row>
        <row r="666">
          <cell r="A666" t="str">
            <v>PEIPL0341</v>
          </cell>
          <cell r="Y666" t="str">
            <v>Junior Engineer</v>
          </cell>
        </row>
        <row r="667">
          <cell r="A667" t="str">
            <v>PEIPL0792</v>
          </cell>
          <cell r="Y667" t="str">
            <v>Deputy Engineer</v>
          </cell>
        </row>
        <row r="668">
          <cell r="A668" t="str">
            <v>PEPPL0038</v>
          </cell>
          <cell r="Y668" t="str">
            <v>Senior Engineer</v>
          </cell>
        </row>
        <row r="669">
          <cell r="A669" t="str">
            <v>PEPPL0648</v>
          </cell>
          <cell r="Y669" t="str">
            <v>Engineer</v>
          </cell>
        </row>
        <row r="670">
          <cell r="A670" t="str">
            <v>PEPPL0691</v>
          </cell>
          <cell r="Y670" t="str">
            <v>Junior Engineer</v>
          </cell>
        </row>
        <row r="671">
          <cell r="A671" t="str">
            <v>PEPPL0179</v>
          </cell>
          <cell r="Y671" t="str">
            <v>Technician</v>
          </cell>
        </row>
        <row r="672">
          <cell r="A672" t="str">
            <v>PEIPL0064</v>
          </cell>
          <cell r="Y672" t="str">
            <v>Junior Engineer</v>
          </cell>
        </row>
        <row r="673">
          <cell r="A673" t="str">
            <v>PEPPL0143</v>
          </cell>
          <cell r="Y673" t="str">
            <v>Junior Engineer</v>
          </cell>
        </row>
        <row r="674">
          <cell r="A674" t="str">
            <v>PSS1064</v>
          </cell>
          <cell r="Y674" t="str">
            <v>Supervisor</v>
          </cell>
        </row>
        <row r="675">
          <cell r="A675" t="str">
            <v>PEIPL0787</v>
          </cell>
          <cell r="Y675" t="str">
            <v>Diploma Engineer Trainee</v>
          </cell>
        </row>
        <row r="676">
          <cell r="A676" t="str">
            <v>PEIPL0444</v>
          </cell>
          <cell r="Y676" t="str">
            <v>Senior Technician</v>
          </cell>
        </row>
        <row r="677">
          <cell r="A677" t="str">
            <v>PEGEPL0091</v>
          </cell>
          <cell r="Y677" t="str">
            <v>Senior Engineer</v>
          </cell>
        </row>
        <row r="678">
          <cell r="A678" t="str">
            <v>PEIPL0417</v>
          </cell>
          <cell r="Y678" t="str">
            <v>Senior Technician</v>
          </cell>
        </row>
        <row r="679">
          <cell r="A679" t="str">
            <v>PEIPL0296</v>
          </cell>
          <cell r="Y679" t="str">
            <v>Deputy Engineer</v>
          </cell>
        </row>
        <row r="680">
          <cell r="A680" t="str">
            <v>PEIPL0218</v>
          </cell>
          <cell r="Y680" t="str">
            <v>Junior Engineer</v>
          </cell>
        </row>
        <row r="681">
          <cell r="A681" t="str">
            <v>PSS0762</v>
          </cell>
          <cell r="Y681" t="str">
            <v>Service Head - Bihar</v>
          </cell>
        </row>
        <row r="682">
          <cell r="A682" t="str">
            <v>PSS1141</v>
          </cell>
          <cell r="Y682" t="str">
            <v>Engineer</v>
          </cell>
        </row>
        <row r="683">
          <cell r="A683" t="str">
            <v>PEIPL0712</v>
          </cell>
          <cell r="Y683" t="str">
            <v>Assistant Manager - Sales &amp; Operations</v>
          </cell>
        </row>
        <row r="684">
          <cell r="A684" t="str">
            <v>PEIPL0065</v>
          </cell>
          <cell r="Y684" t="str">
            <v>Assistant Engineer</v>
          </cell>
        </row>
        <row r="685">
          <cell r="A685" t="str">
            <v>PEPPL0586</v>
          </cell>
          <cell r="Y685" t="str">
            <v>Senior Technician</v>
          </cell>
        </row>
        <row r="686">
          <cell r="A686" t="str">
            <v>PSS1230</v>
          </cell>
          <cell r="Y686" t="str">
            <v>Data Analyst</v>
          </cell>
        </row>
        <row r="687">
          <cell r="A687" t="str">
            <v>PEPPL0278</v>
          </cell>
          <cell r="Y687" t="str">
            <v>GEM - 2</v>
          </cell>
        </row>
        <row r="688">
          <cell r="A688" t="str">
            <v>PEIPL0737</v>
          </cell>
          <cell r="Y688" t="str">
            <v>Senior Executive - Projects</v>
          </cell>
        </row>
        <row r="689">
          <cell r="A689" t="str">
            <v>PEPPL0684</v>
          </cell>
          <cell r="Y689" t="str">
            <v>Helper</v>
          </cell>
        </row>
        <row r="690">
          <cell r="A690" t="str">
            <v>PEPPL0229</v>
          </cell>
          <cell r="Y690" t="str">
            <v>Senior Technician</v>
          </cell>
        </row>
        <row r="691">
          <cell r="A691" t="str">
            <v>PEIPL0510</v>
          </cell>
          <cell r="Y691" t="str">
            <v>Senior Engineer</v>
          </cell>
        </row>
        <row r="692">
          <cell r="A692" t="str">
            <v>PSS1312</v>
          </cell>
          <cell r="Y692" t="str">
            <v>Senior Engineer</v>
          </cell>
        </row>
        <row r="693">
          <cell r="A693" t="str">
            <v>PEIPL0269</v>
          </cell>
          <cell r="Y693" t="str">
            <v>Senior Engineer</v>
          </cell>
        </row>
        <row r="694">
          <cell r="A694" t="str">
            <v>P0290</v>
          </cell>
          <cell r="Y694" t="str">
            <v>Helper</v>
          </cell>
        </row>
        <row r="695">
          <cell r="A695" t="str">
            <v>P0298</v>
          </cell>
          <cell r="Y695" t="str">
            <v>Helper</v>
          </cell>
        </row>
        <row r="696">
          <cell r="A696" t="str">
            <v>PSS1126</v>
          </cell>
          <cell r="Y696" t="str">
            <v>Technician</v>
          </cell>
        </row>
        <row r="697">
          <cell r="A697" t="str">
            <v>PSS1258</v>
          </cell>
          <cell r="Y697" t="str">
            <v>Service Technician</v>
          </cell>
        </row>
        <row r="698">
          <cell r="A698" t="str">
            <v>PSS1257</v>
          </cell>
          <cell r="Y698" t="str">
            <v>Service Technician</v>
          </cell>
        </row>
        <row r="699">
          <cell r="A699" t="str">
            <v>PSS1093</v>
          </cell>
          <cell r="Y699" t="str">
            <v>Technician</v>
          </cell>
        </row>
        <row r="700">
          <cell r="A700" t="str">
            <v>PSS1325</v>
          </cell>
          <cell r="Y700" t="str">
            <v>Technician</v>
          </cell>
        </row>
        <row r="701">
          <cell r="A701" t="str">
            <v>PEPPL0817</v>
          </cell>
          <cell r="Y701" t="str">
            <v>Junior Engineer</v>
          </cell>
        </row>
        <row r="702">
          <cell r="A702" t="str">
            <v>PSS1117</v>
          </cell>
          <cell r="Y702" t="str">
            <v>Senior Executive - Finance &amp; Accounts</v>
          </cell>
        </row>
        <row r="703">
          <cell r="A703" t="str">
            <v>PEPPL0579</v>
          </cell>
          <cell r="Y703" t="str">
            <v>Senior Technician</v>
          </cell>
        </row>
        <row r="704">
          <cell r="A704" t="str">
            <v>PSS1163</v>
          </cell>
          <cell r="Y704" t="str">
            <v>Executive</v>
          </cell>
        </row>
        <row r="705">
          <cell r="A705" t="str">
            <v>PEIPL0413</v>
          </cell>
          <cell r="Y705" t="str">
            <v>Executive</v>
          </cell>
        </row>
        <row r="706">
          <cell r="A706" t="str">
            <v>PEIPL0128</v>
          </cell>
          <cell r="Y706" t="str">
            <v>Junior Engineer</v>
          </cell>
        </row>
        <row r="707">
          <cell r="A707" t="str">
            <v>PEPPL0597</v>
          </cell>
          <cell r="Y707" t="str">
            <v>Senior Technician</v>
          </cell>
        </row>
        <row r="708">
          <cell r="A708" t="str">
            <v>PEIPL0733</v>
          </cell>
          <cell r="Y708" t="str">
            <v>Junior Engineer</v>
          </cell>
        </row>
        <row r="709">
          <cell r="A709" t="str">
            <v>P0395</v>
          </cell>
          <cell r="Y709" t="str">
            <v>Engineer</v>
          </cell>
        </row>
        <row r="710">
          <cell r="A710" t="str">
            <v>PEIPL0784</v>
          </cell>
          <cell r="Y710" t="str">
            <v>Junior Maintenance Engineer</v>
          </cell>
        </row>
        <row r="711">
          <cell r="A711" t="str">
            <v>PEIPL0260</v>
          </cell>
          <cell r="Y711" t="str">
            <v>Junior Engineer</v>
          </cell>
        </row>
        <row r="712">
          <cell r="A712" t="str">
            <v>PSS0728</v>
          </cell>
          <cell r="Y712" t="str">
            <v>Project In-charge</v>
          </cell>
        </row>
        <row r="713">
          <cell r="A713" t="str">
            <v>PEPPL0887</v>
          </cell>
          <cell r="Y713" t="str">
            <v>Junior Engineer</v>
          </cell>
        </row>
        <row r="714">
          <cell r="A714" t="str">
            <v>PEPPL0358</v>
          </cell>
          <cell r="Y714" t="str">
            <v>Senior Technician</v>
          </cell>
        </row>
        <row r="715">
          <cell r="A715" t="str">
            <v>PSS1402</v>
          </cell>
          <cell r="Y715" t="str">
            <v>Consultant</v>
          </cell>
        </row>
        <row r="716">
          <cell r="A716" t="str">
            <v>PEPPL0574</v>
          </cell>
          <cell r="Y716" t="str">
            <v>Senior Technician</v>
          </cell>
        </row>
        <row r="717">
          <cell r="A717" t="str">
            <v>PEPPL0023</v>
          </cell>
          <cell r="Y717" t="str">
            <v>Deputy Manager</v>
          </cell>
        </row>
        <row r="718">
          <cell r="A718" t="str">
            <v>PSS1427</v>
          </cell>
          <cell r="Y718" t="str">
            <v>Management Trainee - Finance &amp; Accounts</v>
          </cell>
        </row>
        <row r="719">
          <cell r="A719" t="str">
            <v>P0430</v>
          </cell>
          <cell r="Y719" t="str">
            <v>Jr. Design Engineer</v>
          </cell>
        </row>
        <row r="720">
          <cell r="A720" t="str">
            <v>PSS0372</v>
          </cell>
          <cell r="Y720" t="str">
            <v>Helper</v>
          </cell>
        </row>
        <row r="721">
          <cell r="A721" t="str">
            <v>PEPPL0366</v>
          </cell>
          <cell r="Y721" t="str">
            <v>Deputy Manager - Finance &amp; Accounts</v>
          </cell>
        </row>
        <row r="722">
          <cell r="A722" t="str">
            <v>PSS0829</v>
          </cell>
          <cell r="Y722" t="str">
            <v>Senior Engineer</v>
          </cell>
        </row>
        <row r="723">
          <cell r="A723" t="str">
            <v>PEIPL0718</v>
          </cell>
          <cell r="Y723" t="str">
            <v>Assistant Engineer</v>
          </cell>
        </row>
        <row r="724">
          <cell r="A724" t="str">
            <v>PEIPL0574</v>
          </cell>
          <cell r="Y724" t="str">
            <v>Executive</v>
          </cell>
        </row>
        <row r="725">
          <cell r="A725" t="str">
            <v>PEGEPL0021</v>
          </cell>
          <cell r="Y725" t="str">
            <v>Senior Associate</v>
          </cell>
        </row>
        <row r="726">
          <cell r="A726" t="str">
            <v>PEIPL0710</v>
          </cell>
          <cell r="Y726" t="str">
            <v>Senior Technician</v>
          </cell>
        </row>
        <row r="727">
          <cell r="A727" t="str">
            <v>PSS1311</v>
          </cell>
          <cell r="Y727" t="str">
            <v>Senior Associate</v>
          </cell>
        </row>
        <row r="728">
          <cell r="A728" t="str">
            <v>PSS1101</v>
          </cell>
          <cell r="Y728" t="str">
            <v>Coordinator - Projects</v>
          </cell>
        </row>
        <row r="729">
          <cell r="A729" t="str">
            <v>PEPPL0705</v>
          </cell>
          <cell r="Y729" t="str">
            <v>Technician</v>
          </cell>
        </row>
        <row r="730">
          <cell r="A730" t="str">
            <v>PEGEPL0142</v>
          </cell>
          <cell r="Y730" t="str">
            <v>Assistant Manager - Finance &amp; Accounts</v>
          </cell>
        </row>
        <row r="731">
          <cell r="A731" t="str">
            <v>PSS0823</v>
          </cell>
          <cell r="Y731" t="str">
            <v>Coordinator - Human Resources</v>
          </cell>
        </row>
        <row r="732">
          <cell r="A732" t="str">
            <v>PEPPL0332</v>
          </cell>
          <cell r="Y732" t="str">
            <v>Technician</v>
          </cell>
        </row>
        <row r="733">
          <cell r="A733" t="str">
            <v>PEPPL0590</v>
          </cell>
          <cell r="Y733" t="str">
            <v>Senior Technician</v>
          </cell>
        </row>
        <row r="734">
          <cell r="A734" t="str">
            <v>PSS0365</v>
          </cell>
          <cell r="Y734" t="str">
            <v>Operator</v>
          </cell>
        </row>
        <row r="735">
          <cell r="A735" t="str">
            <v>PEIPL0506</v>
          </cell>
          <cell r="Y735" t="str">
            <v>Senior Technician</v>
          </cell>
        </row>
        <row r="736">
          <cell r="A736" t="str">
            <v>PSS0926</v>
          </cell>
          <cell r="Y736" t="str">
            <v>Senior Technician</v>
          </cell>
        </row>
        <row r="737">
          <cell r="A737" t="str">
            <v>PEPPL0540</v>
          </cell>
          <cell r="Y737" t="str">
            <v>Officer</v>
          </cell>
        </row>
        <row r="738">
          <cell r="A738" t="str">
            <v>P0501</v>
          </cell>
          <cell r="Y738" t="str">
            <v>Executive</v>
          </cell>
        </row>
        <row r="739">
          <cell r="A739" t="str">
            <v>PEPPL0346</v>
          </cell>
          <cell r="Y739" t="str">
            <v>Junior Technician</v>
          </cell>
        </row>
        <row r="740">
          <cell r="A740" t="str">
            <v>PSS0262</v>
          </cell>
          <cell r="Y740" t="str">
            <v>Helper</v>
          </cell>
        </row>
        <row r="741">
          <cell r="A741" t="str">
            <v>PSS1054</v>
          </cell>
          <cell r="Y741" t="str">
            <v>Technician</v>
          </cell>
        </row>
        <row r="742">
          <cell r="A742" t="str">
            <v>PEIPL0276</v>
          </cell>
          <cell r="Y742" t="str">
            <v>Technician</v>
          </cell>
        </row>
        <row r="743">
          <cell r="A743" t="str">
            <v>PEIPL0675</v>
          </cell>
          <cell r="Y743" t="str">
            <v>Assistant Manager</v>
          </cell>
        </row>
        <row r="744">
          <cell r="A744" t="str">
            <v>PSS1140</v>
          </cell>
          <cell r="Y744" t="str">
            <v>Technician</v>
          </cell>
        </row>
        <row r="745">
          <cell r="A745" t="str">
            <v>PEPPL0148</v>
          </cell>
          <cell r="Y745" t="str">
            <v>Engineer</v>
          </cell>
        </row>
        <row r="746">
          <cell r="A746" t="str">
            <v>PEPPL0507</v>
          </cell>
          <cell r="Y746" t="str">
            <v>Junior Engineer</v>
          </cell>
        </row>
        <row r="747">
          <cell r="A747" t="str">
            <v>PEPPL0110</v>
          </cell>
          <cell r="Y747" t="str">
            <v>Deputy Manager - Production</v>
          </cell>
        </row>
        <row r="748">
          <cell r="A748" t="str">
            <v>P0289</v>
          </cell>
          <cell r="Y748" t="str">
            <v>Helper</v>
          </cell>
        </row>
        <row r="749">
          <cell r="A749" t="str">
            <v>PEPPL0171</v>
          </cell>
          <cell r="Y749" t="str">
            <v>Assistant Engineer</v>
          </cell>
        </row>
        <row r="750">
          <cell r="A750" t="str">
            <v>PEPPL0016</v>
          </cell>
          <cell r="Y750" t="str">
            <v>Manager-HR</v>
          </cell>
        </row>
        <row r="751">
          <cell r="A751" t="str">
            <v>PSS1340</v>
          </cell>
          <cell r="Y751" t="str">
            <v>Senior Recruiter - Human Resources</v>
          </cell>
        </row>
        <row r="752">
          <cell r="A752" t="str">
            <v>PSS1369</v>
          </cell>
          <cell r="Y752" t="str">
            <v>Manager - Projects</v>
          </cell>
        </row>
        <row r="753">
          <cell r="A753" t="str">
            <v>PEPPL0288</v>
          </cell>
          <cell r="Y753" t="str">
            <v>GEM - 2</v>
          </cell>
        </row>
        <row r="754">
          <cell r="A754" t="str">
            <v>PEPPL0309</v>
          </cell>
          <cell r="Y754" t="str">
            <v>Deputy Manager - IT</v>
          </cell>
        </row>
        <row r="755">
          <cell r="A755" t="str">
            <v>PSS1341</v>
          </cell>
          <cell r="Y755" t="str">
            <v>Officer - Projects</v>
          </cell>
        </row>
        <row r="756">
          <cell r="A756" t="str">
            <v>PEPPL0588</v>
          </cell>
          <cell r="Y756" t="str">
            <v>Technician</v>
          </cell>
        </row>
        <row r="757">
          <cell r="A757" t="str">
            <v>PEPPL0225</v>
          </cell>
          <cell r="Y757" t="str">
            <v>Junior Engineer</v>
          </cell>
        </row>
        <row r="758">
          <cell r="A758" t="str">
            <v>P0120</v>
          </cell>
          <cell r="Y758" t="str">
            <v>Senior Executive - Accounts</v>
          </cell>
        </row>
        <row r="759">
          <cell r="A759" t="str">
            <v>P0119</v>
          </cell>
          <cell r="Y759" t="str">
            <v>Senior Manager - Procurement</v>
          </cell>
        </row>
        <row r="760">
          <cell r="A760" t="str">
            <v>PEPPL0275</v>
          </cell>
          <cell r="Y760" t="str">
            <v>Senior Engineer</v>
          </cell>
        </row>
        <row r="761">
          <cell r="A761" t="str">
            <v>PEPPL0409</v>
          </cell>
          <cell r="Y761" t="str">
            <v>Fork Lift Driver</v>
          </cell>
        </row>
        <row r="762">
          <cell r="A762" t="str">
            <v>PSS0733</v>
          </cell>
          <cell r="Y762" t="str">
            <v>Helper</v>
          </cell>
        </row>
        <row r="763">
          <cell r="A763" t="str">
            <v>PEPPL0529</v>
          </cell>
          <cell r="Y763" t="str">
            <v>Senior Technician</v>
          </cell>
        </row>
        <row r="764">
          <cell r="A764" t="str">
            <v>PSS1211</v>
          </cell>
          <cell r="Y764" t="str">
            <v>Executive - Stores</v>
          </cell>
        </row>
        <row r="765">
          <cell r="A765" t="str">
            <v>PEIPL0349</v>
          </cell>
          <cell r="Y765" t="str">
            <v>Graduate Engineer Trainee</v>
          </cell>
        </row>
        <row r="766">
          <cell r="A766" t="str">
            <v>PEIPL0409</v>
          </cell>
          <cell r="Y766" t="str">
            <v>Engineer</v>
          </cell>
        </row>
        <row r="767">
          <cell r="A767" t="str">
            <v>PEIPL0290</v>
          </cell>
          <cell r="Y767" t="str">
            <v>Engineer</v>
          </cell>
        </row>
        <row r="768">
          <cell r="A768" t="str">
            <v>PEPPL0145</v>
          </cell>
          <cell r="Y768" t="str">
            <v>Assistant Manager</v>
          </cell>
        </row>
        <row r="769">
          <cell r="A769" t="str">
            <v>PEGEPL0073</v>
          </cell>
          <cell r="Y769" t="str">
            <v>Senior Engineer</v>
          </cell>
        </row>
        <row r="770">
          <cell r="A770" t="str">
            <v>PEIPL0284</v>
          </cell>
          <cell r="Y770" t="str">
            <v>Technician</v>
          </cell>
        </row>
        <row r="771">
          <cell r="A771" t="str">
            <v>PSS1435</v>
          </cell>
          <cell r="Y771" t="str">
            <v>Senior Manager - Legal</v>
          </cell>
        </row>
        <row r="772">
          <cell r="A772" t="str">
            <v>PEIPL0468</v>
          </cell>
          <cell r="Y772" t="str">
            <v>Senior Executive - Human Resources</v>
          </cell>
        </row>
        <row r="773">
          <cell r="A773" t="str">
            <v>PEPPL0161</v>
          </cell>
          <cell r="Y773" t="str">
            <v>Officer</v>
          </cell>
        </row>
        <row r="774">
          <cell r="A774" t="str">
            <v>PEPPL0883</v>
          </cell>
          <cell r="Y774" t="str">
            <v>Deputy Manager</v>
          </cell>
        </row>
        <row r="775">
          <cell r="A775" t="str">
            <v>PEPPL0633</v>
          </cell>
          <cell r="Y775" t="str">
            <v>Senior Engineer</v>
          </cell>
        </row>
        <row r="776">
          <cell r="A776" t="str">
            <v>P0166</v>
          </cell>
          <cell r="Y776" t="str">
            <v>Operator</v>
          </cell>
        </row>
        <row r="777">
          <cell r="A777" t="str">
            <v>PEIPL0357</v>
          </cell>
          <cell r="Y777" t="str">
            <v>Graduate Engineer Trainee</v>
          </cell>
        </row>
        <row r="778">
          <cell r="A778" t="str">
            <v>PSS1218</v>
          </cell>
          <cell r="Y778" t="str">
            <v>Executive - MIS</v>
          </cell>
        </row>
        <row r="779">
          <cell r="A779" t="str">
            <v>PEIPL0526</v>
          </cell>
          <cell r="Y779" t="str">
            <v>Executive - Administration</v>
          </cell>
        </row>
        <row r="780">
          <cell r="A780" t="str">
            <v>PSS1092</v>
          </cell>
          <cell r="Y780" t="str">
            <v>Executive - Administration</v>
          </cell>
        </row>
        <row r="781">
          <cell r="A781" t="str">
            <v>PEIPL0696</v>
          </cell>
          <cell r="Y781" t="str">
            <v>Assistant Manager - Stores</v>
          </cell>
        </row>
        <row r="782">
          <cell r="A782" t="str">
            <v>PSS1243</v>
          </cell>
          <cell r="Y782" t="str">
            <v>Senior Executive</v>
          </cell>
        </row>
        <row r="783">
          <cell r="A783" t="str">
            <v>PEIPL0004</v>
          </cell>
          <cell r="Y783" t="str">
            <v>Assistant Manager - Store</v>
          </cell>
        </row>
        <row r="784">
          <cell r="A784" t="str">
            <v>PSS1036</v>
          </cell>
          <cell r="Y784" t="str">
            <v>Site Engineer</v>
          </cell>
        </row>
        <row r="785">
          <cell r="A785" t="str">
            <v>PEPPL0575</v>
          </cell>
          <cell r="Y785" t="str">
            <v>Senior Technician</v>
          </cell>
        </row>
        <row r="786">
          <cell r="A786" t="str">
            <v>PEPPL0660</v>
          </cell>
          <cell r="Y786" t="str">
            <v>Manager - Procurement</v>
          </cell>
        </row>
        <row r="787">
          <cell r="A787" t="str">
            <v>PEIPL0588</v>
          </cell>
          <cell r="Y787" t="str">
            <v>Consultant</v>
          </cell>
        </row>
        <row r="788">
          <cell r="A788" t="str">
            <v>PSS1388</v>
          </cell>
          <cell r="Y788" t="str">
            <v>Deputy Manager - Finance &amp; Accounts</v>
          </cell>
        </row>
        <row r="789">
          <cell r="A789" t="str">
            <v>PEPPL0494</v>
          </cell>
          <cell r="Y789" t="str">
            <v>Technician</v>
          </cell>
        </row>
        <row r="790">
          <cell r="A790" t="str">
            <v>PEIPL0524</v>
          </cell>
          <cell r="Y790" t="str">
            <v>Graduate Engineer Trainee</v>
          </cell>
        </row>
        <row r="791">
          <cell r="A791" t="str">
            <v>PSS0973</v>
          </cell>
          <cell r="Y791" t="str">
            <v>Service Technician</v>
          </cell>
        </row>
        <row r="792">
          <cell r="A792" t="str">
            <v>PEPPL0631</v>
          </cell>
          <cell r="Y792" t="str">
            <v>Senior Engineer</v>
          </cell>
        </row>
        <row r="793">
          <cell r="A793" t="str">
            <v>PEPPL0319</v>
          </cell>
          <cell r="Y793" t="str">
            <v>Senior Technician</v>
          </cell>
        </row>
        <row r="794">
          <cell r="A794" t="str">
            <v>PEPPL0753</v>
          </cell>
          <cell r="Y794" t="str">
            <v>Diploma Engineer Trainee</v>
          </cell>
        </row>
        <row r="795">
          <cell r="A795" t="str">
            <v>PEPPL0778</v>
          </cell>
          <cell r="Y795" t="str">
            <v>Diploma Engineer Trainee</v>
          </cell>
        </row>
        <row r="796">
          <cell r="A796" t="str">
            <v>PEPPL0713</v>
          </cell>
          <cell r="Y796" t="str">
            <v>Deputy Engineer</v>
          </cell>
        </row>
        <row r="797">
          <cell r="A797" t="str">
            <v>PEIPL0192</v>
          </cell>
          <cell r="Y797" t="str">
            <v>Assistant Manager</v>
          </cell>
        </row>
        <row r="798">
          <cell r="A798" t="str">
            <v>PEIPL0685</v>
          </cell>
          <cell r="Y798" t="str">
            <v>Graduate Engineer Trainee</v>
          </cell>
        </row>
        <row r="799">
          <cell r="A799" t="str">
            <v>PEPPL0605</v>
          </cell>
          <cell r="Y799" t="str">
            <v>Deputy Manager</v>
          </cell>
        </row>
        <row r="800">
          <cell r="A800" t="str">
            <v>PEIPL0776</v>
          </cell>
          <cell r="Y800" t="str">
            <v>Technician</v>
          </cell>
        </row>
        <row r="801">
          <cell r="A801" t="str">
            <v>PSS1417</v>
          </cell>
          <cell r="Y801" t="str">
            <v>Senior Manager - Business Analytics</v>
          </cell>
        </row>
        <row r="802">
          <cell r="A802" t="str">
            <v>PEIPL0261</v>
          </cell>
          <cell r="Y802" t="str">
            <v>Technician</v>
          </cell>
        </row>
        <row r="803">
          <cell r="A803" t="str">
            <v>PEPPL0459</v>
          </cell>
          <cell r="Y803" t="str">
            <v>Engineer</v>
          </cell>
        </row>
        <row r="804">
          <cell r="A804" t="str">
            <v>PEPPL0472</v>
          </cell>
          <cell r="Y804" t="str">
            <v>Engineer</v>
          </cell>
        </row>
        <row r="805">
          <cell r="A805" t="str">
            <v>PEPPL0420</v>
          </cell>
          <cell r="Y805" t="str">
            <v>Engineer</v>
          </cell>
        </row>
        <row r="806">
          <cell r="A806" t="str">
            <v>PSS0260</v>
          </cell>
          <cell r="Y806" t="str">
            <v>Helper</v>
          </cell>
        </row>
        <row r="807">
          <cell r="A807" t="str">
            <v>PEPPL0353</v>
          </cell>
          <cell r="Y807" t="str">
            <v>Technician</v>
          </cell>
        </row>
        <row r="808">
          <cell r="A808" t="str">
            <v>PEPPL0345</v>
          </cell>
          <cell r="Y808" t="str">
            <v>Technician</v>
          </cell>
        </row>
        <row r="809">
          <cell r="A809" t="str">
            <v>PEIPL0382</v>
          </cell>
          <cell r="Y809" t="str">
            <v>Technician</v>
          </cell>
        </row>
        <row r="810">
          <cell r="A810" t="str">
            <v>P0245</v>
          </cell>
          <cell r="Y810" t="str">
            <v>Senior Executive - Accounts</v>
          </cell>
        </row>
        <row r="811">
          <cell r="A811" t="str">
            <v>PEIPL0585</v>
          </cell>
          <cell r="Y811" t="str">
            <v>Officer</v>
          </cell>
        </row>
        <row r="812">
          <cell r="A812" t="str">
            <v>PEGEPL0071</v>
          </cell>
          <cell r="Y812" t="str">
            <v>Assistant Engineer</v>
          </cell>
        </row>
        <row r="813">
          <cell r="A813" t="str">
            <v>PSS1029</v>
          </cell>
          <cell r="Y813" t="str">
            <v>Trainee Design Engineer</v>
          </cell>
        </row>
        <row r="814">
          <cell r="A814" t="str">
            <v>PEIPL0674</v>
          </cell>
          <cell r="Y814" t="str">
            <v>Senior Engineer</v>
          </cell>
        </row>
        <row r="815">
          <cell r="A815" t="str">
            <v>PSS1361</v>
          </cell>
          <cell r="Y815" t="str">
            <v>Executive - Logistics</v>
          </cell>
        </row>
        <row r="816">
          <cell r="A816" t="str">
            <v>PSS1201</v>
          </cell>
          <cell r="Y816" t="str">
            <v>Executive - Finance &amp; Accounts</v>
          </cell>
        </row>
        <row r="817">
          <cell r="A817" t="str">
            <v>P0456</v>
          </cell>
          <cell r="Y817" t="str">
            <v>Senior Executive - Finance &amp; Accounts</v>
          </cell>
        </row>
        <row r="818">
          <cell r="A818" t="str">
            <v>PEPPL0005</v>
          </cell>
          <cell r="Y818" t="str">
            <v>Project Manager</v>
          </cell>
        </row>
        <row r="819">
          <cell r="A819" t="str">
            <v>PSS1081</v>
          </cell>
          <cell r="Y819" t="str">
            <v>Civil Engineer</v>
          </cell>
        </row>
        <row r="820">
          <cell r="A820" t="str">
            <v>PEGEPL0119</v>
          </cell>
          <cell r="Y820" t="str">
            <v>Assistant Manager - Production</v>
          </cell>
        </row>
        <row r="821">
          <cell r="A821" t="str">
            <v>PEIPL0255</v>
          </cell>
          <cell r="Y821" t="str">
            <v>Junior Technician</v>
          </cell>
        </row>
        <row r="822">
          <cell r="A822" t="str">
            <v>PEPPL0437</v>
          </cell>
          <cell r="Y822" t="str">
            <v>Senior Technician</v>
          </cell>
        </row>
        <row r="823">
          <cell r="A823" t="str">
            <v>PEPPL0157</v>
          </cell>
          <cell r="Y823" t="str">
            <v>Manager - Quality</v>
          </cell>
        </row>
        <row r="824">
          <cell r="A824" t="str">
            <v>PEIPL0147</v>
          </cell>
          <cell r="Y824" t="str">
            <v>Assistant Engineer</v>
          </cell>
        </row>
        <row r="825">
          <cell r="A825" t="str">
            <v>PEPPL0601</v>
          </cell>
          <cell r="Y825" t="str">
            <v>Junior Engineer</v>
          </cell>
        </row>
        <row r="826">
          <cell r="A826" t="str">
            <v>PEIPL0799</v>
          </cell>
          <cell r="Y826" t="str">
            <v>Junior Maintenance Engineer</v>
          </cell>
        </row>
        <row r="827">
          <cell r="A827" t="str">
            <v>PEGEPL0121</v>
          </cell>
          <cell r="Y827" t="str">
            <v>Senior Engineer</v>
          </cell>
        </row>
        <row r="828">
          <cell r="A828" t="str">
            <v>PSS1130</v>
          </cell>
          <cell r="Y828" t="str">
            <v>Service Engineer</v>
          </cell>
        </row>
        <row r="829">
          <cell r="A829" t="str">
            <v>PSS0689</v>
          </cell>
          <cell r="Y829" t="str">
            <v>Supervisor</v>
          </cell>
        </row>
        <row r="830">
          <cell r="A830" t="str">
            <v>P0179</v>
          </cell>
          <cell r="Y830" t="str">
            <v>Engineer</v>
          </cell>
        </row>
        <row r="831">
          <cell r="A831" t="str">
            <v>P0498</v>
          </cell>
          <cell r="Y831" t="str">
            <v>Consultant</v>
          </cell>
        </row>
        <row r="832">
          <cell r="A832" t="str">
            <v>PEPPL0719</v>
          </cell>
          <cell r="Y832" t="str">
            <v>Manager - Finance &amp; Accounts</v>
          </cell>
        </row>
        <row r="833">
          <cell r="A833" t="str">
            <v>PSS0593</v>
          </cell>
          <cell r="Y833" t="str">
            <v>Associate  Logistics</v>
          </cell>
        </row>
        <row r="834">
          <cell r="A834" t="str">
            <v>PEGEPL0017</v>
          </cell>
          <cell r="Y834" t="str">
            <v>Senior Technician</v>
          </cell>
        </row>
        <row r="835">
          <cell r="A835" t="str">
            <v>PSS0628</v>
          </cell>
          <cell r="Y835" t="str">
            <v>Helper</v>
          </cell>
        </row>
        <row r="836">
          <cell r="A836" t="str">
            <v>PEIPL0495</v>
          </cell>
          <cell r="Y836" t="str">
            <v>Assistant Engineer</v>
          </cell>
        </row>
        <row r="837">
          <cell r="A837" t="str">
            <v>PSS0585</v>
          </cell>
          <cell r="Y837" t="str">
            <v>Junior Engineer</v>
          </cell>
        </row>
        <row r="838">
          <cell r="A838" t="str">
            <v>PEIPL0420</v>
          </cell>
          <cell r="Y838" t="str">
            <v>Senior Technician</v>
          </cell>
        </row>
        <row r="839">
          <cell r="A839" t="str">
            <v>PEIPL0384</v>
          </cell>
          <cell r="Y839" t="str">
            <v>Senior Engineer</v>
          </cell>
        </row>
        <row r="840">
          <cell r="A840" t="str">
            <v>PSS0828</v>
          </cell>
          <cell r="Y840" t="str">
            <v>Engineer</v>
          </cell>
        </row>
        <row r="841">
          <cell r="A841" t="str">
            <v>PEIPL0379</v>
          </cell>
          <cell r="Y841" t="str">
            <v>Senior Engineer</v>
          </cell>
        </row>
        <row r="842">
          <cell r="A842" t="str">
            <v>PEPPL0573</v>
          </cell>
          <cell r="Y842" t="str">
            <v>Senior Technician</v>
          </cell>
        </row>
        <row r="843">
          <cell r="A843" t="str">
            <v>PEPPL0405</v>
          </cell>
          <cell r="Y843" t="str">
            <v>Technician</v>
          </cell>
        </row>
        <row r="844">
          <cell r="A844" t="str">
            <v>PSS1154</v>
          </cell>
          <cell r="Y844" t="str">
            <v>Executive - Stores</v>
          </cell>
        </row>
        <row r="845">
          <cell r="A845" t="str">
            <v>PEGEPL0028</v>
          </cell>
          <cell r="Y845" t="str">
            <v>Junior Engineer</v>
          </cell>
        </row>
        <row r="846">
          <cell r="A846" t="str">
            <v>P0132</v>
          </cell>
          <cell r="Y846" t="str">
            <v>Office Assistant</v>
          </cell>
        </row>
        <row r="847">
          <cell r="A847" t="str">
            <v>PSS1272</v>
          </cell>
          <cell r="Y847" t="str">
            <v>Office Assistant</v>
          </cell>
        </row>
        <row r="848">
          <cell r="A848" t="str">
            <v>PEPPL0694</v>
          </cell>
          <cell r="Y848" t="str">
            <v>Technician</v>
          </cell>
        </row>
        <row r="849">
          <cell r="A849" t="str">
            <v>PEIPL0061</v>
          </cell>
          <cell r="Y849" t="str">
            <v>Assistant Engineer</v>
          </cell>
        </row>
        <row r="850">
          <cell r="A850" t="str">
            <v>PEIPL0754</v>
          </cell>
          <cell r="Y850" t="str">
            <v>Diploma Engineer Trainee</v>
          </cell>
        </row>
        <row r="851">
          <cell r="A851" t="str">
            <v>PEPPL0890</v>
          </cell>
          <cell r="Y851" t="str">
            <v>Junior Engineer</v>
          </cell>
        </row>
        <row r="852">
          <cell r="A852" t="str">
            <v>PSS1233</v>
          </cell>
          <cell r="Y852" t="str">
            <v>Service Technician</v>
          </cell>
        </row>
        <row r="853">
          <cell r="A853" t="str">
            <v>PEIPL0569</v>
          </cell>
          <cell r="Y853" t="str">
            <v>Senior Technician - Maintenance</v>
          </cell>
        </row>
        <row r="854">
          <cell r="A854" t="str">
            <v>PEIPL0760</v>
          </cell>
          <cell r="Y854" t="str">
            <v>Junior Engineer</v>
          </cell>
        </row>
        <row r="855">
          <cell r="A855" t="str">
            <v>PEGEPL0105</v>
          </cell>
          <cell r="Y855" t="str">
            <v>Associate -  Stores</v>
          </cell>
        </row>
        <row r="856">
          <cell r="A856" t="str">
            <v>PEPPL0360</v>
          </cell>
          <cell r="Y856" t="str">
            <v>Technician</v>
          </cell>
        </row>
        <row r="857">
          <cell r="A857" t="str">
            <v>PEPPL0349</v>
          </cell>
          <cell r="Y857" t="str">
            <v>Junior Technician</v>
          </cell>
        </row>
        <row r="858">
          <cell r="A858" t="str">
            <v>PEIPL0150</v>
          </cell>
          <cell r="Y858" t="str">
            <v>Junior Engineer</v>
          </cell>
        </row>
        <row r="859">
          <cell r="A859" t="str">
            <v>PEIPL0535</v>
          </cell>
          <cell r="Y859" t="str">
            <v>Junior Technician</v>
          </cell>
        </row>
        <row r="860">
          <cell r="A860" t="str">
            <v>PSS1336</v>
          </cell>
          <cell r="Y860" t="str">
            <v>Senior Executive - Finance &amp; Accounts</v>
          </cell>
        </row>
        <row r="861">
          <cell r="A861" t="str">
            <v>PEPPL0055</v>
          </cell>
          <cell r="Y861" t="str">
            <v>Deputy Manager - Procurement</v>
          </cell>
        </row>
        <row r="862">
          <cell r="A862" t="str">
            <v>PSS1113</v>
          </cell>
          <cell r="Y862" t="str">
            <v>Assistant Manager - Projects</v>
          </cell>
        </row>
        <row r="863">
          <cell r="A863" t="str">
            <v>PEPPL0592</v>
          </cell>
          <cell r="Y863" t="str">
            <v>Senior Technician</v>
          </cell>
        </row>
        <row r="864">
          <cell r="A864" t="str">
            <v>PEGEPL0053</v>
          </cell>
          <cell r="Y864" t="str">
            <v>Junior Technician</v>
          </cell>
        </row>
        <row r="865">
          <cell r="A865" t="str">
            <v>P0474</v>
          </cell>
          <cell r="Y865" t="str">
            <v>Security Guard</v>
          </cell>
        </row>
        <row r="866">
          <cell r="A866" t="str">
            <v>PEPPL0870</v>
          </cell>
          <cell r="Y866" t="str">
            <v>Steward</v>
          </cell>
        </row>
        <row r="867">
          <cell r="A867" t="str">
            <v>PEIPL0467</v>
          </cell>
          <cell r="Y867" t="str">
            <v>Trainee</v>
          </cell>
        </row>
        <row r="868">
          <cell r="A868" t="str">
            <v>P0454</v>
          </cell>
          <cell r="Y868" t="str">
            <v>Deputy Manager - Design</v>
          </cell>
        </row>
        <row r="869">
          <cell r="A869" t="str">
            <v>PEPPL0276</v>
          </cell>
          <cell r="Y869" t="str">
            <v>GEM - 2</v>
          </cell>
        </row>
        <row r="870">
          <cell r="A870" t="str">
            <v>P0249</v>
          </cell>
          <cell r="Y870" t="str">
            <v>Supervisor</v>
          </cell>
        </row>
        <row r="871">
          <cell r="A871" t="str">
            <v>PSS0323</v>
          </cell>
          <cell r="Y871" t="str">
            <v>Project Engineer</v>
          </cell>
        </row>
        <row r="872">
          <cell r="A872" t="str">
            <v>PEPPL0231</v>
          </cell>
          <cell r="Y872" t="str">
            <v>Assistant Manager</v>
          </cell>
        </row>
        <row r="873">
          <cell r="A873" t="str">
            <v>P0202</v>
          </cell>
          <cell r="Y873" t="str">
            <v>Helper</v>
          </cell>
        </row>
        <row r="874">
          <cell r="A874" t="str">
            <v>PSS1411</v>
          </cell>
          <cell r="Y874" t="str">
            <v>Senior Manager - Business Analytics</v>
          </cell>
        </row>
        <row r="875">
          <cell r="A875" t="str">
            <v>PEPPL0435</v>
          </cell>
          <cell r="Y875" t="str">
            <v>Senior Technician</v>
          </cell>
        </row>
        <row r="876">
          <cell r="A876" t="str">
            <v>PEPPL0306</v>
          </cell>
          <cell r="Y876" t="str">
            <v>Junior Engineer</v>
          </cell>
        </row>
        <row r="877">
          <cell r="A877" t="str">
            <v>PSS1386</v>
          </cell>
          <cell r="Y877" t="str">
            <v>Senior Manager - Legal</v>
          </cell>
        </row>
        <row r="878">
          <cell r="A878" t="str">
            <v>PEGEPL0125</v>
          </cell>
          <cell r="Y878" t="str">
            <v>Civil Engineer</v>
          </cell>
        </row>
        <row r="879">
          <cell r="A879" t="str">
            <v>PEPPL0726</v>
          </cell>
          <cell r="Y879" t="str">
            <v>Technician</v>
          </cell>
        </row>
        <row r="880">
          <cell r="A880" t="str">
            <v>PEIPL0020</v>
          </cell>
          <cell r="Y880" t="str">
            <v>Safety Officer</v>
          </cell>
        </row>
        <row r="881">
          <cell r="A881" t="str">
            <v>PEIPL0669</v>
          </cell>
          <cell r="Y881" t="str">
            <v>Senior Technician</v>
          </cell>
        </row>
        <row r="882">
          <cell r="A882" t="str">
            <v>P0422</v>
          </cell>
          <cell r="Y882" t="str">
            <v>Deputy Manager - Procurement</v>
          </cell>
        </row>
        <row r="883">
          <cell r="A883" t="str">
            <v>PSS1102</v>
          </cell>
          <cell r="Y883" t="str">
            <v>Executive - Logistics</v>
          </cell>
        </row>
        <row r="884">
          <cell r="A884" t="str">
            <v>PEPPL0874</v>
          </cell>
          <cell r="Y884" t="str">
            <v>Senior Executive</v>
          </cell>
        </row>
        <row r="885">
          <cell r="A885" t="str">
            <v>PSS0357</v>
          </cell>
          <cell r="Y885" t="str">
            <v>Senior Executive - Accounts</v>
          </cell>
        </row>
        <row r="886">
          <cell r="A886" t="str">
            <v>PEIPL0676</v>
          </cell>
          <cell r="Y886" t="str">
            <v>Safety Officer</v>
          </cell>
        </row>
        <row r="887">
          <cell r="A887" t="str">
            <v>PEPPL0502</v>
          </cell>
          <cell r="Y887" t="str">
            <v>Senior Technician</v>
          </cell>
        </row>
        <row r="888">
          <cell r="A888" t="str">
            <v>PEPPL0130</v>
          </cell>
          <cell r="Y888" t="str">
            <v>Assistant General Manager - Human Resources</v>
          </cell>
        </row>
        <row r="889">
          <cell r="A889" t="str">
            <v>PSS0994</v>
          </cell>
          <cell r="Y889" t="str">
            <v>Site Engineer</v>
          </cell>
        </row>
        <row r="890">
          <cell r="A890" t="str">
            <v>PSS1275</v>
          </cell>
          <cell r="Y890" t="str">
            <v>Senior Engineer</v>
          </cell>
        </row>
        <row r="891">
          <cell r="A891" t="str">
            <v>PEPPL0585</v>
          </cell>
          <cell r="Y891" t="str">
            <v>Senior Technician</v>
          </cell>
        </row>
        <row r="892">
          <cell r="A892" t="str">
            <v>PSS1342</v>
          </cell>
          <cell r="Y892" t="str">
            <v>Executive Assistant to Director</v>
          </cell>
        </row>
        <row r="893">
          <cell r="A893" t="str">
            <v>PSS1145</v>
          </cell>
          <cell r="Y893" t="str">
            <v>Assistant Manager - Finance &amp; Accounts</v>
          </cell>
        </row>
        <row r="894">
          <cell r="A894" t="str">
            <v>PEIPL0651</v>
          </cell>
          <cell r="Y894" t="str">
            <v>Assistant Engineer</v>
          </cell>
        </row>
        <row r="895">
          <cell r="A895" t="str">
            <v>PEGEPL0082</v>
          </cell>
          <cell r="Y895" t="str">
            <v>Technician</v>
          </cell>
        </row>
        <row r="896">
          <cell r="A896" t="str">
            <v>PEIPL0040</v>
          </cell>
          <cell r="Y896" t="str">
            <v>Junior Engineer</v>
          </cell>
        </row>
        <row r="897">
          <cell r="A897" t="str">
            <v>PEIPL0408</v>
          </cell>
          <cell r="Y897" t="str">
            <v>Senior Technician</v>
          </cell>
        </row>
        <row r="898">
          <cell r="A898" t="str">
            <v>PEPPL0335</v>
          </cell>
          <cell r="Y898" t="str">
            <v>Junior Engineer</v>
          </cell>
        </row>
        <row r="899">
          <cell r="A899" t="str">
            <v>PEIPL0648</v>
          </cell>
          <cell r="Y899" t="str">
            <v>Senior Engineer</v>
          </cell>
        </row>
        <row r="900">
          <cell r="A900" t="str">
            <v>PEPPL0833</v>
          </cell>
          <cell r="Y900" t="str">
            <v>Junior Engineer</v>
          </cell>
        </row>
        <row r="901">
          <cell r="A901" t="str">
            <v>PEIPL0241</v>
          </cell>
          <cell r="Y901" t="str">
            <v>Engineer</v>
          </cell>
        </row>
        <row r="902">
          <cell r="A902" t="str">
            <v>PEIPL0807</v>
          </cell>
          <cell r="Y902" t="str">
            <v>Junior Engineer</v>
          </cell>
        </row>
        <row r="903">
          <cell r="A903" t="str">
            <v>PEPPL0783</v>
          </cell>
          <cell r="Y903" t="str">
            <v>Technician</v>
          </cell>
        </row>
        <row r="904">
          <cell r="A904" t="str">
            <v>P0394</v>
          </cell>
          <cell r="Y904" t="str">
            <v>Operator</v>
          </cell>
        </row>
        <row r="905">
          <cell r="A905" t="str">
            <v>PEIPL0744</v>
          </cell>
          <cell r="Y905" t="str">
            <v>Junior Engineer</v>
          </cell>
        </row>
        <row r="906">
          <cell r="A906" t="str">
            <v>PEGEPL0083</v>
          </cell>
          <cell r="Y906" t="str">
            <v>Senior Executive - Finance &amp; Accounts</v>
          </cell>
        </row>
        <row r="907">
          <cell r="A907" t="str">
            <v>PEGEPL0123</v>
          </cell>
          <cell r="Y907" t="str">
            <v>Officer -  Stores</v>
          </cell>
        </row>
        <row r="908">
          <cell r="A908" t="str">
            <v>PEPPL0370</v>
          </cell>
          <cell r="Y908" t="str">
            <v>Junior Technician</v>
          </cell>
        </row>
        <row r="909">
          <cell r="A909" t="str">
            <v>PSS0868</v>
          </cell>
          <cell r="Y909" t="str">
            <v>Fork Lift Driver</v>
          </cell>
        </row>
        <row r="910">
          <cell r="A910" t="str">
            <v>PEIPL0567</v>
          </cell>
          <cell r="Y910" t="str">
            <v>Senior Engineer</v>
          </cell>
        </row>
        <row r="911">
          <cell r="A911" t="str">
            <v>PSS0825</v>
          </cell>
          <cell r="Y911" t="str">
            <v>Senior Engineer</v>
          </cell>
        </row>
        <row r="912">
          <cell r="A912" t="str">
            <v>PEPPL0622</v>
          </cell>
          <cell r="Y912" t="str">
            <v>Technician</v>
          </cell>
        </row>
        <row r="913">
          <cell r="A913" t="str">
            <v>PEIPL0587</v>
          </cell>
          <cell r="Y913" t="str">
            <v>Senior Technician</v>
          </cell>
        </row>
        <row r="914">
          <cell r="A914" t="str">
            <v>PSS1351</v>
          </cell>
          <cell r="Y914" t="str">
            <v>Executive - Sales &amp; Business Development</v>
          </cell>
        </row>
        <row r="915">
          <cell r="A915" t="str">
            <v>PEIPL0546</v>
          </cell>
          <cell r="Y915" t="str">
            <v>Junior Technician</v>
          </cell>
        </row>
        <row r="916">
          <cell r="A916" t="str">
            <v>PSS1396</v>
          </cell>
          <cell r="Y916" t="str">
            <v>Sr. Executive</v>
          </cell>
        </row>
        <row r="917">
          <cell r="A917" t="str">
            <v>PSS1206</v>
          </cell>
          <cell r="Y917" t="str">
            <v>MIS Coordinator</v>
          </cell>
        </row>
        <row r="918">
          <cell r="A918" t="str">
            <v>P0424</v>
          </cell>
          <cell r="Y918" t="str">
            <v>Senior Engineer - Projects</v>
          </cell>
        </row>
        <row r="919">
          <cell r="A919" t="str">
            <v>P0466</v>
          </cell>
          <cell r="Y919" t="str">
            <v>Senior Engineer - Projects</v>
          </cell>
        </row>
        <row r="920">
          <cell r="A920" t="str">
            <v>PEIPL0072</v>
          </cell>
          <cell r="Y920" t="str">
            <v>Engineer</v>
          </cell>
        </row>
        <row r="921">
          <cell r="A921" t="str">
            <v>PSS1339</v>
          </cell>
          <cell r="Y921" t="str">
            <v>Senior Executive - Accounts</v>
          </cell>
        </row>
        <row r="922">
          <cell r="A922" t="str">
            <v>PSS0786</v>
          </cell>
          <cell r="Y922" t="str">
            <v>Senior Engineer</v>
          </cell>
        </row>
        <row r="923">
          <cell r="A923" t="str">
            <v>PEIPL0571</v>
          </cell>
          <cell r="Y923" t="str">
            <v>Senior Technician - Production</v>
          </cell>
        </row>
        <row r="924">
          <cell r="A924" t="str">
            <v>BDPL0011</v>
          </cell>
          <cell r="Y924" t="str">
            <v>Engineer</v>
          </cell>
        </row>
        <row r="925">
          <cell r="A925" t="str">
            <v>P0390</v>
          </cell>
          <cell r="Y925" t="str">
            <v>Engineer</v>
          </cell>
        </row>
        <row r="926">
          <cell r="A926" t="str">
            <v>PEPPL0215</v>
          </cell>
          <cell r="Y926" t="str">
            <v>Technician</v>
          </cell>
        </row>
        <row r="927">
          <cell r="A927" t="str">
            <v>PEIPL0381</v>
          </cell>
          <cell r="Y927" t="str">
            <v>Assistant Engineer</v>
          </cell>
        </row>
        <row r="928">
          <cell r="A928" t="str">
            <v>PEPPL0491</v>
          </cell>
          <cell r="Y928" t="str">
            <v>Senior Technician</v>
          </cell>
        </row>
        <row r="929">
          <cell r="A929" t="str">
            <v>PEPPL0450</v>
          </cell>
          <cell r="Y929" t="str">
            <v>Senior Technician</v>
          </cell>
        </row>
        <row r="930">
          <cell r="A930" t="str">
            <v>PEIPL0717</v>
          </cell>
          <cell r="Y930" t="str">
            <v>Engineer</v>
          </cell>
        </row>
        <row r="931">
          <cell r="A931" t="str">
            <v>P0281</v>
          </cell>
          <cell r="Y931" t="str">
            <v>Helper</v>
          </cell>
        </row>
        <row r="932">
          <cell r="A932" t="str">
            <v>PEPPL0859</v>
          </cell>
          <cell r="Y932" t="str">
            <v>Engineer</v>
          </cell>
        </row>
        <row r="933">
          <cell r="A933" t="str">
            <v>PEIPL0748</v>
          </cell>
          <cell r="Y933" t="str">
            <v>Junior Engineer</v>
          </cell>
        </row>
        <row r="934">
          <cell r="A934" t="str">
            <v>PEGEPL0076</v>
          </cell>
          <cell r="Y934" t="str">
            <v>Assistant Engineer</v>
          </cell>
        </row>
        <row r="935">
          <cell r="A935" t="str">
            <v>PEPPL0063</v>
          </cell>
          <cell r="Y935" t="str">
            <v>Junior Engineer</v>
          </cell>
        </row>
        <row r="936">
          <cell r="A936" t="str">
            <v>PSS1063</v>
          </cell>
          <cell r="Y936" t="str">
            <v>Engineer</v>
          </cell>
        </row>
        <row r="937">
          <cell r="A937" t="str">
            <v>P0129</v>
          </cell>
          <cell r="Y937" t="str">
            <v>Operator</v>
          </cell>
        </row>
        <row r="938">
          <cell r="A938" t="str">
            <v>PSS1250</v>
          </cell>
          <cell r="Y938" t="str">
            <v>Service Technician</v>
          </cell>
        </row>
        <row r="939">
          <cell r="A939" t="str">
            <v>PEGEPL0087</v>
          </cell>
          <cell r="Y939" t="str">
            <v>Engineer</v>
          </cell>
        </row>
        <row r="940">
          <cell r="A940" t="str">
            <v>PEPPL0539</v>
          </cell>
          <cell r="Y940" t="str">
            <v>Engineer</v>
          </cell>
        </row>
        <row r="941">
          <cell r="A941" t="str">
            <v>PEPPL0662</v>
          </cell>
          <cell r="Y941" t="str">
            <v>Area Manager - Channel Sales</v>
          </cell>
        </row>
        <row r="942">
          <cell r="A942" t="str">
            <v>PSS1045</v>
          </cell>
          <cell r="Y942" t="str">
            <v>Senior Executive - Projects</v>
          </cell>
        </row>
        <row r="943">
          <cell r="A943" t="str">
            <v>P0366</v>
          </cell>
          <cell r="Y943" t="str">
            <v>Helper</v>
          </cell>
        </row>
        <row r="944">
          <cell r="A944" t="str">
            <v>PEIPL0165</v>
          </cell>
          <cell r="Y944" t="str">
            <v>Assistant Engineer</v>
          </cell>
        </row>
        <row r="945">
          <cell r="A945" t="str">
            <v>PEIPL0189</v>
          </cell>
          <cell r="Y945" t="str">
            <v>Junior Engineer</v>
          </cell>
        </row>
        <row r="946">
          <cell r="A946" t="str">
            <v>P0396</v>
          </cell>
          <cell r="Y946" t="str">
            <v>Helper</v>
          </cell>
        </row>
        <row r="947">
          <cell r="A947" t="str">
            <v>PEIPL0766</v>
          </cell>
          <cell r="Y947" t="str">
            <v>Junior Engineer</v>
          </cell>
        </row>
        <row r="948">
          <cell r="A948" t="str">
            <v>PEGEPL0018</v>
          </cell>
          <cell r="Y948" t="str">
            <v>Senior Technician</v>
          </cell>
        </row>
        <row r="949">
          <cell r="A949" t="str">
            <v>PSS0038</v>
          </cell>
          <cell r="Y949" t="str">
            <v>Helper</v>
          </cell>
        </row>
        <row r="950">
          <cell r="A950" t="str">
            <v>PEIPL0359</v>
          </cell>
          <cell r="Y950" t="str">
            <v>Senior Technician</v>
          </cell>
        </row>
        <row r="951">
          <cell r="A951" t="str">
            <v>PEPPL0081</v>
          </cell>
          <cell r="Y951" t="str">
            <v>Executive - Finance &amp; Accounts</v>
          </cell>
        </row>
        <row r="952">
          <cell r="A952" t="str">
            <v>PEIPL0610</v>
          </cell>
          <cell r="Y952" t="str">
            <v>Technician</v>
          </cell>
        </row>
        <row r="953">
          <cell r="A953" t="str">
            <v>PEIPL0326</v>
          </cell>
          <cell r="Y953" t="str">
            <v>Junior Engineer</v>
          </cell>
        </row>
        <row r="954">
          <cell r="A954" t="str">
            <v>PEIPL0582</v>
          </cell>
          <cell r="Y954" t="str">
            <v>Technician</v>
          </cell>
        </row>
        <row r="955">
          <cell r="A955" t="str">
            <v>PEPPL0165</v>
          </cell>
          <cell r="Y955" t="str">
            <v>Senior Technician</v>
          </cell>
        </row>
        <row r="956">
          <cell r="A956" t="str">
            <v>PEPPL0061</v>
          </cell>
          <cell r="Y956" t="str">
            <v>Assistant Manager - Administration</v>
          </cell>
        </row>
        <row r="957">
          <cell r="A957" t="str">
            <v>PEPPL0803</v>
          </cell>
          <cell r="Y957" t="str">
            <v>Junior Engineer</v>
          </cell>
        </row>
        <row r="958">
          <cell r="A958" t="str">
            <v>PEIPL0164</v>
          </cell>
          <cell r="Y958" t="str">
            <v>Senior Engineer</v>
          </cell>
        </row>
        <row r="959">
          <cell r="A959" t="str">
            <v>PEIPL0295</v>
          </cell>
          <cell r="Y959" t="str">
            <v>Deputy Engineer</v>
          </cell>
        </row>
        <row r="960">
          <cell r="A960" t="str">
            <v>PEIPL0137</v>
          </cell>
          <cell r="Y960" t="str">
            <v>Engineer</v>
          </cell>
        </row>
        <row r="961">
          <cell r="A961" t="str">
            <v>PEIPL0645</v>
          </cell>
          <cell r="Y961" t="str">
            <v>Assistant Engineer</v>
          </cell>
        </row>
        <row r="962">
          <cell r="A962" t="str">
            <v>PEIPL0765</v>
          </cell>
          <cell r="Y962" t="str">
            <v>Senior Technician</v>
          </cell>
        </row>
        <row r="963">
          <cell r="A963" t="str">
            <v>PEPPL0375</v>
          </cell>
          <cell r="Y963" t="str">
            <v>Senior Technician</v>
          </cell>
        </row>
        <row r="964">
          <cell r="A964" t="str">
            <v>PEIPL0166</v>
          </cell>
          <cell r="Y964" t="str">
            <v>Assistant Engineer</v>
          </cell>
        </row>
        <row r="965">
          <cell r="A965" t="str">
            <v>PEPPL0436</v>
          </cell>
          <cell r="Y965" t="str">
            <v>Senior Technician</v>
          </cell>
        </row>
        <row r="966">
          <cell r="A966" t="str">
            <v>PEIPL0198</v>
          </cell>
          <cell r="Y966" t="str">
            <v>Senior Engineer</v>
          </cell>
        </row>
        <row r="967">
          <cell r="A967" t="str">
            <v>PSS0981</v>
          </cell>
          <cell r="Y967" t="str">
            <v>MIS Service Stock</v>
          </cell>
        </row>
        <row r="968">
          <cell r="A968" t="str">
            <v>PEIPL0033</v>
          </cell>
          <cell r="Y968" t="str">
            <v>Assistant Manager - Production</v>
          </cell>
        </row>
        <row r="969">
          <cell r="A969" t="str">
            <v>PEPPL0513</v>
          </cell>
          <cell r="Y969" t="str">
            <v>Engineer</v>
          </cell>
        </row>
        <row r="970">
          <cell r="A970" t="str">
            <v>PEIPL0184</v>
          </cell>
          <cell r="Y970" t="str">
            <v>Junior Engineer</v>
          </cell>
        </row>
        <row r="971">
          <cell r="A971" t="str">
            <v>PSS1252</v>
          </cell>
          <cell r="Y971" t="str">
            <v>Plumber</v>
          </cell>
        </row>
        <row r="972">
          <cell r="A972" t="str">
            <v>PSS1026</v>
          </cell>
          <cell r="Y972" t="str">
            <v>Supervisor</v>
          </cell>
        </row>
        <row r="973">
          <cell r="A973" t="str">
            <v>PEIPL0659</v>
          </cell>
          <cell r="Y973" t="str">
            <v>Junior Engineer</v>
          </cell>
        </row>
        <row r="974">
          <cell r="A974" t="str">
            <v>P0364</v>
          </cell>
          <cell r="Y974" t="str">
            <v>Helper</v>
          </cell>
        </row>
        <row r="975">
          <cell r="A975" t="str">
            <v>PSS1253</v>
          </cell>
          <cell r="Y975" t="str">
            <v>Plumber</v>
          </cell>
        </row>
        <row r="976">
          <cell r="A976" t="str">
            <v>PEPPL0557</v>
          </cell>
          <cell r="Y976" t="str">
            <v>Engineer</v>
          </cell>
        </row>
        <row r="977">
          <cell r="A977" t="str">
            <v>PEPPL0884</v>
          </cell>
          <cell r="Y977" t="str">
            <v>Senior Engineer - Maintenance</v>
          </cell>
        </row>
        <row r="978">
          <cell r="A978" t="str">
            <v>PSS1080</v>
          </cell>
          <cell r="Y978" t="str">
            <v>Director</v>
          </cell>
        </row>
        <row r="979">
          <cell r="A979" t="str">
            <v>P0107</v>
          </cell>
          <cell r="Y979" t="str">
            <v>Operator</v>
          </cell>
        </row>
        <row r="980">
          <cell r="A980" t="str">
            <v>PEPPL0030</v>
          </cell>
          <cell r="Y980" t="str">
            <v>Senior Engineer</v>
          </cell>
        </row>
        <row r="981">
          <cell r="A981" t="str">
            <v>PEIPL0464</v>
          </cell>
          <cell r="Y981" t="str">
            <v>Assistant Engineer</v>
          </cell>
        </row>
        <row r="982">
          <cell r="A982" t="str">
            <v>PEIPL0634</v>
          </cell>
          <cell r="Y982" t="str">
            <v>Senior Executive - Finance &amp; Accounts</v>
          </cell>
        </row>
        <row r="983">
          <cell r="A983" t="str">
            <v>PEPPL0479</v>
          </cell>
          <cell r="Y983" t="str">
            <v>Deputy Engineer</v>
          </cell>
        </row>
        <row r="984">
          <cell r="A984" t="str">
            <v>PSS1191</v>
          </cell>
          <cell r="Y984" t="str">
            <v>Junior Engineer</v>
          </cell>
        </row>
        <row r="985">
          <cell r="A985" t="str">
            <v>PEPPL0454</v>
          </cell>
          <cell r="Y985" t="str">
            <v>Engineer</v>
          </cell>
        </row>
        <row r="986">
          <cell r="A986" t="str">
            <v>PEPPL0447</v>
          </cell>
          <cell r="Y986" t="str">
            <v>Technician</v>
          </cell>
        </row>
        <row r="987">
          <cell r="A987" t="str">
            <v>PSS1235</v>
          </cell>
          <cell r="Y987" t="str">
            <v>Supervisor</v>
          </cell>
        </row>
        <row r="988">
          <cell r="A988" t="str">
            <v>PEPPL0841</v>
          </cell>
          <cell r="Y988" t="str">
            <v>Junior Engineer</v>
          </cell>
        </row>
        <row r="989">
          <cell r="A989" t="str">
            <v>PEIPL0060</v>
          </cell>
          <cell r="Y989" t="str">
            <v>Junior Engineer</v>
          </cell>
        </row>
        <row r="990">
          <cell r="A990" t="str">
            <v>PEPPL0098</v>
          </cell>
          <cell r="Y990" t="str">
            <v>Deputy Manager</v>
          </cell>
        </row>
        <row r="991">
          <cell r="A991" t="str">
            <v>PEPPL0637</v>
          </cell>
          <cell r="Y991" t="str">
            <v>Deputy Engineer</v>
          </cell>
        </row>
        <row r="992">
          <cell r="A992" t="str">
            <v>PSS0761</v>
          </cell>
          <cell r="Y992" t="str">
            <v>Assistant Manager</v>
          </cell>
        </row>
        <row r="993">
          <cell r="A993" t="str">
            <v>PEIPL0348</v>
          </cell>
          <cell r="Y993" t="str">
            <v>Graduate Engineer Trainee</v>
          </cell>
        </row>
        <row r="994">
          <cell r="A994" t="str">
            <v>PEIPL0346</v>
          </cell>
          <cell r="Y994" t="str">
            <v>Graduate Engineer Trainee</v>
          </cell>
        </row>
        <row r="995">
          <cell r="A995" t="str">
            <v>PEPPL0875</v>
          </cell>
          <cell r="Y995" t="str">
            <v>Assistant Manager - Production</v>
          </cell>
        </row>
        <row r="996">
          <cell r="A996" t="str">
            <v>PEPPL0791</v>
          </cell>
          <cell r="Y996" t="str">
            <v>Junior Engineer</v>
          </cell>
        </row>
        <row r="997">
          <cell r="A997" t="str">
            <v>PEPPL0830</v>
          </cell>
          <cell r="Y997" t="str">
            <v>Junior Engineer</v>
          </cell>
        </row>
        <row r="998">
          <cell r="A998" t="str">
            <v>PEPPL0618</v>
          </cell>
          <cell r="Y998" t="str">
            <v>Junior Technician</v>
          </cell>
        </row>
        <row r="999">
          <cell r="A999" t="str">
            <v>PEIPL0519</v>
          </cell>
          <cell r="Y999" t="str">
            <v>Technician</v>
          </cell>
        </row>
        <row r="1000">
          <cell r="A1000" t="str">
            <v>PEPPL0625</v>
          </cell>
          <cell r="Y1000" t="str">
            <v>Junior Technician</v>
          </cell>
        </row>
        <row r="1001">
          <cell r="A1001" t="str">
            <v>PEIPL0534</v>
          </cell>
          <cell r="Y1001" t="str">
            <v>Graduate Engineer Trainee</v>
          </cell>
        </row>
        <row r="1002">
          <cell r="A1002" t="str">
            <v>PSS0881</v>
          </cell>
          <cell r="Y1002" t="str">
            <v>Junior Engineer</v>
          </cell>
        </row>
        <row r="1003">
          <cell r="A1003" t="str">
            <v>PEPPL0237</v>
          </cell>
          <cell r="Y1003" t="str">
            <v>Senior Engineer</v>
          </cell>
        </row>
        <row r="1004">
          <cell r="A1004" t="str">
            <v>PSS1197</v>
          </cell>
          <cell r="Y1004" t="str">
            <v>Senior Engineer</v>
          </cell>
        </row>
        <row r="1005">
          <cell r="A1005" t="str">
            <v>PEPPL0480</v>
          </cell>
          <cell r="Y1005" t="str">
            <v>Technician</v>
          </cell>
        </row>
        <row r="1006">
          <cell r="A1006" t="str">
            <v>PEPPL0741</v>
          </cell>
          <cell r="Y1006" t="str">
            <v>SAP Functional Consultant</v>
          </cell>
        </row>
        <row r="1007">
          <cell r="A1007" t="str">
            <v>PEIPL0237</v>
          </cell>
          <cell r="Y1007" t="str">
            <v>Senior Technician</v>
          </cell>
        </row>
        <row r="1008">
          <cell r="A1008" t="str">
            <v>PEPPL0438</v>
          </cell>
          <cell r="Y1008" t="str">
            <v>Fork Lift Driver</v>
          </cell>
        </row>
        <row r="1009">
          <cell r="A1009" t="str">
            <v>PEPPL0239</v>
          </cell>
          <cell r="Y1009" t="str">
            <v>Senior Engineer</v>
          </cell>
        </row>
        <row r="1010">
          <cell r="A1010" t="str">
            <v>PSS0900</v>
          </cell>
          <cell r="Y1010" t="str">
            <v>Junior Engineer</v>
          </cell>
        </row>
        <row r="1011">
          <cell r="A1011" t="str">
            <v>PEIPL0396</v>
          </cell>
          <cell r="Y1011" t="str">
            <v>Graduate Engineer Trainee</v>
          </cell>
        </row>
        <row r="1012">
          <cell r="A1012" t="str">
            <v>PSS1307</v>
          </cell>
          <cell r="Y1012" t="str">
            <v>Executive - Procurement</v>
          </cell>
        </row>
        <row r="1013">
          <cell r="A1013" t="str">
            <v>PEIPL0378</v>
          </cell>
          <cell r="Y1013" t="str">
            <v>Executive</v>
          </cell>
        </row>
        <row r="1014">
          <cell r="A1014" t="str">
            <v>PEIPL0662</v>
          </cell>
          <cell r="Y1014" t="str">
            <v>Junior Technician</v>
          </cell>
        </row>
        <row r="1015">
          <cell r="A1015" t="str">
            <v>PEIPL0424</v>
          </cell>
          <cell r="Y1015" t="str">
            <v>Technician</v>
          </cell>
        </row>
        <row r="1016">
          <cell r="A1016" t="str">
            <v>PEPPL0425</v>
          </cell>
          <cell r="Y1016" t="str">
            <v>Technician</v>
          </cell>
        </row>
        <row r="1017">
          <cell r="A1017" t="str">
            <v>PEIPL0596</v>
          </cell>
          <cell r="Y1017" t="str">
            <v>Junior Engineer</v>
          </cell>
        </row>
        <row r="1018">
          <cell r="A1018" t="str">
            <v>PEIPL0742</v>
          </cell>
          <cell r="Y1018" t="str">
            <v>Graduate Engineer Trainee</v>
          </cell>
        </row>
        <row r="1019">
          <cell r="A1019" t="str">
            <v>PEGEPL0029</v>
          </cell>
          <cell r="Y1019" t="str">
            <v>Deputy Engineer</v>
          </cell>
        </row>
        <row r="1020">
          <cell r="A1020" t="str">
            <v>PEIPL0159</v>
          </cell>
          <cell r="Y1020" t="str">
            <v>Junior Engineer</v>
          </cell>
        </row>
        <row r="1021">
          <cell r="A1021" t="str">
            <v>PEPPL0640</v>
          </cell>
          <cell r="Y1021" t="str">
            <v>Junior Technician</v>
          </cell>
        </row>
        <row r="1022">
          <cell r="A1022" t="str">
            <v>PEPPL0396</v>
          </cell>
          <cell r="Y1022" t="str">
            <v>Technician</v>
          </cell>
        </row>
        <row r="1023">
          <cell r="A1023" t="str">
            <v>PSS1259</v>
          </cell>
          <cell r="Y1023" t="str">
            <v>Executive - Finance &amp; Accounts</v>
          </cell>
        </row>
        <row r="1024">
          <cell r="A1024" t="str">
            <v>PEIPL0603</v>
          </cell>
          <cell r="Y1024" t="str">
            <v>Senior Executive</v>
          </cell>
        </row>
        <row r="1025">
          <cell r="A1025" t="str">
            <v>PEPPL0582</v>
          </cell>
          <cell r="Y1025" t="str">
            <v>Senior Technician</v>
          </cell>
        </row>
        <row r="1026">
          <cell r="A1026" t="str">
            <v>PEPPL0458</v>
          </cell>
          <cell r="Y1026" t="str">
            <v>Deputy Manager - Production</v>
          </cell>
        </row>
        <row r="1027">
          <cell r="A1027" t="str">
            <v>PSS0834</v>
          </cell>
          <cell r="Y1027" t="str">
            <v>Engineer</v>
          </cell>
        </row>
        <row r="1028">
          <cell r="A1028" t="str">
            <v>PSS1260</v>
          </cell>
          <cell r="Y1028" t="str">
            <v>Coordinator - Chairman Office</v>
          </cell>
        </row>
        <row r="1029">
          <cell r="A1029" t="str">
            <v>PEIPL0713</v>
          </cell>
          <cell r="Y1029" t="str">
            <v>Executive</v>
          </cell>
        </row>
        <row r="1030">
          <cell r="A1030" t="str">
            <v>PEGEPL0033</v>
          </cell>
          <cell r="Y1030" t="str">
            <v>Technician</v>
          </cell>
        </row>
        <row r="1031">
          <cell r="A1031" t="str">
            <v>PEIPL0321</v>
          </cell>
          <cell r="Y1031" t="str">
            <v>Senior Technician</v>
          </cell>
        </row>
        <row r="1032">
          <cell r="A1032" t="str">
            <v>PEIPL0081</v>
          </cell>
          <cell r="Y1032" t="str">
            <v>Engineer</v>
          </cell>
        </row>
        <row r="1033">
          <cell r="A1033" t="str">
            <v>PSS0687</v>
          </cell>
          <cell r="Y1033" t="str">
            <v>Fork Lift Driver</v>
          </cell>
        </row>
        <row r="1034">
          <cell r="A1034" t="str">
            <v>PSS1037</v>
          </cell>
          <cell r="Y1034" t="str">
            <v>Supervisor</v>
          </cell>
        </row>
        <row r="1035">
          <cell r="A1035" t="str">
            <v>PEPPL0372</v>
          </cell>
          <cell r="Y1035" t="str">
            <v>Technician</v>
          </cell>
        </row>
        <row r="1036">
          <cell r="A1036" t="str">
            <v>PEPPL0699</v>
          </cell>
          <cell r="Y1036" t="str">
            <v>Technician</v>
          </cell>
        </row>
        <row r="1037">
          <cell r="A1037" t="str">
            <v>PSS1241</v>
          </cell>
          <cell r="Y1037" t="str">
            <v>Consultant - Marketing</v>
          </cell>
        </row>
        <row r="1038">
          <cell r="A1038" t="str">
            <v>PSS1246</v>
          </cell>
          <cell r="Y1038" t="str">
            <v>Office Boy</v>
          </cell>
        </row>
        <row r="1039">
          <cell r="A1039" t="str">
            <v>PEIPL0421</v>
          </cell>
          <cell r="Y1039" t="str">
            <v>Senior Engineer</v>
          </cell>
        </row>
        <row r="1040">
          <cell r="A1040" t="str">
            <v>PEPPL0445</v>
          </cell>
          <cell r="Y1040" t="str">
            <v>Technician</v>
          </cell>
        </row>
        <row r="1041">
          <cell r="A1041" t="str">
            <v>PSS1400</v>
          </cell>
          <cell r="Y1041" t="str">
            <v>Consultant</v>
          </cell>
        </row>
        <row r="1042">
          <cell r="A1042" t="str">
            <v>PSS1136</v>
          </cell>
          <cell r="Y1042" t="str">
            <v>Driver</v>
          </cell>
        </row>
        <row r="1043">
          <cell r="A1043" t="str">
            <v>PSS0353</v>
          </cell>
          <cell r="Y1043" t="str">
            <v>Senior Technician</v>
          </cell>
        </row>
        <row r="1044">
          <cell r="A1044" t="str">
            <v>PEIPL0693</v>
          </cell>
          <cell r="Y1044" t="str">
            <v>Senior Technician</v>
          </cell>
        </row>
        <row r="1045">
          <cell r="A1045" t="str">
            <v>PEIPL0577</v>
          </cell>
          <cell r="Y1045" t="str">
            <v>Junior Engineer</v>
          </cell>
        </row>
        <row r="1046">
          <cell r="A1046" t="str">
            <v>PEIPL0336</v>
          </cell>
          <cell r="Y1046" t="str">
            <v>Senior Engineer</v>
          </cell>
        </row>
        <row r="1047">
          <cell r="A1047" t="str">
            <v>PEIPL0119</v>
          </cell>
          <cell r="Y1047" t="str">
            <v>Assistant Engineer</v>
          </cell>
        </row>
        <row r="1048">
          <cell r="A1048" t="str">
            <v>PEPPL0614</v>
          </cell>
          <cell r="Y1048" t="str">
            <v>General Manager - ESG</v>
          </cell>
        </row>
        <row r="1049">
          <cell r="A1049" t="str">
            <v>P0508</v>
          </cell>
          <cell r="Y1049" t="str">
            <v>Consultant</v>
          </cell>
        </row>
        <row r="1050">
          <cell r="A1050" t="str">
            <v>PSS1394</v>
          </cell>
          <cell r="Y1050" t="str">
            <v>Consultant</v>
          </cell>
        </row>
        <row r="1051">
          <cell r="A1051" t="str">
            <v>PEIPL0363</v>
          </cell>
          <cell r="Y1051" t="str">
            <v>Technician</v>
          </cell>
        </row>
        <row r="1052">
          <cell r="A1052" t="str">
            <v>PEIPL0131</v>
          </cell>
          <cell r="Y1052" t="str">
            <v>Senior Technician</v>
          </cell>
        </row>
        <row r="1053">
          <cell r="A1053" t="str">
            <v>PEPPL0103</v>
          </cell>
          <cell r="Y1053" t="str">
            <v>Senior Engineer</v>
          </cell>
        </row>
        <row r="1054">
          <cell r="A1054" t="str">
            <v>PSS0886</v>
          </cell>
          <cell r="Y1054" t="str">
            <v>Operator</v>
          </cell>
        </row>
        <row r="1055">
          <cell r="A1055" t="str">
            <v>PEIPL0480</v>
          </cell>
          <cell r="Y1055" t="str">
            <v>Junior Executive - IT</v>
          </cell>
        </row>
        <row r="1056">
          <cell r="A1056" t="str">
            <v>PSS0118</v>
          </cell>
          <cell r="Y1056" t="str">
            <v>Junior Associate - Government Relations</v>
          </cell>
        </row>
        <row r="1057">
          <cell r="A1057" t="str">
            <v>PEPPL0545</v>
          </cell>
          <cell r="Y1057" t="str">
            <v>Assistant General Manager - Stores</v>
          </cell>
        </row>
        <row r="1058">
          <cell r="A1058" t="str">
            <v>PSS0874</v>
          </cell>
          <cell r="Y1058" t="str">
            <v>Assistant General Manager - Stores</v>
          </cell>
        </row>
        <row r="1059">
          <cell r="A1059" t="str">
            <v>PEIPL0490</v>
          </cell>
          <cell r="Y1059" t="str">
            <v>Engineer</v>
          </cell>
        </row>
        <row r="1060">
          <cell r="A1060" t="str">
            <v>PSS1297</v>
          </cell>
          <cell r="Y1060" t="str">
            <v>Engineer</v>
          </cell>
        </row>
        <row r="1061">
          <cell r="A1061" t="str">
            <v>PEPPL0222</v>
          </cell>
          <cell r="Y1061" t="str">
            <v>Senior Technician</v>
          </cell>
        </row>
        <row r="1062">
          <cell r="A1062" t="str">
            <v>PSS0182</v>
          </cell>
          <cell r="Y1062" t="str">
            <v>Operator</v>
          </cell>
        </row>
        <row r="1063">
          <cell r="A1063" t="str">
            <v>PEIPL0512</v>
          </cell>
          <cell r="Y1063" t="str">
            <v>Senior Technician</v>
          </cell>
        </row>
        <row r="1064">
          <cell r="A1064" t="str">
            <v>PSS0831</v>
          </cell>
          <cell r="Y1064" t="str">
            <v>Senior Technician</v>
          </cell>
        </row>
        <row r="1065">
          <cell r="A1065" t="str">
            <v>PEIPL0543</v>
          </cell>
          <cell r="Y1065" t="str">
            <v>Technician</v>
          </cell>
        </row>
        <row r="1066">
          <cell r="A1066" t="str">
            <v>PSS0679</v>
          </cell>
          <cell r="Y1066" t="str">
            <v>Junior Engineer</v>
          </cell>
        </row>
        <row r="1067">
          <cell r="A1067" t="str">
            <v>PEPPL0505</v>
          </cell>
          <cell r="Y1067" t="str">
            <v>Senior Technician</v>
          </cell>
        </row>
        <row r="1068">
          <cell r="A1068" t="str">
            <v>PEPPL0008</v>
          </cell>
          <cell r="Y1068" t="str">
            <v>Assistant Manager - Finance &amp; Accounts</v>
          </cell>
        </row>
        <row r="1069">
          <cell r="A1069" t="str">
            <v>PEPPL0433</v>
          </cell>
          <cell r="Y1069" t="str">
            <v>Junior Engineer</v>
          </cell>
        </row>
        <row r="1070">
          <cell r="A1070" t="str">
            <v>PEGEPL0067</v>
          </cell>
          <cell r="Y1070" t="str">
            <v>Junior Engineer</v>
          </cell>
        </row>
        <row r="1071">
          <cell r="A1071" t="str">
            <v>PSS1022</v>
          </cell>
          <cell r="Y1071" t="str">
            <v>Executive - Sales &amp; Business Development</v>
          </cell>
        </row>
        <row r="1072">
          <cell r="A1072" t="str">
            <v>PEIPL0174</v>
          </cell>
          <cell r="Y1072" t="str">
            <v>Assistant Manager</v>
          </cell>
        </row>
        <row r="1073">
          <cell r="A1073" t="str">
            <v>PEPPL0118</v>
          </cell>
          <cell r="Y1073" t="str">
            <v>Assistant Manager - Maintenance</v>
          </cell>
        </row>
        <row r="1074">
          <cell r="A1074" t="str">
            <v>PSS1263</v>
          </cell>
          <cell r="Y1074" t="str">
            <v>Service Technician</v>
          </cell>
        </row>
        <row r="1075">
          <cell r="A1075" t="str">
            <v>PEPPL0065</v>
          </cell>
          <cell r="Y1075" t="str">
            <v>Senior Engineer</v>
          </cell>
        </row>
        <row r="1076">
          <cell r="A1076" t="str">
            <v>PEPPL0246</v>
          </cell>
          <cell r="Y1076" t="str">
            <v>Assistant Manager - Process</v>
          </cell>
        </row>
        <row r="1077">
          <cell r="A1077" t="str">
            <v>PEIPL0207</v>
          </cell>
          <cell r="Y1077" t="str">
            <v>Senior Engineer</v>
          </cell>
        </row>
        <row r="1078">
          <cell r="A1078" t="str">
            <v>PEPPL0051</v>
          </cell>
          <cell r="Y1078" t="str">
            <v>Senior Manager - Utility</v>
          </cell>
        </row>
        <row r="1079">
          <cell r="A1079" t="str">
            <v>PEPPL0826</v>
          </cell>
          <cell r="Y1079" t="str">
            <v>Senior Technician</v>
          </cell>
        </row>
        <row r="1080">
          <cell r="A1080" t="str">
            <v>PEPPL0056</v>
          </cell>
          <cell r="Y1080" t="str">
            <v>Deputy Manager - Safety</v>
          </cell>
        </row>
        <row r="1081">
          <cell r="A1081" t="str">
            <v>PEIPL0282</v>
          </cell>
          <cell r="Y1081" t="str">
            <v>Junior Engineer</v>
          </cell>
        </row>
        <row r="1082">
          <cell r="A1082" t="str">
            <v>PEGEPL0106</v>
          </cell>
          <cell r="Y1082" t="str">
            <v>Executive - Administration</v>
          </cell>
        </row>
        <row r="1083">
          <cell r="A1083" t="str">
            <v>P0293</v>
          </cell>
          <cell r="Y1083" t="str">
            <v>Helper</v>
          </cell>
        </row>
        <row r="1084">
          <cell r="A1084" t="str">
            <v>PEIPL0761</v>
          </cell>
          <cell r="Y1084" t="str">
            <v>Senior Technician</v>
          </cell>
        </row>
        <row r="1085">
          <cell r="A1085" t="str">
            <v>PSS0245</v>
          </cell>
          <cell r="Y1085" t="str">
            <v>Assistant Manager - Projects</v>
          </cell>
        </row>
        <row r="1086">
          <cell r="A1086" t="str">
            <v>PEIPL0750</v>
          </cell>
          <cell r="Y1086" t="str">
            <v>Senior Technician</v>
          </cell>
        </row>
        <row r="1087">
          <cell r="A1087" t="str">
            <v>PEPPL0857</v>
          </cell>
          <cell r="Y1087" t="str">
            <v>Junior Engineer</v>
          </cell>
        </row>
        <row r="1088">
          <cell r="A1088" t="str">
            <v>PEIPL0471</v>
          </cell>
          <cell r="Y1088" t="str">
            <v>Engineer</v>
          </cell>
        </row>
        <row r="1089">
          <cell r="A1089" t="str">
            <v>PEPPL0621</v>
          </cell>
          <cell r="Y1089" t="str">
            <v>Junior Technician</v>
          </cell>
        </row>
        <row r="1090">
          <cell r="A1090" t="str">
            <v>PEIPL0143</v>
          </cell>
          <cell r="Y1090" t="str">
            <v>Junior Engineer</v>
          </cell>
        </row>
        <row r="1091">
          <cell r="A1091" t="str">
            <v>PEPPL0876</v>
          </cell>
          <cell r="Y1091" t="str">
            <v>Assistant Manager - Finance &amp; Accounts</v>
          </cell>
        </row>
        <row r="1092">
          <cell r="A1092" t="str">
            <v>PEIPL0230</v>
          </cell>
          <cell r="Y1092" t="str">
            <v>Technician</v>
          </cell>
        </row>
        <row r="1093">
          <cell r="A1093" t="str">
            <v>PEIPL0041</v>
          </cell>
          <cell r="Y1093" t="str">
            <v>Junior Engineer</v>
          </cell>
        </row>
        <row r="1094">
          <cell r="A1094" t="str">
            <v>PEIPL0462</v>
          </cell>
          <cell r="Y1094" t="str">
            <v>Senior Engineer</v>
          </cell>
        </row>
        <row r="1095">
          <cell r="A1095" t="str">
            <v>PSS0995</v>
          </cell>
          <cell r="Y1095" t="str">
            <v>Service Technician</v>
          </cell>
        </row>
        <row r="1096">
          <cell r="A1096" t="str">
            <v>PEPPL0776</v>
          </cell>
          <cell r="Y1096" t="str">
            <v>Technician</v>
          </cell>
        </row>
        <row r="1097">
          <cell r="A1097" t="str">
            <v>PEIPL0709</v>
          </cell>
          <cell r="Y1097" t="str">
            <v>Engineer</v>
          </cell>
        </row>
        <row r="1098">
          <cell r="A1098" t="str">
            <v>PEIPL0210</v>
          </cell>
          <cell r="Y1098" t="str">
            <v>Junior Engineer</v>
          </cell>
        </row>
        <row r="1099">
          <cell r="A1099" t="str">
            <v>PEPPL0101</v>
          </cell>
          <cell r="Y1099" t="str">
            <v>Engineer</v>
          </cell>
        </row>
        <row r="1100">
          <cell r="A1100" t="str">
            <v>PEPPL0122</v>
          </cell>
          <cell r="Y1100" t="str">
            <v>Assistant Manager</v>
          </cell>
        </row>
        <row r="1101">
          <cell r="A1101" t="str">
            <v>PEIPL0306</v>
          </cell>
          <cell r="Y1101" t="str">
            <v>Junior Engineer</v>
          </cell>
        </row>
        <row r="1102">
          <cell r="A1102" t="str">
            <v>P0268</v>
          </cell>
          <cell r="Y1102" t="str">
            <v>Senior Operator</v>
          </cell>
        </row>
        <row r="1103">
          <cell r="A1103" t="str">
            <v>PEPPL0265</v>
          </cell>
          <cell r="Y1103" t="str">
            <v>Assistant Manager</v>
          </cell>
        </row>
        <row r="1104">
          <cell r="A1104" t="str">
            <v>P0250</v>
          </cell>
          <cell r="Y1104" t="str">
            <v>Operator</v>
          </cell>
        </row>
        <row r="1105">
          <cell r="A1105" t="str">
            <v>PSS0979</v>
          </cell>
          <cell r="Y1105" t="str">
            <v>Associate Manager - Business Development</v>
          </cell>
        </row>
        <row r="1106">
          <cell r="A1106" t="str">
            <v>PEPPL0323</v>
          </cell>
          <cell r="Y1106" t="str">
            <v>Assistant Manager</v>
          </cell>
        </row>
        <row r="1107">
          <cell r="A1107" t="str">
            <v>P0393</v>
          </cell>
          <cell r="Y1107" t="str">
            <v>Operator</v>
          </cell>
        </row>
        <row r="1108">
          <cell r="A1108" t="str">
            <v>PEPPL0639</v>
          </cell>
          <cell r="Y1108" t="str">
            <v>Assistant Manager</v>
          </cell>
        </row>
        <row r="1109">
          <cell r="A1109" t="str">
            <v>PEPPL0823</v>
          </cell>
          <cell r="Y1109" t="str">
            <v>Graduate Engineer Trainee</v>
          </cell>
        </row>
        <row r="1110">
          <cell r="A1110" t="str">
            <v>PEPPL0657</v>
          </cell>
          <cell r="Y1110" t="str">
            <v>Senior Executive - Sales &amp; Operations</v>
          </cell>
        </row>
        <row r="1111">
          <cell r="A1111" t="str">
            <v>PEIPL0146</v>
          </cell>
          <cell r="Y1111" t="str">
            <v>Assistant Engineer</v>
          </cell>
        </row>
        <row r="1112">
          <cell r="A1112" t="str">
            <v>PEPPL0397</v>
          </cell>
          <cell r="Y1112" t="str">
            <v>Technician</v>
          </cell>
        </row>
        <row r="1113">
          <cell r="A1113" t="str">
            <v>PEPPL0448</v>
          </cell>
          <cell r="Y1113" t="str">
            <v>Technician</v>
          </cell>
        </row>
        <row r="1114">
          <cell r="A1114" t="str">
            <v>PEPPL0174</v>
          </cell>
          <cell r="Y1114" t="str">
            <v>Technician</v>
          </cell>
        </row>
        <row r="1115">
          <cell r="A1115" t="str">
            <v>PEIPL0302</v>
          </cell>
          <cell r="Y1115" t="str">
            <v>Junior Engineer</v>
          </cell>
        </row>
        <row r="1116">
          <cell r="A1116" t="str">
            <v>PEGEPL0122</v>
          </cell>
          <cell r="Y1116" t="str">
            <v>Engineer</v>
          </cell>
        </row>
        <row r="1117">
          <cell r="A1117" t="str">
            <v>PEPPL0832</v>
          </cell>
          <cell r="Y1117" t="str">
            <v>Assistant Engineer</v>
          </cell>
        </row>
        <row r="1118">
          <cell r="A1118" t="str">
            <v>PSS1387</v>
          </cell>
          <cell r="Y1118" t="str">
            <v>Deputy Manager - Human Resources</v>
          </cell>
        </row>
        <row r="1119">
          <cell r="A1119" t="str">
            <v>PEPPL0381</v>
          </cell>
          <cell r="Y1119" t="str">
            <v>Technician</v>
          </cell>
        </row>
        <row r="1120">
          <cell r="A1120" t="str">
            <v>PEIPL0463</v>
          </cell>
          <cell r="Y1120" t="str">
            <v>Executive</v>
          </cell>
        </row>
        <row r="1121">
          <cell r="A1121" t="str">
            <v>PEIPL0492</v>
          </cell>
          <cell r="Y1121" t="str">
            <v>Senior Technician</v>
          </cell>
        </row>
        <row r="1122">
          <cell r="A1122" t="str">
            <v>PSS1052</v>
          </cell>
          <cell r="Y1122" t="str">
            <v>Senior Technician</v>
          </cell>
        </row>
        <row r="1123">
          <cell r="A1123" t="str">
            <v>PEPPL0386</v>
          </cell>
          <cell r="Y1123" t="str">
            <v>Junior Technician</v>
          </cell>
        </row>
        <row r="1124">
          <cell r="A1124" t="str">
            <v>PEPPL0205</v>
          </cell>
          <cell r="Y1124" t="str">
            <v>Deputy Manager - Quality</v>
          </cell>
        </row>
        <row r="1125">
          <cell r="A1125" t="str">
            <v>PSS1149</v>
          </cell>
          <cell r="Y1125" t="str">
            <v>Deputy Manager - Finance &amp; Accounts</v>
          </cell>
        </row>
        <row r="1126">
          <cell r="A1126" t="str">
            <v>PSS0261</v>
          </cell>
          <cell r="Y1126" t="str">
            <v>Helper</v>
          </cell>
        </row>
        <row r="1127">
          <cell r="A1127" t="str">
            <v>PEPPL0178</v>
          </cell>
          <cell r="Y1127" t="str">
            <v>Junior Technician</v>
          </cell>
        </row>
        <row r="1128">
          <cell r="A1128" t="str">
            <v>PSS1153</v>
          </cell>
          <cell r="Y1128" t="str">
            <v>Assistant Manager</v>
          </cell>
        </row>
        <row r="1129">
          <cell r="A1129" t="str">
            <v>P0365</v>
          </cell>
          <cell r="Y1129" t="str">
            <v>Helper</v>
          </cell>
        </row>
        <row r="1130">
          <cell r="A1130" t="str">
            <v>PEPPL0682</v>
          </cell>
          <cell r="Y1130" t="str">
            <v>Technician</v>
          </cell>
        </row>
        <row r="1131">
          <cell r="A1131" t="str">
            <v>PEIPL0654</v>
          </cell>
          <cell r="Y1131" t="str">
            <v>Deputy Engineer</v>
          </cell>
        </row>
        <row r="1132">
          <cell r="A1132" t="str">
            <v>PEIPL0213</v>
          </cell>
          <cell r="Y1132" t="str">
            <v>Assistant Engineer</v>
          </cell>
        </row>
        <row r="1133">
          <cell r="A1133" t="str">
            <v>PEIPL0446</v>
          </cell>
          <cell r="Y1133" t="str">
            <v>Engineer</v>
          </cell>
        </row>
        <row r="1134">
          <cell r="A1134" t="str">
            <v>PEPPL0213</v>
          </cell>
          <cell r="Y1134" t="str">
            <v>Technician</v>
          </cell>
        </row>
        <row r="1135">
          <cell r="A1135" t="str">
            <v>PEIPL0527</v>
          </cell>
          <cell r="Y1135" t="str">
            <v>Technician</v>
          </cell>
        </row>
        <row r="1136">
          <cell r="A1136" t="str">
            <v>PEPPL0688</v>
          </cell>
          <cell r="Y1136" t="str">
            <v>Technician</v>
          </cell>
        </row>
        <row r="1137">
          <cell r="A1137" t="str">
            <v>PEPPL0389</v>
          </cell>
          <cell r="Y1137" t="str">
            <v>Junior Technician</v>
          </cell>
        </row>
        <row r="1138">
          <cell r="A1138" t="str">
            <v>PEPPL0704</v>
          </cell>
          <cell r="Y1138" t="str">
            <v>Helper</v>
          </cell>
        </row>
        <row r="1139">
          <cell r="A1139" t="str">
            <v>PSS1084</v>
          </cell>
          <cell r="Y1139" t="str">
            <v>Junior Technician</v>
          </cell>
        </row>
        <row r="1140">
          <cell r="A1140" t="str">
            <v>PEPPL0254</v>
          </cell>
          <cell r="Y1140" t="str">
            <v>GEM - 1</v>
          </cell>
        </row>
        <row r="1141">
          <cell r="A1141" t="str">
            <v>PEIPL0556</v>
          </cell>
          <cell r="Y1141" t="str">
            <v>Graduate Engineer Trainee</v>
          </cell>
        </row>
        <row r="1142">
          <cell r="A1142" t="str">
            <v>PEPPL0758</v>
          </cell>
          <cell r="Y1142" t="str">
            <v>Graduate Engineer Trainee</v>
          </cell>
        </row>
        <row r="1143">
          <cell r="A1143" t="str">
            <v>PEPPL0388</v>
          </cell>
          <cell r="Y1143" t="str">
            <v>Senior Technician</v>
          </cell>
        </row>
        <row r="1144">
          <cell r="A1144" t="str">
            <v>PSS1329</v>
          </cell>
          <cell r="Y1144" t="str">
            <v>Senior Executive - Procurement</v>
          </cell>
        </row>
        <row r="1145">
          <cell r="A1145" t="str">
            <v>PEPPL0086</v>
          </cell>
          <cell r="Y1145" t="str">
            <v>Co Ordinator</v>
          </cell>
        </row>
        <row r="1146">
          <cell r="A1146" t="str">
            <v>PEIPL0175</v>
          </cell>
          <cell r="Y1146" t="str">
            <v>Junior Associate</v>
          </cell>
        </row>
        <row r="1147">
          <cell r="A1147" t="str">
            <v>PEIPL0026</v>
          </cell>
          <cell r="Y1147" t="str">
            <v>Deputy Manager</v>
          </cell>
        </row>
        <row r="1148">
          <cell r="A1148" t="str">
            <v>PEGEPL0097</v>
          </cell>
          <cell r="Y1148" t="str">
            <v>Senior Engineer</v>
          </cell>
        </row>
        <row r="1149">
          <cell r="A1149" t="str">
            <v>PEPPL0628</v>
          </cell>
          <cell r="Y1149" t="str">
            <v>Assistant Manager</v>
          </cell>
        </row>
        <row r="1150">
          <cell r="A1150" t="str">
            <v>PEPPL0121</v>
          </cell>
          <cell r="Y1150" t="str">
            <v>Senior Engineer</v>
          </cell>
        </row>
        <row r="1151">
          <cell r="A1151" t="str">
            <v>PEIPL0036</v>
          </cell>
          <cell r="Y1151" t="str">
            <v>Engineer</v>
          </cell>
        </row>
        <row r="1152">
          <cell r="A1152" t="str">
            <v>PEPPL0013</v>
          </cell>
          <cell r="Y1152" t="str">
            <v>Assistant Manager - Product Development</v>
          </cell>
        </row>
        <row r="1153">
          <cell r="A1153" t="str">
            <v>PEPPL0544</v>
          </cell>
          <cell r="Y1153" t="str">
            <v>Engineer</v>
          </cell>
        </row>
        <row r="1154">
          <cell r="A1154" t="str">
            <v>PEIPL0403</v>
          </cell>
          <cell r="Y1154" t="str">
            <v>Engineer</v>
          </cell>
        </row>
        <row r="1155">
          <cell r="A1155" t="str">
            <v>PEIPL0253</v>
          </cell>
          <cell r="Y1155" t="str">
            <v>Assistant Engineer</v>
          </cell>
        </row>
        <row r="1156">
          <cell r="A1156" t="str">
            <v>PEPPL0892</v>
          </cell>
          <cell r="Y1156" t="str">
            <v>Executive - Sales &amp; Operations</v>
          </cell>
        </row>
        <row r="1157">
          <cell r="A1157" t="str">
            <v>PSS1014</v>
          </cell>
          <cell r="Y1157" t="str">
            <v>Project Engineer</v>
          </cell>
        </row>
        <row r="1158">
          <cell r="A1158" t="str">
            <v>PEGEPL0027</v>
          </cell>
          <cell r="Y1158" t="str">
            <v>Junior Officer</v>
          </cell>
        </row>
        <row r="1159">
          <cell r="A1159" t="str">
            <v>PEIPL0573</v>
          </cell>
          <cell r="Y1159" t="str">
            <v>Technician</v>
          </cell>
        </row>
        <row r="1160">
          <cell r="A1160" t="str">
            <v>PEIPL0725</v>
          </cell>
          <cell r="Y1160" t="str">
            <v>Junior Engineer</v>
          </cell>
        </row>
        <row r="1161">
          <cell r="A1161" t="str">
            <v>PEIPL0497</v>
          </cell>
          <cell r="Y1161" t="str">
            <v>Engineer - Quality</v>
          </cell>
        </row>
        <row r="1162">
          <cell r="A1162" t="str">
            <v>PSS0735</v>
          </cell>
          <cell r="Y1162" t="str">
            <v>Engineer</v>
          </cell>
        </row>
        <row r="1163">
          <cell r="A1163" t="str">
            <v>PEIPL0333</v>
          </cell>
          <cell r="Y1163" t="str">
            <v>Assistant Manager - Production</v>
          </cell>
        </row>
        <row r="1164">
          <cell r="A1164" t="str">
            <v>PEPPL0029</v>
          </cell>
          <cell r="Y1164" t="str">
            <v>Assistant Manager - Maintenance</v>
          </cell>
        </row>
        <row r="1165">
          <cell r="A1165" t="str">
            <v>PEPPL0477</v>
          </cell>
          <cell r="Y1165" t="str">
            <v>Senior Technician</v>
          </cell>
        </row>
        <row r="1166">
          <cell r="A1166" t="str">
            <v>PEPPL0522</v>
          </cell>
          <cell r="Y1166" t="str">
            <v>Junior Engineer</v>
          </cell>
        </row>
        <row r="1167">
          <cell r="A1167" t="str">
            <v>PEPPL0328</v>
          </cell>
          <cell r="Y1167" t="str">
            <v>Technician</v>
          </cell>
        </row>
        <row r="1168">
          <cell r="A1168" t="str">
            <v>PEPPL0558</v>
          </cell>
          <cell r="Y1168" t="str">
            <v>Senior Technician</v>
          </cell>
        </row>
        <row r="1169">
          <cell r="A1169" t="str">
            <v>PEIPL0078</v>
          </cell>
          <cell r="Y1169" t="str">
            <v>Junior Engineer</v>
          </cell>
        </row>
        <row r="1170">
          <cell r="A1170" t="str">
            <v>PEPPL0184</v>
          </cell>
          <cell r="Y1170" t="str">
            <v>Junior Engineer</v>
          </cell>
        </row>
        <row r="1171">
          <cell r="A1171" t="str">
            <v>PEPPL0851</v>
          </cell>
          <cell r="Y1171" t="str">
            <v>Senior Safety Officer</v>
          </cell>
        </row>
        <row r="1172">
          <cell r="A1172" t="str">
            <v>PEPPL0155</v>
          </cell>
          <cell r="Y1172" t="str">
            <v>Senior Executive - Accounts</v>
          </cell>
        </row>
        <row r="1173">
          <cell r="A1173" t="str">
            <v>PEIPL0393</v>
          </cell>
          <cell r="Y1173" t="str">
            <v>Senior Technician</v>
          </cell>
        </row>
        <row r="1174">
          <cell r="A1174" t="str">
            <v>PEPPL0617</v>
          </cell>
          <cell r="Y1174" t="str">
            <v>Technician</v>
          </cell>
        </row>
        <row r="1175">
          <cell r="A1175" t="str">
            <v>PEIPL0789</v>
          </cell>
          <cell r="Y1175" t="str">
            <v>Junior Maintenance Engineer</v>
          </cell>
        </row>
        <row r="1176">
          <cell r="A1176" t="str">
            <v>PEPPL0868</v>
          </cell>
          <cell r="Y1176" t="str">
            <v>Junior Maintenance Engineer</v>
          </cell>
        </row>
        <row r="1177">
          <cell r="A1177" t="str">
            <v>PEIPL0249</v>
          </cell>
          <cell r="Y1177" t="str">
            <v>Senior Technician</v>
          </cell>
        </row>
        <row r="1178">
          <cell r="A1178" t="str">
            <v>PEIPL0460</v>
          </cell>
          <cell r="Y1178" t="str">
            <v>Senior Engineer - Maintenance</v>
          </cell>
        </row>
        <row r="1179">
          <cell r="A1179" t="str">
            <v>P0423</v>
          </cell>
          <cell r="Y1179" t="str">
            <v>Senior Executive - Finance &amp; Accounts</v>
          </cell>
        </row>
        <row r="1180">
          <cell r="A1180" t="str">
            <v>PEPPL0134</v>
          </cell>
          <cell r="Y1180" t="str">
            <v>Assistant Manager</v>
          </cell>
        </row>
        <row r="1181">
          <cell r="A1181" t="str">
            <v>PEGEPL0063</v>
          </cell>
          <cell r="Y1181" t="str">
            <v>Deputy Engineer</v>
          </cell>
        </row>
        <row r="1182">
          <cell r="A1182" t="str">
            <v>PEPPL0839</v>
          </cell>
          <cell r="Y1182" t="str">
            <v>Junior Engineer</v>
          </cell>
        </row>
        <row r="1183">
          <cell r="A1183" t="str">
            <v>PEPPL0293</v>
          </cell>
          <cell r="Y1183" t="str">
            <v>Assistant Manager</v>
          </cell>
        </row>
        <row r="1184">
          <cell r="A1184" t="str">
            <v>PEGEPL0086</v>
          </cell>
          <cell r="Y1184" t="str">
            <v>Junior Engineer</v>
          </cell>
        </row>
        <row r="1185">
          <cell r="A1185" t="str">
            <v>PEIPL0298</v>
          </cell>
          <cell r="Y1185" t="str">
            <v>Junior Engineer</v>
          </cell>
        </row>
        <row r="1186">
          <cell r="A1186" t="str">
            <v>PEPPL0840</v>
          </cell>
          <cell r="Y1186" t="str">
            <v>Junior Engineer</v>
          </cell>
        </row>
        <row r="1187">
          <cell r="A1187" t="str">
            <v>PSS1375</v>
          </cell>
          <cell r="Y1187" t="str">
            <v>Assistant Manager - Tenders</v>
          </cell>
        </row>
        <row r="1188">
          <cell r="A1188" t="str">
            <v>PEPPL0286</v>
          </cell>
          <cell r="Y1188" t="str">
            <v>GEM - 2</v>
          </cell>
        </row>
        <row r="1189">
          <cell r="A1189" t="str">
            <v>PEIPL0362</v>
          </cell>
          <cell r="Y1189" t="str">
            <v>Technician</v>
          </cell>
        </row>
        <row r="1190">
          <cell r="A1190" t="str">
            <v>PSS1354</v>
          </cell>
          <cell r="Y1190" t="str">
            <v>Senior Executive - Finance &amp; Accounts</v>
          </cell>
        </row>
        <row r="1191">
          <cell r="A1191" t="str">
            <v>PEIPL0270</v>
          </cell>
          <cell r="Y1191" t="str">
            <v>Junior Engineer</v>
          </cell>
        </row>
        <row r="1192">
          <cell r="A1192" t="str">
            <v>PEGEPL0036</v>
          </cell>
          <cell r="Y1192" t="str">
            <v>Junior Engineer</v>
          </cell>
        </row>
        <row r="1193">
          <cell r="A1193" t="str">
            <v>PEPPL0794</v>
          </cell>
          <cell r="Y1193" t="str">
            <v>Junior Engineer</v>
          </cell>
        </row>
        <row r="1194">
          <cell r="A1194" t="str">
            <v>P0468</v>
          </cell>
          <cell r="Y1194" t="str">
            <v>Senior Engineer</v>
          </cell>
        </row>
        <row r="1195">
          <cell r="A1195" t="str">
            <v>PEIPL0019</v>
          </cell>
          <cell r="Y1195" t="str">
            <v>Manager - Procurement</v>
          </cell>
        </row>
        <row r="1196">
          <cell r="A1196" t="str">
            <v>PEIPL0247</v>
          </cell>
          <cell r="Y1196" t="str">
            <v>Junior Engineer</v>
          </cell>
        </row>
        <row r="1197">
          <cell r="A1197" t="str">
            <v>PEGEPL0041</v>
          </cell>
          <cell r="Y1197" t="str">
            <v>Junior Engineer</v>
          </cell>
        </row>
        <row r="1198">
          <cell r="A1198" t="str">
            <v>PEPPL0004</v>
          </cell>
          <cell r="Y1198" t="str">
            <v>Assistant General Manager - Maintenance</v>
          </cell>
        </row>
        <row r="1199">
          <cell r="A1199" t="str">
            <v>PEIPL0025</v>
          </cell>
          <cell r="Y1199" t="str">
            <v>Assistant Manager</v>
          </cell>
        </row>
        <row r="1200">
          <cell r="A1200" t="str">
            <v>PSS0280</v>
          </cell>
          <cell r="Y1200" t="str">
            <v>Shift Incharge</v>
          </cell>
        </row>
        <row r="1201">
          <cell r="A1201" t="str">
            <v>PSS1007</v>
          </cell>
          <cell r="Y1201" t="str">
            <v>MIS Executive</v>
          </cell>
        </row>
        <row r="1202">
          <cell r="A1202" t="str">
            <v>PEIPL0177</v>
          </cell>
          <cell r="Y1202" t="str">
            <v>Assistant Manager</v>
          </cell>
        </row>
        <row r="1203">
          <cell r="A1203" t="str">
            <v>PEPPL0259</v>
          </cell>
          <cell r="Y1203" t="str">
            <v>GEM - 1</v>
          </cell>
        </row>
        <row r="1204">
          <cell r="A1204" t="str">
            <v>PEIPL0332</v>
          </cell>
          <cell r="Y1204" t="str">
            <v>Technician</v>
          </cell>
        </row>
        <row r="1205">
          <cell r="A1205" t="str">
            <v>PEPPL0400</v>
          </cell>
          <cell r="Y1205" t="str">
            <v>Junior Technician</v>
          </cell>
        </row>
        <row r="1206">
          <cell r="A1206" t="str">
            <v>PEPPL0260</v>
          </cell>
          <cell r="Y1206" t="str">
            <v>GEM - 1</v>
          </cell>
        </row>
        <row r="1207">
          <cell r="A1207" t="str">
            <v>PEIPL0149</v>
          </cell>
          <cell r="Y1207" t="str">
            <v>Senior Engineer</v>
          </cell>
        </row>
        <row r="1208">
          <cell r="A1208" t="str">
            <v>PSS1020</v>
          </cell>
          <cell r="Y1208" t="str">
            <v>Engineer</v>
          </cell>
        </row>
        <row r="1209">
          <cell r="A1209" t="str">
            <v>PSS1281</v>
          </cell>
          <cell r="Y1209" t="str">
            <v>Senior Executive - Procurement</v>
          </cell>
        </row>
        <row r="1210">
          <cell r="A1210" t="str">
            <v>PSS0928</v>
          </cell>
          <cell r="Y1210" t="str">
            <v>Operator</v>
          </cell>
        </row>
        <row r="1211">
          <cell r="A1211" t="str">
            <v>PSS1242</v>
          </cell>
          <cell r="Y1211" t="str">
            <v>Senior Executive - Finance &amp; Accounts</v>
          </cell>
        </row>
        <row r="1212">
          <cell r="A1212" t="str">
            <v>PSS1148</v>
          </cell>
          <cell r="Y1212" t="str">
            <v>Executive</v>
          </cell>
        </row>
        <row r="1213">
          <cell r="A1213" t="str">
            <v>PEPPL0284</v>
          </cell>
          <cell r="Y1213" t="str">
            <v>Senior Engineer</v>
          </cell>
        </row>
        <row r="1214">
          <cell r="A1214" t="str">
            <v>PEPPL0616</v>
          </cell>
          <cell r="Y1214" t="str">
            <v>Senior Technician</v>
          </cell>
        </row>
        <row r="1215">
          <cell r="A1215" t="str">
            <v>PEPPL0390</v>
          </cell>
          <cell r="Y1215" t="str">
            <v>Junior Technician</v>
          </cell>
        </row>
        <row r="1216">
          <cell r="A1216" t="str">
            <v>PEIPL0699</v>
          </cell>
          <cell r="Y1216" t="str">
            <v>Deputy Engineer</v>
          </cell>
        </row>
        <row r="1217">
          <cell r="A1217" t="str">
            <v>PEPPL0049</v>
          </cell>
          <cell r="Y1217" t="str">
            <v>Associate Manager - Process</v>
          </cell>
        </row>
        <row r="1218">
          <cell r="A1218" t="str">
            <v>PEPPL0050</v>
          </cell>
          <cell r="Y1218" t="str">
            <v>Assistant Manager - Process</v>
          </cell>
        </row>
        <row r="1219">
          <cell r="A1219" t="str">
            <v>PEPPL0172</v>
          </cell>
          <cell r="Y1219" t="str">
            <v>Senior Technician</v>
          </cell>
        </row>
        <row r="1220">
          <cell r="A1220" t="str">
            <v>PEIPL0453</v>
          </cell>
          <cell r="Y1220" t="str">
            <v>Assistant Manager</v>
          </cell>
        </row>
        <row r="1221">
          <cell r="A1221" t="str">
            <v>PSS1293</v>
          </cell>
          <cell r="Y1221" t="str">
            <v>Senior Engineer</v>
          </cell>
        </row>
        <row r="1222">
          <cell r="A1222" t="str">
            <v>PEIPL0356</v>
          </cell>
          <cell r="Y1222" t="str">
            <v>Graduate Engineer Trainee</v>
          </cell>
        </row>
        <row r="1223">
          <cell r="A1223" t="str">
            <v>PEIPL0126</v>
          </cell>
          <cell r="Y1223" t="str">
            <v>Junior Engineer</v>
          </cell>
        </row>
        <row r="1224">
          <cell r="A1224" t="str">
            <v>PEPPL0503</v>
          </cell>
          <cell r="Y1224" t="str">
            <v>Engineer</v>
          </cell>
        </row>
        <row r="1225">
          <cell r="A1225" t="str">
            <v>P0137</v>
          </cell>
          <cell r="Y1225" t="str">
            <v>Operator</v>
          </cell>
        </row>
        <row r="1226">
          <cell r="A1226" t="str">
            <v>PEGEPL0059</v>
          </cell>
          <cell r="Y1226" t="str">
            <v>Senior Engineer</v>
          </cell>
        </row>
        <row r="1227">
          <cell r="A1227" t="str">
            <v>PEIPL0470</v>
          </cell>
          <cell r="Y1227" t="str">
            <v>Senior Engineer - Maintenance</v>
          </cell>
        </row>
        <row r="1228">
          <cell r="A1228" t="str">
            <v>PSS1062</v>
          </cell>
          <cell r="Y1228" t="str">
            <v>Engineer</v>
          </cell>
        </row>
        <row r="1229">
          <cell r="A1229" t="str">
            <v>P0125</v>
          </cell>
          <cell r="Y1229" t="str">
            <v>Operator</v>
          </cell>
        </row>
        <row r="1230">
          <cell r="A1230" t="str">
            <v>PEIPL0331</v>
          </cell>
          <cell r="Y1230" t="str">
            <v>Technician</v>
          </cell>
        </row>
        <row r="1231">
          <cell r="A1231" t="str">
            <v>PEPPL0297</v>
          </cell>
          <cell r="Y1231" t="str">
            <v>Junior Engineer</v>
          </cell>
        </row>
        <row r="1232">
          <cell r="A1232" t="str">
            <v>PSS1284</v>
          </cell>
          <cell r="Y1232" t="str">
            <v>Service Technician</v>
          </cell>
        </row>
        <row r="1233">
          <cell r="A1233" t="str">
            <v>PEIPL0281</v>
          </cell>
          <cell r="Y1233" t="str">
            <v>Junior Engineer</v>
          </cell>
        </row>
        <row r="1234">
          <cell r="A1234" t="str">
            <v>PEIPL0056</v>
          </cell>
          <cell r="Y1234" t="str">
            <v>Junior Engineer</v>
          </cell>
        </row>
        <row r="1235">
          <cell r="A1235" t="str">
            <v>PEIPL0009</v>
          </cell>
          <cell r="Y1235" t="str">
            <v>Senior Officer - Safety</v>
          </cell>
        </row>
        <row r="1236">
          <cell r="A1236" t="str">
            <v>PSS0247</v>
          </cell>
          <cell r="Y1236" t="str">
            <v>Service Engineer</v>
          </cell>
        </row>
        <row r="1237">
          <cell r="A1237" t="str">
            <v>PSS1422</v>
          </cell>
          <cell r="Y1237" t="str">
            <v>Executive</v>
          </cell>
        </row>
        <row r="1238">
          <cell r="A1238" t="str">
            <v>PEIPL0076</v>
          </cell>
          <cell r="Y1238" t="str">
            <v>Junior Engineer</v>
          </cell>
        </row>
        <row r="1239">
          <cell r="A1239" t="str">
            <v>PEIPL0058</v>
          </cell>
          <cell r="Y1239" t="str">
            <v>Junior Engineer</v>
          </cell>
        </row>
        <row r="1240">
          <cell r="A1240" t="str">
            <v>PEPPL0624</v>
          </cell>
          <cell r="Y1240" t="str">
            <v>Junior Technician</v>
          </cell>
        </row>
        <row r="1241">
          <cell r="A1241" t="str">
            <v>PEPPL0080</v>
          </cell>
          <cell r="Y1241" t="str">
            <v>Deputy Manager</v>
          </cell>
        </row>
        <row r="1242">
          <cell r="A1242" t="str">
            <v>PEPPL0194</v>
          </cell>
          <cell r="Y1242" t="str">
            <v>Engineer</v>
          </cell>
        </row>
        <row r="1243">
          <cell r="A1243" t="str">
            <v>BDPL0009</v>
          </cell>
          <cell r="Y1243" t="str">
            <v>Technician</v>
          </cell>
        </row>
        <row r="1244">
          <cell r="A1244" t="str">
            <v>P0350</v>
          </cell>
          <cell r="Y1244" t="str">
            <v>Technician</v>
          </cell>
        </row>
        <row r="1245">
          <cell r="A1245" t="str">
            <v>P0487</v>
          </cell>
          <cell r="Y1245" t="str">
            <v>Senior Technician</v>
          </cell>
        </row>
        <row r="1246">
          <cell r="A1246" t="str">
            <v>PEIPL0505</v>
          </cell>
          <cell r="Y1246" t="str">
            <v>Engineer</v>
          </cell>
        </row>
        <row r="1247">
          <cell r="A1247" t="str">
            <v>PSS1158</v>
          </cell>
          <cell r="Y1247" t="str">
            <v>Sr. Executive</v>
          </cell>
        </row>
        <row r="1248">
          <cell r="A1248" t="str">
            <v>PEPPL0069</v>
          </cell>
          <cell r="Y1248" t="str">
            <v>Deputy Manager - Production</v>
          </cell>
        </row>
        <row r="1249">
          <cell r="A1249" t="str">
            <v>PEPPL0104</v>
          </cell>
          <cell r="Y1249" t="str">
            <v>Deputy Manager - Production</v>
          </cell>
        </row>
        <row r="1250">
          <cell r="A1250" t="str">
            <v>PEIPL0343</v>
          </cell>
          <cell r="Y1250" t="str">
            <v>Graduate Engineer Trainee</v>
          </cell>
        </row>
        <row r="1251">
          <cell r="A1251" t="str">
            <v>PEPPL0804</v>
          </cell>
          <cell r="Y1251" t="str">
            <v>Graduate Engineer Trainee</v>
          </cell>
        </row>
        <row r="1252">
          <cell r="A1252" t="str">
            <v>PEPPL0842</v>
          </cell>
          <cell r="Y1252" t="str">
            <v>Junior Engineer</v>
          </cell>
        </row>
        <row r="1253">
          <cell r="A1253" t="str">
            <v>PEGEPL0078</v>
          </cell>
          <cell r="Y1253" t="str">
            <v>Senior Engineer</v>
          </cell>
        </row>
        <row r="1254">
          <cell r="A1254" t="str">
            <v>PEIPL0745</v>
          </cell>
          <cell r="Y1254" t="str">
            <v>Senior Technician</v>
          </cell>
        </row>
        <row r="1255">
          <cell r="A1255" t="str">
            <v>PEPPL0891</v>
          </cell>
          <cell r="Y1255" t="str">
            <v>Engineer</v>
          </cell>
        </row>
        <row r="1256">
          <cell r="A1256" t="str">
            <v>PSS0763</v>
          </cell>
          <cell r="Y1256" t="str">
            <v>Service Technician</v>
          </cell>
        </row>
        <row r="1257">
          <cell r="A1257" t="str">
            <v>PEPPL0413</v>
          </cell>
          <cell r="Y1257" t="str">
            <v>Junior Engineer</v>
          </cell>
        </row>
        <row r="1258">
          <cell r="A1258" t="str">
            <v>PEPPL0519</v>
          </cell>
          <cell r="Y1258" t="str">
            <v>Senior Engineer</v>
          </cell>
        </row>
        <row r="1259">
          <cell r="A1259" t="str">
            <v>PEIPL0661</v>
          </cell>
          <cell r="Y1259" t="str">
            <v>Junior Technician</v>
          </cell>
        </row>
        <row r="1260">
          <cell r="A1260" t="str">
            <v>PEPPL0609</v>
          </cell>
          <cell r="Y1260" t="str">
            <v>GEM - 1</v>
          </cell>
        </row>
        <row r="1261">
          <cell r="A1261" t="str">
            <v>PEPPL0873</v>
          </cell>
          <cell r="Y1261" t="str">
            <v>Junior Engineer</v>
          </cell>
        </row>
        <row r="1262">
          <cell r="A1262" t="str">
            <v>PEPPL0209</v>
          </cell>
          <cell r="Y1262" t="str">
            <v>Junior Engineer</v>
          </cell>
        </row>
        <row r="1263">
          <cell r="A1263" t="str">
            <v>PEIPL0095</v>
          </cell>
          <cell r="Y1263" t="str">
            <v>Senior Engineer</v>
          </cell>
        </row>
        <row r="1264">
          <cell r="A1264" t="str">
            <v>PEIPL0074</v>
          </cell>
          <cell r="Y1264" t="str">
            <v>Assistant Engineer</v>
          </cell>
        </row>
        <row r="1265">
          <cell r="A1265" t="str">
            <v>PEPPL0764</v>
          </cell>
          <cell r="Y1265" t="str">
            <v>Diploma Engineer Trainee</v>
          </cell>
        </row>
        <row r="1266">
          <cell r="A1266" t="str">
            <v>PEPPL0064</v>
          </cell>
          <cell r="Y1266" t="str">
            <v>Senior Engineer</v>
          </cell>
        </row>
        <row r="1267">
          <cell r="A1267" t="str">
            <v>PSS1363</v>
          </cell>
          <cell r="Y1267" t="str">
            <v>Assistant Manager - Finance &amp; Accounts</v>
          </cell>
        </row>
        <row r="1268">
          <cell r="A1268" t="str">
            <v>PEPPL0855</v>
          </cell>
          <cell r="Y1268" t="str">
            <v>Associate Manager</v>
          </cell>
        </row>
        <row r="1269">
          <cell r="A1269" t="str">
            <v>PEIPL0435</v>
          </cell>
          <cell r="Y1269" t="str">
            <v>Senior Engineer - Maintenance</v>
          </cell>
        </row>
        <row r="1270">
          <cell r="A1270" t="str">
            <v>PEIPL0271</v>
          </cell>
          <cell r="Y1270" t="str">
            <v>Junior Engineer</v>
          </cell>
        </row>
        <row r="1271">
          <cell r="A1271" t="str">
            <v>PEIPL0764</v>
          </cell>
          <cell r="Y1271" t="str">
            <v>Senior Engineer</v>
          </cell>
        </row>
        <row r="1272">
          <cell r="A1272" t="str">
            <v>PEIPL0098</v>
          </cell>
          <cell r="Y1272" t="str">
            <v>Junior Engineer</v>
          </cell>
        </row>
        <row r="1273">
          <cell r="A1273" t="str">
            <v>PSS1289</v>
          </cell>
          <cell r="Y1273" t="str">
            <v>Associate Manager - Sales &amp; Operations</v>
          </cell>
        </row>
        <row r="1274">
          <cell r="A1274" t="str">
            <v>PEGEPL0020</v>
          </cell>
          <cell r="Y1274" t="str">
            <v>Assistant Manager</v>
          </cell>
        </row>
        <row r="1275">
          <cell r="A1275" t="str">
            <v>PEIPL0248</v>
          </cell>
          <cell r="Y1275" t="str">
            <v>Senior Engineer</v>
          </cell>
        </row>
        <row r="1276">
          <cell r="A1276" t="str">
            <v>PSS1397</v>
          </cell>
          <cell r="Y1276" t="str">
            <v>Vice President - Human Resources</v>
          </cell>
        </row>
        <row r="1277">
          <cell r="A1277" t="str">
            <v>PEIPL0499</v>
          </cell>
          <cell r="Y1277" t="str">
            <v>Senior Engineer</v>
          </cell>
        </row>
        <row r="1278">
          <cell r="A1278" t="str">
            <v>PSS0887</v>
          </cell>
          <cell r="Y1278" t="str">
            <v>Senior Engineer</v>
          </cell>
        </row>
        <row r="1279">
          <cell r="A1279" t="str">
            <v>PEPPL0343</v>
          </cell>
          <cell r="Y1279" t="str">
            <v>Engineer</v>
          </cell>
        </row>
        <row r="1280">
          <cell r="A1280" t="str">
            <v>PEIPL0051</v>
          </cell>
          <cell r="Y1280" t="str">
            <v>Senior Manager - Procurement</v>
          </cell>
        </row>
        <row r="1281">
          <cell r="A1281" t="str">
            <v>PEIPL0708</v>
          </cell>
          <cell r="Y1281" t="str">
            <v>Consultant</v>
          </cell>
        </row>
        <row r="1282">
          <cell r="A1282" t="str">
            <v>PEPPL0733</v>
          </cell>
          <cell r="Y1282" t="str">
            <v>Technician</v>
          </cell>
        </row>
        <row r="1283">
          <cell r="A1283" t="str">
            <v>PEIPL0515</v>
          </cell>
          <cell r="Y1283" t="str">
            <v>Engineer</v>
          </cell>
        </row>
        <row r="1284">
          <cell r="A1284" t="str">
            <v>PEIPL0089</v>
          </cell>
          <cell r="Y1284" t="str">
            <v>Engineer</v>
          </cell>
        </row>
        <row r="1285">
          <cell r="A1285" t="str">
            <v>PSS0769</v>
          </cell>
          <cell r="Y1285" t="str">
            <v>Engineer</v>
          </cell>
        </row>
        <row r="1286">
          <cell r="A1286" t="str">
            <v>PEIPL0006</v>
          </cell>
          <cell r="Y1286" t="str">
            <v>Executive</v>
          </cell>
        </row>
        <row r="1287">
          <cell r="A1287" t="str">
            <v>PEIPL0509</v>
          </cell>
          <cell r="Y1287" t="str">
            <v>Junior Engineer</v>
          </cell>
        </row>
        <row r="1288">
          <cell r="A1288" t="str">
            <v>PSS0915</v>
          </cell>
          <cell r="Y1288" t="str">
            <v>Junior Engineer</v>
          </cell>
        </row>
        <row r="1289">
          <cell r="A1289" t="str">
            <v>PSS0544</v>
          </cell>
          <cell r="Y1289" t="str">
            <v>Junior Engineer</v>
          </cell>
        </row>
        <row r="1290">
          <cell r="A1290" t="str">
            <v>PSS1406</v>
          </cell>
          <cell r="Y1290" t="str">
            <v>Assistant Manager - Data Analysis</v>
          </cell>
        </row>
        <row r="1291">
          <cell r="A1291" t="str">
            <v>PEPPL0800</v>
          </cell>
          <cell r="Y1291" t="str">
            <v>Management Trainee - Finance &amp; Accounts</v>
          </cell>
        </row>
        <row r="1292">
          <cell r="A1292" t="str">
            <v>PSS0213</v>
          </cell>
          <cell r="Y1292" t="str">
            <v>Senior Technician</v>
          </cell>
        </row>
        <row r="1293">
          <cell r="A1293" t="str">
            <v>PEIPL0694</v>
          </cell>
          <cell r="Y1293" t="str">
            <v>Senior Technician</v>
          </cell>
        </row>
        <row r="1294">
          <cell r="A1294" t="str">
            <v>PEPPL0305</v>
          </cell>
          <cell r="Y1294" t="str">
            <v>Technician</v>
          </cell>
        </row>
        <row r="1295">
          <cell r="A1295" t="str">
            <v>PEPPL0193</v>
          </cell>
          <cell r="Y1295" t="str">
            <v>Senior Technician</v>
          </cell>
        </row>
        <row r="1296">
          <cell r="A1296" t="str">
            <v>PEIPL0657</v>
          </cell>
          <cell r="Y1296" t="str">
            <v>Assistant Engineer</v>
          </cell>
        </row>
        <row r="1297">
          <cell r="A1297" t="str">
            <v>PEPPL0825</v>
          </cell>
          <cell r="Y1297" t="str">
            <v>Senior Technician</v>
          </cell>
        </row>
        <row r="1298">
          <cell r="A1298" t="str">
            <v>PEPPL0367</v>
          </cell>
          <cell r="Y1298" t="str">
            <v>Deputy Engineer</v>
          </cell>
        </row>
        <row r="1299">
          <cell r="A1299" t="str">
            <v>P0196</v>
          </cell>
          <cell r="Y1299" t="str">
            <v>Procurement Executive</v>
          </cell>
        </row>
        <row r="1300">
          <cell r="A1300" t="str">
            <v>PSS1305</v>
          </cell>
          <cell r="Y1300" t="str">
            <v>Engineer</v>
          </cell>
        </row>
        <row r="1301">
          <cell r="A1301" t="str">
            <v>PSS1167</v>
          </cell>
          <cell r="Y1301" t="str">
            <v>Service Technician</v>
          </cell>
        </row>
        <row r="1302">
          <cell r="A1302" t="str">
            <v>PEPPL0788</v>
          </cell>
          <cell r="Y1302" t="str">
            <v>Engineer</v>
          </cell>
        </row>
        <row r="1303">
          <cell r="A1303" t="str">
            <v>PEIPL0059</v>
          </cell>
          <cell r="Y1303" t="str">
            <v>Assistant Engineer</v>
          </cell>
        </row>
        <row r="1304">
          <cell r="A1304" t="str">
            <v>PEIPL0775</v>
          </cell>
          <cell r="Y1304" t="str">
            <v>Technician</v>
          </cell>
        </row>
        <row r="1305">
          <cell r="A1305" t="str">
            <v>PEPPL0802</v>
          </cell>
          <cell r="Y1305" t="str">
            <v>Junior Engineer</v>
          </cell>
        </row>
        <row r="1306">
          <cell r="A1306" t="str">
            <v>PEIPL0170</v>
          </cell>
          <cell r="Y1306" t="str">
            <v>Junior Engineer</v>
          </cell>
        </row>
        <row r="1307">
          <cell r="A1307" t="str">
            <v>PEIPL0274</v>
          </cell>
          <cell r="Y1307" t="str">
            <v>Senior Technician</v>
          </cell>
        </row>
        <row r="1308">
          <cell r="A1308" t="str">
            <v>PSS0991</v>
          </cell>
          <cell r="Y1308" t="str">
            <v>Site Supervisor</v>
          </cell>
        </row>
        <row r="1309">
          <cell r="A1309" t="str">
            <v>PEIPL0318</v>
          </cell>
          <cell r="Y1309" t="str">
            <v>Junior Engineer</v>
          </cell>
        </row>
        <row r="1310">
          <cell r="A1310" t="str">
            <v>PEIPL0681</v>
          </cell>
          <cell r="Y1310" t="str">
            <v>Senior Technician</v>
          </cell>
        </row>
        <row r="1311">
          <cell r="A1311" t="str">
            <v>PEIPL0266</v>
          </cell>
          <cell r="Y1311" t="str">
            <v>Junior Engineer</v>
          </cell>
        </row>
        <row r="1312">
          <cell r="A1312" t="str">
            <v>PEIPL0052</v>
          </cell>
          <cell r="Y1312" t="str">
            <v>Junior Engineer</v>
          </cell>
        </row>
        <row r="1313">
          <cell r="A1313" t="str">
            <v>PEIPL0757</v>
          </cell>
          <cell r="Y1313" t="str">
            <v>Junior Engineer</v>
          </cell>
        </row>
        <row r="1314">
          <cell r="A1314" t="str">
            <v>PEIPL0457</v>
          </cell>
          <cell r="Y1314" t="str">
            <v>Senior Engineer</v>
          </cell>
        </row>
        <row r="1315">
          <cell r="A1315" t="str">
            <v>PEIPL0735</v>
          </cell>
          <cell r="Y1315" t="str">
            <v>Junior Engineer</v>
          </cell>
        </row>
        <row r="1316">
          <cell r="A1316" t="str">
            <v>PSS1138</v>
          </cell>
          <cell r="Y1316" t="str">
            <v>Engineer</v>
          </cell>
        </row>
        <row r="1317">
          <cell r="A1317" t="str">
            <v>PSS0782</v>
          </cell>
          <cell r="Y1317" t="str">
            <v>Assistant Manager</v>
          </cell>
        </row>
        <row r="1318">
          <cell r="A1318" t="str">
            <v>PEIPL0779</v>
          </cell>
          <cell r="Y1318" t="str">
            <v>Diploma Engineer Trainee</v>
          </cell>
        </row>
        <row r="1319">
          <cell r="A1319" t="str">
            <v>P0269</v>
          </cell>
          <cell r="Y1319" t="str">
            <v>Operator</v>
          </cell>
        </row>
        <row r="1320">
          <cell r="A1320" t="str">
            <v>PEPPL0247</v>
          </cell>
          <cell r="Y1320" t="str">
            <v>Senior Engineer</v>
          </cell>
        </row>
        <row r="1321">
          <cell r="A1321" t="str">
            <v>PEPPL0308</v>
          </cell>
          <cell r="Y1321" t="str">
            <v>Senior Engineer</v>
          </cell>
        </row>
        <row r="1322">
          <cell r="A1322" t="str">
            <v>PEPPL0334</v>
          </cell>
          <cell r="Y1322" t="str">
            <v>Senior Engineer</v>
          </cell>
        </row>
        <row r="1323">
          <cell r="A1323" t="str">
            <v>BDPL0027</v>
          </cell>
          <cell r="Y1323" t="str">
            <v>Security Guard</v>
          </cell>
        </row>
        <row r="1324">
          <cell r="A1324" t="str">
            <v>P0432</v>
          </cell>
          <cell r="Y1324" t="str">
            <v>Security Guard</v>
          </cell>
        </row>
        <row r="1325">
          <cell r="A1325" t="str">
            <v>PEIPL0151</v>
          </cell>
          <cell r="Y1325" t="str">
            <v>Junior Engineer</v>
          </cell>
        </row>
        <row r="1326">
          <cell r="A1326" t="str">
            <v>PEPPL0807</v>
          </cell>
          <cell r="Y1326" t="str">
            <v>Junior Engineer</v>
          </cell>
        </row>
        <row r="1327">
          <cell r="A1327" t="str">
            <v>PEGEPL0098</v>
          </cell>
          <cell r="Y1327" t="str">
            <v>Senior Technician</v>
          </cell>
        </row>
        <row r="1328">
          <cell r="A1328" t="str">
            <v>PEPPL0862</v>
          </cell>
          <cell r="Y1328" t="str">
            <v>Junior Engineer</v>
          </cell>
        </row>
        <row r="1329">
          <cell r="A1329" t="str">
            <v>PEPPL0724</v>
          </cell>
          <cell r="Y1329" t="str">
            <v>Senior Technician</v>
          </cell>
        </row>
        <row r="1330">
          <cell r="A1330" t="str">
            <v>PEIPL0129</v>
          </cell>
          <cell r="Y1330" t="str">
            <v>Engineer</v>
          </cell>
        </row>
        <row r="1331">
          <cell r="A1331" t="str">
            <v>PEPPL0091</v>
          </cell>
          <cell r="Y1331" t="str">
            <v>Assistant Manager</v>
          </cell>
        </row>
        <row r="1332">
          <cell r="A1332" t="str">
            <v>PEPPL0102</v>
          </cell>
          <cell r="Y1332" t="str">
            <v>Deputy Manager</v>
          </cell>
        </row>
        <row r="1333">
          <cell r="A1333" t="str">
            <v>PEIPL0562</v>
          </cell>
          <cell r="Y1333" t="str">
            <v>Senior Engineer</v>
          </cell>
        </row>
        <row r="1334">
          <cell r="A1334" t="str">
            <v>BDPL0031</v>
          </cell>
          <cell r="Y1334" t="str">
            <v>Assistant Manager - Projects</v>
          </cell>
        </row>
        <row r="1335">
          <cell r="A1335" t="str">
            <v>P0409</v>
          </cell>
          <cell r="Y1335" t="str">
            <v>Officer</v>
          </cell>
        </row>
        <row r="1336">
          <cell r="A1336" t="str">
            <v>PEIPL0608</v>
          </cell>
          <cell r="Y1336" t="str">
            <v>Junior Engineer</v>
          </cell>
        </row>
        <row r="1337">
          <cell r="A1337" t="str">
            <v>PEPPL0485</v>
          </cell>
          <cell r="Y1337" t="str">
            <v>Senior Manager - Finance &amp; Accounts</v>
          </cell>
        </row>
        <row r="1338">
          <cell r="A1338" t="str">
            <v>PEIPL0632</v>
          </cell>
          <cell r="Y1338" t="str">
            <v>Assistant Manager - Administration</v>
          </cell>
        </row>
        <row r="1339">
          <cell r="A1339" t="str">
            <v>PEPPL0200</v>
          </cell>
          <cell r="Y1339" t="str">
            <v>Technician</v>
          </cell>
        </row>
        <row r="1340">
          <cell r="A1340" t="str">
            <v>PEIPL0638</v>
          </cell>
          <cell r="Y1340" t="str">
            <v>Senior Engineer</v>
          </cell>
        </row>
        <row r="1341">
          <cell r="A1341" t="str">
            <v>PSS0656</v>
          </cell>
          <cell r="Y1341" t="str">
            <v>Engineer</v>
          </cell>
        </row>
        <row r="1342">
          <cell r="A1342" t="str">
            <v>PEIPL0250</v>
          </cell>
          <cell r="Y1342" t="str">
            <v>Junior Engineer</v>
          </cell>
        </row>
        <row r="1343">
          <cell r="A1343" t="str">
            <v>PSS0903</v>
          </cell>
          <cell r="Y1343" t="str">
            <v>Engineer</v>
          </cell>
        </row>
        <row r="1344">
          <cell r="A1344" t="str">
            <v>PEPPL0301</v>
          </cell>
          <cell r="Y1344" t="str">
            <v>Technician</v>
          </cell>
        </row>
        <row r="1345">
          <cell r="A1345" t="str">
            <v>PSS0988</v>
          </cell>
          <cell r="Y1345" t="str">
            <v>Associate Manager - Taxation</v>
          </cell>
        </row>
        <row r="1346">
          <cell r="A1346" t="str">
            <v>PEPPL0712</v>
          </cell>
          <cell r="Y1346" t="str">
            <v>Helper</v>
          </cell>
        </row>
        <row r="1347">
          <cell r="A1347" t="str">
            <v>PSS1365</v>
          </cell>
          <cell r="Y1347" t="str">
            <v>Senior Manager - Global Marketing &amp; Communication</v>
          </cell>
        </row>
        <row r="1348">
          <cell r="A1348" t="str">
            <v>PEIPL0466</v>
          </cell>
          <cell r="Y1348" t="str">
            <v>Assistant Manager</v>
          </cell>
        </row>
        <row r="1349">
          <cell r="A1349" t="str">
            <v>PEPPL0173</v>
          </cell>
          <cell r="Y1349" t="str">
            <v>Junior Technician</v>
          </cell>
        </row>
        <row r="1350">
          <cell r="A1350" t="str">
            <v>PSS1147</v>
          </cell>
          <cell r="Y1350" t="str">
            <v>Engineer</v>
          </cell>
        </row>
        <row r="1351">
          <cell r="A1351" t="str">
            <v>PSS1414</v>
          </cell>
          <cell r="Y1351" t="str">
            <v>Assistant Company Secretary</v>
          </cell>
        </row>
        <row r="1352">
          <cell r="A1352" t="str">
            <v>PEPPL0608</v>
          </cell>
          <cell r="Y1352" t="str">
            <v>Lead Site Specialist</v>
          </cell>
        </row>
        <row r="1353">
          <cell r="A1353" t="str">
            <v>PEPPL0869</v>
          </cell>
          <cell r="Y1353" t="str">
            <v>Assistant Engineer</v>
          </cell>
        </row>
        <row r="1354">
          <cell r="A1354" t="str">
            <v>PEPPL0606</v>
          </cell>
          <cell r="Y1354" t="str">
            <v>Senior Manager - Process</v>
          </cell>
        </row>
        <row r="1355">
          <cell r="A1355" t="str">
            <v>PEPPL0799</v>
          </cell>
          <cell r="Y1355" t="str">
            <v>Junior Engineer</v>
          </cell>
        </row>
        <row r="1356">
          <cell r="A1356" t="str">
            <v>PEIPL0414</v>
          </cell>
          <cell r="Y1356" t="str">
            <v>Senior Engineer</v>
          </cell>
        </row>
        <row r="1357">
          <cell r="A1357" t="str">
            <v>PEGEPL0058</v>
          </cell>
          <cell r="Y1357" t="str">
            <v>Deputy Engineer</v>
          </cell>
        </row>
        <row r="1358">
          <cell r="A1358" t="str">
            <v>P0404</v>
          </cell>
          <cell r="Y1358" t="str">
            <v>Executive - Finance &amp; Accounts</v>
          </cell>
        </row>
        <row r="1359">
          <cell r="A1359" t="str">
            <v>PSS0303</v>
          </cell>
          <cell r="Y1359" t="str">
            <v>Helper</v>
          </cell>
        </row>
        <row r="1360">
          <cell r="A1360" t="str">
            <v>PSS0304</v>
          </cell>
          <cell r="Y1360" t="str">
            <v>Junior Engineer</v>
          </cell>
        </row>
        <row r="1361">
          <cell r="A1361" t="str">
            <v>PEIPL0485</v>
          </cell>
          <cell r="Y1361" t="str">
            <v>Engineer</v>
          </cell>
        </row>
        <row r="1362">
          <cell r="A1362" t="str">
            <v>PEIPL0386</v>
          </cell>
          <cell r="Y1362" t="str">
            <v>Junior Engineer</v>
          </cell>
        </row>
        <row r="1363">
          <cell r="A1363" t="str">
            <v>PSS1368</v>
          </cell>
          <cell r="Y1363" t="str">
            <v>Assistant Manager - Finance &amp; Accounts</v>
          </cell>
        </row>
        <row r="1364">
          <cell r="A1364" t="str">
            <v>PEIPL0701</v>
          </cell>
          <cell r="Y1364" t="str">
            <v>Junior Officer</v>
          </cell>
        </row>
        <row r="1365">
          <cell r="A1365" t="str">
            <v>PEPPL0257</v>
          </cell>
          <cell r="Y1365" t="str">
            <v>GEM - 1</v>
          </cell>
        </row>
        <row r="1366">
          <cell r="A1366" t="str">
            <v>BDPL0029</v>
          </cell>
          <cell r="Y1366" t="str">
            <v>Engineer</v>
          </cell>
        </row>
        <row r="1367">
          <cell r="A1367" t="str">
            <v>P0311</v>
          </cell>
          <cell r="Y1367" t="str">
            <v>Engineer</v>
          </cell>
        </row>
        <row r="1368">
          <cell r="A1368" t="str">
            <v>P0434</v>
          </cell>
          <cell r="Y1368" t="str">
            <v>Engineer</v>
          </cell>
        </row>
        <row r="1369">
          <cell r="A1369" t="str">
            <v>P0476</v>
          </cell>
          <cell r="Y1369" t="str">
            <v>Engineer</v>
          </cell>
        </row>
        <row r="1370">
          <cell r="A1370" t="str">
            <v>PEPPL0773</v>
          </cell>
          <cell r="Y1370" t="str">
            <v>Junior Engineer</v>
          </cell>
        </row>
        <row r="1371">
          <cell r="A1371" t="str">
            <v>PEPPL0853</v>
          </cell>
          <cell r="Y1371" t="str">
            <v>Junior Engineer</v>
          </cell>
        </row>
        <row r="1372">
          <cell r="A1372" t="str">
            <v>PEPPL0775</v>
          </cell>
          <cell r="Y1372" t="str">
            <v>Junior Engineer</v>
          </cell>
        </row>
        <row r="1373">
          <cell r="A1373" t="str">
            <v>PEGEPL0129</v>
          </cell>
          <cell r="Y1373" t="str">
            <v>Deputy Engineer</v>
          </cell>
        </row>
        <row r="1374">
          <cell r="A1374" t="str">
            <v>PEIPL0075</v>
          </cell>
          <cell r="Y1374" t="str">
            <v>Assistant Engineer</v>
          </cell>
        </row>
        <row r="1375">
          <cell r="A1375" t="str">
            <v>PEPPL0746</v>
          </cell>
          <cell r="Y1375" t="str">
            <v>Assistant Manager</v>
          </cell>
        </row>
        <row r="1376">
          <cell r="A1376" t="str">
            <v>PEPPL0132</v>
          </cell>
          <cell r="Y1376" t="str">
            <v>Senior Engineer</v>
          </cell>
        </row>
        <row r="1377">
          <cell r="A1377" t="str">
            <v>PEPPL0818</v>
          </cell>
          <cell r="Y1377" t="str">
            <v>Junior Engineer</v>
          </cell>
        </row>
        <row r="1378">
          <cell r="A1378" t="str">
            <v>PEIPL0007</v>
          </cell>
          <cell r="Y1378" t="str">
            <v>Senior Engineer</v>
          </cell>
        </row>
        <row r="1379">
          <cell r="A1379" t="str">
            <v>PEPPL0058</v>
          </cell>
          <cell r="Y1379" t="str">
            <v>Senior Engineer</v>
          </cell>
        </row>
        <row r="1380">
          <cell r="A1380" t="str">
            <v>PEIPL0063</v>
          </cell>
          <cell r="Y1380" t="str">
            <v>Junior Engineer</v>
          </cell>
        </row>
        <row r="1381">
          <cell r="A1381" t="str">
            <v>PSS0159</v>
          </cell>
          <cell r="Y1381" t="str">
            <v>Senior Operator</v>
          </cell>
        </row>
        <row r="1382">
          <cell r="A1382" t="str">
            <v>PSS0993</v>
          </cell>
          <cell r="Y1382" t="str">
            <v>Project Coordinator</v>
          </cell>
        </row>
        <row r="1383">
          <cell r="A1383" t="str">
            <v>PEPPL0255</v>
          </cell>
          <cell r="Y1383" t="str">
            <v>GEM - 1</v>
          </cell>
        </row>
        <row r="1384">
          <cell r="A1384" t="str">
            <v>PEGEPL0137</v>
          </cell>
          <cell r="Y1384" t="str">
            <v>Graduate Engineer Trainee</v>
          </cell>
        </row>
        <row r="1385">
          <cell r="A1385" t="str">
            <v>PEIPL0142</v>
          </cell>
          <cell r="Y1385" t="str">
            <v>Deputy Manager - Procurement</v>
          </cell>
        </row>
        <row r="1386">
          <cell r="A1386" t="str">
            <v>PEPPL0717</v>
          </cell>
          <cell r="Y1386" t="str">
            <v>Senior Engineer - Projects</v>
          </cell>
        </row>
        <row r="1387">
          <cell r="A1387" t="str">
            <v>P0500</v>
          </cell>
          <cell r="Y1387" t="str">
            <v>Engineer</v>
          </cell>
        </row>
        <row r="1388">
          <cell r="A1388" t="str">
            <v>PEPPL0785</v>
          </cell>
          <cell r="Y1388" t="str">
            <v>Executive</v>
          </cell>
        </row>
        <row r="1389">
          <cell r="A1389" t="str">
            <v>PEGEPL0109</v>
          </cell>
          <cell r="Y1389" t="str">
            <v>Executive</v>
          </cell>
        </row>
        <row r="1390">
          <cell r="A1390" t="str">
            <v>PEPPL0464</v>
          </cell>
          <cell r="Y1390" t="str">
            <v>Senior Engineer</v>
          </cell>
        </row>
        <row r="1391">
          <cell r="A1391" t="str">
            <v>PEPPL0382</v>
          </cell>
          <cell r="Y1391" t="str">
            <v>Senior Technician</v>
          </cell>
        </row>
        <row r="1392">
          <cell r="A1392" t="str">
            <v>PEIPL0749</v>
          </cell>
          <cell r="Y1392" t="str">
            <v>Senior Engineer</v>
          </cell>
        </row>
        <row r="1393">
          <cell r="A1393" t="str">
            <v>PEIPL0136</v>
          </cell>
          <cell r="Y1393" t="str">
            <v>Operator</v>
          </cell>
        </row>
        <row r="1394">
          <cell r="A1394" t="str">
            <v>PEPPL0422</v>
          </cell>
          <cell r="Y1394" t="str">
            <v>Senior Technician</v>
          </cell>
        </row>
        <row r="1395">
          <cell r="A1395" t="str">
            <v>PEPPL0258</v>
          </cell>
          <cell r="Y1395" t="str">
            <v>Senior Engineer</v>
          </cell>
        </row>
        <row r="1396">
          <cell r="A1396" t="str">
            <v>P0121</v>
          </cell>
          <cell r="Y1396" t="str">
            <v>Executive</v>
          </cell>
        </row>
        <row r="1397">
          <cell r="A1397" t="str">
            <v>PEPPL0629</v>
          </cell>
          <cell r="Y1397" t="str">
            <v>Senior Engineer</v>
          </cell>
        </row>
        <row r="1398">
          <cell r="A1398" t="str">
            <v>P0431</v>
          </cell>
          <cell r="Y1398" t="str">
            <v>Engineer</v>
          </cell>
        </row>
        <row r="1399">
          <cell r="A1399" t="str">
            <v>PEIPL0138</v>
          </cell>
          <cell r="Y1399" t="str">
            <v>Junior Engineer</v>
          </cell>
        </row>
        <row r="1400">
          <cell r="A1400" t="str">
            <v>BDPL0017</v>
          </cell>
          <cell r="Y1400" t="str">
            <v>Operator</v>
          </cell>
        </row>
        <row r="1401">
          <cell r="A1401" t="str">
            <v>P0358</v>
          </cell>
          <cell r="Y1401" t="str">
            <v>Operator</v>
          </cell>
        </row>
        <row r="1402">
          <cell r="A1402" t="str">
            <v>P0492</v>
          </cell>
          <cell r="Y1402" t="str">
            <v>Operator</v>
          </cell>
        </row>
        <row r="1403">
          <cell r="A1403" t="str">
            <v>PSS1324</v>
          </cell>
          <cell r="Y1403" t="str">
            <v>Technician</v>
          </cell>
        </row>
        <row r="1404">
          <cell r="A1404" t="str">
            <v>PEIPL0590</v>
          </cell>
          <cell r="Y1404" t="str">
            <v>Executive</v>
          </cell>
        </row>
        <row r="1405">
          <cell r="A1405" t="str">
            <v>PEIPL0458</v>
          </cell>
          <cell r="Y1405" t="str">
            <v>Senior Engineer</v>
          </cell>
        </row>
        <row r="1406">
          <cell r="A1406" t="str">
            <v>PEPPL0421</v>
          </cell>
          <cell r="Y1406" t="str">
            <v>Engineer</v>
          </cell>
        </row>
        <row r="1407">
          <cell r="A1407" t="str">
            <v>PEGEPL0107</v>
          </cell>
          <cell r="Y1407" t="str">
            <v>Engineer - Quality</v>
          </cell>
        </row>
        <row r="1408">
          <cell r="A1408" t="str">
            <v>BDPL0026</v>
          </cell>
          <cell r="Y1408" t="str">
            <v>Helper</v>
          </cell>
        </row>
        <row r="1409">
          <cell r="A1409" t="str">
            <v>P0469</v>
          </cell>
          <cell r="Y1409" t="str">
            <v>Helper</v>
          </cell>
        </row>
        <row r="1410">
          <cell r="A1410" t="str">
            <v>BDPL0028</v>
          </cell>
          <cell r="Y1410" t="str">
            <v>Security Guard</v>
          </cell>
        </row>
        <row r="1411">
          <cell r="A1411" t="str">
            <v>P0495</v>
          </cell>
          <cell r="Y1411" t="str">
            <v>Security Guard</v>
          </cell>
        </row>
        <row r="1412">
          <cell r="A1412" t="str">
            <v>BDPL0008</v>
          </cell>
          <cell r="Y1412" t="str">
            <v>Helper</v>
          </cell>
        </row>
        <row r="1413">
          <cell r="A1413" t="str">
            <v>P0348</v>
          </cell>
          <cell r="Y1413" t="str">
            <v>Helper</v>
          </cell>
        </row>
        <row r="1414">
          <cell r="A1414" t="str">
            <v>P0479</v>
          </cell>
          <cell r="Y1414" t="str">
            <v>Helper</v>
          </cell>
        </row>
        <row r="1415">
          <cell r="A1415" t="str">
            <v>PEPPL0813</v>
          </cell>
          <cell r="Y1415" t="str">
            <v>Senior Technician</v>
          </cell>
        </row>
        <row r="1416">
          <cell r="A1416" t="str">
            <v>PEIPL0329</v>
          </cell>
          <cell r="Y1416" t="str">
            <v>Assistant Engineer</v>
          </cell>
        </row>
        <row r="1417">
          <cell r="A1417" t="str">
            <v>PEIPL0240</v>
          </cell>
          <cell r="Y1417" t="str">
            <v>Manager - Stores</v>
          </cell>
        </row>
        <row r="1418">
          <cell r="A1418" t="str">
            <v>PEPPL0313</v>
          </cell>
          <cell r="Y1418" t="str">
            <v>Senior Technician</v>
          </cell>
        </row>
        <row r="1419">
          <cell r="A1419" t="str">
            <v>PEGEPL0004</v>
          </cell>
          <cell r="Y1419" t="str">
            <v>Senior Technician</v>
          </cell>
        </row>
        <row r="1420">
          <cell r="A1420" t="str">
            <v>PSS0051</v>
          </cell>
          <cell r="Y1420" t="str">
            <v>Helper</v>
          </cell>
        </row>
        <row r="1421">
          <cell r="A1421" t="str">
            <v>PEPPL0506</v>
          </cell>
          <cell r="Y1421" t="str">
            <v>Engineer</v>
          </cell>
        </row>
        <row r="1422">
          <cell r="A1422" t="str">
            <v>PEPPL0154</v>
          </cell>
          <cell r="Y1422" t="str">
            <v>Senior Engineer</v>
          </cell>
        </row>
        <row r="1423">
          <cell r="A1423" t="str">
            <v>PEPPL0059</v>
          </cell>
          <cell r="Y1423" t="str">
            <v>Executive</v>
          </cell>
        </row>
        <row r="1424">
          <cell r="A1424" t="str">
            <v>PEPPL0289</v>
          </cell>
          <cell r="Y1424" t="str">
            <v>Shift Incharge</v>
          </cell>
        </row>
        <row r="1425">
          <cell r="A1425" t="str">
            <v>PEPPL0236</v>
          </cell>
          <cell r="Y1425" t="str">
            <v>Senior Engineer</v>
          </cell>
        </row>
        <row r="1426">
          <cell r="A1426" t="str">
            <v>PSS1210</v>
          </cell>
          <cell r="Y1426" t="str">
            <v>Senior Engineer</v>
          </cell>
        </row>
        <row r="1427">
          <cell r="A1427" t="str">
            <v>PSS1330</v>
          </cell>
          <cell r="Y1427" t="str">
            <v>Helper</v>
          </cell>
        </row>
        <row r="1428">
          <cell r="A1428" t="str">
            <v>PSS0676</v>
          </cell>
          <cell r="Y1428" t="str">
            <v>Office Assistant</v>
          </cell>
        </row>
        <row r="1429">
          <cell r="A1429" t="str">
            <v>PSS0370</v>
          </cell>
          <cell r="Y1429" t="str">
            <v>Technician</v>
          </cell>
        </row>
        <row r="1430">
          <cell r="A1430" t="str">
            <v>PEIPL0576</v>
          </cell>
          <cell r="Y1430" t="str">
            <v>Senior Technician</v>
          </cell>
        </row>
        <row r="1431">
          <cell r="A1431" t="str">
            <v>PEPPL0263</v>
          </cell>
          <cell r="Y1431" t="str">
            <v>Executive - Stores</v>
          </cell>
        </row>
        <row r="1432">
          <cell r="A1432" t="str">
            <v>PEPPL0294</v>
          </cell>
          <cell r="Y1432" t="str">
            <v>Fork Lift Driver</v>
          </cell>
        </row>
        <row r="1433">
          <cell r="A1433" t="str">
            <v>PEPPL0623</v>
          </cell>
          <cell r="Y1433" t="str">
            <v>Junior Technician</v>
          </cell>
        </row>
        <row r="1434">
          <cell r="A1434" t="str">
            <v>PEIPL0721</v>
          </cell>
          <cell r="Y1434" t="str">
            <v>Consultant</v>
          </cell>
        </row>
        <row r="1435">
          <cell r="A1435" t="str">
            <v>PSS0096</v>
          </cell>
          <cell r="Y1435" t="str">
            <v>Senior Engineer</v>
          </cell>
        </row>
        <row r="1436">
          <cell r="A1436" t="str">
            <v>PEIPL0523</v>
          </cell>
          <cell r="Y1436" t="str">
            <v>Senior Engineer</v>
          </cell>
        </row>
        <row r="1437">
          <cell r="A1437" t="str">
            <v>PEPPL0465</v>
          </cell>
          <cell r="Y1437" t="str">
            <v>Technician</v>
          </cell>
        </row>
        <row r="1438">
          <cell r="A1438" t="str">
            <v>P0286</v>
          </cell>
          <cell r="Y1438" t="str">
            <v>Helper</v>
          </cell>
        </row>
        <row r="1439">
          <cell r="A1439" t="str">
            <v>PEIPL0195</v>
          </cell>
          <cell r="Y1439" t="str">
            <v>Engineer</v>
          </cell>
        </row>
        <row r="1440">
          <cell r="A1440" t="str">
            <v>PEIPL0062</v>
          </cell>
          <cell r="Y1440" t="str">
            <v>Assistant Engineer</v>
          </cell>
        </row>
        <row r="1441">
          <cell r="A1441" t="str">
            <v>PEIPL0243</v>
          </cell>
          <cell r="Y1441" t="str">
            <v>Assistant Manager - Human Resources</v>
          </cell>
        </row>
        <row r="1442">
          <cell r="A1442" t="str">
            <v>P0403</v>
          </cell>
          <cell r="Y1442" t="str">
            <v>Senior Manager - Finance &amp; Accounts</v>
          </cell>
        </row>
        <row r="1443">
          <cell r="A1443" t="str">
            <v>PSS0777</v>
          </cell>
          <cell r="Y1443" t="str">
            <v>Procurement Engineer</v>
          </cell>
        </row>
        <row r="1444">
          <cell r="A1444" t="str">
            <v>PSS0587</v>
          </cell>
          <cell r="Y1444" t="str">
            <v>Service Engineer</v>
          </cell>
        </row>
        <row r="1445">
          <cell r="A1445" t="str">
            <v>PEIPL0474</v>
          </cell>
          <cell r="Y1445" t="str">
            <v>Senior Technician</v>
          </cell>
        </row>
        <row r="1446">
          <cell r="A1446" t="str">
            <v>PSS0867</v>
          </cell>
          <cell r="Y1446" t="str">
            <v>Deputy Manager - Quality</v>
          </cell>
        </row>
        <row r="1447">
          <cell r="A1447" t="str">
            <v>PEIPL0628</v>
          </cell>
          <cell r="Y1447" t="str">
            <v>Graduate Engineer Trainee</v>
          </cell>
        </row>
        <row r="1448">
          <cell r="A1448" t="str">
            <v>PEIPL0445</v>
          </cell>
          <cell r="Y1448" t="str">
            <v>Engineer</v>
          </cell>
        </row>
        <row r="1449">
          <cell r="A1449" t="str">
            <v>PSS1304</v>
          </cell>
          <cell r="Y1449" t="str">
            <v>Assistant Company Secretary</v>
          </cell>
        </row>
        <row r="1450">
          <cell r="A1450" t="str">
            <v>PEIPL0181</v>
          </cell>
          <cell r="Y1450" t="str">
            <v>Senior Technician</v>
          </cell>
        </row>
        <row r="1451">
          <cell r="A1451" t="str">
            <v>PSS1247</v>
          </cell>
          <cell r="Y1451" t="str">
            <v>Electrician</v>
          </cell>
        </row>
        <row r="1452">
          <cell r="A1452" t="str">
            <v>PSS0093</v>
          </cell>
          <cell r="Y1452" t="str">
            <v>Shift Incharge</v>
          </cell>
        </row>
        <row r="1453">
          <cell r="A1453" t="str">
            <v>PEIPL0017</v>
          </cell>
          <cell r="Y1453" t="str">
            <v>Deputy Manager - Projects</v>
          </cell>
        </row>
        <row r="1454">
          <cell r="A1454" t="str">
            <v>PEPPL0147</v>
          </cell>
          <cell r="Y1454" t="str">
            <v>Vice President</v>
          </cell>
        </row>
        <row r="1455">
          <cell r="A1455" t="str">
            <v>PSS1222</v>
          </cell>
          <cell r="Y1455" t="str">
            <v>Vice President</v>
          </cell>
        </row>
        <row r="1456">
          <cell r="A1456" t="str">
            <v>PEGEPL0046</v>
          </cell>
          <cell r="Y1456" t="str">
            <v>Senior Technician</v>
          </cell>
        </row>
        <row r="1457">
          <cell r="A1457" t="str">
            <v>PSS1373</v>
          </cell>
          <cell r="Y1457" t="str">
            <v>Group Chief Financial Officer</v>
          </cell>
        </row>
        <row r="1458">
          <cell r="A1458" t="str">
            <v>PEIPL0511</v>
          </cell>
          <cell r="Y1458" t="str">
            <v>Deputy Engineer</v>
          </cell>
        </row>
        <row r="1459">
          <cell r="A1459" t="str">
            <v>PSS1166</v>
          </cell>
          <cell r="Y1459" t="str">
            <v>Assistant Engineer</v>
          </cell>
        </row>
        <row r="1460">
          <cell r="A1460" t="str">
            <v>PSS1196</v>
          </cell>
          <cell r="Y1460" t="str">
            <v>Vice President - Finance &amp; Accounts</v>
          </cell>
        </row>
        <row r="1461">
          <cell r="A1461" t="str">
            <v>PSS1334</v>
          </cell>
          <cell r="Y1461" t="str">
            <v>Vice President - Finance &amp; Accounts</v>
          </cell>
        </row>
        <row r="1462">
          <cell r="A1462" t="str">
            <v>PSS1189</v>
          </cell>
          <cell r="Y1462" t="str">
            <v>Graduate Engineer Trainee</v>
          </cell>
        </row>
        <row r="1463">
          <cell r="A1463" t="str">
            <v>PEGEPL0092</v>
          </cell>
          <cell r="Y1463" t="str">
            <v>Senior Manager - MEP</v>
          </cell>
        </row>
        <row r="1464">
          <cell r="A1464" t="str">
            <v>PSS1116</v>
          </cell>
          <cell r="Y1464" t="str">
            <v>Executive - Tenders</v>
          </cell>
        </row>
        <row r="1465">
          <cell r="A1465" t="str">
            <v>PEPPL0737</v>
          </cell>
          <cell r="Y1465" t="str">
            <v>Assistant Manager - Finance &amp; Accounts</v>
          </cell>
        </row>
        <row r="1466">
          <cell r="A1466" t="str">
            <v>PSS0199</v>
          </cell>
          <cell r="Y1466" t="str">
            <v>Project Coordinator</v>
          </cell>
        </row>
        <row r="1467">
          <cell r="A1467" t="str">
            <v>PEIPL0115</v>
          </cell>
          <cell r="Y1467" t="str">
            <v>Junior Engineer</v>
          </cell>
        </row>
        <row r="1468">
          <cell r="A1468" t="str">
            <v>PEIPL0426</v>
          </cell>
          <cell r="Y1468" t="str">
            <v>Technician</v>
          </cell>
        </row>
        <row r="1469">
          <cell r="A1469" t="str">
            <v>PEIPL0788</v>
          </cell>
          <cell r="Y1469" t="str">
            <v>Deputy Engineer</v>
          </cell>
        </row>
        <row r="1470">
          <cell r="A1470" t="str">
            <v>PEGEPL0006</v>
          </cell>
          <cell r="Y1470" t="str">
            <v>Senior Technician</v>
          </cell>
        </row>
        <row r="1471">
          <cell r="A1471" t="str">
            <v>PSS0039</v>
          </cell>
          <cell r="Y1471" t="str">
            <v>Helper</v>
          </cell>
        </row>
        <row r="1472">
          <cell r="A1472" t="str">
            <v>PSS1049</v>
          </cell>
          <cell r="Y1472" t="str">
            <v>Driver</v>
          </cell>
        </row>
        <row r="1473">
          <cell r="A1473" t="str">
            <v>PEPPL0518</v>
          </cell>
          <cell r="Y1473" t="str">
            <v>Senior Engineer</v>
          </cell>
        </row>
        <row r="1474">
          <cell r="A1474" t="str">
            <v>PSS1358</v>
          </cell>
          <cell r="Y1474" t="str">
            <v>Assistant Manager - Sales &amp; Business Development</v>
          </cell>
        </row>
        <row r="1475">
          <cell r="A1475" t="str">
            <v>P0239</v>
          </cell>
          <cell r="Y1475" t="str">
            <v>Senior Engineer</v>
          </cell>
        </row>
        <row r="1476">
          <cell r="A1476" t="str">
            <v>PEGEPL0100</v>
          </cell>
          <cell r="Y1476" t="str">
            <v>Deputy Manager - Finance &amp; Accounts</v>
          </cell>
        </row>
        <row r="1477">
          <cell r="A1477" t="str">
            <v>P0242</v>
          </cell>
          <cell r="Y1477" t="str">
            <v>Executive - Projects</v>
          </cell>
        </row>
        <row r="1478">
          <cell r="A1478" t="str">
            <v>PEPPL0252</v>
          </cell>
          <cell r="Y1478" t="str">
            <v>Shift Incharge</v>
          </cell>
        </row>
        <row r="1479">
          <cell r="A1479" t="str">
            <v>PEIPL0011</v>
          </cell>
          <cell r="Y1479" t="str">
            <v>Assistant Manager - Projects</v>
          </cell>
        </row>
        <row r="1480">
          <cell r="A1480" t="str">
            <v>P0170</v>
          </cell>
          <cell r="Y1480" t="str">
            <v>General Manager - Projects</v>
          </cell>
        </row>
        <row r="1481">
          <cell r="A1481" t="str">
            <v>PSS1221</v>
          </cell>
          <cell r="Y1481" t="str">
            <v>Assistant Vice President - Finance &amp; Accounts</v>
          </cell>
        </row>
        <row r="1482">
          <cell r="A1482" t="str">
            <v>PSS1096</v>
          </cell>
          <cell r="Y1482" t="str">
            <v>Deputy Manager - Finance &amp; Accounts</v>
          </cell>
        </row>
        <row r="1483">
          <cell r="A1483" t="str">
            <v>PEIPL0054</v>
          </cell>
          <cell r="Y1483" t="str">
            <v>Assistant Engineer</v>
          </cell>
        </row>
        <row r="1484">
          <cell r="A1484" t="str">
            <v>P0465</v>
          </cell>
          <cell r="Y1484" t="str">
            <v>Senior Engineer</v>
          </cell>
        </row>
        <row r="1485">
          <cell r="A1485" t="str">
            <v>PSS1280</v>
          </cell>
          <cell r="Y1485" t="str">
            <v>Service Technician</v>
          </cell>
        </row>
        <row r="1486">
          <cell r="A1486" t="str">
            <v>PEGEPL0045</v>
          </cell>
          <cell r="Y1486" t="str">
            <v>Deputy Engineer</v>
          </cell>
        </row>
        <row r="1487">
          <cell r="A1487" t="str">
            <v>PEPPL0781</v>
          </cell>
          <cell r="Y1487" t="str">
            <v>Graduate Engineer Trainee</v>
          </cell>
        </row>
        <row r="1488">
          <cell r="A1488" t="str">
            <v>PEIPL0716</v>
          </cell>
          <cell r="Y1488" t="str">
            <v>Manager</v>
          </cell>
        </row>
        <row r="1489">
          <cell r="A1489" t="str">
            <v>PEPPL0291</v>
          </cell>
          <cell r="Y1489" t="str">
            <v>Senior Executive - Human Resources</v>
          </cell>
        </row>
        <row r="1490">
          <cell r="A1490" t="str">
            <v>BDPL0025</v>
          </cell>
          <cell r="Y1490" t="str">
            <v>Helper</v>
          </cell>
        </row>
        <row r="1491">
          <cell r="A1491" t="str">
            <v>P0425</v>
          </cell>
          <cell r="Y1491" t="str">
            <v>Helper</v>
          </cell>
        </row>
        <row r="1492">
          <cell r="A1492" t="str">
            <v>P0494</v>
          </cell>
          <cell r="Y1492" t="str">
            <v>Helper</v>
          </cell>
        </row>
        <row r="1493">
          <cell r="A1493" t="str">
            <v>BDPL0006</v>
          </cell>
          <cell r="Y1493" t="str">
            <v>Helper</v>
          </cell>
        </row>
        <row r="1494">
          <cell r="A1494" t="str">
            <v>P0346</v>
          </cell>
          <cell r="Y1494" t="str">
            <v>Helper</v>
          </cell>
        </row>
        <row r="1495">
          <cell r="A1495" t="str">
            <v>P0477</v>
          </cell>
          <cell r="Y1495" t="str">
            <v>Helper</v>
          </cell>
        </row>
        <row r="1496">
          <cell r="A1496" t="str">
            <v>PEPPL0861</v>
          </cell>
          <cell r="Y1496" t="str">
            <v>Junior Engineer</v>
          </cell>
        </row>
        <row r="1497">
          <cell r="A1497" t="str">
            <v>PEIPL0155</v>
          </cell>
          <cell r="Y1497" t="str">
            <v>Junior Engineer</v>
          </cell>
        </row>
        <row r="1498">
          <cell r="A1498" t="str">
            <v>PSS0068</v>
          </cell>
          <cell r="Y1498" t="str">
            <v>Senior Manager - Logistics</v>
          </cell>
        </row>
        <row r="1499">
          <cell r="A1499" t="str">
            <v>PEIPL0309</v>
          </cell>
          <cell r="Y1499" t="str">
            <v>Executive</v>
          </cell>
        </row>
        <row r="1500">
          <cell r="A1500" t="str">
            <v>PEIPL0288</v>
          </cell>
          <cell r="Y1500" t="str">
            <v>Fork Lift Driver</v>
          </cell>
        </row>
        <row r="1501">
          <cell r="A1501" t="str">
            <v>PEPPL0463</v>
          </cell>
          <cell r="Y1501" t="str">
            <v>Senior Technician</v>
          </cell>
        </row>
        <row r="1502">
          <cell r="A1502" t="str">
            <v>PEPPL0269</v>
          </cell>
          <cell r="Y1502" t="str">
            <v>Senior Technician</v>
          </cell>
        </row>
        <row r="1503">
          <cell r="A1503" t="str">
            <v>P0504</v>
          </cell>
          <cell r="Y1503" t="str">
            <v>Engineer</v>
          </cell>
        </row>
        <row r="1504">
          <cell r="A1504" t="str">
            <v>PEGEPL0112</v>
          </cell>
          <cell r="Y1504" t="str">
            <v>Executive -  Stores</v>
          </cell>
        </row>
        <row r="1505">
          <cell r="A1505" t="str">
            <v>PSS1294</v>
          </cell>
          <cell r="Y1505" t="str">
            <v>Vice President - CS, Legal &amp; Compliance</v>
          </cell>
        </row>
        <row r="1506">
          <cell r="A1506" t="str">
            <v>PEIPL0201</v>
          </cell>
          <cell r="Y1506" t="str">
            <v>Assistant Manager - Stores</v>
          </cell>
        </row>
        <row r="1507">
          <cell r="A1507" t="str">
            <v>PSS0505</v>
          </cell>
          <cell r="Y1507" t="str">
            <v>Helper</v>
          </cell>
        </row>
        <row r="1508">
          <cell r="A1508" t="str">
            <v>PEPPL0383</v>
          </cell>
          <cell r="Y1508" t="str">
            <v>Engineer</v>
          </cell>
        </row>
        <row r="1509">
          <cell r="A1509" t="str">
            <v>PEIPL0100</v>
          </cell>
          <cell r="Y1509" t="str">
            <v>Senior Technician</v>
          </cell>
        </row>
        <row r="1510">
          <cell r="A1510" t="str">
            <v>PSS1381</v>
          </cell>
          <cell r="Y1510" t="str">
            <v>Junior Officer - Logistics</v>
          </cell>
        </row>
        <row r="1511">
          <cell r="A1511" t="str">
            <v>PEIPL0311</v>
          </cell>
          <cell r="Y1511" t="str">
            <v>Fork Lift Driver</v>
          </cell>
        </row>
        <row r="1512">
          <cell r="A1512" t="str">
            <v>PEIPL0783</v>
          </cell>
          <cell r="Y1512" t="str">
            <v>Technician</v>
          </cell>
        </row>
        <row r="1513">
          <cell r="A1513" t="str">
            <v>PSS1390</v>
          </cell>
          <cell r="Y1513" t="str">
            <v>Consultant</v>
          </cell>
        </row>
        <row r="1514">
          <cell r="A1514" t="str">
            <v>PEPPL0709</v>
          </cell>
          <cell r="Y1514" t="str">
            <v>Technician</v>
          </cell>
        </row>
        <row r="1515">
          <cell r="A1515" t="str">
            <v>PSS0203</v>
          </cell>
          <cell r="Y1515" t="str">
            <v>Helper</v>
          </cell>
        </row>
        <row r="1516">
          <cell r="A1516" t="str">
            <v>PSS1071</v>
          </cell>
          <cell r="Y1516" t="str">
            <v>Project Engineer</v>
          </cell>
        </row>
        <row r="1517">
          <cell r="A1517" t="str">
            <v>PEPPL0204</v>
          </cell>
          <cell r="Y1517" t="str">
            <v>Assistant Manager</v>
          </cell>
        </row>
        <row r="1518">
          <cell r="A1518" t="str">
            <v>P0448</v>
          </cell>
          <cell r="Y1518" t="str">
            <v>Helper</v>
          </cell>
        </row>
        <row r="1519">
          <cell r="A1519" t="str">
            <v>PEPPL0846</v>
          </cell>
          <cell r="Y1519" t="str">
            <v>Deputy Manager</v>
          </cell>
        </row>
        <row r="1520">
          <cell r="A1520" t="str">
            <v>PEIPL0215</v>
          </cell>
          <cell r="Y1520" t="str">
            <v>Assistant Engineer</v>
          </cell>
        </row>
        <row r="1521">
          <cell r="A1521" t="str">
            <v>P0362</v>
          </cell>
          <cell r="Y1521" t="str">
            <v>Helper</v>
          </cell>
        </row>
        <row r="1522">
          <cell r="A1522" t="str">
            <v>P0254</v>
          </cell>
          <cell r="Y1522" t="str">
            <v>Operator</v>
          </cell>
        </row>
        <row r="1523">
          <cell r="A1523" t="str">
            <v>PSS1011</v>
          </cell>
          <cell r="Y1523" t="str">
            <v>Project Coordinator</v>
          </cell>
        </row>
        <row r="1524">
          <cell r="A1524" t="str">
            <v>PSS0690</v>
          </cell>
          <cell r="Y1524" t="str">
            <v>Manager - Procurement</v>
          </cell>
        </row>
        <row r="1525">
          <cell r="A1525" t="str">
            <v>PEPPL0653</v>
          </cell>
          <cell r="Y1525" t="str">
            <v>Assistant Manager - Finance &amp; Accounts</v>
          </cell>
        </row>
        <row r="1526">
          <cell r="A1526" t="str">
            <v>PSS0932</v>
          </cell>
          <cell r="Y1526" t="str">
            <v>Vice President - Finance</v>
          </cell>
        </row>
        <row r="1527">
          <cell r="A1527" t="str">
            <v>PSS1249</v>
          </cell>
          <cell r="Y1527" t="str">
            <v>Senior Vice President - Finance &amp; Accounts</v>
          </cell>
        </row>
        <row r="1528">
          <cell r="A1528" t="str">
            <v>PEPPL0238</v>
          </cell>
          <cell r="Y1528" t="str">
            <v>Assistant Manager</v>
          </cell>
        </row>
        <row r="1529">
          <cell r="A1529" t="str">
            <v>PSS1209</v>
          </cell>
          <cell r="Y1529" t="str">
            <v>Senior Engineer</v>
          </cell>
        </row>
        <row r="1530">
          <cell r="A1530" t="str">
            <v>PEIPL0679</v>
          </cell>
          <cell r="Y1530" t="str">
            <v>Assistant Manager - Sales &amp; Operations</v>
          </cell>
        </row>
        <row r="1531">
          <cell r="A1531" t="str">
            <v>P0167</v>
          </cell>
          <cell r="Y1531" t="str">
            <v>OM Engineer</v>
          </cell>
        </row>
        <row r="1532">
          <cell r="A1532" t="str">
            <v>PEPPL0604</v>
          </cell>
          <cell r="Y1532" t="str">
            <v>Deputy Manager - IT</v>
          </cell>
        </row>
        <row r="1533">
          <cell r="A1533" t="str">
            <v>PEIPL0786</v>
          </cell>
          <cell r="Y1533" t="str">
            <v>Senior Safety Officer</v>
          </cell>
        </row>
        <row r="1534">
          <cell r="A1534" t="str">
            <v>PEPPL0692</v>
          </cell>
          <cell r="Y1534" t="str">
            <v>Technician</v>
          </cell>
        </row>
        <row r="1535">
          <cell r="A1535" t="str">
            <v>PEIPL0441</v>
          </cell>
          <cell r="Y1535" t="str">
            <v>Engineer</v>
          </cell>
        </row>
        <row r="1536">
          <cell r="A1536" t="str">
            <v>BDPL0003</v>
          </cell>
          <cell r="Y1536" t="str">
            <v>Engineer</v>
          </cell>
        </row>
        <row r="1537">
          <cell r="A1537" t="str">
            <v>P0380</v>
          </cell>
          <cell r="Y1537" t="str">
            <v>Engineer</v>
          </cell>
        </row>
        <row r="1538">
          <cell r="A1538" t="str">
            <v>P0484</v>
          </cell>
          <cell r="Y1538" t="str">
            <v>Senior Engineer</v>
          </cell>
        </row>
        <row r="1539">
          <cell r="A1539" t="str">
            <v>PSS0818</v>
          </cell>
          <cell r="Y1539" t="str">
            <v>Executive - Finance &amp; Accounts</v>
          </cell>
        </row>
        <row r="1540">
          <cell r="A1540" t="str">
            <v>PEPPL0547</v>
          </cell>
          <cell r="Y1540" t="str">
            <v>Company Secretary</v>
          </cell>
        </row>
        <row r="1541">
          <cell r="A1541" t="str">
            <v>PSS1270</v>
          </cell>
          <cell r="Y1541" t="str">
            <v>Executive - Logistics</v>
          </cell>
        </row>
        <row r="1542">
          <cell r="A1542" t="str">
            <v>P0412</v>
          </cell>
          <cell r="Y1542" t="str">
            <v>Engineer</v>
          </cell>
        </row>
        <row r="1543">
          <cell r="A1543" t="str">
            <v>PEPPL0647</v>
          </cell>
          <cell r="Y1543" t="str">
            <v>Engineer</v>
          </cell>
        </row>
        <row r="1544">
          <cell r="A1544" t="str">
            <v>PEIPL0082</v>
          </cell>
          <cell r="Y1544" t="str">
            <v>Junior Engineer</v>
          </cell>
        </row>
        <row r="1545">
          <cell r="A1545" t="str">
            <v>PSS1142</v>
          </cell>
          <cell r="Y1545" t="str">
            <v>Assistant Manager - Projects</v>
          </cell>
        </row>
        <row r="1546">
          <cell r="A1546" t="str">
            <v>PEIPL0180</v>
          </cell>
          <cell r="Y1546" t="str">
            <v>Junior Engineer</v>
          </cell>
        </row>
        <row r="1547">
          <cell r="A1547" t="str">
            <v>PEIPL0305</v>
          </cell>
          <cell r="Y1547" t="str">
            <v>Assistant Manager - Maintenance</v>
          </cell>
        </row>
        <row r="1548">
          <cell r="A1548" t="str">
            <v>PEPPL0114</v>
          </cell>
          <cell r="Y1548" t="str">
            <v>Senior Engineer</v>
          </cell>
        </row>
        <row r="1549">
          <cell r="A1549" t="str">
            <v>P0505</v>
          </cell>
          <cell r="Y1549" t="str">
            <v>Helper</v>
          </cell>
        </row>
        <row r="1550">
          <cell r="A1550" t="str">
            <v>PEPPL0681</v>
          </cell>
          <cell r="Y1550" t="str">
            <v>Assistant Engineer</v>
          </cell>
        </row>
        <row r="1551">
          <cell r="A1551" t="str">
            <v>PEIPL0419</v>
          </cell>
          <cell r="Y1551" t="str">
            <v>Assistant Manager</v>
          </cell>
        </row>
        <row r="1552">
          <cell r="A1552" t="str">
            <v>PEPPL0442</v>
          </cell>
          <cell r="Y1552" t="str">
            <v>Junior Engineer</v>
          </cell>
        </row>
        <row r="1553">
          <cell r="A1553" t="str">
            <v>PEGEPL0001</v>
          </cell>
          <cell r="Y1553" t="str">
            <v>Shift Incharge</v>
          </cell>
        </row>
        <row r="1554">
          <cell r="A1554" t="str">
            <v>PEPPL0626</v>
          </cell>
          <cell r="Y1554" t="str">
            <v>Shift Incharge</v>
          </cell>
        </row>
        <row r="1555">
          <cell r="A1555" t="str">
            <v>PSS0947</v>
          </cell>
          <cell r="Y1555" t="str">
            <v>Senior Engineer</v>
          </cell>
        </row>
        <row r="1556">
          <cell r="A1556" t="str">
            <v>PEIPL0316</v>
          </cell>
          <cell r="Y1556" t="str">
            <v>Senior Technician</v>
          </cell>
        </row>
        <row r="1557">
          <cell r="A1557" t="str">
            <v>PEIPL0589</v>
          </cell>
          <cell r="Y1557" t="str">
            <v>Deputy Manager</v>
          </cell>
        </row>
        <row r="1558">
          <cell r="A1558" t="str">
            <v>PEPPL0227</v>
          </cell>
          <cell r="Y1558" t="str">
            <v>Senior Technician</v>
          </cell>
        </row>
        <row r="1559">
          <cell r="A1559" t="str">
            <v>PEIPL0772</v>
          </cell>
          <cell r="Y1559" t="str">
            <v>Graduate Engineer Trainee</v>
          </cell>
        </row>
        <row r="1560">
          <cell r="A1560" t="str">
            <v>PEGEPL0110</v>
          </cell>
          <cell r="Y1560" t="str">
            <v>Graduate Engineer Trainee</v>
          </cell>
        </row>
        <row r="1561">
          <cell r="A1561" t="str">
            <v>PSS1264</v>
          </cell>
          <cell r="Y1561" t="str">
            <v>Driver</v>
          </cell>
        </row>
        <row r="1562">
          <cell r="A1562" t="str">
            <v>PEGEPL0007</v>
          </cell>
          <cell r="Y1562" t="str">
            <v>Senior Technician</v>
          </cell>
        </row>
        <row r="1563">
          <cell r="A1563" t="str">
            <v>PSS0052</v>
          </cell>
          <cell r="Y1563" t="str">
            <v>Helper</v>
          </cell>
        </row>
        <row r="1564">
          <cell r="A1564" t="str">
            <v>PSS1181</v>
          </cell>
          <cell r="Y1564" t="str">
            <v>Graduate Engineer Trainee</v>
          </cell>
        </row>
        <row r="1565">
          <cell r="A1565" t="str">
            <v>P0211</v>
          </cell>
          <cell r="Y1565" t="str">
            <v>Executive</v>
          </cell>
        </row>
        <row r="1566">
          <cell r="A1566" t="str">
            <v>P0458</v>
          </cell>
          <cell r="Y1566" t="str">
            <v>Engineer</v>
          </cell>
        </row>
        <row r="1567">
          <cell r="A1567" t="str">
            <v>PEPPL0466</v>
          </cell>
          <cell r="Y1567" t="str">
            <v>Assistant Manager</v>
          </cell>
        </row>
        <row r="1568">
          <cell r="A1568" t="str">
            <v>PEPPL0094</v>
          </cell>
          <cell r="Y1568" t="str">
            <v>Junior Engineer</v>
          </cell>
        </row>
        <row r="1569">
          <cell r="A1569" t="str">
            <v>PEIPL0108</v>
          </cell>
          <cell r="Y1569" t="str">
            <v>Senior Technician</v>
          </cell>
        </row>
        <row r="1570">
          <cell r="A1570" t="str">
            <v>PSS1380</v>
          </cell>
          <cell r="Y1570" t="str">
            <v>Management Trainee - Finance &amp; Accounts</v>
          </cell>
        </row>
        <row r="1571">
          <cell r="A1571" t="str">
            <v>PSS1179</v>
          </cell>
          <cell r="Y1571" t="str">
            <v>Senior Executive - Accounts</v>
          </cell>
        </row>
        <row r="1572">
          <cell r="A1572" t="str">
            <v>PEPPL0183</v>
          </cell>
          <cell r="Y1572" t="str">
            <v>Technician</v>
          </cell>
        </row>
        <row r="1573">
          <cell r="A1573" t="str">
            <v>PSS1359</v>
          </cell>
          <cell r="Y1573" t="str">
            <v>Executive - Stores</v>
          </cell>
        </row>
        <row r="1574">
          <cell r="A1574" t="str">
            <v>PEPPL0462</v>
          </cell>
          <cell r="Y1574" t="str">
            <v>Senior Technician</v>
          </cell>
        </row>
        <row r="1575">
          <cell r="A1575" t="str">
            <v>PEGEPL0114</v>
          </cell>
          <cell r="Y1575" t="str">
            <v>Senior Executive -  Stores</v>
          </cell>
        </row>
        <row r="1576">
          <cell r="A1576" t="str">
            <v>PSS1057</v>
          </cell>
          <cell r="Y1576" t="str">
            <v>QA Engineer</v>
          </cell>
        </row>
        <row r="1577">
          <cell r="A1577" t="str">
            <v>PSS1098</v>
          </cell>
          <cell r="Y1577" t="str">
            <v>Executive Assistant to MD</v>
          </cell>
        </row>
        <row r="1578">
          <cell r="A1578" t="str">
            <v>PEPPL0517</v>
          </cell>
          <cell r="Y1578" t="str">
            <v>Officer</v>
          </cell>
        </row>
        <row r="1579">
          <cell r="A1579" t="str">
            <v>PEPPL0649</v>
          </cell>
          <cell r="Y1579" t="str">
            <v>Manager - Human Resources</v>
          </cell>
        </row>
        <row r="1580">
          <cell r="A1580" t="str">
            <v>PEPPL0714</v>
          </cell>
          <cell r="Y1580" t="str">
            <v>Helper</v>
          </cell>
        </row>
        <row r="1581">
          <cell r="A1581" t="str">
            <v>PEIPL0048</v>
          </cell>
          <cell r="Y1581" t="str">
            <v>Engineer</v>
          </cell>
        </row>
        <row r="1582">
          <cell r="A1582" t="str">
            <v>PEPPL0793</v>
          </cell>
          <cell r="Y1582" t="str">
            <v>Graduate Engineer Trainee</v>
          </cell>
        </row>
        <row r="1583">
          <cell r="A1583" t="str">
            <v>PSS1106</v>
          </cell>
          <cell r="Y1583" t="str">
            <v>Executive</v>
          </cell>
        </row>
        <row r="1584">
          <cell r="A1584" t="str">
            <v>PSS1262</v>
          </cell>
          <cell r="Y1584" t="str">
            <v>Service Technician</v>
          </cell>
        </row>
        <row r="1585">
          <cell r="A1585" t="str">
            <v>PEIPL0127</v>
          </cell>
          <cell r="Y1585" t="str">
            <v>Assistant Engineer</v>
          </cell>
        </row>
        <row r="1586">
          <cell r="A1586" t="str">
            <v>PEPPL0166</v>
          </cell>
          <cell r="Y1586" t="str">
            <v>Senior Technician</v>
          </cell>
        </row>
        <row r="1587">
          <cell r="A1587" t="str">
            <v>PEIPL0642</v>
          </cell>
          <cell r="Y1587" t="str">
            <v>Senior Technician</v>
          </cell>
        </row>
        <row r="1588">
          <cell r="A1588" t="str">
            <v>PSS1083</v>
          </cell>
          <cell r="Y1588" t="str">
            <v>Junior Technician</v>
          </cell>
        </row>
        <row r="1589">
          <cell r="A1589" t="str">
            <v>PEIPL0069</v>
          </cell>
          <cell r="Y1589" t="str">
            <v>Assistant Engineer</v>
          </cell>
        </row>
        <row r="1590">
          <cell r="A1590" t="str">
            <v>PEIPL0124</v>
          </cell>
          <cell r="Y1590" t="str">
            <v>Assistant Engineer</v>
          </cell>
        </row>
        <row r="1591">
          <cell r="A1591" t="str">
            <v>PEIPL0160</v>
          </cell>
          <cell r="Y1591" t="str">
            <v>Junior Engineer</v>
          </cell>
        </row>
        <row r="1592">
          <cell r="A1592" t="str">
            <v>PEIPL0111</v>
          </cell>
          <cell r="Y1592" t="str">
            <v>Junior Engineer</v>
          </cell>
        </row>
        <row r="1593">
          <cell r="A1593" t="str">
            <v>PEPPL0619</v>
          </cell>
          <cell r="Y1593" t="str">
            <v>Junior Technician</v>
          </cell>
        </row>
        <row r="1594">
          <cell r="A1594" t="str">
            <v>PEIPL0027</v>
          </cell>
          <cell r="Y1594" t="str">
            <v>Junior Technician</v>
          </cell>
        </row>
        <row r="1595">
          <cell r="A1595" t="str">
            <v>PEIPL0322</v>
          </cell>
          <cell r="Y1595" t="str">
            <v>Junior Engineer</v>
          </cell>
        </row>
        <row r="1596">
          <cell r="A1596" t="str">
            <v>PEGEPL0074</v>
          </cell>
          <cell r="Y1596" t="str">
            <v>Assistant Engineer</v>
          </cell>
        </row>
        <row r="1597">
          <cell r="A1597" t="str">
            <v>PEIPL0141</v>
          </cell>
          <cell r="Y1597" t="str">
            <v>Assistant Engineer</v>
          </cell>
        </row>
        <row r="1598">
          <cell r="A1598" t="str">
            <v>PEPPL0380</v>
          </cell>
          <cell r="Y1598" t="str">
            <v>Deputy Engineer</v>
          </cell>
        </row>
        <row r="1599">
          <cell r="A1599" t="str">
            <v>PEIPL0042</v>
          </cell>
          <cell r="Y1599" t="str">
            <v>Junior Engineer</v>
          </cell>
        </row>
        <row r="1600">
          <cell r="A1600" t="str">
            <v>PSS1407</v>
          </cell>
          <cell r="Y1600" t="str">
            <v>Senior Manager - Business Analytics</v>
          </cell>
        </row>
        <row r="1601">
          <cell r="A1601" t="str">
            <v>PEPPL0149</v>
          </cell>
          <cell r="Y1601" t="str">
            <v>Associate Manager</v>
          </cell>
        </row>
        <row r="1602">
          <cell r="A1602" t="str">
            <v>PEPPL0740</v>
          </cell>
          <cell r="Y1602" t="str">
            <v>Engineer</v>
          </cell>
        </row>
        <row r="1603">
          <cell r="A1603" t="str">
            <v>PEPPL0411</v>
          </cell>
          <cell r="Y1603" t="str">
            <v>Senior Technician</v>
          </cell>
        </row>
        <row r="1604">
          <cell r="A1604" t="str">
            <v>PEPPL0613</v>
          </cell>
          <cell r="Y1604" t="str">
            <v>Manager</v>
          </cell>
        </row>
        <row r="1605">
          <cell r="A1605" t="str">
            <v>PSS0440</v>
          </cell>
          <cell r="Y1605" t="str">
            <v>Chief Operating Officer</v>
          </cell>
        </row>
        <row r="1606">
          <cell r="A1606" t="str">
            <v>P0381</v>
          </cell>
          <cell r="Y1606" t="str">
            <v>Assistant General Manager - Projects</v>
          </cell>
        </row>
        <row r="1607">
          <cell r="A1607" t="str">
            <v>P0139</v>
          </cell>
          <cell r="Y1607" t="str">
            <v>Engineer</v>
          </cell>
        </row>
        <row r="1608">
          <cell r="A1608" t="str">
            <v>PEIPL0650</v>
          </cell>
          <cell r="Y1608" t="str">
            <v>Executive</v>
          </cell>
        </row>
        <row r="1609">
          <cell r="A1609" t="str">
            <v>PSS0648</v>
          </cell>
          <cell r="Y1609" t="str">
            <v>Senior Executive - Procurement</v>
          </cell>
        </row>
        <row r="1610">
          <cell r="A1610" t="str">
            <v>PSS0155</v>
          </cell>
          <cell r="Y1610" t="str">
            <v>Senior Executive - Taxation</v>
          </cell>
        </row>
        <row r="1611">
          <cell r="A1611" t="str">
            <v>PEPPL0207</v>
          </cell>
          <cell r="Y1611" t="str">
            <v>Senior Executive - Accounts</v>
          </cell>
        </row>
        <row r="1612">
          <cell r="A1612" t="str">
            <v>PEIPL0521</v>
          </cell>
          <cell r="Y1612" t="str">
            <v>Junior Technician</v>
          </cell>
        </row>
        <row r="1613">
          <cell r="A1613" t="str">
            <v>PEIPL0778</v>
          </cell>
          <cell r="Y1613" t="str">
            <v>Deputy Manager - Finance &amp; Accounts</v>
          </cell>
        </row>
        <row r="1614">
          <cell r="A1614" t="str">
            <v>PSS0222</v>
          </cell>
          <cell r="Y1614" t="str">
            <v>Senior Technician</v>
          </cell>
        </row>
        <row r="1615">
          <cell r="A1615" t="str">
            <v>PEIPL0503</v>
          </cell>
          <cell r="Y1615" t="str">
            <v>Senior Technician</v>
          </cell>
        </row>
        <row r="1616">
          <cell r="A1616" t="str">
            <v>PSS0778</v>
          </cell>
          <cell r="Y1616" t="str">
            <v>Senior Manager - Projects</v>
          </cell>
        </row>
        <row r="1617">
          <cell r="A1617" t="str">
            <v>PEPPL0312</v>
          </cell>
          <cell r="Y1617" t="str">
            <v>Junior Technician</v>
          </cell>
        </row>
        <row r="1618">
          <cell r="A1618" t="str">
            <v>PSS0329</v>
          </cell>
          <cell r="Y1618" t="str">
            <v>Engineer</v>
          </cell>
        </row>
        <row r="1619">
          <cell r="A1619" t="str">
            <v>PEIPL0494</v>
          </cell>
          <cell r="Y1619" t="str">
            <v>Engineer</v>
          </cell>
        </row>
        <row r="1620">
          <cell r="A1620" t="str">
            <v>PEPPL0460</v>
          </cell>
          <cell r="Y1620" t="str">
            <v>Engineer</v>
          </cell>
        </row>
        <row r="1621">
          <cell r="A1621" t="str">
            <v>PEPPL0553</v>
          </cell>
          <cell r="Y1621" t="str">
            <v>Fork Lift Driver</v>
          </cell>
        </row>
        <row r="1622">
          <cell r="A1622" t="str">
            <v>PEPPL0333</v>
          </cell>
          <cell r="Y1622" t="str">
            <v>Technician</v>
          </cell>
        </row>
        <row r="1623">
          <cell r="A1623" t="str">
            <v>PSS0257</v>
          </cell>
          <cell r="Y1623" t="str">
            <v>Senior Engineer</v>
          </cell>
        </row>
        <row r="1624">
          <cell r="A1624" t="str">
            <v>PSS1174</v>
          </cell>
          <cell r="Y1624" t="str">
            <v>IT Consultant</v>
          </cell>
        </row>
        <row r="1625">
          <cell r="A1625" t="str">
            <v>PSS1234</v>
          </cell>
          <cell r="Y1625" t="str">
            <v>Deputy Manager - IT</v>
          </cell>
        </row>
        <row r="1626">
          <cell r="A1626" t="str">
            <v>P0140</v>
          </cell>
          <cell r="Y1626" t="str">
            <v>Project Manager</v>
          </cell>
        </row>
        <row r="1627">
          <cell r="A1627" t="str">
            <v>P0145</v>
          </cell>
          <cell r="Y1627" t="str">
            <v>Senior Executive - Design</v>
          </cell>
        </row>
        <row r="1628">
          <cell r="A1628" t="str">
            <v>P0387</v>
          </cell>
          <cell r="Y1628" t="str">
            <v>General Manager</v>
          </cell>
        </row>
        <row r="1629">
          <cell r="A1629" t="str">
            <v>PSS1170</v>
          </cell>
          <cell r="Y1629" t="str">
            <v>Site Supervisor</v>
          </cell>
        </row>
        <row r="1630">
          <cell r="A1630" t="str">
            <v>PEIPL0044</v>
          </cell>
          <cell r="Y1630" t="str">
            <v>Senior Engineer</v>
          </cell>
        </row>
        <row r="1631">
          <cell r="A1631" t="str">
            <v>PEIPL0736</v>
          </cell>
          <cell r="Y1631" t="str">
            <v>Junior Engineer</v>
          </cell>
        </row>
        <row r="1632">
          <cell r="A1632" t="str">
            <v>PSS1261</v>
          </cell>
          <cell r="Y1632" t="str">
            <v>Office Assistant</v>
          </cell>
        </row>
        <row r="1633">
          <cell r="A1633" t="str">
            <v>PEGEPL0099</v>
          </cell>
          <cell r="Y1633" t="str">
            <v>Executive - Stores</v>
          </cell>
        </row>
        <row r="1634">
          <cell r="A1634" t="str">
            <v>PEPPL0701</v>
          </cell>
          <cell r="Y1634" t="str">
            <v>Junior Engineer</v>
          </cell>
        </row>
        <row r="1635">
          <cell r="A1635" t="str">
            <v>PSS0436</v>
          </cell>
          <cell r="Y1635" t="str">
            <v>Helper</v>
          </cell>
        </row>
        <row r="1636">
          <cell r="A1636" t="str">
            <v>PEIPL0197</v>
          </cell>
          <cell r="Y1636" t="str">
            <v>Junior Engineer</v>
          </cell>
        </row>
        <row r="1637">
          <cell r="A1637" t="str">
            <v>PEPPL0790</v>
          </cell>
          <cell r="Y1637" t="str">
            <v>Graduate Engineer Trainee</v>
          </cell>
        </row>
        <row r="1638">
          <cell r="A1638" t="str">
            <v>P0106</v>
          </cell>
          <cell r="Y1638" t="str">
            <v>Operator</v>
          </cell>
        </row>
        <row r="1639">
          <cell r="A1639" t="str">
            <v>PEPPL0843</v>
          </cell>
          <cell r="Y1639" t="str">
            <v>Graduate Engineer Trainee</v>
          </cell>
        </row>
        <row r="1640">
          <cell r="A1640" t="str">
            <v>P0439</v>
          </cell>
          <cell r="Y1640" t="str">
            <v>Supervisor</v>
          </cell>
        </row>
        <row r="1641">
          <cell r="A1641" t="str">
            <v>P0443</v>
          </cell>
          <cell r="Y1641" t="str">
            <v>Supervisor</v>
          </cell>
        </row>
        <row r="1642">
          <cell r="A1642" t="str">
            <v>PSS1228</v>
          </cell>
          <cell r="Y1642" t="str">
            <v>Helper</v>
          </cell>
        </row>
        <row r="1643">
          <cell r="A1643" t="str">
            <v>PEIPL0637</v>
          </cell>
          <cell r="Y1643" t="str">
            <v>Senior Technician - Production</v>
          </cell>
        </row>
        <row r="1644">
          <cell r="A1644" t="str">
            <v>PEIPL0351</v>
          </cell>
          <cell r="Y1644" t="str">
            <v>Graduate Engineer Trainee</v>
          </cell>
        </row>
        <row r="1645">
          <cell r="A1645" t="str">
            <v>PEPPL0820</v>
          </cell>
          <cell r="Y1645" t="str">
            <v>Junior Engineer</v>
          </cell>
        </row>
        <row r="1646">
          <cell r="A1646" t="str">
            <v>PSS0252</v>
          </cell>
          <cell r="Y1646" t="str">
            <v>Helper</v>
          </cell>
        </row>
        <row r="1647">
          <cell r="A1647" t="str">
            <v>PEPPL0300</v>
          </cell>
          <cell r="Y1647" t="str">
            <v>Technician</v>
          </cell>
        </row>
        <row r="1648">
          <cell r="A1648" t="str">
            <v>PSS1371</v>
          </cell>
          <cell r="Y1648" t="str">
            <v>General Manager - Systems</v>
          </cell>
        </row>
        <row r="1649">
          <cell r="A1649" t="str">
            <v>PEPPL0499</v>
          </cell>
          <cell r="Y1649" t="str">
            <v>Technician</v>
          </cell>
        </row>
        <row r="1650">
          <cell r="A1650" t="str">
            <v>PEPPL0311</v>
          </cell>
          <cell r="Y1650" t="str">
            <v>Technician</v>
          </cell>
        </row>
        <row r="1651">
          <cell r="A1651" t="str">
            <v>PEPPL0202</v>
          </cell>
          <cell r="Y1651" t="str">
            <v>Technician</v>
          </cell>
        </row>
        <row r="1652">
          <cell r="A1652" t="str">
            <v>PEPPL0731</v>
          </cell>
          <cell r="Y1652" t="str">
            <v>Junior Engineer</v>
          </cell>
        </row>
        <row r="1653">
          <cell r="A1653" t="str">
            <v>PEPPL0277</v>
          </cell>
          <cell r="Y1653" t="str">
            <v>Assistant Manager - Maintenance</v>
          </cell>
        </row>
        <row r="1654">
          <cell r="A1654" t="str">
            <v>PEPPL0771</v>
          </cell>
          <cell r="Y1654" t="str">
            <v>Civil Engineer</v>
          </cell>
        </row>
        <row r="1655">
          <cell r="A1655" t="str">
            <v>PEIPL0096</v>
          </cell>
          <cell r="Y1655" t="str">
            <v>Senior Engineer</v>
          </cell>
        </row>
        <row r="1656">
          <cell r="A1656" t="str">
            <v>PEPPL0156</v>
          </cell>
          <cell r="Y1656" t="str">
            <v>Assistant Manager - Technical</v>
          </cell>
        </row>
        <row r="1657">
          <cell r="A1657" t="str">
            <v>PSS1171</v>
          </cell>
          <cell r="Y1657" t="str">
            <v>Supervisor</v>
          </cell>
        </row>
        <row r="1658">
          <cell r="A1658" t="str">
            <v>PEIPL0797</v>
          </cell>
          <cell r="Y1658" t="str">
            <v>Deputy Manager - Finance &amp; Accounts</v>
          </cell>
        </row>
        <row r="1659">
          <cell r="A1659" t="str">
            <v>PEPPL0576</v>
          </cell>
          <cell r="Y1659" t="str">
            <v>Senior Technician</v>
          </cell>
        </row>
        <row r="1660">
          <cell r="A1660" t="str">
            <v>PEPPL0867</v>
          </cell>
          <cell r="Y1660" t="str">
            <v>Junior Engineer</v>
          </cell>
        </row>
        <row r="1661">
          <cell r="A1661" t="str">
            <v>PSS0362</v>
          </cell>
          <cell r="Y1661" t="str">
            <v>Driver</v>
          </cell>
        </row>
        <row r="1662">
          <cell r="A1662" t="str">
            <v>PEPPL0318</v>
          </cell>
          <cell r="Y1662" t="str">
            <v>Executive - Stores</v>
          </cell>
        </row>
        <row r="1663">
          <cell r="A1663" t="str">
            <v>PEPPL0195</v>
          </cell>
          <cell r="Y1663" t="str">
            <v>Technician</v>
          </cell>
        </row>
        <row r="1664">
          <cell r="A1664" t="str">
            <v>PEPPL0344</v>
          </cell>
          <cell r="Y1664" t="str">
            <v>Engineer</v>
          </cell>
        </row>
        <row r="1665">
          <cell r="A1665" t="str">
            <v>PEIPL0658</v>
          </cell>
          <cell r="Y1665" t="str">
            <v>Junior Technician</v>
          </cell>
        </row>
        <row r="1666">
          <cell r="A1666" t="str">
            <v>PEPPL0475</v>
          </cell>
          <cell r="Y1666" t="str">
            <v>Engineer</v>
          </cell>
        </row>
        <row r="1667">
          <cell r="A1667" t="str">
            <v>PEPPL0497</v>
          </cell>
          <cell r="Y1667" t="str">
            <v>Technician</v>
          </cell>
        </row>
        <row r="1668">
          <cell r="A1668" t="str">
            <v>PSS1265</v>
          </cell>
          <cell r="Y1668" t="str">
            <v>Senior Executive - Sales &amp; Business Development</v>
          </cell>
        </row>
        <row r="1669">
          <cell r="A1669" t="str">
            <v>PEPPL0266</v>
          </cell>
          <cell r="Y1669" t="str">
            <v>Technician</v>
          </cell>
        </row>
        <row r="1670">
          <cell r="A1670" t="str">
            <v>PSS0824</v>
          </cell>
          <cell r="Y1670" t="str">
            <v>Assistant</v>
          </cell>
        </row>
        <row r="1671">
          <cell r="A1671" t="str">
            <v>PSS1317</v>
          </cell>
          <cell r="Y1671" t="str">
            <v>Engineer</v>
          </cell>
        </row>
        <row r="1672">
          <cell r="A1672" t="str">
            <v>PEIPL0484</v>
          </cell>
          <cell r="Y1672" t="str">
            <v>Engineer - Maintenance</v>
          </cell>
        </row>
        <row r="1673">
          <cell r="A1673" t="str">
            <v>PEIPL0469</v>
          </cell>
          <cell r="Y1673" t="str">
            <v>Engineer</v>
          </cell>
        </row>
        <row r="1674">
          <cell r="A1674" t="str">
            <v>PEIPL0152</v>
          </cell>
          <cell r="Y1674" t="str">
            <v>Executive</v>
          </cell>
        </row>
        <row r="1675">
          <cell r="A1675" t="str">
            <v>PEPPL0285</v>
          </cell>
          <cell r="Y1675" t="str">
            <v>GEM - 2</v>
          </cell>
        </row>
        <row r="1676">
          <cell r="A1676" t="str">
            <v>PEPPL0416</v>
          </cell>
          <cell r="Y1676" t="str">
            <v>Technician</v>
          </cell>
        </row>
        <row r="1677">
          <cell r="A1677" t="str">
            <v>PEIPL0358</v>
          </cell>
          <cell r="Y1677" t="str">
            <v>Graduate Engineer Trainee</v>
          </cell>
        </row>
        <row r="1678">
          <cell r="A1678" t="str">
            <v>PEPPL0350</v>
          </cell>
          <cell r="Y1678" t="str">
            <v>Deputy Engineer</v>
          </cell>
        </row>
        <row r="1679">
          <cell r="A1679" t="str">
            <v>P0401</v>
          </cell>
          <cell r="Y1679" t="str">
            <v>Helper</v>
          </cell>
        </row>
        <row r="1680">
          <cell r="A1680" t="str">
            <v>PSS1097</v>
          </cell>
          <cell r="Y1680" t="str">
            <v>Assistant Manager - Human Resources</v>
          </cell>
        </row>
        <row r="1681">
          <cell r="A1681" t="str">
            <v>PSS1335</v>
          </cell>
          <cell r="Y1681" t="str">
            <v>Assistant Manager - Human Resources</v>
          </cell>
        </row>
        <row r="1682">
          <cell r="A1682" t="str">
            <v>PSS0200</v>
          </cell>
          <cell r="Y1682" t="str">
            <v>Deputy General Manager - Projects</v>
          </cell>
        </row>
        <row r="1683">
          <cell r="A1683" t="str">
            <v>PSS1199</v>
          </cell>
          <cell r="Y1683" t="str">
            <v>Executive - Stores</v>
          </cell>
        </row>
        <row r="1684">
          <cell r="A1684" t="str">
            <v>PEPPL0456</v>
          </cell>
          <cell r="Y1684" t="str">
            <v>Engineer</v>
          </cell>
        </row>
        <row r="1685">
          <cell r="A1685" t="str">
            <v>PEPPL0176</v>
          </cell>
          <cell r="Y1685" t="str">
            <v>Technician</v>
          </cell>
        </row>
        <row r="1686">
          <cell r="A1686" t="str">
            <v>PSS0198</v>
          </cell>
          <cell r="Y1686" t="str">
            <v>Driver</v>
          </cell>
        </row>
        <row r="1687">
          <cell r="A1687" t="str">
            <v>PSS1266</v>
          </cell>
          <cell r="Y1687" t="str">
            <v>Senior Executive - Tenders</v>
          </cell>
        </row>
        <row r="1688">
          <cell r="A1688" t="str">
            <v>PEIPL0702</v>
          </cell>
          <cell r="Y1688" t="str">
            <v>Senior Engineer</v>
          </cell>
        </row>
        <row r="1689">
          <cell r="A1689" t="str">
            <v>PSS0822</v>
          </cell>
          <cell r="Y1689" t="str">
            <v>Senior Engineer</v>
          </cell>
        </row>
        <row r="1690">
          <cell r="A1690" t="str">
            <v>PSS0927</v>
          </cell>
          <cell r="Y1690" t="str">
            <v>Assistant Operator</v>
          </cell>
        </row>
        <row r="1691">
          <cell r="A1691" t="str">
            <v>PSS1419</v>
          </cell>
          <cell r="Y1691" t="str">
            <v>Assistant Manager - Projects</v>
          </cell>
        </row>
        <row r="1692">
          <cell r="A1692" t="str">
            <v>PEGEPL0103</v>
          </cell>
          <cell r="Y1692" t="str">
            <v>Deputy Engineer</v>
          </cell>
        </row>
        <row r="1693">
          <cell r="A1693" t="str">
            <v>PEIPL0541</v>
          </cell>
          <cell r="Y1693" t="str">
            <v>Senior Executive</v>
          </cell>
        </row>
        <row r="1694">
          <cell r="A1694" t="str">
            <v>P0420</v>
          </cell>
          <cell r="Y1694" t="str">
            <v>Engineer</v>
          </cell>
        </row>
        <row r="1695">
          <cell r="A1695" t="str">
            <v>PEIPL0635</v>
          </cell>
          <cell r="Y1695" t="str">
            <v>Technician</v>
          </cell>
        </row>
        <row r="1696">
          <cell r="A1696" t="str">
            <v>PEIPL0671</v>
          </cell>
          <cell r="Y1696" t="str">
            <v>Assistant Manager</v>
          </cell>
        </row>
        <row r="1697">
          <cell r="A1697" t="str">
            <v>PEIPL0267</v>
          </cell>
          <cell r="Y1697" t="str">
            <v>Junior Engineer</v>
          </cell>
        </row>
        <row r="1698">
          <cell r="A1698" t="str">
            <v>PEPPL0324</v>
          </cell>
          <cell r="Y1698" t="str">
            <v>Junior Engineer</v>
          </cell>
        </row>
        <row r="1699">
          <cell r="A1699" t="str">
            <v>PEPPL0129</v>
          </cell>
          <cell r="Y1699" t="str">
            <v>Assistant Manager - Quality</v>
          </cell>
        </row>
        <row r="1700">
          <cell r="A1700" t="str">
            <v>PEIPL0220</v>
          </cell>
          <cell r="Y1700" t="str">
            <v>Junior Engineer</v>
          </cell>
        </row>
        <row r="1701">
          <cell r="A1701" t="str">
            <v>PSS0805</v>
          </cell>
          <cell r="Y1701" t="str">
            <v>Assistant General Manager - Logistics</v>
          </cell>
        </row>
        <row r="1702">
          <cell r="A1702" t="str">
            <v>P0400</v>
          </cell>
          <cell r="Y1702" t="str">
            <v>Chief Strategy Officer</v>
          </cell>
        </row>
        <row r="1703">
          <cell r="A1703" t="str">
            <v>PEPPL0248</v>
          </cell>
          <cell r="Y1703" t="str">
            <v>Senior Executive</v>
          </cell>
        </row>
        <row r="1704">
          <cell r="A1704" t="str">
            <v>P0447</v>
          </cell>
          <cell r="Y1704" t="str">
            <v>Senior Executive</v>
          </cell>
        </row>
        <row r="1705">
          <cell r="A1705" t="str">
            <v>PSS1173</v>
          </cell>
          <cell r="Y1705" t="str">
            <v>Senior Executive - IT &amp; Administration</v>
          </cell>
        </row>
        <row r="1706">
          <cell r="A1706" t="str">
            <v>PEGEPL0054</v>
          </cell>
          <cell r="Y1706" t="str">
            <v>Senior Technician</v>
          </cell>
        </row>
        <row r="1707">
          <cell r="A1707" t="str">
            <v>PEIPL0689</v>
          </cell>
          <cell r="Y1707" t="str">
            <v>Senior Technician</v>
          </cell>
        </row>
        <row r="1708">
          <cell r="A1708" t="str">
            <v>PSS0896</v>
          </cell>
          <cell r="Y1708" t="str">
            <v>Senior Technician</v>
          </cell>
        </row>
        <row r="1709">
          <cell r="A1709" t="str">
            <v>PEIPL0649</v>
          </cell>
          <cell r="Y1709" t="str">
            <v>Executive</v>
          </cell>
        </row>
        <row r="1710">
          <cell r="A1710" t="str">
            <v>PSS0925</v>
          </cell>
          <cell r="Y1710" t="str">
            <v>Helper</v>
          </cell>
        </row>
        <row r="1711">
          <cell r="A1711" t="str">
            <v>PSS0072</v>
          </cell>
          <cell r="Y1711" t="str">
            <v>Helper</v>
          </cell>
        </row>
        <row r="1712">
          <cell r="A1712" t="str">
            <v>PSS1165</v>
          </cell>
          <cell r="Y1712" t="str">
            <v>Driver</v>
          </cell>
        </row>
        <row r="1713">
          <cell r="A1713" t="str">
            <v>PSS0989</v>
          </cell>
          <cell r="Y1713" t="str">
            <v>CAD Engineer</v>
          </cell>
        </row>
        <row r="1714">
          <cell r="A1714" t="str">
            <v>PSS1027</v>
          </cell>
          <cell r="Y1714" t="str">
            <v>Fork Lift Driver</v>
          </cell>
        </row>
        <row r="1715">
          <cell r="A1715" t="str">
            <v>PEPPL0404</v>
          </cell>
          <cell r="Y1715" t="str">
            <v>Associate Manager - Quality</v>
          </cell>
        </row>
        <row r="1716">
          <cell r="A1716" t="str">
            <v>PSS0708</v>
          </cell>
          <cell r="Y1716" t="str">
            <v>Deputy Manager - Quality</v>
          </cell>
        </row>
        <row r="1717">
          <cell r="A1717" t="str">
            <v>PEIPL0366</v>
          </cell>
          <cell r="Y1717" t="str">
            <v>Technician</v>
          </cell>
        </row>
        <row r="1718">
          <cell r="A1718" t="str">
            <v>PEIPL0430</v>
          </cell>
          <cell r="Y1718" t="str">
            <v>Senior Technician</v>
          </cell>
        </row>
        <row r="1719">
          <cell r="A1719" t="str">
            <v>PSS0978</v>
          </cell>
          <cell r="Y1719" t="str">
            <v>Site Engineer</v>
          </cell>
        </row>
        <row r="1720">
          <cell r="A1720" t="str">
            <v>PEIPL0299</v>
          </cell>
          <cell r="Y1720" t="str">
            <v>Assistant Engineer</v>
          </cell>
        </row>
        <row r="1721">
          <cell r="A1721" t="str">
            <v>PEIPL0455</v>
          </cell>
          <cell r="Y1721" t="str">
            <v>Junior Engineer</v>
          </cell>
        </row>
        <row r="1722">
          <cell r="A1722" t="str">
            <v>PSS0156</v>
          </cell>
          <cell r="Y1722" t="str">
            <v>Driver</v>
          </cell>
        </row>
        <row r="1723">
          <cell r="A1723" t="str">
            <v>PEIPL0182</v>
          </cell>
          <cell r="Y1723" t="str">
            <v>Executive - Stores</v>
          </cell>
        </row>
        <row r="1724">
          <cell r="A1724" t="str">
            <v>PEIPL0012</v>
          </cell>
          <cell r="Y1724" t="str">
            <v>Consultant</v>
          </cell>
        </row>
        <row r="1725">
          <cell r="A1725" t="str">
            <v>PSS1421</v>
          </cell>
          <cell r="Y1725" t="str">
            <v>Junior Executive - Service</v>
          </cell>
        </row>
        <row r="1726">
          <cell r="A1726" t="str">
            <v>PSS1104</v>
          </cell>
          <cell r="Y1726" t="str">
            <v>Project Engineer</v>
          </cell>
        </row>
        <row r="1727">
          <cell r="A1727" t="str">
            <v>PEGEPL0003</v>
          </cell>
          <cell r="Y1727" t="str">
            <v>Senior Engineer</v>
          </cell>
        </row>
        <row r="1728">
          <cell r="A1728" t="str">
            <v>PEIPL0677</v>
          </cell>
          <cell r="Y1728" t="str">
            <v>Senior Engineer</v>
          </cell>
        </row>
        <row r="1729">
          <cell r="A1729" t="str">
            <v>PEIPL0383</v>
          </cell>
          <cell r="Y1729" t="str">
            <v>Senior Technician</v>
          </cell>
        </row>
        <row r="1730">
          <cell r="A1730" t="str">
            <v>PEIPL0374</v>
          </cell>
          <cell r="Y1730" t="str">
            <v>Junior Engineer</v>
          </cell>
        </row>
        <row r="1731">
          <cell r="A1731" t="str">
            <v>PSS0556</v>
          </cell>
          <cell r="Y1731" t="str">
            <v>Senior Operator</v>
          </cell>
        </row>
        <row r="1732">
          <cell r="A1732" t="str">
            <v>PSS1403</v>
          </cell>
          <cell r="Y1732" t="str">
            <v>Management Trainee - Finance &amp; Accounts</v>
          </cell>
        </row>
        <row r="1733">
          <cell r="A1733" t="str">
            <v>PEIPL0625</v>
          </cell>
          <cell r="Y1733" t="str">
            <v>Technician</v>
          </cell>
        </row>
        <row r="1734">
          <cell r="A1734" t="str">
            <v>PEPPL0643</v>
          </cell>
          <cell r="Y1734" t="str">
            <v>Manufacturing Engineer</v>
          </cell>
        </row>
        <row r="1735">
          <cell r="A1735" t="str">
            <v>PSS1176</v>
          </cell>
          <cell r="Y1735" t="str">
            <v>Engineer</v>
          </cell>
        </row>
        <row r="1736">
          <cell r="A1736" t="str">
            <v>P0461</v>
          </cell>
          <cell r="Y1736" t="str">
            <v>Site Engineer</v>
          </cell>
        </row>
        <row r="1737">
          <cell r="A1737" t="str">
            <v>PEIPL0313</v>
          </cell>
          <cell r="Y1737" t="str">
            <v>Fork Lift Driver</v>
          </cell>
        </row>
        <row r="1738">
          <cell r="A1738" t="str">
            <v>PEIPL0529</v>
          </cell>
          <cell r="Y1738" t="str">
            <v>Diploma Engineer Trainee</v>
          </cell>
        </row>
        <row r="1739">
          <cell r="A1739" t="str">
            <v>P0445</v>
          </cell>
          <cell r="Y1739" t="str">
            <v>Supervisor</v>
          </cell>
        </row>
        <row r="1740">
          <cell r="A1740" t="str">
            <v>PEPPL0032</v>
          </cell>
          <cell r="Y1740" t="str">
            <v>Executive</v>
          </cell>
        </row>
        <row r="1741">
          <cell r="A1741" t="str">
            <v>PEPPL0801</v>
          </cell>
          <cell r="Y1741" t="str">
            <v>Assistant Manager</v>
          </cell>
        </row>
        <row r="1742">
          <cell r="A1742" t="str">
            <v>BDPL0032</v>
          </cell>
          <cell r="Y1742" t="str">
            <v>Assistant Manager</v>
          </cell>
        </row>
        <row r="1743">
          <cell r="A1743" t="str">
            <v>P0410</v>
          </cell>
          <cell r="Y1743" t="str">
            <v>Officer</v>
          </cell>
        </row>
        <row r="1744">
          <cell r="A1744" t="str">
            <v>PSS1187</v>
          </cell>
          <cell r="Y1744" t="str">
            <v>Consultant</v>
          </cell>
        </row>
        <row r="1745">
          <cell r="A1745" t="str">
            <v>PEIPL0235</v>
          </cell>
          <cell r="Y1745" t="str">
            <v>Associate Manager - Quality</v>
          </cell>
        </row>
        <row r="1746">
          <cell r="A1746" t="str">
            <v>PEPPL0020</v>
          </cell>
          <cell r="Y1746" t="str">
            <v>Assistant Manager - Maintenance</v>
          </cell>
        </row>
        <row r="1747">
          <cell r="A1747" t="str">
            <v>PSS1161</v>
          </cell>
          <cell r="Y1747" t="str">
            <v>Senior Executive - Accounts</v>
          </cell>
        </row>
        <row r="1748">
          <cell r="A1748" t="str">
            <v>PEIPL0753</v>
          </cell>
          <cell r="Y1748" t="str">
            <v>Diploma Engineer Trainee</v>
          </cell>
        </row>
        <row r="1749">
          <cell r="A1749" t="str">
            <v>PEPPL0076</v>
          </cell>
          <cell r="Y1749" t="str">
            <v>Senior Engineer</v>
          </cell>
        </row>
        <row r="1750">
          <cell r="A1750" t="str">
            <v>PSS1308</v>
          </cell>
          <cell r="Y1750" t="str">
            <v>Technician</v>
          </cell>
        </row>
        <row r="1751">
          <cell r="A1751" t="str">
            <v>PSS1353</v>
          </cell>
          <cell r="Y1751" t="str">
            <v>Technician</v>
          </cell>
        </row>
        <row r="1752">
          <cell r="A1752" t="str">
            <v>PEPPL0850</v>
          </cell>
          <cell r="Y1752" t="str">
            <v>Junior Engineer</v>
          </cell>
        </row>
        <row r="1753">
          <cell r="A1753" t="str">
            <v>PEIPL0670</v>
          </cell>
          <cell r="Y1753" t="str">
            <v>Assistant General Manager - Projects</v>
          </cell>
        </row>
        <row r="1754">
          <cell r="A1754" t="str">
            <v>PEPPL0707</v>
          </cell>
          <cell r="Y1754" t="str">
            <v>Junior Officer</v>
          </cell>
        </row>
        <row r="1755">
          <cell r="A1755" t="str">
            <v>PEIPL0102</v>
          </cell>
          <cell r="Y1755" t="str">
            <v>Junior Engineer</v>
          </cell>
        </row>
        <row r="1756">
          <cell r="A1756" t="str">
            <v>P0111</v>
          </cell>
          <cell r="Y1756" t="str">
            <v>Manager</v>
          </cell>
        </row>
        <row r="1757">
          <cell r="A1757" t="str">
            <v>PEIPL0668</v>
          </cell>
          <cell r="Y1757" t="str">
            <v>Graduate Engineer Trainee</v>
          </cell>
        </row>
        <row r="1758">
          <cell r="A1758" t="str">
            <v>PSS0592</v>
          </cell>
          <cell r="Y1758" t="str">
            <v>Engineer</v>
          </cell>
        </row>
        <row r="1759">
          <cell r="A1759" t="str">
            <v>PEPPL0864</v>
          </cell>
          <cell r="Y1759" t="str">
            <v>Engineer-Faclility</v>
          </cell>
        </row>
        <row r="1760">
          <cell r="A1760" t="str">
            <v>PEPPL0169</v>
          </cell>
          <cell r="Y1760" t="str">
            <v>Junior Engineer</v>
          </cell>
        </row>
        <row r="1761">
          <cell r="A1761" t="str">
            <v>PEPPL0002</v>
          </cell>
          <cell r="Y1761" t="str">
            <v>Assistant General Manager - Production</v>
          </cell>
        </row>
        <row r="1762">
          <cell r="A1762" t="str">
            <v>PEIPL0339</v>
          </cell>
          <cell r="Y1762" t="str">
            <v>Senior Engineer - Production</v>
          </cell>
        </row>
        <row r="1763">
          <cell r="A1763" t="str">
            <v>PEIPL0655</v>
          </cell>
          <cell r="Y1763" t="str">
            <v>Junior Engineer</v>
          </cell>
        </row>
        <row r="1764">
          <cell r="A1764" t="str">
            <v>PEPPL0521</v>
          </cell>
          <cell r="Y1764" t="str">
            <v>Technician</v>
          </cell>
        </row>
        <row r="1765">
          <cell r="A1765" t="str">
            <v>PEPPL0500</v>
          </cell>
          <cell r="Y1765" t="str">
            <v>Senior Technician</v>
          </cell>
        </row>
        <row r="1766">
          <cell r="A1766" t="str">
            <v>PEIPL0436</v>
          </cell>
          <cell r="Y1766" t="str">
            <v>Graduate Engineer Trainee</v>
          </cell>
        </row>
        <row r="1767">
          <cell r="A1767" t="str">
            <v>PEIPL0278</v>
          </cell>
          <cell r="Y1767" t="str">
            <v>Deputy Manager - Business Development</v>
          </cell>
        </row>
        <row r="1768">
          <cell r="A1768" t="str">
            <v>PEIPL0539</v>
          </cell>
          <cell r="Y1768" t="str">
            <v>Helper</v>
          </cell>
        </row>
        <row r="1769">
          <cell r="A1769" t="str">
            <v>PEPPL0379</v>
          </cell>
          <cell r="Y1769" t="str">
            <v>Technician</v>
          </cell>
        </row>
        <row r="1770">
          <cell r="A1770" t="str">
            <v>PEPPL0571</v>
          </cell>
          <cell r="Y1770" t="str">
            <v>Senior Technician</v>
          </cell>
        </row>
        <row r="1771">
          <cell r="A1771" t="str">
            <v>PEIPL0145</v>
          </cell>
          <cell r="Y1771" t="str">
            <v>Engineer</v>
          </cell>
        </row>
        <row r="1772">
          <cell r="A1772" t="str">
            <v>PEIPL0286</v>
          </cell>
          <cell r="Y1772" t="str">
            <v>Junior Engineer</v>
          </cell>
        </row>
        <row r="1773">
          <cell r="A1773" t="str">
            <v>PEIPL0107</v>
          </cell>
          <cell r="Y1773" t="str">
            <v>Junior Engineer</v>
          </cell>
        </row>
        <row r="1774">
          <cell r="A1774" t="str">
            <v>PEIPL0410</v>
          </cell>
          <cell r="Y1774" t="str">
            <v>Senior Technician</v>
          </cell>
        </row>
        <row r="1775">
          <cell r="A1775" t="str">
            <v>PEIPL0314</v>
          </cell>
          <cell r="Y1775" t="str">
            <v>Fork Lift Driver</v>
          </cell>
        </row>
        <row r="1776">
          <cell r="A1776" t="str">
            <v>PEGEPL0124</v>
          </cell>
          <cell r="Y1776" t="str">
            <v>Graduate Engineer Trainee</v>
          </cell>
        </row>
        <row r="1777">
          <cell r="A1777" t="str">
            <v>PEIPL0037</v>
          </cell>
          <cell r="Y1777" t="str">
            <v>Senior Officer - Safety</v>
          </cell>
        </row>
        <row r="1778">
          <cell r="A1778" t="str">
            <v>PEPPL0889</v>
          </cell>
          <cell r="Y1778" t="str">
            <v>Junior Engineer</v>
          </cell>
        </row>
        <row r="1779">
          <cell r="A1779" t="str">
            <v>PEIPL0584</v>
          </cell>
          <cell r="Y1779" t="str">
            <v>Senior Executive - Stores</v>
          </cell>
        </row>
        <row r="1780">
          <cell r="A1780" t="str">
            <v>PEIPL0367</v>
          </cell>
          <cell r="Y1780" t="str">
            <v>Technician</v>
          </cell>
        </row>
        <row r="1781">
          <cell r="A1781" t="str">
            <v>PEIPL0452</v>
          </cell>
          <cell r="Y1781" t="str">
            <v>Junior Engineer</v>
          </cell>
        </row>
        <row r="1782">
          <cell r="A1782" t="str">
            <v>PEGEPL0118</v>
          </cell>
          <cell r="Y1782" t="str">
            <v>Senior Safety Officer</v>
          </cell>
        </row>
        <row r="1783">
          <cell r="A1783" t="str">
            <v>PEPPL0676</v>
          </cell>
          <cell r="Y1783" t="str">
            <v>Trainee</v>
          </cell>
        </row>
        <row r="1784">
          <cell r="A1784" t="str">
            <v>PSS1215</v>
          </cell>
          <cell r="Y1784" t="str">
            <v>Senior Engineer</v>
          </cell>
        </row>
        <row r="1785">
          <cell r="A1785" t="str">
            <v>PEPPL0490</v>
          </cell>
          <cell r="Y1785" t="str">
            <v>Junior Technician</v>
          </cell>
        </row>
        <row r="1786">
          <cell r="A1786" t="str">
            <v>PEPPL0556</v>
          </cell>
          <cell r="Y1786" t="str">
            <v>Fork Lift Driver</v>
          </cell>
        </row>
        <row r="1787">
          <cell r="A1787" t="str">
            <v>PEIPL0581</v>
          </cell>
          <cell r="Y1787" t="str">
            <v>Junior Technician</v>
          </cell>
        </row>
        <row r="1788">
          <cell r="A1788" t="str">
            <v>PSS1349</v>
          </cell>
          <cell r="Y1788" t="str">
            <v>Driver</v>
          </cell>
        </row>
        <row r="1789">
          <cell r="A1789" t="str">
            <v>PSS1357</v>
          </cell>
          <cell r="Y1789" t="str">
            <v>Driver</v>
          </cell>
        </row>
        <row r="1790">
          <cell r="A1790" t="str">
            <v>PSS1290</v>
          </cell>
          <cell r="Y1790" t="str">
            <v>Assistant General Manager - Commercial</v>
          </cell>
        </row>
        <row r="1791">
          <cell r="A1791" t="str">
            <v>PEPPL0368</v>
          </cell>
          <cell r="Y1791" t="str">
            <v>Engineer</v>
          </cell>
        </row>
        <row r="1792">
          <cell r="A1792" t="str">
            <v>PEPPL0302</v>
          </cell>
          <cell r="Y1792" t="str">
            <v>Technician</v>
          </cell>
        </row>
        <row r="1793">
          <cell r="A1793" t="str">
            <v>PEIPL0375</v>
          </cell>
          <cell r="Y1793" t="str">
            <v>Junior Engineer</v>
          </cell>
        </row>
        <row r="1794">
          <cell r="A1794" t="str">
            <v>PEPPL0361</v>
          </cell>
          <cell r="Y1794" t="str">
            <v>Technician</v>
          </cell>
        </row>
        <row r="1795">
          <cell r="A1795" t="str">
            <v>PEIPL0423</v>
          </cell>
          <cell r="Y1795" t="str">
            <v>Graduate Engineer Trainee</v>
          </cell>
        </row>
        <row r="1796">
          <cell r="A1796" t="str">
            <v>PEIPL0550</v>
          </cell>
          <cell r="Y1796" t="str">
            <v>Executive</v>
          </cell>
        </row>
        <row r="1797">
          <cell r="A1797" t="str">
            <v>PEPPL0501</v>
          </cell>
          <cell r="Y1797" t="str">
            <v>Senior Technician</v>
          </cell>
        </row>
        <row r="1798">
          <cell r="A1798" t="str">
            <v>PEPPL0863</v>
          </cell>
          <cell r="Y1798" t="str">
            <v>Senior Engineer - Maintenance</v>
          </cell>
        </row>
        <row r="1799">
          <cell r="A1799" t="str">
            <v>PEPPL0232</v>
          </cell>
          <cell r="Y1799" t="str">
            <v>House Keeping Incharge</v>
          </cell>
        </row>
        <row r="1800">
          <cell r="A1800" t="str">
            <v>PEPPL0708</v>
          </cell>
          <cell r="Y1800" t="str">
            <v>Junior Associate</v>
          </cell>
        </row>
        <row r="1801">
          <cell r="A1801" t="str">
            <v>PSS1177</v>
          </cell>
          <cell r="Y1801" t="str">
            <v>Co Ordinator</v>
          </cell>
        </row>
        <row r="1802">
          <cell r="A1802" t="str">
            <v>P0277</v>
          </cell>
          <cell r="Y1802" t="str">
            <v>Helper</v>
          </cell>
        </row>
        <row r="1803">
          <cell r="A1803" t="str">
            <v>PEIPL0759</v>
          </cell>
          <cell r="Y1803" t="str">
            <v>Technician</v>
          </cell>
        </row>
        <row r="1804">
          <cell r="A1804" t="str">
            <v>PSS1279</v>
          </cell>
          <cell r="Y1804" t="str">
            <v>Service Technician</v>
          </cell>
        </row>
        <row r="1805">
          <cell r="A1805" t="str">
            <v>PEIPL0103</v>
          </cell>
          <cell r="Y1805" t="str">
            <v>Junior Engineer</v>
          </cell>
        </row>
        <row r="1806">
          <cell r="A1806" t="str">
            <v>BDPL0024</v>
          </cell>
          <cell r="Y1806" t="str">
            <v>Helper</v>
          </cell>
        </row>
        <row r="1807">
          <cell r="A1807" t="str">
            <v>P0415</v>
          </cell>
          <cell r="Y1807" t="str">
            <v>Helper</v>
          </cell>
        </row>
        <row r="1808">
          <cell r="A1808" t="str">
            <v>P0475</v>
          </cell>
          <cell r="Y1808" t="str">
            <v>Helper</v>
          </cell>
        </row>
        <row r="1809">
          <cell r="A1809" t="str">
            <v>BDPL0019</v>
          </cell>
          <cell r="Y1809" t="str">
            <v>Helper</v>
          </cell>
        </row>
        <row r="1810">
          <cell r="A1810" t="str">
            <v>P0360</v>
          </cell>
          <cell r="Y1810" t="str">
            <v>Helper</v>
          </cell>
        </row>
        <row r="1811">
          <cell r="A1811" t="str">
            <v>PEIPL0219</v>
          </cell>
          <cell r="Y1811" t="str">
            <v>Technician</v>
          </cell>
        </row>
        <row r="1812">
          <cell r="A1812" t="str">
            <v>P0382</v>
          </cell>
          <cell r="Y1812" t="str">
            <v>Manager</v>
          </cell>
        </row>
        <row r="1813">
          <cell r="A1813" t="str">
            <v>PEPPL0683</v>
          </cell>
          <cell r="Y1813" t="str">
            <v>Technician</v>
          </cell>
        </row>
        <row r="1814">
          <cell r="A1814" t="str">
            <v>PEPPL0348</v>
          </cell>
          <cell r="Y1814" t="str">
            <v>Engineer</v>
          </cell>
        </row>
        <row r="1815">
          <cell r="A1815" t="str">
            <v>PEIPL0769</v>
          </cell>
          <cell r="Y1815" t="str">
            <v>Junior Maintenance Engineer</v>
          </cell>
        </row>
        <row r="1816">
          <cell r="A1816" t="str">
            <v>PEIPL0665</v>
          </cell>
          <cell r="Y1816" t="str">
            <v>Junior Technician</v>
          </cell>
        </row>
        <row r="1817">
          <cell r="A1817" t="str">
            <v>PEPPL0587</v>
          </cell>
          <cell r="Y1817" t="str">
            <v>Technician</v>
          </cell>
        </row>
        <row r="1818">
          <cell r="A1818" t="str">
            <v>PEPPL0809</v>
          </cell>
          <cell r="Y1818" t="str">
            <v>Junior Officer</v>
          </cell>
        </row>
        <row r="1819">
          <cell r="A1819" t="str">
            <v>PSS1042</v>
          </cell>
          <cell r="Y1819" t="str">
            <v>Office Assistant</v>
          </cell>
        </row>
        <row r="1820">
          <cell r="A1820" t="str">
            <v>PEPPL0729</v>
          </cell>
          <cell r="Y1820" t="str">
            <v>Helper</v>
          </cell>
        </row>
        <row r="1821">
          <cell r="A1821" t="str">
            <v>PSS0864</v>
          </cell>
          <cell r="Y1821" t="str">
            <v>Senior Executive - Stores</v>
          </cell>
        </row>
        <row r="1822">
          <cell r="A1822" t="str">
            <v>10001</v>
          </cell>
          <cell r="Y1822" t="str">
            <v>Chairman</v>
          </cell>
        </row>
        <row r="1823">
          <cell r="A1823" t="str">
            <v>PEGEPL0104</v>
          </cell>
          <cell r="Y1823" t="str">
            <v>Graduate Engineer Trainee</v>
          </cell>
        </row>
        <row r="1824">
          <cell r="A1824" t="str">
            <v>PEIPL0412</v>
          </cell>
          <cell r="Y1824" t="str">
            <v>Senior Technician</v>
          </cell>
        </row>
        <row r="1825">
          <cell r="A1825" t="str">
            <v>PEGEPL0005</v>
          </cell>
          <cell r="Y1825" t="str">
            <v>Senior Technician</v>
          </cell>
        </row>
        <row r="1826">
          <cell r="A1826" t="str">
            <v>PSS0047</v>
          </cell>
          <cell r="Y1826" t="str">
            <v>Helper</v>
          </cell>
        </row>
        <row r="1827">
          <cell r="A1827" t="str">
            <v>PEPPL0584</v>
          </cell>
          <cell r="Y1827" t="str">
            <v>Senior Technician</v>
          </cell>
        </row>
        <row r="1828">
          <cell r="A1828" t="str">
            <v>PEGEPL0115</v>
          </cell>
          <cell r="Y1828" t="str">
            <v>Technician</v>
          </cell>
        </row>
        <row r="1829">
          <cell r="A1829" t="str">
            <v>PEIPL0394</v>
          </cell>
          <cell r="Y1829" t="str">
            <v>Technician</v>
          </cell>
        </row>
        <row r="1830">
          <cell r="A1830" t="str">
            <v>PEIPL0204</v>
          </cell>
          <cell r="Y1830" t="str">
            <v>Fork Lift Driver</v>
          </cell>
        </row>
        <row r="1831">
          <cell r="A1831" t="str">
            <v>PEPPL0439</v>
          </cell>
          <cell r="Y1831" t="str">
            <v>Fork Lift Driver</v>
          </cell>
        </row>
        <row r="1832">
          <cell r="A1832" t="str">
            <v>PEPPL0886</v>
          </cell>
          <cell r="Y1832" t="str">
            <v>Technician</v>
          </cell>
        </row>
        <row r="1833">
          <cell r="A1833" t="str">
            <v>PEPPL0244</v>
          </cell>
          <cell r="Y1833" t="str">
            <v>Assistant Manager</v>
          </cell>
        </row>
        <row r="1834">
          <cell r="A1834" t="str">
            <v>PSS0721</v>
          </cell>
          <cell r="Y1834" t="str">
            <v>Shift Incharge</v>
          </cell>
        </row>
        <row r="1835">
          <cell r="A1835" t="str">
            <v>PEPPL0261</v>
          </cell>
          <cell r="Y1835" t="str">
            <v>Assistant Manager - Production</v>
          </cell>
        </row>
        <row r="1836">
          <cell r="A1836" t="str">
            <v>PEPPL0251</v>
          </cell>
          <cell r="Y1836" t="str">
            <v>Senior Engineer</v>
          </cell>
        </row>
        <row r="1837">
          <cell r="A1837" t="str">
            <v>PEPPL0256</v>
          </cell>
          <cell r="Y1837" t="str">
            <v>GEM - 1</v>
          </cell>
        </row>
        <row r="1838">
          <cell r="A1838" t="str">
            <v>PEPPL0877</v>
          </cell>
          <cell r="Y1838" t="str">
            <v>Junior Engineer</v>
          </cell>
        </row>
        <row r="1839">
          <cell r="A1839" t="str">
            <v>PEPPL0197</v>
          </cell>
          <cell r="Y1839" t="str">
            <v>Technician</v>
          </cell>
        </row>
        <row r="1840">
          <cell r="A1840" t="str">
            <v>PEGEPL0015</v>
          </cell>
          <cell r="Y1840" t="str">
            <v>Junior Technician</v>
          </cell>
        </row>
        <row r="1841">
          <cell r="A1841" t="str">
            <v>PSS0530</v>
          </cell>
          <cell r="Y1841" t="str">
            <v>Senior Technician</v>
          </cell>
        </row>
        <row r="1842">
          <cell r="A1842" t="str">
            <v>PSS1186</v>
          </cell>
          <cell r="Y1842" t="str">
            <v>Coordinator - Service</v>
          </cell>
        </row>
        <row r="1843">
          <cell r="A1843" t="str">
            <v>PEIPL0656</v>
          </cell>
          <cell r="Y1843" t="str">
            <v>Graduate Engineer Trainee</v>
          </cell>
        </row>
        <row r="1844">
          <cell r="A1844" t="str">
            <v>PEIPL0707</v>
          </cell>
          <cell r="Y1844" t="str">
            <v>Deputy General Manager - PPC</v>
          </cell>
        </row>
        <row r="1845">
          <cell r="A1845" t="str">
            <v>PEPPL0672</v>
          </cell>
          <cell r="Y1845" t="str">
            <v>Senior Executive - Design</v>
          </cell>
        </row>
        <row r="1846">
          <cell r="A1846" t="str">
            <v>PEGEPL0065</v>
          </cell>
          <cell r="Y1846" t="str">
            <v>Senior Engineer</v>
          </cell>
        </row>
        <row r="1847">
          <cell r="A1847" t="str">
            <v>PEIPL0459</v>
          </cell>
          <cell r="Y1847" t="str">
            <v>Junior Engineer</v>
          </cell>
        </row>
        <row r="1848">
          <cell r="A1848" t="str">
            <v>PEPPL0092</v>
          </cell>
          <cell r="Y1848" t="str">
            <v>Engineer</v>
          </cell>
        </row>
        <row r="1849">
          <cell r="A1849" t="str">
            <v>PSS1121</v>
          </cell>
          <cell r="Y1849" t="str">
            <v>Senior Manager</v>
          </cell>
        </row>
        <row r="1850">
          <cell r="A1850" t="str">
            <v>PEPPL0077</v>
          </cell>
          <cell r="Y1850" t="str">
            <v>Assistant Manager - Production</v>
          </cell>
        </row>
        <row r="1851">
          <cell r="A1851" t="str">
            <v>PEPPL0720</v>
          </cell>
          <cell r="Y1851" t="str">
            <v>Area Manager - Channel Sales</v>
          </cell>
        </row>
        <row r="1852">
          <cell r="A1852" t="str">
            <v>PEPPL0680</v>
          </cell>
          <cell r="Y1852" t="str">
            <v>Junior Engineer</v>
          </cell>
        </row>
        <row r="1853">
          <cell r="A1853" t="str">
            <v>PEIPL0324</v>
          </cell>
          <cell r="Y1853" t="str">
            <v>Assistant Engineer</v>
          </cell>
        </row>
        <row r="1854">
          <cell r="A1854" t="str">
            <v>PEPPL0384</v>
          </cell>
          <cell r="Y1854" t="str">
            <v>Senior Engineer</v>
          </cell>
        </row>
        <row r="1855">
          <cell r="A1855" t="str">
            <v>P0398</v>
          </cell>
          <cell r="Y1855" t="str">
            <v>Helper</v>
          </cell>
        </row>
        <row r="1856">
          <cell r="A1856" t="str">
            <v>P0506</v>
          </cell>
          <cell r="Y1856" t="str">
            <v>Engineer</v>
          </cell>
        </row>
        <row r="1857">
          <cell r="A1857" t="str">
            <v>PEIPL0158</v>
          </cell>
          <cell r="Y1857" t="str">
            <v>Senior Engineer</v>
          </cell>
        </row>
        <row r="1858">
          <cell r="A1858" t="str">
            <v>PEPPL0079</v>
          </cell>
          <cell r="Y1858" t="str">
            <v>Senior Engineer</v>
          </cell>
        </row>
        <row r="1859">
          <cell r="A1859" t="str">
            <v>PEPPL0593</v>
          </cell>
          <cell r="Y1859" t="str">
            <v>Executive - Stores</v>
          </cell>
        </row>
        <row r="1860">
          <cell r="A1860" t="str">
            <v>PSS1287</v>
          </cell>
          <cell r="Y1860" t="str">
            <v>Junior Engineer</v>
          </cell>
        </row>
        <row r="1861">
          <cell r="A1861" t="str">
            <v>PEPPL0243</v>
          </cell>
          <cell r="Y1861" t="str">
            <v>Shift Incharge</v>
          </cell>
        </row>
        <row r="1862">
          <cell r="A1862" t="str">
            <v>PSS0631</v>
          </cell>
          <cell r="Y1862" t="str">
            <v>Shift Incharge</v>
          </cell>
        </row>
        <row r="1863">
          <cell r="A1863" t="str">
            <v>PEIPL0200</v>
          </cell>
          <cell r="Y1863" t="str">
            <v>Manager - Stores</v>
          </cell>
        </row>
        <row r="1864">
          <cell r="A1864" t="str">
            <v>PEIPL0133</v>
          </cell>
          <cell r="Y1864" t="str">
            <v>General Manager - SCM &amp; Stores</v>
          </cell>
        </row>
        <row r="1865">
          <cell r="A1865" t="str">
            <v>PSS0001</v>
          </cell>
          <cell r="Y1865" t="str">
            <v>Senior Operator</v>
          </cell>
        </row>
        <row r="1866">
          <cell r="A1866" t="str">
            <v>PEGEPL0023</v>
          </cell>
          <cell r="Y1866" t="str">
            <v>Senior Technician</v>
          </cell>
        </row>
        <row r="1867">
          <cell r="A1867" t="str">
            <v>PEPPL0191</v>
          </cell>
          <cell r="Y1867" t="str">
            <v>Senior Technician</v>
          </cell>
        </row>
        <row r="1868">
          <cell r="A1868" t="str">
            <v>PEIPL0609</v>
          </cell>
          <cell r="Y1868" t="str">
            <v>Senior Engineer</v>
          </cell>
        </row>
        <row r="1869">
          <cell r="A1869" t="str">
            <v>PSS1217</v>
          </cell>
          <cell r="Y1869" t="str">
            <v>Senior Engineer</v>
          </cell>
        </row>
        <row r="1870">
          <cell r="A1870" t="str">
            <v>PEPPL0514</v>
          </cell>
          <cell r="Y1870" t="str">
            <v>Engineer</v>
          </cell>
        </row>
        <row r="1871">
          <cell r="A1871" t="str">
            <v>PSS1214</v>
          </cell>
          <cell r="Y1871" t="str">
            <v>Senior Executive - Procurement</v>
          </cell>
        </row>
        <row r="1872">
          <cell r="A1872" t="str">
            <v>PEGEPL0012</v>
          </cell>
          <cell r="Y1872" t="str">
            <v>Senior Technician</v>
          </cell>
        </row>
        <row r="1873">
          <cell r="A1873" t="str">
            <v>PSS1316</v>
          </cell>
          <cell r="Y1873" t="str">
            <v>Shift Incharge</v>
          </cell>
        </row>
        <row r="1874">
          <cell r="A1874" t="str">
            <v>PEPPL0126</v>
          </cell>
          <cell r="Y1874" t="str">
            <v>Deputy Manager - Technical</v>
          </cell>
        </row>
        <row r="1875">
          <cell r="A1875" t="str">
            <v>PEPPL0632</v>
          </cell>
          <cell r="Y1875" t="str">
            <v>Junior Engineer</v>
          </cell>
        </row>
        <row r="1876">
          <cell r="A1876" t="str">
            <v>P0374</v>
          </cell>
          <cell r="Y1876" t="str">
            <v>Operator</v>
          </cell>
        </row>
        <row r="1877">
          <cell r="A1877" t="str">
            <v>PEPPL0272</v>
          </cell>
          <cell r="Y1877" t="str">
            <v>Deputy Manager - Process</v>
          </cell>
        </row>
        <row r="1878">
          <cell r="A1878" t="str">
            <v>PEIPL0280</v>
          </cell>
          <cell r="Y1878" t="str">
            <v>Assistant Engineer</v>
          </cell>
        </row>
        <row r="1879">
          <cell r="A1879" t="str">
            <v>PEPPL0537</v>
          </cell>
          <cell r="Y1879" t="str">
            <v>Senior Technician</v>
          </cell>
        </row>
        <row r="1880">
          <cell r="A1880" t="str">
            <v>PEIPL0771</v>
          </cell>
          <cell r="Y1880" t="str">
            <v>Junior Technician</v>
          </cell>
        </row>
        <row r="1881">
          <cell r="A1881" t="str">
            <v>P0418</v>
          </cell>
          <cell r="Y1881" t="str">
            <v>Manager</v>
          </cell>
        </row>
        <row r="1882">
          <cell r="A1882" t="str">
            <v>PEPPL0371</v>
          </cell>
          <cell r="Y1882" t="str">
            <v>Engineer</v>
          </cell>
        </row>
        <row r="1883">
          <cell r="A1883" t="str">
            <v>PEIPL0672</v>
          </cell>
          <cell r="Y1883" t="str">
            <v>Senior Engineer</v>
          </cell>
        </row>
        <row r="1884">
          <cell r="A1884" t="str">
            <v>PEPPL0116</v>
          </cell>
          <cell r="Y1884" t="str">
            <v>Senior Engineer</v>
          </cell>
        </row>
        <row r="1885">
          <cell r="A1885" t="str">
            <v>PEIPL0239</v>
          </cell>
          <cell r="Y1885" t="str">
            <v>Manager</v>
          </cell>
        </row>
        <row r="1886">
          <cell r="A1886" t="str">
            <v>PEPPL0146</v>
          </cell>
          <cell r="Y1886" t="str">
            <v>Assistant Manager - Quality</v>
          </cell>
        </row>
        <row r="1887">
          <cell r="A1887" t="str">
            <v>PEIPL0162</v>
          </cell>
          <cell r="Y1887" t="str">
            <v>Assistant Engineer</v>
          </cell>
        </row>
        <row r="1888">
          <cell r="A1888" t="str">
            <v>BDPL0030</v>
          </cell>
          <cell r="Y1888" t="str">
            <v>Engineer</v>
          </cell>
        </row>
        <row r="1889">
          <cell r="A1889" t="str">
            <v>P0325</v>
          </cell>
          <cell r="Y1889" t="str">
            <v>Engineer</v>
          </cell>
        </row>
        <row r="1890">
          <cell r="A1890" t="str">
            <v>P0435</v>
          </cell>
          <cell r="Y1890" t="str">
            <v>Engineer</v>
          </cell>
        </row>
        <row r="1891">
          <cell r="A1891" t="str">
            <v>P0470</v>
          </cell>
          <cell r="Y1891" t="str">
            <v>Engineer</v>
          </cell>
        </row>
        <row r="1892">
          <cell r="A1892" t="str">
            <v>PEPPL0394</v>
          </cell>
          <cell r="Y1892" t="str">
            <v>Technician</v>
          </cell>
        </row>
        <row r="1893">
          <cell r="A1893" t="str">
            <v>P0460</v>
          </cell>
          <cell r="Y1893" t="str">
            <v>Safety Officer</v>
          </cell>
        </row>
        <row r="1894">
          <cell r="A1894" t="str">
            <v>PSS1377</v>
          </cell>
          <cell r="Y1894" t="str">
            <v>Manager - Finance &amp; Accounts</v>
          </cell>
        </row>
        <row r="1895">
          <cell r="A1895" t="str">
            <v>PSS1220</v>
          </cell>
          <cell r="Y1895" t="str">
            <v>SAP FICO Consultant</v>
          </cell>
        </row>
        <row r="1896">
          <cell r="A1896" t="str">
            <v>PEIPL0565</v>
          </cell>
          <cell r="Y1896" t="str">
            <v>Assistant Manager - Finance &amp; Accounts</v>
          </cell>
        </row>
        <row r="1897">
          <cell r="A1897" t="str">
            <v>PSS1301</v>
          </cell>
          <cell r="Y1897" t="str">
            <v>Vice President - Human Resources</v>
          </cell>
        </row>
        <row r="1898">
          <cell r="A1898" t="str">
            <v>PSS0175</v>
          </cell>
          <cell r="Y1898" t="str">
            <v>Receptionist</v>
          </cell>
        </row>
        <row r="1899">
          <cell r="A1899" t="str">
            <v>PSS1168</v>
          </cell>
          <cell r="Y1899" t="str">
            <v>Senior Executive - Administration</v>
          </cell>
        </row>
        <row r="1900">
          <cell r="A1900" t="str">
            <v>PEPPL0010</v>
          </cell>
          <cell r="Y1900" t="str">
            <v>Executive - Administration</v>
          </cell>
        </row>
        <row r="1901">
          <cell r="A1901" t="str">
            <v>PSS0744</v>
          </cell>
          <cell r="Y1901" t="str">
            <v>Senior Technician</v>
          </cell>
        </row>
        <row r="1902">
          <cell r="A1902" t="str">
            <v>PEGEPL0024</v>
          </cell>
          <cell r="Y1902" t="str">
            <v>Supervisor</v>
          </cell>
        </row>
        <row r="1903">
          <cell r="A1903" t="str">
            <v>PSS0482</v>
          </cell>
          <cell r="Y1903" t="str">
            <v>Executive - Administration</v>
          </cell>
        </row>
        <row r="1904">
          <cell r="A1904" t="str">
            <v>PEPPL0057</v>
          </cell>
          <cell r="Y1904" t="str">
            <v>Engineer</v>
          </cell>
        </row>
        <row r="1905">
          <cell r="A1905" t="str">
            <v>PEIPL0086</v>
          </cell>
          <cell r="Y1905" t="str">
            <v>Deputy Manager - Human Resources</v>
          </cell>
        </row>
        <row r="1906">
          <cell r="A1906" t="str">
            <v>PSS1433</v>
          </cell>
          <cell r="Y1906" t="str">
            <v>Executive Assistant to Director</v>
          </cell>
        </row>
        <row r="1907">
          <cell r="A1907" t="str">
            <v>PSS1103</v>
          </cell>
          <cell r="Y1907" t="str">
            <v>Executive - Logistics</v>
          </cell>
        </row>
        <row r="1908">
          <cell r="A1908" t="str">
            <v>PEIPL0002</v>
          </cell>
          <cell r="Y1908" t="str">
            <v>Assistant Manager - Procurement</v>
          </cell>
        </row>
        <row r="1909">
          <cell r="A1909" t="str">
            <v>PEIPL0187</v>
          </cell>
          <cell r="Y1909" t="str">
            <v>Senior Engineer</v>
          </cell>
        </row>
        <row r="1910">
          <cell r="A1910" t="str">
            <v>PSS0942</v>
          </cell>
          <cell r="Y1910" t="str">
            <v>Shift Incharge</v>
          </cell>
        </row>
        <row r="1911">
          <cell r="A1911" t="str">
            <v>PEIPL0666</v>
          </cell>
          <cell r="Y1911" t="str">
            <v>Assistant Manager</v>
          </cell>
        </row>
        <row r="1912">
          <cell r="A1912" t="str">
            <v>PSS1192</v>
          </cell>
          <cell r="Y1912" t="str">
            <v>Engineer</v>
          </cell>
        </row>
        <row r="1913">
          <cell r="A1913" t="str">
            <v>PSS1416</v>
          </cell>
          <cell r="Y1913" t="str">
            <v>Consultant</v>
          </cell>
        </row>
        <row r="1914">
          <cell r="A1914" t="str">
            <v>PEPPL0511</v>
          </cell>
          <cell r="Y1914" t="str">
            <v>Senior Engineer</v>
          </cell>
        </row>
        <row r="1915">
          <cell r="A1915" t="str">
            <v>PSS1382</v>
          </cell>
          <cell r="Y1915" t="str">
            <v>Assistant Manager - Finance &amp; Accounts</v>
          </cell>
        </row>
        <row r="1916">
          <cell r="A1916" t="str">
            <v>PEIPL0008</v>
          </cell>
          <cell r="Y1916" t="str">
            <v>Officer</v>
          </cell>
        </row>
        <row r="1917">
          <cell r="A1917" t="str">
            <v>PSS1283</v>
          </cell>
          <cell r="Y1917" t="str">
            <v>Plumber</v>
          </cell>
        </row>
        <row r="1918">
          <cell r="A1918" t="str">
            <v>P0337</v>
          </cell>
          <cell r="Y1918" t="str">
            <v>Helper</v>
          </cell>
        </row>
        <row r="1919">
          <cell r="A1919" t="str">
            <v>PEPPL0449</v>
          </cell>
          <cell r="Y1919" t="str">
            <v>Senior Technician</v>
          </cell>
        </row>
        <row r="1920">
          <cell r="A1920" t="str">
            <v>PEIPL0209</v>
          </cell>
          <cell r="Y1920" t="str">
            <v>Executive</v>
          </cell>
        </row>
        <row r="1921">
          <cell r="A1921" t="str">
            <v>PEGEPL0066</v>
          </cell>
          <cell r="Y1921" t="str">
            <v>Junior Engineer</v>
          </cell>
        </row>
        <row r="1922">
          <cell r="A1922" t="str">
            <v>PEIPL0391</v>
          </cell>
          <cell r="Y1922" t="str">
            <v>Assistant Engineer</v>
          </cell>
        </row>
        <row r="1923">
          <cell r="A1923" t="str">
            <v>PEPPL0583</v>
          </cell>
          <cell r="Y1923" t="str">
            <v>Senior Technician</v>
          </cell>
        </row>
        <row r="1924">
          <cell r="A1924" t="str">
            <v>PSS0662</v>
          </cell>
          <cell r="Y1924" t="str">
            <v>Senior Executive - Accounts</v>
          </cell>
        </row>
        <row r="1925">
          <cell r="A1925" t="str">
            <v>PSS1060</v>
          </cell>
          <cell r="Y1925" t="str">
            <v>QA Engineer</v>
          </cell>
        </row>
        <row r="1926">
          <cell r="A1926" t="str">
            <v>PEPPL0656</v>
          </cell>
          <cell r="Y1926" t="str">
            <v>Area Manager - Channel Sales</v>
          </cell>
        </row>
        <row r="1927">
          <cell r="A1927" t="str">
            <v>P0433</v>
          </cell>
          <cell r="Y1927" t="str">
            <v>Engineer</v>
          </cell>
        </row>
        <row r="1928">
          <cell r="A1928" t="str">
            <v>P0188</v>
          </cell>
          <cell r="Y1928" t="str">
            <v>Engineer</v>
          </cell>
        </row>
        <row r="1929">
          <cell r="A1929" t="str">
            <v>PEIPL0263</v>
          </cell>
          <cell r="Y1929" t="str">
            <v>Senior Technician</v>
          </cell>
        </row>
        <row r="1930">
          <cell r="A1930" t="str">
            <v>PEIPL0592</v>
          </cell>
          <cell r="Y1930" t="str">
            <v>Senior Executive</v>
          </cell>
        </row>
        <row r="1931">
          <cell r="A1931" t="str">
            <v>PSS1393</v>
          </cell>
          <cell r="Y1931" t="str">
            <v>Assistant Manager - Data Analysis</v>
          </cell>
        </row>
        <row r="1932">
          <cell r="A1932" t="str">
            <v>PEIPL0724</v>
          </cell>
          <cell r="Y1932" t="str">
            <v>Consultant</v>
          </cell>
        </row>
        <row r="1933">
          <cell r="A1933" t="str">
            <v>PEPPL0635</v>
          </cell>
          <cell r="Y1933" t="str">
            <v>Assistant Manager</v>
          </cell>
        </row>
        <row r="1934">
          <cell r="A1934" t="str">
            <v>PEPPL0342</v>
          </cell>
          <cell r="Y1934" t="str">
            <v>Engineer</v>
          </cell>
        </row>
        <row r="1935">
          <cell r="A1935" t="str">
            <v>PSS1240</v>
          </cell>
          <cell r="Y1935" t="str">
            <v>Assistant Manager - Taxation</v>
          </cell>
        </row>
        <row r="1936">
          <cell r="A1936" t="str">
            <v>PSS0347</v>
          </cell>
          <cell r="Y1936" t="str">
            <v>Technician</v>
          </cell>
        </row>
        <row r="1937">
          <cell r="A1937" t="str">
            <v>PEIPL0691</v>
          </cell>
          <cell r="Y1937" t="str">
            <v>Senior Technician</v>
          </cell>
        </row>
        <row r="1938">
          <cell r="A1938" t="str">
            <v>PEIPL0578</v>
          </cell>
          <cell r="Y1938" t="str">
            <v>Senior Officer</v>
          </cell>
        </row>
        <row r="1939">
          <cell r="A1939" t="str">
            <v>PEPPL0083</v>
          </cell>
          <cell r="Y1939" t="str">
            <v>Officer - Administration</v>
          </cell>
        </row>
        <row r="1940">
          <cell r="A1940" t="str">
            <v>PEIPL0370</v>
          </cell>
          <cell r="Y1940" t="str">
            <v>Technician</v>
          </cell>
        </row>
        <row r="1941">
          <cell r="A1941" t="str">
            <v>P0192</v>
          </cell>
          <cell r="Y1941" t="str">
            <v>Manager</v>
          </cell>
        </row>
        <row r="1942">
          <cell r="A1942" t="str">
            <v>PSS0017</v>
          </cell>
          <cell r="Y1942" t="str">
            <v>Supervisor Admin</v>
          </cell>
        </row>
        <row r="1943">
          <cell r="A1943" t="str">
            <v>PSS1184</v>
          </cell>
          <cell r="Y1943" t="str">
            <v>Helper</v>
          </cell>
        </row>
        <row r="1944">
          <cell r="A1944" t="str">
            <v>PEPPL0163</v>
          </cell>
          <cell r="Y1944" t="str">
            <v>Senior Technician</v>
          </cell>
        </row>
        <row r="1945">
          <cell r="A1945" t="str">
            <v>PSS1231</v>
          </cell>
          <cell r="Y1945" t="str">
            <v>Data Entry Operator</v>
          </cell>
        </row>
        <row r="1946">
          <cell r="A1946" t="str">
            <v>PSS1111</v>
          </cell>
          <cell r="Y1946" t="str">
            <v>Driver</v>
          </cell>
        </row>
        <row r="1947">
          <cell r="A1947" t="str">
            <v>PEIPL0154</v>
          </cell>
          <cell r="Y1947" t="str">
            <v>Fork Lift Driver</v>
          </cell>
        </row>
        <row r="1948">
          <cell r="A1948" t="str">
            <v>P0421</v>
          </cell>
          <cell r="Y1948" t="str">
            <v>Deputy Manager - Procurement</v>
          </cell>
        </row>
        <row r="1949">
          <cell r="A1949" t="str">
            <v>PEGEPL0140</v>
          </cell>
          <cell r="Y1949" t="str">
            <v>Officer -  Stores</v>
          </cell>
        </row>
        <row r="1950">
          <cell r="A1950" t="str">
            <v>PSS0913</v>
          </cell>
          <cell r="Y1950" t="str">
            <v>Operator</v>
          </cell>
        </row>
        <row r="1951">
          <cell r="A1951" t="str">
            <v>PSS0797</v>
          </cell>
          <cell r="Y1951" t="str">
            <v>Operator</v>
          </cell>
        </row>
        <row r="1952">
          <cell r="A1952" t="str">
            <v>PEIPL0264</v>
          </cell>
          <cell r="Y1952" t="str">
            <v>Junior Engineer</v>
          </cell>
        </row>
        <row r="1953">
          <cell r="A1953" t="str">
            <v>PSS1086</v>
          </cell>
          <cell r="Y1953" t="str">
            <v>Junior Technician</v>
          </cell>
        </row>
        <row r="1954">
          <cell r="A1954" t="str">
            <v>PEPPL0410</v>
          </cell>
          <cell r="Y1954" t="str">
            <v>Senior Technician</v>
          </cell>
        </row>
        <row r="1955">
          <cell r="A1955" t="str">
            <v>PEIPL0109</v>
          </cell>
          <cell r="Y1955" t="str">
            <v>Senior Engineer</v>
          </cell>
        </row>
        <row r="1956">
          <cell r="A1956" t="str">
            <v>PEIPL0548</v>
          </cell>
          <cell r="Y1956" t="str">
            <v>Graduate Engineer Trainee</v>
          </cell>
        </row>
        <row r="1957">
          <cell r="A1957" t="str">
            <v>PEPPL0844</v>
          </cell>
          <cell r="Y1957" t="str">
            <v>Graduate Engineer Trainee</v>
          </cell>
        </row>
        <row r="1958">
          <cell r="A1958" t="str">
            <v>PSS1074</v>
          </cell>
          <cell r="Y1958" t="str">
            <v>Technician</v>
          </cell>
        </row>
        <row r="1959">
          <cell r="A1959" t="str">
            <v>PSS1105</v>
          </cell>
          <cell r="Y1959" t="str">
            <v>Supervisor</v>
          </cell>
        </row>
        <row r="1960">
          <cell r="A1960" t="str">
            <v>PEIPL0613</v>
          </cell>
          <cell r="Y1960" t="str">
            <v>Junior Engineer</v>
          </cell>
        </row>
        <row r="1961">
          <cell r="A1961" t="str">
            <v>PEIPL0575</v>
          </cell>
          <cell r="Y1961" t="str">
            <v>Officer</v>
          </cell>
        </row>
        <row r="1962">
          <cell r="A1962" t="str">
            <v>PEIPL0491</v>
          </cell>
          <cell r="Y1962" t="str">
            <v>Technician</v>
          </cell>
        </row>
        <row r="1963">
          <cell r="A1963" t="str">
            <v>PSS0980</v>
          </cell>
          <cell r="Y1963" t="str">
            <v>Technician</v>
          </cell>
        </row>
        <row r="1964">
          <cell r="A1964" t="str">
            <v>PEPPL0398</v>
          </cell>
          <cell r="Y1964" t="str">
            <v>Junior Technician</v>
          </cell>
        </row>
        <row r="1965">
          <cell r="A1965" t="str">
            <v>P0324</v>
          </cell>
          <cell r="Y1965" t="str">
            <v>Engineer</v>
          </cell>
        </row>
        <row r="1966">
          <cell r="A1966" t="str">
            <v>PSS1112</v>
          </cell>
          <cell r="Y1966" t="str">
            <v>Executive</v>
          </cell>
        </row>
        <row r="1967">
          <cell r="A1967" t="str">
            <v>PEIPL0077</v>
          </cell>
          <cell r="Y1967" t="str">
            <v>Junior Engineer</v>
          </cell>
        </row>
        <row r="1968">
          <cell r="A1968" t="str">
            <v>PEIPL0199</v>
          </cell>
          <cell r="Y1968" t="str">
            <v>Technician</v>
          </cell>
        </row>
        <row r="1969">
          <cell r="A1969" t="str">
            <v>BDPL0034</v>
          </cell>
          <cell r="Y1969" t="str">
            <v>Company Secretary</v>
          </cell>
        </row>
        <row r="1970">
          <cell r="A1970" t="str">
            <v>P0483</v>
          </cell>
          <cell r="Y1970" t="str">
            <v>Company Secretary</v>
          </cell>
        </row>
        <row r="1971">
          <cell r="A1971" t="str">
            <v>PEIPL0312</v>
          </cell>
          <cell r="Y1971" t="str">
            <v>Fork Lift Driver</v>
          </cell>
        </row>
        <row r="1972">
          <cell r="A1972" t="str">
            <v>PEPPL0322</v>
          </cell>
          <cell r="Y1972" t="str">
            <v>Executive</v>
          </cell>
        </row>
        <row r="1973">
          <cell r="A1973" t="str">
            <v>PEIPL0397</v>
          </cell>
          <cell r="Y1973" t="str">
            <v>Senior Executive</v>
          </cell>
        </row>
        <row r="1974">
          <cell r="A1974" t="str">
            <v>PEIPL0746</v>
          </cell>
          <cell r="Y1974" t="str">
            <v>Deputy Engineer</v>
          </cell>
        </row>
        <row r="1975">
          <cell r="A1975" t="str">
            <v>PEPPL0136</v>
          </cell>
          <cell r="Y1975" t="str">
            <v>Senior Engineer</v>
          </cell>
        </row>
        <row r="1976">
          <cell r="A1976" t="str">
            <v>PSS0969</v>
          </cell>
          <cell r="Y1976" t="str">
            <v>Engineer</v>
          </cell>
        </row>
        <row r="1977">
          <cell r="A1977" t="str">
            <v>PEPPL0786</v>
          </cell>
          <cell r="Y1977" t="str">
            <v>Junior Officer - Administration</v>
          </cell>
        </row>
        <row r="1978">
          <cell r="A1978" t="str">
            <v>PEGEPL0126</v>
          </cell>
          <cell r="Y1978" t="str">
            <v>Senior Technician</v>
          </cell>
        </row>
        <row r="1979">
          <cell r="A1979" t="str">
            <v>PEPPL0551</v>
          </cell>
          <cell r="Y1979" t="str">
            <v>Fork Lift Driver</v>
          </cell>
        </row>
        <row r="1980">
          <cell r="A1980" t="str">
            <v>PEIPL0732</v>
          </cell>
          <cell r="Y1980" t="str">
            <v>Deputy Manager - Logistics</v>
          </cell>
        </row>
        <row r="1981">
          <cell r="A1981" t="str">
            <v>PSS0909</v>
          </cell>
          <cell r="Y1981" t="str">
            <v>Helper</v>
          </cell>
        </row>
        <row r="1982">
          <cell r="A1982" t="str">
            <v>PEIPL0614</v>
          </cell>
          <cell r="Y1982" t="str">
            <v>Graduate Engineer Trainee</v>
          </cell>
        </row>
        <row r="1983">
          <cell r="A1983" t="str">
            <v>PEPPL0182</v>
          </cell>
          <cell r="Y1983" t="str">
            <v>Junior Technician</v>
          </cell>
        </row>
        <row r="1984">
          <cell r="A1984" t="str">
            <v>PEPPL0761</v>
          </cell>
          <cell r="Y1984" t="str">
            <v>Junior Engineer</v>
          </cell>
        </row>
        <row r="1985">
          <cell r="A1985" t="str">
            <v>PEPPL0320</v>
          </cell>
          <cell r="Y1985" t="str">
            <v>Fork Lift Driver</v>
          </cell>
        </row>
        <row r="1986">
          <cell r="A1986" t="str">
            <v>PEIPL0018</v>
          </cell>
          <cell r="Y1986" t="str">
            <v>Assistant Manager - Finance &amp; Accounts</v>
          </cell>
        </row>
        <row r="1987">
          <cell r="A1987" t="str">
            <v>PSS0826</v>
          </cell>
          <cell r="Y1987" t="str">
            <v>Engineer</v>
          </cell>
        </row>
        <row r="1988">
          <cell r="A1988" t="str">
            <v>PEIPL0297</v>
          </cell>
          <cell r="Y1988" t="str">
            <v>Fork Lift Driver</v>
          </cell>
        </row>
        <row r="1989">
          <cell r="A1989" t="str">
            <v>PSS0084</v>
          </cell>
          <cell r="Y1989" t="str">
            <v>Helper</v>
          </cell>
        </row>
        <row r="1990">
          <cell r="A1990" t="str">
            <v>PSS1195</v>
          </cell>
          <cell r="Y1990" t="str">
            <v>Assistant Manager - Accounts</v>
          </cell>
        </row>
        <row r="1991">
          <cell r="A1991" t="str">
            <v>PEPPL0186</v>
          </cell>
          <cell r="Y1991" t="str">
            <v>Technician</v>
          </cell>
        </row>
        <row r="1992">
          <cell r="A1992" t="str">
            <v>PEIPL0257</v>
          </cell>
          <cell r="Y1992" t="str">
            <v>Junior Engineer</v>
          </cell>
        </row>
        <row r="1993">
          <cell r="A1993" t="str">
            <v>PEIPL0619</v>
          </cell>
          <cell r="Y1993" t="str">
            <v>Junior Engineer</v>
          </cell>
        </row>
        <row r="1994">
          <cell r="A1994" t="str">
            <v>P0371</v>
          </cell>
          <cell r="Y1994" t="str">
            <v>Helper</v>
          </cell>
        </row>
        <row r="1995">
          <cell r="A1995" t="str">
            <v>PEIPL0623</v>
          </cell>
          <cell r="Y1995" t="str">
            <v>Deputy Manager</v>
          </cell>
        </row>
        <row r="1996">
          <cell r="A1996" t="str">
            <v>PEPPL0373</v>
          </cell>
          <cell r="Y1996" t="str">
            <v>Technician</v>
          </cell>
        </row>
        <row r="1997">
          <cell r="A1997" t="str">
            <v>PSS0573</v>
          </cell>
          <cell r="Y1997" t="str">
            <v>Helper</v>
          </cell>
        </row>
        <row r="1998">
          <cell r="A1998" t="str">
            <v>PEPPL0290</v>
          </cell>
          <cell r="Y1998" t="str">
            <v>GEM - 2</v>
          </cell>
        </row>
        <row r="1999">
          <cell r="A1999" t="str">
            <v>PSS0483</v>
          </cell>
          <cell r="Y1999" t="str">
            <v>Senior Manager - Quality</v>
          </cell>
        </row>
        <row r="2000">
          <cell r="A2000" t="str">
            <v>PEIPL0514</v>
          </cell>
          <cell r="Y2000" t="str">
            <v>Senior Manager</v>
          </cell>
        </row>
        <row r="2001">
          <cell r="A2001" t="str">
            <v>PEIPL0493</v>
          </cell>
          <cell r="Y2001" t="str">
            <v>Engineer</v>
          </cell>
        </row>
        <row r="2002">
          <cell r="A2002" t="str">
            <v>PSS1314</v>
          </cell>
          <cell r="Y2002" t="str">
            <v>Engineer</v>
          </cell>
        </row>
        <row r="2003">
          <cell r="A2003" t="str">
            <v>PSPT002</v>
          </cell>
          <cell r="Y2003" t="str">
            <v>Head - EPC</v>
          </cell>
        </row>
        <row r="2004">
          <cell r="A2004" t="str">
            <v>PEPPL0387</v>
          </cell>
          <cell r="Y2004" t="str">
            <v>Technician</v>
          </cell>
        </row>
        <row r="2005">
          <cell r="A2005" t="str">
            <v>PEPPL0158</v>
          </cell>
          <cell r="Y2005" t="str">
            <v>Deputy Manager - Finance &amp; Accounts</v>
          </cell>
        </row>
        <row r="2006">
          <cell r="A2006" t="str">
            <v>PEIPL0157</v>
          </cell>
          <cell r="Y2006" t="str">
            <v>Senior Engineer</v>
          </cell>
        </row>
        <row r="2007">
          <cell r="A2007" t="str">
            <v>PEIPL0752</v>
          </cell>
          <cell r="Y2007" t="str">
            <v>Senior Officer - Safety</v>
          </cell>
        </row>
        <row r="2008">
          <cell r="A2008" t="str">
            <v>PSS1216</v>
          </cell>
          <cell r="Y2008" t="str">
            <v>Senior Engineer</v>
          </cell>
        </row>
        <row r="2009">
          <cell r="A2009" t="str">
            <v>PEPPL0552</v>
          </cell>
          <cell r="Y2009" t="str">
            <v>Fork Lift Driver</v>
          </cell>
        </row>
        <row r="2010">
          <cell r="A2010" t="str">
            <v>PSS0521</v>
          </cell>
          <cell r="Y2010" t="str">
            <v>Helper</v>
          </cell>
        </row>
        <row r="2011">
          <cell r="A2011" t="str">
            <v>PEPPL0339</v>
          </cell>
          <cell r="Y2011" t="str">
            <v>Engineer</v>
          </cell>
        </row>
        <row r="2012">
          <cell r="A2012" t="str">
            <v>PSS1131</v>
          </cell>
          <cell r="Y2012" t="str">
            <v>Senior Executive - Accounts</v>
          </cell>
        </row>
        <row r="2013">
          <cell r="A2013" t="str">
            <v>PSS0076</v>
          </cell>
          <cell r="Y2013" t="str">
            <v>Junior Engineer</v>
          </cell>
        </row>
        <row r="2014">
          <cell r="A2014" t="str">
            <v>PEIPL0643</v>
          </cell>
          <cell r="Y2014" t="str">
            <v>Junior Engineer</v>
          </cell>
        </row>
        <row r="2015">
          <cell r="A2015" t="str">
            <v>PEPPL0498</v>
          </cell>
          <cell r="Y2015" t="str">
            <v>Junior Engineer</v>
          </cell>
        </row>
        <row r="2016">
          <cell r="A2016" t="str">
            <v>PEIPL0533</v>
          </cell>
          <cell r="Y2016" t="str">
            <v>Technician</v>
          </cell>
        </row>
        <row r="2017">
          <cell r="A2017" t="str">
            <v>PEPPL0516</v>
          </cell>
          <cell r="Y2017" t="str">
            <v>Senior Technician</v>
          </cell>
        </row>
        <row r="2018">
          <cell r="A2018" t="str">
            <v>PEIPL0342</v>
          </cell>
          <cell r="Y2018" t="str">
            <v>Senior Technician</v>
          </cell>
        </row>
        <row r="2019">
          <cell r="A2019" t="str">
            <v>PEPPL0376</v>
          </cell>
          <cell r="Y2019" t="str">
            <v>Senior Technician</v>
          </cell>
        </row>
        <row r="2020">
          <cell r="A2020" t="str">
            <v>PSS1346</v>
          </cell>
          <cell r="Y2020" t="str">
            <v>Executive - Sales &amp; Business Development</v>
          </cell>
        </row>
        <row r="2021">
          <cell r="A2021" t="str">
            <v>PEIPL0729</v>
          </cell>
          <cell r="Y2021" t="str">
            <v>Assistant Engineer</v>
          </cell>
        </row>
        <row r="2022">
          <cell r="A2022" t="str">
            <v>PEPPL0385</v>
          </cell>
          <cell r="Y2022" t="str">
            <v>Junior Technician</v>
          </cell>
        </row>
        <row r="2023">
          <cell r="A2023" t="str">
            <v>PEPPL0230</v>
          </cell>
          <cell r="Y2023" t="str">
            <v>Senior Technician</v>
          </cell>
        </row>
        <row r="2024">
          <cell r="A2024" t="str">
            <v>PSS1146</v>
          </cell>
          <cell r="Y2024" t="str">
            <v>Driver</v>
          </cell>
        </row>
        <row r="2025">
          <cell r="A2025" t="str">
            <v>PSS1413</v>
          </cell>
          <cell r="Y2025" t="str">
            <v>Senior Executive - Finance &amp; Accounts</v>
          </cell>
        </row>
        <row r="2026">
          <cell r="A2026" t="str">
            <v>PEIPL0221</v>
          </cell>
          <cell r="Y2026" t="str">
            <v>Technician</v>
          </cell>
        </row>
        <row r="2027">
          <cell r="A2027" t="str">
            <v>PSS0854</v>
          </cell>
          <cell r="Y2027" t="str">
            <v>Engineer</v>
          </cell>
        </row>
        <row r="2028">
          <cell r="A2028" t="str">
            <v>PEIPL0080</v>
          </cell>
          <cell r="Y2028" t="str">
            <v>Deputy Manager - Production</v>
          </cell>
        </row>
        <row r="2029">
          <cell r="A2029" t="str">
            <v>PEPPL0406</v>
          </cell>
          <cell r="Y2029" t="str">
            <v>Assistant Manager - Maintenance</v>
          </cell>
        </row>
        <row r="2030">
          <cell r="A2030" t="str">
            <v>PEPPL0296</v>
          </cell>
          <cell r="Y2030" t="str">
            <v>Deputy Manager - Automation</v>
          </cell>
        </row>
        <row r="2031">
          <cell r="A2031" t="str">
            <v>PEPPL0612</v>
          </cell>
          <cell r="Y2031" t="str">
            <v>Technician</v>
          </cell>
        </row>
        <row r="2032">
          <cell r="A2032" t="str">
            <v>PEIPL0178</v>
          </cell>
          <cell r="Y2032" t="str">
            <v>Deputy Manager - Production</v>
          </cell>
        </row>
        <row r="2033">
          <cell r="A2033" t="str">
            <v>PEPPL0700</v>
          </cell>
          <cell r="Y2033" t="str">
            <v>Technician</v>
          </cell>
        </row>
        <row r="2034">
          <cell r="A2034" t="str">
            <v>P0369</v>
          </cell>
          <cell r="Y2034" t="str">
            <v>Helper</v>
          </cell>
        </row>
        <row r="2035">
          <cell r="A2035" t="str">
            <v>P0274</v>
          </cell>
          <cell r="Y2035" t="str">
            <v>Helper</v>
          </cell>
        </row>
        <row r="2036">
          <cell r="A2036" t="str">
            <v>PSS1225</v>
          </cell>
          <cell r="Y2036" t="str">
            <v>Manager - Projects</v>
          </cell>
        </row>
        <row r="2037">
          <cell r="A2037" t="str">
            <v>P0441</v>
          </cell>
          <cell r="Y2037" t="str">
            <v>Supervisor</v>
          </cell>
        </row>
        <row r="2038">
          <cell r="A2038" t="str">
            <v>P0323</v>
          </cell>
          <cell r="Y2038" t="str">
            <v>Engineer</v>
          </cell>
        </row>
        <row r="2039">
          <cell r="A2039" t="str">
            <v>PEPPL0201</v>
          </cell>
          <cell r="Y2039" t="str">
            <v>Junior Technician</v>
          </cell>
        </row>
        <row r="2040">
          <cell r="A2040" t="str">
            <v>PEPPL0510</v>
          </cell>
          <cell r="Y2040" t="str">
            <v>Senior Officer - Safety</v>
          </cell>
        </row>
        <row r="2041">
          <cell r="A2041" t="str">
            <v>PEIPL0703</v>
          </cell>
          <cell r="Y2041" t="str">
            <v>Senior Technician</v>
          </cell>
        </row>
        <row r="2042">
          <cell r="A2042" t="str">
            <v>PSS0923</v>
          </cell>
          <cell r="Y2042" t="str">
            <v>Senior Technician</v>
          </cell>
        </row>
        <row r="2043">
          <cell r="A2043" t="str">
            <v>PEPPL0722</v>
          </cell>
          <cell r="Y2043" t="str">
            <v>Assistant Manager</v>
          </cell>
        </row>
        <row r="2044">
          <cell r="A2044" t="str">
            <v>PEGEPL0135</v>
          </cell>
          <cell r="Y2044" t="str">
            <v>Assistant Manager -  Human Resources</v>
          </cell>
        </row>
        <row r="2045">
          <cell r="A2045" t="str">
            <v>PSS0719</v>
          </cell>
          <cell r="Y2045" t="str">
            <v>Engineer</v>
          </cell>
        </row>
        <row r="2046">
          <cell r="A2046" t="str">
            <v>PEPPL0727</v>
          </cell>
          <cell r="Y2046" t="str">
            <v>Technician</v>
          </cell>
        </row>
        <row r="2047">
          <cell r="A2047" t="str">
            <v>PEPPL0131</v>
          </cell>
          <cell r="Y2047" t="str">
            <v>Assistant Manager - Maintenance</v>
          </cell>
        </row>
        <row r="2048">
          <cell r="A2048" t="str">
            <v>PEIPL0084</v>
          </cell>
          <cell r="Y2048" t="str">
            <v>Deputy Manager - Safety</v>
          </cell>
        </row>
        <row r="2049">
          <cell r="A2049" t="str">
            <v>PSS0241</v>
          </cell>
          <cell r="Y2049" t="str">
            <v>Manager</v>
          </cell>
        </row>
        <row r="2050">
          <cell r="A2050" t="str">
            <v>PEIPL0473</v>
          </cell>
          <cell r="Y2050" t="str">
            <v>Junior Associate</v>
          </cell>
        </row>
        <row r="2051">
          <cell r="A2051" t="str">
            <v>PEPPL0441</v>
          </cell>
          <cell r="Y2051" t="str">
            <v>Senior Technician</v>
          </cell>
        </row>
        <row r="2052">
          <cell r="A2052" t="str">
            <v>PSS0288</v>
          </cell>
          <cell r="Y2052" t="str">
            <v>Coordinator - Finance &amp; Accounts</v>
          </cell>
        </row>
        <row r="2053">
          <cell r="A2053" t="str">
            <v>PEGEPL0008</v>
          </cell>
          <cell r="Y2053" t="str">
            <v>Driver</v>
          </cell>
        </row>
        <row r="2054">
          <cell r="A2054" t="str">
            <v>PSS1048</v>
          </cell>
          <cell r="Y2054" t="str">
            <v>Driver</v>
          </cell>
        </row>
        <row r="2055">
          <cell r="A2055" t="str">
            <v>PEPPL0644</v>
          </cell>
          <cell r="Y2055" t="str">
            <v>Executive</v>
          </cell>
        </row>
        <row r="2056">
          <cell r="A2056" t="str">
            <v>PEIPL0770</v>
          </cell>
          <cell r="Y2056" t="str">
            <v>Junior Technician</v>
          </cell>
        </row>
        <row r="2057">
          <cell r="A2057" t="str">
            <v>PEGEPL0111</v>
          </cell>
          <cell r="Y2057" t="str">
            <v>Junior Technician</v>
          </cell>
        </row>
        <row r="2058">
          <cell r="A2058" t="str">
            <v>PEIPL0626</v>
          </cell>
          <cell r="Y2058" t="str">
            <v>Deputy Manager - Finance &amp; Accounts</v>
          </cell>
        </row>
        <row r="2059">
          <cell r="A2059" t="str">
            <v>PSS0212</v>
          </cell>
          <cell r="Y2059" t="str">
            <v>Junior Engineer</v>
          </cell>
        </row>
        <row r="2060">
          <cell r="A2060" t="str">
            <v>PSS0977</v>
          </cell>
          <cell r="Y2060" t="str">
            <v>Project Engineer</v>
          </cell>
        </row>
        <row r="2061">
          <cell r="A2061" t="str">
            <v>PSS1352</v>
          </cell>
          <cell r="Y2061" t="str">
            <v>Senior Executive - Accounts</v>
          </cell>
        </row>
        <row r="2062">
          <cell r="A2062" t="str">
            <v>PSS0152</v>
          </cell>
          <cell r="Y2062" t="str">
            <v>Manager</v>
          </cell>
        </row>
        <row r="2063">
          <cell r="A2063" t="str">
            <v>PEGEPL0116</v>
          </cell>
          <cell r="Y2063" t="str">
            <v>Assistant Manager - Quality</v>
          </cell>
        </row>
        <row r="2064">
          <cell r="A2064" t="str">
            <v>PSS1031</v>
          </cell>
          <cell r="Y2064" t="str">
            <v>Manager Accounts</v>
          </cell>
        </row>
        <row r="2065">
          <cell r="A2065" t="str">
            <v>PEPPL0508</v>
          </cell>
          <cell r="Y2065" t="str">
            <v>Senior Technician</v>
          </cell>
        </row>
        <row r="2066">
          <cell r="A2066" t="str">
            <v>PEIPL0330</v>
          </cell>
          <cell r="Y2066" t="str">
            <v>Senior Technician</v>
          </cell>
        </row>
        <row r="2067">
          <cell r="A2067" t="str">
            <v>PSS1119</v>
          </cell>
          <cell r="Y2067" t="str">
            <v>Sr. Manager</v>
          </cell>
        </row>
        <row r="2068">
          <cell r="A2068" t="str">
            <v>PEPPL0780</v>
          </cell>
          <cell r="Y2068" t="str">
            <v>Officer</v>
          </cell>
        </row>
        <row r="2069">
          <cell r="A2069" t="str">
            <v>PEIPL0156</v>
          </cell>
          <cell r="Y2069" t="str">
            <v>Junior Engineer</v>
          </cell>
        </row>
        <row r="2070">
          <cell r="A2070" t="str">
            <v>PEIPL0217</v>
          </cell>
          <cell r="Y2070" t="str">
            <v>Junior Engineer</v>
          </cell>
        </row>
        <row r="2071">
          <cell r="A2071" t="str">
            <v>PEPPL0070</v>
          </cell>
          <cell r="Y2071" t="str">
            <v>Senior Engineer</v>
          </cell>
        </row>
        <row r="2072">
          <cell r="A2072" t="str">
            <v>PEIPL0185</v>
          </cell>
          <cell r="Y2072" t="str">
            <v>Assistant Manager</v>
          </cell>
        </row>
        <row r="2073">
          <cell r="A2073" t="str">
            <v>PSS1409</v>
          </cell>
          <cell r="Y2073" t="str">
            <v>Senior Manager - Business Analytics</v>
          </cell>
        </row>
        <row r="2074">
          <cell r="A2074" t="str">
            <v>PEIPL0029</v>
          </cell>
          <cell r="Y2074" t="str">
            <v>Junior Engineer</v>
          </cell>
        </row>
        <row r="2075">
          <cell r="A2075" t="str">
            <v>PEPPL0245</v>
          </cell>
          <cell r="Y2075" t="str">
            <v>Technician</v>
          </cell>
        </row>
        <row r="2076">
          <cell r="A2076" t="str">
            <v>BDPL0014</v>
          </cell>
          <cell r="Y2076" t="str">
            <v>Helper</v>
          </cell>
        </row>
        <row r="2077">
          <cell r="A2077" t="str">
            <v>P0354</v>
          </cell>
          <cell r="Y2077" t="str">
            <v>Helper</v>
          </cell>
        </row>
        <row r="2078">
          <cell r="A2078" t="str">
            <v>P0497</v>
          </cell>
          <cell r="Y2078" t="str">
            <v>Helper</v>
          </cell>
        </row>
        <row r="2079">
          <cell r="A2079" t="str">
            <v>PEPPL0075</v>
          </cell>
          <cell r="Y2079" t="str">
            <v>Assistant Manager - Production</v>
          </cell>
        </row>
        <row r="2080">
          <cell r="A2080" t="str">
            <v>PEIPL0806</v>
          </cell>
          <cell r="Y2080" t="str">
            <v>Senior Technician</v>
          </cell>
        </row>
        <row r="2081">
          <cell r="A2081" t="str">
            <v>PSS1418</v>
          </cell>
          <cell r="Y2081" t="str">
            <v>Assistant Manager - Data Analysis</v>
          </cell>
        </row>
        <row r="2082">
          <cell r="A2082" t="str">
            <v>PSS1127</v>
          </cell>
          <cell r="Y2082" t="str">
            <v>Technician</v>
          </cell>
        </row>
        <row r="2083">
          <cell r="A2083" t="str">
            <v>PEIPL0416</v>
          </cell>
          <cell r="Y2083" t="str">
            <v>Assistant Manager</v>
          </cell>
        </row>
        <row r="2084">
          <cell r="A2084" t="str">
            <v>PEPPL0374</v>
          </cell>
          <cell r="Y2084" t="str">
            <v>Senior Technician</v>
          </cell>
        </row>
        <row r="2085">
          <cell r="A2085" t="str">
            <v>PSS1212</v>
          </cell>
          <cell r="Y2085" t="str">
            <v>Vice President - Sales &amp; Business Development</v>
          </cell>
        </row>
        <row r="2086">
          <cell r="A2086" t="str">
            <v>PEIPL0722</v>
          </cell>
          <cell r="Y2086" t="str">
            <v>Consultant</v>
          </cell>
        </row>
        <row r="2087">
          <cell r="A2087" t="str">
            <v>PEIPL0501</v>
          </cell>
          <cell r="Y2087" t="str">
            <v>Engineer</v>
          </cell>
        </row>
        <row r="2088">
          <cell r="A2088" t="str">
            <v>PSS1299</v>
          </cell>
          <cell r="Y2088" t="str">
            <v>Engineer</v>
          </cell>
        </row>
        <row r="2089">
          <cell r="A2089" t="str">
            <v>PSS0485</v>
          </cell>
          <cell r="Y2089" t="str">
            <v>Senior Technician</v>
          </cell>
        </row>
        <row r="2090">
          <cell r="A2090" t="str">
            <v>PEGEPL0075</v>
          </cell>
          <cell r="Y2090" t="str">
            <v>Senior Technician</v>
          </cell>
        </row>
        <row r="2091">
          <cell r="A2091" t="str">
            <v>PEIPL0390</v>
          </cell>
          <cell r="Y2091" t="str">
            <v>Technician</v>
          </cell>
        </row>
        <row r="2092">
          <cell r="A2092" t="str">
            <v>PSS1277</v>
          </cell>
          <cell r="Y2092" t="str">
            <v>Assistant Manager - Finance &amp; Accounts</v>
          </cell>
        </row>
        <row r="2093">
          <cell r="A2093" t="str">
            <v>PEPPL0211</v>
          </cell>
          <cell r="Y2093" t="str">
            <v>Senior Technician</v>
          </cell>
        </row>
        <row r="2094">
          <cell r="A2094" t="str">
            <v>PEIPL0553</v>
          </cell>
          <cell r="Y2094" t="str">
            <v>Technician</v>
          </cell>
        </row>
        <row r="2095">
          <cell r="A2095" t="str">
            <v>PEPPL0264</v>
          </cell>
          <cell r="Y2095" t="str">
            <v>Junior Engineer</v>
          </cell>
        </row>
        <row r="2096">
          <cell r="A2096" t="str">
            <v>PEIPL0238</v>
          </cell>
          <cell r="Y2096" t="str">
            <v>Technician</v>
          </cell>
        </row>
        <row r="2097">
          <cell r="A2097" t="str">
            <v>PEPPL0751</v>
          </cell>
          <cell r="Y2097" t="str">
            <v>Diploma Engineer Trainee</v>
          </cell>
        </row>
        <row r="2098">
          <cell r="A2098" t="str">
            <v>PEIPL0652</v>
          </cell>
          <cell r="Y2098" t="str">
            <v>Graduate Engineer Trainee</v>
          </cell>
        </row>
        <row r="2099">
          <cell r="A2099" t="str">
            <v>BDPL0004</v>
          </cell>
          <cell r="Y2099" t="str">
            <v>Helper</v>
          </cell>
        </row>
        <row r="2100">
          <cell r="A2100" t="str">
            <v>P0331</v>
          </cell>
          <cell r="Y2100" t="str">
            <v>Helper</v>
          </cell>
        </row>
        <row r="2101">
          <cell r="A2101" t="str">
            <v>P0485</v>
          </cell>
          <cell r="Y2101" t="str">
            <v>Helper</v>
          </cell>
        </row>
        <row r="2102">
          <cell r="A2102" t="str">
            <v>PEIPL0684</v>
          </cell>
          <cell r="Y2102" t="str">
            <v>Junior Engineer</v>
          </cell>
        </row>
        <row r="2103">
          <cell r="A2103" t="str">
            <v>PEIPL0338</v>
          </cell>
          <cell r="Y2103" t="str">
            <v>Engineer</v>
          </cell>
        </row>
        <row r="2104">
          <cell r="A2104" t="str">
            <v>PEIPL0406</v>
          </cell>
          <cell r="Y2104" t="str">
            <v>Senior Engineer</v>
          </cell>
        </row>
        <row r="2105">
          <cell r="A2105" t="str">
            <v>PEIPL0003</v>
          </cell>
          <cell r="Y2105" t="str">
            <v>Engineer</v>
          </cell>
        </row>
        <row r="2106">
          <cell r="A2106" t="str">
            <v>PSS1100</v>
          </cell>
          <cell r="Y2106" t="str">
            <v>Assistant Manager - Projects</v>
          </cell>
        </row>
        <row r="2107">
          <cell r="A2107" t="str">
            <v>PSS0781</v>
          </cell>
          <cell r="Y2107" t="str">
            <v>Assistant Manager - Accounts</v>
          </cell>
        </row>
        <row r="2108">
          <cell r="A2108" t="str">
            <v>P0391</v>
          </cell>
          <cell r="Y2108" t="str">
            <v>Helper</v>
          </cell>
        </row>
        <row r="2109">
          <cell r="A2109" t="str">
            <v>PEIPL0530</v>
          </cell>
          <cell r="Y2109" t="str">
            <v>Senior Technician</v>
          </cell>
        </row>
        <row r="2110">
          <cell r="A2110" t="str">
            <v>PEIPL0088</v>
          </cell>
          <cell r="Y2110" t="str">
            <v>Senior Technician</v>
          </cell>
        </row>
        <row r="2111">
          <cell r="A2111" t="str">
            <v>PSS0234</v>
          </cell>
          <cell r="Y2111" t="str">
            <v>Assistant General Manager - Stores</v>
          </cell>
        </row>
        <row r="2112">
          <cell r="A2112" t="str">
            <v>PEIPL0479</v>
          </cell>
          <cell r="Y2112" t="str">
            <v>Assistant General manager</v>
          </cell>
        </row>
        <row r="2113">
          <cell r="A2113" t="str">
            <v>PEPPL0144</v>
          </cell>
          <cell r="Y2113" t="str">
            <v>Junior Engineer</v>
          </cell>
        </row>
        <row r="2114">
          <cell r="A2114" t="str">
            <v>PEIPL0194</v>
          </cell>
          <cell r="Y2114" t="str">
            <v>Engineer</v>
          </cell>
        </row>
        <row r="2115">
          <cell r="A2115" t="str">
            <v>PSS0388</v>
          </cell>
          <cell r="Y2115" t="str">
            <v>Senior Technician</v>
          </cell>
        </row>
        <row r="2116">
          <cell r="A2116" t="str">
            <v>PEIPL0644</v>
          </cell>
          <cell r="Y2116" t="str">
            <v>Senior Technician</v>
          </cell>
        </row>
        <row r="2117">
          <cell r="A2117" t="str">
            <v>PSS0553</v>
          </cell>
          <cell r="Y2117" t="str">
            <v>Helper</v>
          </cell>
        </row>
        <row r="2118">
          <cell r="A2118" t="str">
            <v>PSS0620</v>
          </cell>
          <cell r="Y2118" t="str">
            <v>Supervisor</v>
          </cell>
        </row>
        <row r="2119">
          <cell r="A2119" t="str">
            <v>PEIPL0228</v>
          </cell>
          <cell r="Y2119" t="str">
            <v>Technician</v>
          </cell>
        </row>
        <row r="2120">
          <cell r="A2120" t="str">
            <v>PEPPL0321</v>
          </cell>
          <cell r="Y2120" t="str">
            <v>Technician</v>
          </cell>
        </row>
        <row r="2121">
          <cell r="A2121" t="str">
            <v>PEPPL0338</v>
          </cell>
          <cell r="Y2121" t="str">
            <v>Assistant Manager</v>
          </cell>
        </row>
        <row r="2122">
          <cell r="A2122" t="str">
            <v>PEPPL0434</v>
          </cell>
          <cell r="Y2122" t="str">
            <v>Junior Technician</v>
          </cell>
        </row>
        <row r="2123">
          <cell r="A2123" t="str">
            <v>PSS1431</v>
          </cell>
          <cell r="Y2123" t="str">
            <v>General Manager - Systems &amp; Infrastructure</v>
          </cell>
        </row>
        <row r="2124">
          <cell r="A2124" t="str">
            <v>PEGEPL0139</v>
          </cell>
          <cell r="Y2124" t="str">
            <v>Senior Executive -  Procurement</v>
          </cell>
        </row>
        <row r="2125">
          <cell r="A2125" t="str">
            <v>PEIPL0697</v>
          </cell>
          <cell r="Y2125" t="str">
            <v>Technician</v>
          </cell>
        </row>
        <row r="2126">
          <cell r="A2126" t="str">
            <v>PEPPL0759</v>
          </cell>
          <cell r="Y2126" t="str">
            <v>Zonal Sales Manager</v>
          </cell>
        </row>
        <row r="2127">
          <cell r="A2127" t="str">
            <v>PEPPL0659</v>
          </cell>
          <cell r="Y2127" t="str">
            <v>National Sales Head</v>
          </cell>
        </row>
        <row r="2128">
          <cell r="A2128" t="str">
            <v>PEIPL0591</v>
          </cell>
          <cell r="Y2128" t="str">
            <v>Senior Technician</v>
          </cell>
        </row>
        <row r="2129">
          <cell r="A2129" t="str">
            <v>PEPPL0638</v>
          </cell>
          <cell r="Y2129" t="str">
            <v>Senior Executive - Business Development</v>
          </cell>
        </row>
        <row r="2130">
          <cell r="A2130" t="str">
            <v>P0263</v>
          </cell>
          <cell r="Y2130" t="str">
            <v>Operator</v>
          </cell>
        </row>
        <row r="2131">
          <cell r="A2131" t="str">
            <v>PEIPL0291</v>
          </cell>
          <cell r="Y2131" t="str">
            <v>Deputy Engineer</v>
          </cell>
        </row>
        <row r="2132">
          <cell r="A2132" t="str">
            <v>PEIPL0451</v>
          </cell>
          <cell r="Y2132" t="str">
            <v>Senior Engineer - Maintenance</v>
          </cell>
        </row>
        <row r="2133">
          <cell r="A2133" t="str">
            <v>PEPPL0096</v>
          </cell>
          <cell r="Y2133" t="str">
            <v>Senior Engineer</v>
          </cell>
        </row>
        <row r="2134">
          <cell r="A2134" t="str">
            <v>PEPPL0767</v>
          </cell>
          <cell r="Y2134" t="str">
            <v>Junior Engineer</v>
          </cell>
        </row>
        <row r="2135">
          <cell r="A2135" t="str">
            <v>PEIPL0405</v>
          </cell>
          <cell r="Y2135" t="str">
            <v>Technician</v>
          </cell>
        </row>
        <row r="2136">
          <cell r="A2136" t="str">
            <v>PEGEPL0133</v>
          </cell>
          <cell r="Y2136" t="str">
            <v>Deputy Engineer</v>
          </cell>
        </row>
        <row r="2137">
          <cell r="A2137" t="str">
            <v>BDPL0013</v>
          </cell>
          <cell r="Y2137" t="str">
            <v>Helper</v>
          </cell>
        </row>
        <row r="2138">
          <cell r="A2138" t="str">
            <v>P0489</v>
          </cell>
          <cell r="Y2138" t="str">
            <v>Helper</v>
          </cell>
        </row>
        <row r="2139">
          <cell r="A2139" t="str">
            <v>P0352</v>
          </cell>
          <cell r="Y2139" t="str">
            <v>Helper</v>
          </cell>
        </row>
        <row r="2140">
          <cell r="A2140" t="str">
            <v>BDPL0033</v>
          </cell>
          <cell r="Y2140" t="str">
            <v>Security Guard</v>
          </cell>
        </row>
        <row r="2141">
          <cell r="A2141" t="str">
            <v>P0482</v>
          </cell>
          <cell r="Y2141" t="str">
            <v>Security Guard</v>
          </cell>
        </row>
        <row r="2142">
          <cell r="A2142" t="str">
            <v>PEIPL0432</v>
          </cell>
          <cell r="Y2142" t="str">
            <v>Technician</v>
          </cell>
        </row>
        <row r="2143">
          <cell r="A2143" t="str">
            <v>PEPPL0106</v>
          </cell>
          <cell r="Y2143" t="str">
            <v>Sr. Engineer</v>
          </cell>
        </row>
        <row r="2144">
          <cell r="A2144" t="str">
            <v>P0294</v>
          </cell>
          <cell r="Y2144" t="str">
            <v>Helper</v>
          </cell>
        </row>
        <row r="2145">
          <cell r="A2145" t="str">
            <v>PEPPL0365</v>
          </cell>
          <cell r="Y2145" t="str">
            <v>Engineer</v>
          </cell>
        </row>
        <row r="2146">
          <cell r="A2146" t="str">
            <v>PEPPL0100</v>
          </cell>
          <cell r="Y2146" t="str">
            <v>Senior Engineer</v>
          </cell>
        </row>
        <row r="2147">
          <cell r="A2147" t="str">
            <v>PEPPL0412</v>
          </cell>
          <cell r="Y2147" t="str">
            <v>Senior Engineer</v>
          </cell>
        </row>
        <row r="2148">
          <cell r="A2148" t="str">
            <v>PEIPL0682</v>
          </cell>
          <cell r="Y2148" t="str">
            <v>Junior Engineer</v>
          </cell>
        </row>
        <row r="2149">
          <cell r="A2149" t="str">
            <v>PEPPL0037</v>
          </cell>
          <cell r="Y2149" t="str">
            <v>Assistant Manager - Production</v>
          </cell>
        </row>
        <row r="2150">
          <cell r="A2150" t="str">
            <v>PEIPL0245</v>
          </cell>
          <cell r="Y2150" t="str">
            <v>Senior Engineer</v>
          </cell>
        </row>
        <row r="2151">
          <cell r="A2151" t="str">
            <v>PEPPL0068</v>
          </cell>
          <cell r="Y2151" t="str">
            <v>Junior Engineer</v>
          </cell>
        </row>
        <row r="2152">
          <cell r="A2152" t="str">
            <v>PEPPL0732</v>
          </cell>
          <cell r="Y2152" t="str">
            <v>Junior Engineer</v>
          </cell>
        </row>
        <row r="2153">
          <cell r="A2153" t="str">
            <v>PSS1384</v>
          </cell>
          <cell r="Y2153" t="str">
            <v>Management Trainee - Human Resources</v>
          </cell>
        </row>
        <row r="2154">
          <cell r="A2154" t="str">
            <v>PEGEPL0079</v>
          </cell>
          <cell r="Y2154" t="str">
            <v>Technician</v>
          </cell>
        </row>
        <row r="2155">
          <cell r="A2155" t="str">
            <v>PEPPL0650</v>
          </cell>
          <cell r="Y2155" t="str">
            <v>Senior Executive - Insurance</v>
          </cell>
        </row>
        <row r="2156">
          <cell r="A2156" t="str">
            <v>PEPPL0262</v>
          </cell>
          <cell r="Y2156" t="str">
            <v>Fork Lift Driver</v>
          </cell>
        </row>
        <row r="2157">
          <cell r="A2157" t="str">
            <v>PEPPL0718</v>
          </cell>
          <cell r="Y2157" t="str">
            <v>Fork Lift Driver</v>
          </cell>
        </row>
        <row r="2158">
          <cell r="A2158" t="str">
            <v>PEIPL0544</v>
          </cell>
          <cell r="Y2158" t="str">
            <v>Graduate Engineer Trainee</v>
          </cell>
        </row>
        <row r="2159">
          <cell r="A2159" t="str">
            <v>PSS0884</v>
          </cell>
          <cell r="Y2159" t="str">
            <v>Engineer</v>
          </cell>
        </row>
        <row r="2160">
          <cell r="A2160" t="str">
            <v>PEPPL0431</v>
          </cell>
          <cell r="Y2160" t="str">
            <v>Technician</v>
          </cell>
        </row>
        <row r="2161">
          <cell r="A2161" t="str">
            <v>PEPPL0401</v>
          </cell>
          <cell r="Y2161" t="str">
            <v>Junior Technician</v>
          </cell>
        </row>
        <row r="2162">
          <cell r="A2162" t="str">
            <v>PEIPL0768</v>
          </cell>
          <cell r="Y2162" t="str">
            <v>Management Trainee - Human Resources</v>
          </cell>
        </row>
        <row r="2163">
          <cell r="A2163" t="str">
            <v>PSS0315</v>
          </cell>
          <cell r="Y2163" t="str">
            <v>Operator</v>
          </cell>
        </row>
        <row r="2164">
          <cell r="A2164" t="str">
            <v>PEPPL0596</v>
          </cell>
          <cell r="Y2164" t="str">
            <v>Senior Technician</v>
          </cell>
        </row>
        <row r="2165">
          <cell r="A2165" t="str">
            <v>PEPPL0555</v>
          </cell>
          <cell r="Y2165" t="str">
            <v>Fork Lift Driver</v>
          </cell>
        </row>
        <row r="2166">
          <cell r="A2166" t="str">
            <v>PEIPL0070</v>
          </cell>
          <cell r="Y2166" t="str">
            <v>Senior Engineer</v>
          </cell>
        </row>
        <row r="2167">
          <cell r="A2167" t="str">
            <v>PEIPL0090</v>
          </cell>
          <cell r="Y2167" t="str">
            <v>Senior Supervisor</v>
          </cell>
        </row>
        <row r="2168">
          <cell r="A2168" t="str">
            <v>PEIPL0606</v>
          </cell>
          <cell r="Y2168" t="str">
            <v>Engineer - Maintenance</v>
          </cell>
        </row>
        <row r="2169">
          <cell r="A2169" t="str">
            <v>PEPPL0140</v>
          </cell>
          <cell r="Y2169" t="str">
            <v>Assistant Manager - Maintenance</v>
          </cell>
        </row>
        <row r="2170">
          <cell r="A2170" t="str">
            <v>PSS1123</v>
          </cell>
          <cell r="Y2170" t="str">
            <v>Executive - Projects</v>
          </cell>
        </row>
        <row r="2171">
          <cell r="A2171" t="str">
            <v>PEPPL0702</v>
          </cell>
          <cell r="Y2171" t="str">
            <v>Junior Engineer</v>
          </cell>
        </row>
        <row r="2172">
          <cell r="A2172" t="str">
            <v>PEPPL0399</v>
          </cell>
          <cell r="Y2172" t="str">
            <v>Technician</v>
          </cell>
        </row>
        <row r="2173">
          <cell r="A2173" t="str">
            <v>P0329</v>
          </cell>
          <cell r="Y2173" t="str">
            <v>Design Engineer</v>
          </cell>
        </row>
        <row r="2174">
          <cell r="A2174" t="str">
            <v>PSS1326</v>
          </cell>
          <cell r="Y2174" t="str">
            <v>Consultant</v>
          </cell>
        </row>
        <row r="2175">
          <cell r="A2175" t="str">
            <v>PSS1347</v>
          </cell>
          <cell r="Y2175" t="str">
            <v>Coordinator - Procurement</v>
          </cell>
        </row>
        <row r="2176">
          <cell r="A2176" t="str">
            <v>PEIPL0206</v>
          </cell>
          <cell r="Y2176" t="str">
            <v>Junior Engineer</v>
          </cell>
        </row>
        <row r="2177">
          <cell r="A2177" t="str">
            <v>PEIPL0549</v>
          </cell>
          <cell r="Y2177" t="str">
            <v>Assistant Engineer</v>
          </cell>
        </row>
        <row r="2178">
          <cell r="A2178" t="str">
            <v>PEIPL0030</v>
          </cell>
          <cell r="Y2178" t="str">
            <v>Deputy Manager - Process</v>
          </cell>
        </row>
        <row r="2179">
          <cell r="A2179" t="str">
            <v>PEPPL0768</v>
          </cell>
          <cell r="Y2179" t="str">
            <v>Senior Technician - Production</v>
          </cell>
        </row>
        <row r="2180">
          <cell r="A2180" t="str">
            <v>PSS1248</v>
          </cell>
          <cell r="Y2180" t="str">
            <v>Service Technician</v>
          </cell>
        </row>
        <row r="2181">
          <cell r="A2181" t="str">
            <v>PEPPL0046</v>
          </cell>
          <cell r="Y2181" t="str">
            <v>Vice President - Administration</v>
          </cell>
        </row>
        <row r="2182">
          <cell r="A2182" t="str">
            <v>PEGEPL0010</v>
          </cell>
          <cell r="Y2182" t="str">
            <v>Operator</v>
          </cell>
        </row>
        <row r="2183">
          <cell r="A2183" t="str">
            <v>PSS0540</v>
          </cell>
          <cell r="Y2183" t="str">
            <v>Operator</v>
          </cell>
        </row>
        <row r="2184">
          <cell r="A2184" t="str">
            <v>PEPPL0303</v>
          </cell>
          <cell r="Y2184" t="str">
            <v>Senior Technician</v>
          </cell>
        </row>
        <row r="2185">
          <cell r="A2185" t="str">
            <v>PEPPL0652</v>
          </cell>
          <cell r="Y2185" t="str">
            <v>Senior Executive - Finance &amp; Accounts</v>
          </cell>
        </row>
        <row r="2186">
          <cell r="A2186" t="str">
            <v>PSS1385</v>
          </cell>
          <cell r="Y2186" t="str">
            <v>Management Trainee - Human Resources</v>
          </cell>
        </row>
        <row r="2187">
          <cell r="A2187" t="str">
            <v>PEIPL0475</v>
          </cell>
          <cell r="Y2187" t="str">
            <v>Junior Technician</v>
          </cell>
        </row>
        <row r="2188">
          <cell r="A2188" t="str">
            <v>PSS0049</v>
          </cell>
          <cell r="Y2188" t="str">
            <v>Senior Engineer</v>
          </cell>
        </row>
        <row r="2189">
          <cell r="A2189" t="str">
            <v>PEIPL0488</v>
          </cell>
          <cell r="Y2189" t="str">
            <v>Senior Engineer</v>
          </cell>
        </row>
        <row r="2190">
          <cell r="A2190" t="str">
            <v>PSS0685</v>
          </cell>
          <cell r="Y2190" t="str">
            <v>Office Assistant</v>
          </cell>
        </row>
        <row r="2191">
          <cell r="A2191" t="str">
            <v>P0123</v>
          </cell>
          <cell r="Y2191" t="str">
            <v>Senior Executive - Accounts</v>
          </cell>
        </row>
        <row r="2192">
          <cell r="A2192" t="str">
            <v>PSS0061</v>
          </cell>
          <cell r="Y2192" t="str">
            <v>Senior Engineer</v>
          </cell>
        </row>
        <row r="2193">
          <cell r="A2193" t="str">
            <v>PEIPL0572</v>
          </cell>
          <cell r="Y2193" t="str">
            <v>Senior Engineer</v>
          </cell>
        </row>
        <row r="2194">
          <cell r="A2194" t="str">
            <v>PEPPL0806</v>
          </cell>
          <cell r="Y2194" t="str">
            <v>Assistant Manager</v>
          </cell>
        </row>
        <row r="2195">
          <cell r="A2195" t="str">
            <v>P0436</v>
          </cell>
          <cell r="Y2195" t="str">
            <v>Helper</v>
          </cell>
        </row>
        <row r="2196">
          <cell r="A2196" t="str">
            <v>PEIPL0148</v>
          </cell>
          <cell r="Y2196" t="str">
            <v>Junior Engineer</v>
          </cell>
        </row>
        <row r="2197">
          <cell r="A2197" t="str">
            <v>PEPPL0595</v>
          </cell>
          <cell r="Y2197" t="str">
            <v>Senior Technician</v>
          </cell>
        </row>
        <row r="2198">
          <cell r="A2198" t="str">
            <v>PEIPL0259</v>
          </cell>
          <cell r="Y2198" t="str">
            <v>Technician</v>
          </cell>
        </row>
        <row r="2199">
          <cell r="A2199" t="str">
            <v>PEPPL0779</v>
          </cell>
          <cell r="Y2199" t="str">
            <v>Diploma Engineer Trainee</v>
          </cell>
        </row>
        <row r="2200">
          <cell r="A2200" t="str">
            <v>PSS1424</v>
          </cell>
          <cell r="Y2200" t="str">
            <v>Assistant Manager - Data Analysis</v>
          </cell>
        </row>
        <row r="2201">
          <cell r="A2201" t="str">
            <v>PEGEPL0057</v>
          </cell>
          <cell r="Y2201" t="str">
            <v>Senior Engineer</v>
          </cell>
        </row>
        <row r="2202">
          <cell r="A2202" t="str">
            <v>PEPPL0548</v>
          </cell>
          <cell r="Y2202" t="str">
            <v>Chief Production Officer</v>
          </cell>
        </row>
        <row r="2203">
          <cell r="A2203" t="str">
            <v>PEIPL0398</v>
          </cell>
          <cell r="Y2203" t="str">
            <v>Assistant Manager</v>
          </cell>
        </row>
        <row r="2204">
          <cell r="A2204" t="str">
            <v>PEPPL0757</v>
          </cell>
          <cell r="Y2204" t="str">
            <v>Engineer</v>
          </cell>
        </row>
        <row r="2205">
          <cell r="A2205" t="str">
            <v>PEPPL0493</v>
          </cell>
          <cell r="Y2205" t="str">
            <v>Assistant Engineer</v>
          </cell>
        </row>
        <row r="2206">
          <cell r="A2206" t="str">
            <v>PEIPL0447</v>
          </cell>
          <cell r="Y2206" t="str">
            <v>Officer</v>
          </cell>
        </row>
        <row r="2207">
          <cell r="A2207" t="str">
            <v>PEGEPL0051</v>
          </cell>
          <cell r="Y2207" t="str">
            <v>Senior Technician</v>
          </cell>
        </row>
        <row r="2208">
          <cell r="A2208" t="str">
            <v>PEGEPL0081</v>
          </cell>
          <cell r="Y2208" t="str">
            <v>Assistant Engineer</v>
          </cell>
        </row>
        <row r="2209">
          <cell r="A2209" t="str">
            <v>PEPPL0391</v>
          </cell>
          <cell r="Y2209" t="str">
            <v>Junior Technician</v>
          </cell>
        </row>
        <row r="2210">
          <cell r="A2210" t="str">
            <v>PEIPL0560</v>
          </cell>
          <cell r="Y2210" t="str">
            <v>Technician</v>
          </cell>
        </row>
        <row r="2211">
          <cell r="A2211" t="str">
            <v>PEIPL0719</v>
          </cell>
          <cell r="Y2211" t="str">
            <v>Consultant</v>
          </cell>
        </row>
        <row r="2212">
          <cell r="A2212" t="str">
            <v>PEPPL0795</v>
          </cell>
          <cell r="Y2212" t="str">
            <v>Engineer</v>
          </cell>
        </row>
        <row r="2213">
          <cell r="A2213" t="str">
            <v>PEPPL0355</v>
          </cell>
          <cell r="Y2213" t="str">
            <v>Technician</v>
          </cell>
        </row>
        <row r="2214">
          <cell r="A2214" t="str">
            <v>PSS0629</v>
          </cell>
          <cell r="Y2214" t="str">
            <v>Fork Lift Driver</v>
          </cell>
        </row>
        <row r="2215">
          <cell r="A2215" t="str">
            <v>PSS0851</v>
          </cell>
          <cell r="Y2215" t="str">
            <v>Sr. Manager - Sales</v>
          </cell>
        </row>
        <row r="2216">
          <cell r="A2216" t="str">
            <v>PEPPL0484</v>
          </cell>
          <cell r="Y2216" t="str">
            <v>Supervisor</v>
          </cell>
        </row>
        <row r="2217">
          <cell r="A2217" t="str">
            <v>PEPPL0578</v>
          </cell>
          <cell r="Y2217" t="str">
            <v>Technician</v>
          </cell>
        </row>
        <row r="2218">
          <cell r="A2218" t="str">
            <v>PEPPL0073</v>
          </cell>
          <cell r="Y2218" t="str">
            <v>Deputy Manager - Production</v>
          </cell>
        </row>
        <row r="2219">
          <cell r="A2219" t="str">
            <v>PEGEPL0056</v>
          </cell>
          <cell r="Y2219" t="str">
            <v>Junior Technician</v>
          </cell>
        </row>
        <row r="2220">
          <cell r="A2220" t="str">
            <v>PSS0423</v>
          </cell>
          <cell r="Y2220" t="str">
            <v>Helper</v>
          </cell>
        </row>
        <row r="2221">
          <cell r="A2221" t="str">
            <v>PEIPL0334</v>
          </cell>
          <cell r="Y2221" t="str">
            <v>Assistant Manager - Production</v>
          </cell>
        </row>
        <row r="2222">
          <cell r="A2222" t="str">
            <v>PEPPL0199</v>
          </cell>
          <cell r="Y2222" t="str">
            <v>Junior Technician</v>
          </cell>
        </row>
        <row r="2223">
          <cell r="A2223" t="str">
            <v>PSS1137</v>
          </cell>
          <cell r="Y2223" t="str">
            <v>Driver</v>
          </cell>
        </row>
        <row r="2224">
          <cell r="A2224" t="str">
            <v>PSS1185</v>
          </cell>
          <cell r="Y2224" t="str">
            <v>Executive</v>
          </cell>
        </row>
        <row r="2225">
          <cell r="A2225" t="str">
            <v>PSS0918</v>
          </cell>
          <cell r="Y2225" t="str">
            <v>Assistant Operator</v>
          </cell>
        </row>
        <row r="2226">
          <cell r="A2226" t="str">
            <v>PEPPL0142</v>
          </cell>
          <cell r="Y2226" t="str">
            <v>Senior Engineer</v>
          </cell>
        </row>
        <row r="2227">
          <cell r="A2227" t="str">
            <v>PSS1320</v>
          </cell>
          <cell r="Y2227" t="str">
            <v>Service Technician</v>
          </cell>
        </row>
        <row r="2228">
          <cell r="A2228" t="str">
            <v>PEPPL0090</v>
          </cell>
          <cell r="Y2228" t="str">
            <v>Deputy Manager - Maintenance</v>
          </cell>
        </row>
        <row r="2229">
          <cell r="A2229" t="str">
            <v>PEIPL0303</v>
          </cell>
          <cell r="Y2229" t="str">
            <v>Senior Engineer</v>
          </cell>
        </row>
        <row r="2230">
          <cell r="A2230" t="str">
            <v>PSS1296</v>
          </cell>
          <cell r="Y2230" t="str">
            <v>Engineer</v>
          </cell>
        </row>
        <row r="2231">
          <cell r="A2231" t="str">
            <v>PEPPL0025</v>
          </cell>
          <cell r="Y2231" t="str">
            <v>Deputy Manager</v>
          </cell>
        </row>
        <row r="2232">
          <cell r="A2232" t="str">
            <v>P0463</v>
          </cell>
          <cell r="Y2232" t="str">
            <v>Helper</v>
          </cell>
        </row>
        <row r="2233">
          <cell r="A2233" t="str">
            <v>P0464</v>
          </cell>
          <cell r="Y2233" t="str">
            <v>Helper</v>
          </cell>
        </row>
        <row r="2234">
          <cell r="A2234" t="str">
            <v>P0379</v>
          </cell>
          <cell r="Y2234" t="str">
            <v>Operator</v>
          </cell>
        </row>
        <row r="2235">
          <cell r="A2235" t="str">
            <v>PEIPL0808</v>
          </cell>
          <cell r="Y2235" t="str">
            <v>Manager - Finance &amp; Accounts</v>
          </cell>
        </row>
        <row r="2236">
          <cell r="A2236" t="str">
            <v>PEIPL0169</v>
          </cell>
          <cell r="Y2236" t="str">
            <v>Executive</v>
          </cell>
        </row>
        <row r="2237">
          <cell r="A2237" t="str">
            <v>PSS0354</v>
          </cell>
          <cell r="Y2237" t="str">
            <v>Operator</v>
          </cell>
        </row>
        <row r="2238">
          <cell r="A2238" t="str">
            <v>PEIPL0265</v>
          </cell>
          <cell r="Y2238" t="str">
            <v>Technician</v>
          </cell>
        </row>
        <row r="2239">
          <cell r="A2239" t="str">
            <v>PEPPL0866</v>
          </cell>
          <cell r="Y2239" t="str">
            <v>Executive - Business Development</v>
          </cell>
        </row>
        <row r="2240">
          <cell r="A2240" t="str">
            <v>PSS1202</v>
          </cell>
          <cell r="Y2240" t="str">
            <v>Nurse</v>
          </cell>
        </row>
        <row r="2241">
          <cell r="A2241" t="str">
            <v>PEIPL0120</v>
          </cell>
          <cell r="Y2241" t="str">
            <v>Executive - Finance &amp; Accounts</v>
          </cell>
        </row>
        <row r="2242">
          <cell r="A2242" t="str">
            <v>PSS0013</v>
          </cell>
          <cell r="Y2242" t="str">
            <v>Manager - Finance</v>
          </cell>
        </row>
        <row r="2243">
          <cell r="A2243" t="str">
            <v>PSS0143</v>
          </cell>
          <cell r="Y2243" t="str">
            <v>Assistant Manager</v>
          </cell>
        </row>
        <row r="2244">
          <cell r="A2244" t="str">
            <v>PSS0147</v>
          </cell>
          <cell r="Y2244" t="str">
            <v>General Manager - Production</v>
          </cell>
        </row>
        <row r="2245">
          <cell r="A2245" t="str">
            <v>PSS0532</v>
          </cell>
          <cell r="Y2245" t="str">
            <v>Assistant Manager</v>
          </cell>
        </row>
        <row r="2246">
          <cell r="A2246" t="str">
            <v>PEPPL0527</v>
          </cell>
          <cell r="Y2246" t="str">
            <v>Assistant General Manager - Commercial</v>
          </cell>
        </row>
        <row r="2247">
          <cell r="A2247" t="str">
            <v>PSS0250</v>
          </cell>
          <cell r="Y2247" t="str">
            <v>Supervisor</v>
          </cell>
        </row>
        <row r="2248">
          <cell r="A2248" t="str">
            <v>PSS0207</v>
          </cell>
          <cell r="Y2248" t="str">
            <v>Operator</v>
          </cell>
        </row>
        <row r="2249">
          <cell r="A2249" t="str">
            <v>PSS1430</v>
          </cell>
          <cell r="Y2249" t="str">
            <v>Assistant Manager - Finance &amp; Accounts</v>
          </cell>
        </row>
        <row r="2250">
          <cell r="A2250" t="str">
            <v>PSS0142</v>
          </cell>
          <cell r="Y2250" t="str">
            <v>Senior Vice President - Technical Operations</v>
          </cell>
        </row>
        <row r="2251">
          <cell r="A2251" t="str">
            <v>PSS0065</v>
          </cell>
          <cell r="Y2251" t="str">
            <v>Office Assistant</v>
          </cell>
        </row>
        <row r="2252">
          <cell r="A2252" t="str">
            <v>PSS0063</v>
          </cell>
          <cell r="Y2252" t="str">
            <v>Deputy Manager - Government Relations</v>
          </cell>
        </row>
        <row r="2253">
          <cell r="A2253" t="str">
            <v>PSS0712</v>
          </cell>
          <cell r="Y2253" t="str">
            <v>Head-Service</v>
          </cell>
        </row>
        <row r="2254">
          <cell r="A2254" t="str">
            <v>PEPPL0710</v>
          </cell>
          <cell r="Y2254" t="str">
            <v>Technician</v>
          </cell>
        </row>
        <row r="2255">
          <cell r="A2255" t="str">
            <v>PEIPL0021</v>
          </cell>
          <cell r="Y2255" t="str">
            <v>Site Engineer</v>
          </cell>
        </row>
        <row r="2256">
          <cell r="A2256" t="str">
            <v>PEIPL0601</v>
          </cell>
          <cell r="Y2256" t="str">
            <v>Senior Executive - Administration</v>
          </cell>
        </row>
        <row r="2257">
          <cell r="A2257" t="str">
            <v>PEIPL0680</v>
          </cell>
          <cell r="Y2257" t="str">
            <v>Technician</v>
          </cell>
        </row>
        <row r="2258">
          <cell r="A2258" t="str">
            <v>PEGEPL0026</v>
          </cell>
          <cell r="Y2258" t="str">
            <v>Executive</v>
          </cell>
        </row>
        <row r="2259">
          <cell r="A2259" t="str">
            <v>PEIPL0212</v>
          </cell>
          <cell r="Y2259" t="str">
            <v>Deputy Manager - Logistics</v>
          </cell>
        </row>
        <row r="2260">
          <cell r="A2260" t="str">
            <v>PEPPL0546</v>
          </cell>
          <cell r="Y2260" t="str">
            <v>Director - Factories</v>
          </cell>
        </row>
        <row r="2261">
          <cell r="A2261" t="str">
            <v>PSS1213</v>
          </cell>
          <cell r="Y2261" t="str">
            <v>Senior Vice President</v>
          </cell>
        </row>
        <row r="2262">
          <cell r="A2262" t="str">
            <v>PSS0214</v>
          </cell>
          <cell r="Y2262" t="str">
            <v>Senior Technician</v>
          </cell>
        </row>
        <row r="2263">
          <cell r="A2263" t="str">
            <v>PEIPL0223</v>
          </cell>
          <cell r="Y2263" t="str">
            <v>Junior Engineer</v>
          </cell>
        </row>
        <row r="2264">
          <cell r="A2264" t="str">
            <v>PSS0410</v>
          </cell>
          <cell r="Y2264" t="str">
            <v>Engineer</v>
          </cell>
        </row>
        <row r="2265">
          <cell r="A2265" t="str">
            <v>PEIPL0489</v>
          </cell>
          <cell r="Y2265" t="str">
            <v>Engineer</v>
          </cell>
        </row>
        <row r="2266">
          <cell r="A2266" t="str">
            <v>P0336</v>
          </cell>
          <cell r="Y2266" t="str">
            <v>Helper</v>
          </cell>
        </row>
        <row r="2267">
          <cell r="A2267" t="str">
            <v>PEIPL0289</v>
          </cell>
          <cell r="Y2267" t="str">
            <v>Deputy Engineer</v>
          </cell>
        </row>
        <row r="2268">
          <cell r="A2268" t="str">
            <v>PEIPL0762</v>
          </cell>
          <cell r="Y2268" t="str">
            <v>Junior Maintenance Engineer</v>
          </cell>
        </row>
        <row r="2269">
          <cell r="A2269" t="str">
            <v>PEPPL0108</v>
          </cell>
          <cell r="Y2269" t="str">
            <v>Senior Engineer</v>
          </cell>
        </row>
        <row r="2270">
          <cell r="A2270" t="str">
            <v>PEIPL0049</v>
          </cell>
          <cell r="Y2270" t="str">
            <v>Junior Engineer</v>
          </cell>
        </row>
        <row r="2271">
          <cell r="A2271" t="str">
            <v>BDPL0022</v>
          </cell>
          <cell r="Y2271" t="str">
            <v>Helper</v>
          </cell>
        </row>
        <row r="2272">
          <cell r="A2272" t="str">
            <v>P0378</v>
          </cell>
          <cell r="Y2272" t="str">
            <v>Helper</v>
          </cell>
        </row>
        <row r="2273">
          <cell r="A2273" t="str">
            <v>P0493</v>
          </cell>
          <cell r="Y2273" t="str">
            <v>Helper</v>
          </cell>
        </row>
        <row r="2274">
          <cell r="A2274" t="str">
            <v>PSS0273</v>
          </cell>
          <cell r="Y2274" t="str">
            <v>Marketing Executive</v>
          </cell>
        </row>
        <row r="2275">
          <cell r="A2275" t="str">
            <v>PEPPL0074</v>
          </cell>
          <cell r="Y2275" t="str">
            <v>Senior Engineer</v>
          </cell>
        </row>
        <row r="2276">
          <cell r="A2276" t="str">
            <v>PEIPL0360</v>
          </cell>
          <cell r="Y2276" t="str">
            <v>Technician</v>
          </cell>
        </row>
        <row r="2277">
          <cell r="A2277" t="str">
            <v>PEIPL0028</v>
          </cell>
          <cell r="Y2277" t="str">
            <v>Junior Technician</v>
          </cell>
        </row>
        <row r="2278">
          <cell r="A2278" t="str">
            <v>PEPPL0028</v>
          </cell>
          <cell r="Y2278" t="str">
            <v>Senior Officer - Safety</v>
          </cell>
        </row>
        <row r="2279">
          <cell r="A2279" t="str">
            <v>PEIPL0743</v>
          </cell>
          <cell r="Y2279" t="str">
            <v>Junior Engineer</v>
          </cell>
        </row>
        <row r="2280">
          <cell r="A2280" t="str">
            <v>PEGEPL0088</v>
          </cell>
          <cell r="Y2280" t="str">
            <v>Technician</v>
          </cell>
        </row>
        <row r="2281">
          <cell r="A2281" t="str">
            <v>PEPPL0782</v>
          </cell>
          <cell r="Y2281" t="str">
            <v>Technician</v>
          </cell>
        </row>
        <row r="2282">
          <cell r="A2282" t="str">
            <v>PEIPL0354</v>
          </cell>
          <cell r="Y2282" t="str">
            <v>Graduate Engineer Trainee</v>
          </cell>
        </row>
        <row r="2283">
          <cell r="A2283" t="str">
            <v>PEPPL0105</v>
          </cell>
          <cell r="Y2283" t="str">
            <v>Assistant Manager - Production</v>
          </cell>
        </row>
        <row r="2284">
          <cell r="A2284" t="str">
            <v>PEIPL0758</v>
          </cell>
          <cell r="Y2284" t="str">
            <v>Junior Engineer</v>
          </cell>
        </row>
        <row r="2285">
          <cell r="A2285" t="str">
            <v>PEPPL0487</v>
          </cell>
          <cell r="Y2285" t="str">
            <v>Junior Technician</v>
          </cell>
        </row>
        <row r="2286">
          <cell r="A2286" t="str">
            <v>PSS0004</v>
          </cell>
          <cell r="Y2286" t="str">
            <v>Assistant Manager</v>
          </cell>
        </row>
        <row r="2287">
          <cell r="A2287" t="str">
            <v>PEIPL0224</v>
          </cell>
          <cell r="Y2287" t="str">
            <v>Senior Technician</v>
          </cell>
        </row>
        <row r="2288">
          <cell r="A2288" t="str">
            <v>PEIPL0433</v>
          </cell>
          <cell r="Y2288" t="str">
            <v>Senior Technician</v>
          </cell>
        </row>
        <row r="2289">
          <cell r="A2289" t="str">
            <v>PEPPL0164</v>
          </cell>
          <cell r="Y2289" t="str">
            <v>Senior Technician</v>
          </cell>
        </row>
        <row r="2290">
          <cell r="A2290" t="str">
            <v>PSS1286</v>
          </cell>
          <cell r="Y2290" t="str">
            <v>Assistant Manager - Finance &amp; Accounts</v>
          </cell>
        </row>
        <row r="2291">
          <cell r="A2291" t="str">
            <v>PEPPL0280</v>
          </cell>
          <cell r="Y2291" t="str">
            <v>GEM - 2</v>
          </cell>
        </row>
        <row r="2292">
          <cell r="A2292" t="str">
            <v>PEPPL0486</v>
          </cell>
          <cell r="Y2292" t="str">
            <v>Senior Engineer</v>
          </cell>
        </row>
        <row r="2293">
          <cell r="A2293" t="str">
            <v>P0291</v>
          </cell>
          <cell r="Y2293" t="str">
            <v>Helper</v>
          </cell>
        </row>
        <row r="2294">
          <cell r="A2294" t="str">
            <v>P0335</v>
          </cell>
          <cell r="Y2294" t="str">
            <v>Technician</v>
          </cell>
        </row>
        <row r="2295">
          <cell r="A2295" t="str">
            <v>PSS1035</v>
          </cell>
          <cell r="Y2295" t="str">
            <v>Manager - Finance</v>
          </cell>
        </row>
        <row r="2296">
          <cell r="A2296" t="str">
            <v>PSS0890</v>
          </cell>
          <cell r="Y2296" t="str">
            <v>Engineer</v>
          </cell>
        </row>
        <row r="2297">
          <cell r="A2297" t="str">
            <v>PEPPL0120</v>
          </cell>
          <cell r="Y2297" t="str">
            <v>Senior Engineer</v>
          </cell>
        </row>
        <row r="2298">
          <cell r="A2298" t="str">
            <v>PEIPL0442</v>
          </cell>
          <cell r="Y2298" t="str">
            <v>Assistant Manager</v>
          </cell>
        </row>
        <row r="2299">
          <cell r="A2299" t="str">
            <v>PEPPL0734</v>
          </cell>
          <cell r="Y2299" t="str">
            <v>Assistant Manager</v>
          </cell>
        </row>
        <row r="2300">
          <cell r="A2300" t="str">
            <v>PEGEPL0009</v>
          </cell>
          <cell r="Y2300" t="str">
            <v>Engineer</v>
          </cell>
        </row>
        <row r="2301">
          <cell r="A2301" t="str">
            <v>PSS1134</v>
          </cell>
          <cell r="Y2301" t="str">
            <v>Senior Technician</v>
          </cell>
        </row>
        <row r="2302">
          <cell r="A2302" t="str">
            <v>PEIPL0633</v>
          </cell>
          <cell r="Y2302" t="str">
            <v>Junior Engineer</v>
          </cell>
        </row>
        <row r="2303">
          <cell r="A2303" t="str">
            <v>PSS0464</v>
          </cell>
          <cell r="Y2303" t="str">
            <v>Manager - Procurement</v>
          </cell>
        </row>
        <row r="2304">
          <cell r="A2304" t="str">
            <v>PSS1251</v>
          </cell>
          <cell r="Y2304" t="str">
            <v>Assistant General Manager - Procurement</v>
          </cell>
        </row>
        <row r="2305">
          <cell r="A2305" t="str">
            <v>PEIPL0236</v>
          </cell>
          <cell r="Y2305" t="str">
            <v>Technician</v>
          </cell>
        </row>
        <row r="2306">
          <cell r="A2306" t="str">
            <v>PSS0181</v>
          </cell>
          <cell r="Y2306" t="str">
            <v>Senior Technician</v>
          </cell>
        </row>
        <row r="2307">
          <cell r="A2307" t="str">
            <v>PEIPL0502</v>
          </cell>
          <cell r="Y2307" t="str">
            <v>Senior Technician</v>
          </cell>
        </row>
        <row r="2308">
          <cell r="A2308" t="str">
            <v>PSS1327</v>
          </cell>
          <cell r="Y2308" t="str">
            <v>Junior Officer - Procurement</v>
          </cell>
        </row>
        <row r="2309">
          <cell r="A2309" t="str">
            <v>PSS0120</v>
          </cell>
          <cell r="Y2309" t="str">
            <v>Helper</v>
          </cell>
        </row>
        <row r="2310">
          <cell r="A2310" t="str">
            <v>PSS0121</v>
          </cell>
          <cell r="Y2310" t="str">
            <v>Helper</v>
          </cell>
        </row>
        <row r="2311">
          <cell r="A2311" t="str">
            <v>PSS0055</v>
          </cell>
          <cell r="Y2311" t="str">
            <v>Senior Engineer</v>
          </cell>
        </row>
        <row r="2312">
          <cell r="A2312" t="str">
            <v>PEIPL0639</v>
          </cell>
          <cell r="Y2312" t="str">
            <v>Senior Engineer</v>
          </cell>
        </row>
        <row r="2313">
          <cell r="A2313" t="str">
            <v>PSS0117</v>
          </cell>
          <cell r="Y2313" t="str">
            <v>Office Assistant</v>
          </cell>
        </row>
        <row r="2314">
          <cell r="A2314" t="str">
            <v>PEPPL0150</v>
          </cell>
          <cell r="Y2314" t="str">
            <v>Executive - Logistics</v>
          </cell>
        </row>
        <row r="2315">
          <cell r="A2315" t="str">
            <v>PEIPL0698</v>
          </cell>
          <cell r="Y2315" t="str">
            <v>Deputy Engineer</v>
          </cell>
        </row>
        <row r="2316">
          <cell r="A2316" t="str">
            <v>PSS0028</v>
          </cell>
          <cell r="Y2316" t="str">
            <v>Helper</v>
          </cell>
        </row>
        <row r="2317">
          <cell r="A2317" t="str">
            <v>PSS0135</v>
          </cell>
          <cell r="Y2317" t="str">
            <v>Accounts Executive</v>
          </cell>
        </row>
        <row r="2318">
          <cell r="A2318" t="str">
            <v>PSS0154</v>
          </cell>
          <cell r="Y2318" t="str">
            <v>Vice President</v>
          </cell>
        </row>
        <row r="2319">
          <cell r="A2319" t="str">
            <v>PSS0248</v>
          </cell>
          <cell r="Y2319" t="str">
            <v>Project Engineer</v>
          </cell>
        </row>
        <row r="2320">
          <cell r="A2320" t="str">
            <v>PSS0467</v>
          </cell>
          <cell r="Y2320" t="str">
            <v>Regional Manager</v>
          </cell>
        </row>
        <row r="2321">
          <cell r="A2321" t="str">
            <v>PSS0660</v>
          </cell>
          <cell r="Y2321" t="str">
            <v>Marketing Executive</v>
          </cell>
        </row>
        <row r="2322">
          <cell r="A2322" t="str">
            <v>PSS0664</v>
          </cell>
          <cell r="Y2322" t="str">
            <v>Manager</v>
          </cell>
        </row>
        <row r="2323">
          <cell r="A2323" t="str">
            <v>PSS0681</v>
          </cell>
          <cell r="Y2323" t="str">
            <v>Assistant Manager-Sales</v>
          </cell>
        </row>
        <row r="2324">
          <cell r="A2324" t="str">
            <v>PSS0729</v>
          </cell>
          <cell r="Y2324" t="str">
            <v>MIS Executive</v>
          </cell>
        </row>
        <row r="2325">
          <cell r="A2325" t="str">
            <v>PSS0741</v>
          </cell>
          <cell r="Y2325" t="str">
            <v>Maintenance Engineer</v>
          </cell>
        </row>
        <row r="2326">
          <cell r="A2326" t="str">
            <v>PSS0779</v>
          </cell>
          <cell r="Y2326" t="str">
            <v>Marketing Manager</v>
          </cell>
        </row>
        <row r="2327">
          <cell r="A2327" t="str">
            <v>PSS1224</v>
          </cell>
          <cell r="Y2327" t="str">
            <v>Manager</v>
          </cell>
        </row>
        <row r="2328">
          <cell r="A2328" t="str">
            <v>PSS0852</v>
          </cell>
          <cell r="Y2328" t="str">
            <v>Assistant Manager-Sales</v>
          </cell>
        </row>
        <row r="2329">
          <cell r="A2329" t="str">
            <v>PSS0878</v>
          </cell>
          <cell r="Y2329" t="str">
            <v>Operator</v>
          </cell>
        </row>
        <row r="2330">
          <cell r="A2330" t="str">
            <v>PSS0922</v>
          </cell>
          <cell r="Y2330" t="str">
            <v>Assistant Operator</v>
          </cell>
        </row>
        <row r="2331">
          <cell r="A2331" t="str">
            <v>PSS0951</v>
          </cell>
          <cell r="Y2331" t="str">
            <v>Service Technician</v>
          </cell>
        </row>
        <row r="2332">
          <cell r="A2332" t="str">
            <v>PSS0964</v>
          </cell>
          <cell r="Y2332" t="str">
            <v>Graduate Engineer Trainee</v>
          </cell>
        </row>
        <row r="2333">
          <cell r="A2333" t="str">
            <v>PSS0984</v>
          </cell>
          <cell r="Y2333" t="str">
            <v>Site Supervisor</v>
          </cell>
        </row>
        <row r="2334">
          <cell r="A2334" t="str">
            <v>PSS1030</v>
          </cell>
          <cell r="Y2334" t="str">
            <v>Accounts Executive</v>
          </cell>
        </row>
        <row r="2335">
          <cell r="A2335" t="str">
            <v>PSS1067</v>
          </cell>
          <cell r="Y2335" t="str">
            <v>Technician</v>
          </cell>
        </row>
        <row r="2336">
          <cell r="A2336" t="str">
            <v>PSS1068</v>
          </cell>
          <cell r="Y2336" t="str">
            <v>Manager - Sales</v>
          </cell>
        </row>
        <row r="2337">
          <cell r="A2337" t="str">
            <v>PEPPL0015</v>
          </cell>
          <cell r="Y2337" t="str">
            <v>Company Secretary</v>
          </cell>
        </row>
        <row r="2338">
          <cell r="A2338" t="str">
            <v>PSS0946</v>
          </cell>
          <cell r="Y2338" t="str">
            <v>Manager</v>
          </cell>
        </row>
        <row r="2339">
          <cell r="A2339" t="str">
            <v>PSS1046</v>
          </cell>
          <cell r="Y2339" t="str">
            <v>Technician</v>
          </cell>
        </row>
        <row r="2340">
          <cell r="A2340" t="str">
            <v>PSS1075</v>
          </cell>
          <cell r="Y2340" t="str">
            <v>Technician</v>
          </cell>
        </row>
        <row r="2341">
          <cell r="A2341" t="str">
            <v>PSS1107</v>
          </cell>
          <cell r="Y2341" t="str">
            <v>Supervisor</v>
          </cell>
        </row>
        <row r="2342">
          <cell r="A2342" t="str">
            <v>PSS1124</v>
          </cell>
          <cell r="Y2342" t="str">
            <v>Technician</v>
          </cell>
        </row>
        <row r="2343">
          <cell r="A2343" t="str">
            <v>PSS1172</v>
          </cell>
          <cell r="Y2343" t="str">
            <v>Supervisor</v>
          </cell>
        </row>
        <row r="2344">
          <cell r="A2344" t="str">
            <v>PEPPL0040</v>
          </cell>
          <cell r="Y2344" t="str">
            <v>Consultant</v>
          </cell>
        </row>
        <row r="2345">
          <cell r="A2345" t="str">
            <v>P0115</v>
          </cell>
          <cell r="Y2345" t="str">
            <v>Operator</v>
          </cell>
        </row>
        <row r="2346">
          <cell r="A2346" t="str">
            <v>P0229</v>
          </cell>
          <cell r="Y2346" t="str">
            <v>Office Coordinator</v>
          </cell>
        </row>
        <row r="2347">
          <cell r="A2347" t="str">
            <v>P0244</v>
          </cell>
          <cell r="Y2347" t="str">
            <v>Engineer</v>
          </cell>
        </row>
        <row r="2348">
          <cell r="A2348" t="str">
            <v>P0256</v>
          </cell>
          <cell r="Y2348" t="str">
            <v>Operator</v>
          </cell>
        </row>
        <row r="2349">
          <cell r="A2349" t="str">
            <v>P0258</v>
          </cell>
          <cell r="Y2349" t="str">
            <v>Operator</v>
          </cell>
        </row>
        <row r="2350">
          <cell r="A2350" t="str">
            <v>P0262</v>
          </cell>
          <cell r="Y2350" t="str">
            <v>Operator</v>
          </cell>
        </row>
        <row r="2351">
          <cell r="A2351" t="str">
            <v>P0265</v>
          </cell>
          <cell r="Y2351" t="str">
            <v>Operator</v>
          </cell>
        </row>
        <row r="2352">
          <cell r="A2352" t="str">
            <v>P0270</v>
          </cell>
          <cell r="Y2352" t="str">
            <v>Fleet In Charge</v>
          </cell>
        </row>
        <row r="2353">
          <cell r="A2353" t="str">
            <v>P0292</v>
          </cell>
          <cell r="Y2353" t="str">
            <v>Helper</v>
          </cell>
        </row>
        <row r="2354">
          <cell r="A2354" t="str">
            <v>P0343</v>
          </cell>
          <cell r="Y2354" t="str">
            <v>Engineer</v>
          </cell>
        </row>
        <row r="2355">
          <cell r="A2355" t="str">
            <v>P0345</v>
          </cell>
          <cell r="Y2355" t="str">
            <v>Helper</v>
          </cell>
        </row>
        <row r="2356">
          <cell r="A2356" t="str">
            <v>P0405</v>
          </cell>
          <cell r="Y2356" t="str">
            <v>Driver</v>
          </cell>
        </row>
        <row r="2357">
          <cell r="A2357" t="str">
            <v>PEPPL0250</v>
          </cell>
          <cell r="Y2357" t="str">
            <v>Director</v>
          </cell>
        </row>
        <row r="2358">
          <cell r="A2358" t="str">
            <v>P0408</v>
          </cell>
          <cell r="Y2358" t="str">
            <v>Director - Factories</v>
          </cell>
        </row>
        <row r="2359">
          <cell r="A2359" t="str">
            <v>PSS0714</v>
          </cell>
          <cell r="Y2359" t="str">
            <v>Manager - Sales</v>
          </cell>
        </row>
        <row r="2360">
          <cell r="A2360" t="str">
            <v>PSS1023</v>
          </cell>
          <cell r="Y2360" t="str">
            <v>Senior HR</v>
          </cell>
        </row>
        <row r="2361">
          <cell r="A2361" t="str">
            <v>PSS1072</v>
          </cell>
          <cell r="Y2361" t="str">
            <v>Executive - Treasury Services</v>
          </cell>
        </row>
        <row r="2362">
          <cell r="A2362" t="str">
            <v>PSS1032</v>
          </cell>
          <cell r="Y2362" t="str">
            <v>Junior Accounts Executive</v>
          </cell>
        </row>
        <row r="2363">
          <cell r="A2363" t="str">
            <v>PSS0711</v>
          </cell>
          <cell r="Y2363" t="str">
            <v>Officer</v>
          </cell>
        </row>
        <row r="2364">
          <cell r="A2364" t="str">
            <v>PSS0094</v>
          </cell>
          <cell r="Y2364" t="str">
            <v>Senior Operator</v>
          </cell>
        </row>
        <row r="2365">
          <cell r="A2365" t="str">
            <v>PSS0100</v>
          </cell>
          <cell r="Y2365" t="str">
            <v>Senior Technician</v>
          </cell>
        </row>
        <row r="2366">
          <cell r="A2366" t="str">
            <v>PSS0369</v>
          </cell>
          <cell r="Y2366" t="str">
            <v>Operator</v>
          </cell>
        </row>
        <row r="2367">
          <cell r="A2367" t="str">
            <v>PSS0431</v>
          </cell>
          <cell r="Y2367" t="str">
            <v>Machine  Technician</v>
          </cell>
        </row>
        <row r="2368">
          <cell r="A2368" t="str">
            <v>PSS0450</v>
          </cell>
          <cell r="Y2368" t="str">
            <v>Operator</v>
          </cell>
        </row>
        <row r="2369">
          <cell r="A2369" t="str">
            <v>PSS0452</v>
          </cell>
          <cell r="Y2369" t="str">
            <v>Assistant Operator</v>
          </cell>
        </row>
        <row r="2370">
          <cell r="A2370" t="str">
            <v>PSS0497</v>
          </cell>
          <cell r="Y2370" t="str">
            <v>HR Executive</v>
          </cell>
        </row>
        <row r="2371">
          <cell r="A2371" t="str">
            <v>PSS0751</v>
          </cell>
          <cell r="Y2371" t="str">
            <v>Service Technician</v>
          </cell>
        </row>
        <row r="2372">
          <cell r="A2372" t="str">
            <v>PSS1065</v>
          </cell>
          <cell r="Y2372" t="str">
            <v>Logistics Executive</v>
          </cell>
        </row>
        <row r="2373">
          <cell r="A2373" t="str">
            <v>PSS1089</v>
          </cell>
          <cell r="Y2373" t="str">
            <v>Operator</v>
          </cell>
        </row>
        <row r="2374">
          <cell r="A2374" t="str">
            <v>PSS0882</v>
          </cell>
          <cell r="Y2374" t="str">
            <v>Operator</v>
          </cell>
        </row>
        <row r="2375">
          <cell r="A2375" t="str">
            <v>PSS0895</v>
          </cell>
          <cell r="Y2375" t="str">
            <v>Operator</v>
          </cell>
        </row>
        <row r="2376">
          <cell r="A2376" t="str">
            <v>PSS0966</v>
          </cell>
          <cell r="Y2376" t="str">
            <v>Logistics Executive</v>
          </cell>
        </row>
        <row r="2377">
          <cell r="A2377" t="str">
            <v>PSS0308</v>
          </cell>
          <cell r="Y2377" t="str">
            <v>QA Engineer</v>
          </cell>
        </row>
        <row r="2378">
          <cell r="A2378" t="str">
            <v>PSS0331</v>
          </cell>
          <cell r="Y2378" t="str">
            <v>Operator</v>
          </cell>
        </row>
        <row r="2379">
          <cell r="A2379" t="str">
            <v>PSS0368</v>
          </cell>
          <cell r="Y2379" t="str">
            <v>Machine  Technician</v>
          </cell>
        </row>
        <row r="2380">
          <cell r="A2380" t="str">
            <v>PSS0442</v>
          </cell>
          <cell r="Y2380" t="str">
            <v>Coordinator - Machine</v>
          </cell>
        </row>
        <row r="2381">
          <cell r="A2381" t="str">
            <v>PSS0694</v>
          </cell>
          <cell r="Y2381" t="str">
            <v>Trainee Engineer</v>
          </cell>
        </row>
        <row r="2382">
          <cell r="A2382" t="str">
            <v>PSS0770</v>
          </cell>
          <cell r="Y2382" t="str">
            <v>Technician</v>
          </cell>
        </row>
        <row r="2383">
          <cell r="A2383" t="str">
            <v>PSS0871</v>
          </cell>
          <cell r="Y2383" t="str">
            <v>Assistant Operator</v>
          </cell>
        </row>
        <row r="2384">
          <cell r="A2384" t="str">
            <v>PSS0889</v>
          </cell>
          <cell r="Y2384" t="str">
            <v>Assistant Operator</v>
          </cell>
        </row>
        <row r="2385">
          <cell r="A2385" t="str">
            <v>PSS0892</v>
          </cell>
          <cell r="Y2385" t="str">
            <v>Operator</v>
          </cell>
        </row>
        <row r="2386">
          <cell r="A2386" t="str">
            <v>PSS0894</v>
          </cell>
          <cell r="Y2386" t="str">
            <v>Assistant Operator</v>
          </cell>
        </row>
        <row r="2387">
          <cell r="A2387" t="str">
            <v>PSS0901</v>
          </cell>
          <cell r="Y2387" t="str">
            <v>Assistant Operator</v>
          </cell>
        </row>
        <row r="2388">
          <cell r="A2388" t="str">
            <v>PSS0955</v>
          </cell>
          <cell r="Y2388" t="str">
            <v>Maintenance Engineer</v>
          </cell>
        </row>
        <row r="2389">
          <cell r="A2389" t="str">
            <v>PSS1013</v>
          </cell>
          <cell r="Y2389" t="str">
            <v>Machine  Technician</v>
          </cell>
        </row>
        <row r="2390">
          <cell r="A2390" t="str">
            <v>PSS1079</v>
          </cell>
          <cell r="Y2390" t="str">
            <v>Fork Lift Driver</v>
          </cell>
        </row>
        <row r="2391">
          <cell r="A2391" t="str">
            <v>PSS1085</v>
          </cell>
          <cell r="Y2391" t="str">
            <v>Operator</v>
          </cell>
        </row>
        <row r="2392">
          <cell r="A2392" t="str">
            <v>PSS1087</v>
          </cell>
          <cell r="Y2392" t="str">
            <v>Operator</v>
          </cell>
        </row>
        <row r="2393">
          <cell r="A2393" t="str">
            <v>PSS1088</v>
          </cell>
          <cell r="Y2393" t="str">
            <v>Operator</v>
          </cell>
        </row>
        <row r="2394">
          <cell r="A2394" t="str">
            <v>PSS1091</v>
          </cell>
          <cell r="Y2394" t="str">
            <v>Operator</v>
          </cell>
        </row>
        <row r="2395">
          <cell r="A2395" t="str">
            <v>PSS0750</v>
          </cell>
          <cell r="Y2395" t="str">
            <v>Liasoning Executive</v>
          </cell>
        </row>
        <row r="2396">
          <cell r="A2396" t="str">
            <v>PSS0738</v>
          </cell>
          <cell r="Y2396" t="str">
            <v>Field Executive</v>
          </cell>
        </row>
        <row r="2397">
          <cell r="A2397" t="str">
            <v>PSS0740</v>
          </cell>
          <cell r="Y2397" t="str">
            <v>Office Boy</v>
          </cell>
        </row>
        <row r="2398">
          <cell r="A2398" t="str">
            <v>PSS0846</v>
          </cell>
          <cell r="Y2398" t="str">
            <v>House Keeper</v>
          </cell>
        </row>
        <row r="2399">
          <cell r="A2399" t="str">
            <v>PSS0912</v>
          </cell>
          <cell r="Y2399" t="str">
            <v>Operator</v>
          </cell>
        </row>
        <row r="2400">
          <cell r="A2400" t="str">
            <v>PSS0914</v>
          </cell>
          <cell r="Y2400" t="str">
            <v>Assistant Operator</v>
          </cell>
        </row>
        <row r="2401">
          <cell r="A2401" t="str">
            <v>PSS0737</v>
          </cell>
          <cell r="Y2401" t="str">
            <v>Service Technician</v>
          </cell>
        </row>
        <row r="2402">
          <cell r="A2402" t="str">
            <v>PSS0793</v>
          </cell>
          <cell r="Y2402" t="str">
            <v>Site Engineer</v>
          </cell>
        </row>
        <row r="2403">
          <cell r="A2403" t="str">
            <v>PSS1021</v>
          </cell>
          <cell r="Y2403" t="str">
            <v>Site Engineer</v>
          </cell>
        </row>
        <row r="2404">
          <cell r="A2404" t="str">
            <v>PSS0501</v>
          </cell>
          <cell r="Y2404" t="str">
            <v>Operator</v>
          </cell>
        </row>
        <row r="2405">
          <cell r="A2405" t="str">
            <v>PSS1078</v>
          </cell>
          <cell r="Y2405" t="str">
            <v>Supervisor</v>
          </cell>
        </row>
        <row r="2406">
          <cell r="A2406" t="str">
            <v>PSS0570</v>
          </cell>
          <cell r="Y2406" t="str">
            <v>Operator</v>
          </cell>
        </row>
        <row r="2407">
          <cell r="A2407" t="str">
            <v>PEIPL0477</v>
          </cell>
          <cell r="Y2407" t="str">
            <v>Associate Manager - Procurement</v>
          </cell>
        </row>
        <row r="2408">
          <cell r="A2408" t="str">
            <v>PEIPL0380</v>
          </cell>
          <cell r="Y2408" t="str">
            <v>Technician</v>
          </cell>
        </row>
        <row r="2409">
          <cell r="A2409" t="str">
            <v>PEPPL0217</v>
          </cell>
          <cell r="Y2409" t="str">
            <v>Technician</v>
          </cell>
        </row>
        <row r="2410">
          <cell r="A2410" t="str">
            <v>PEIPL0193</v>
          </cell>
          <cell r="Y2410" t="str">
            <v>Junior Engineer</v>
          </cell>
        </row>
        <row r="2411">
          <cell r="A2411" t="str">
            <v>PSS0433</v>
          </cell>
          <cell r="Y2411" t="str">
            <v>Senior Engineer</v>
          </cell>
        </row>
        <row r="2412">
          <cell r="A2412" t="str">
            <v>PEPPL0627</v>
          </cell>
          <cell r="Y2412" t="str">
            <v>Assistant Manager</v>
          </cell>
        </row>
        <row r="2413">
          <cell r="A2413" t="str">
            <v>PSS1245</v>
          </cell>
          <cell r="Y2413" t="str">
            <v>Company Secretary</v>
          </cell>
        </row>
        <row r="2414">
          <cell r="A2414" t="str">
            <v>PSS0177</v>
          </cell>
          <cell r="Y2414" t="str">
            <v>Accountant</v>
          </cell>
        </row>
        <row r="2415">
          <cell r="A2415" t="str">
            <v>PEPPL0594</v>
          </cell>
          <cell r="Y2415" t="str">
            <v>Senior Executive - Finance &amp; Accounts</v>
          </cell>
        </row>
        <row r="2416">
          <cell r="A2416" t="str">
            <v>PSS1237</v>
          </cell>
          <cell r="Y2416" t="str">
            <v>Executive - Administration</v>
          </cell>
        </row>
        <row r="2417">
          <cell r="A2417" t="str">
            <v>PEPPL0763</v>
          </cell>
          <cell r="Y2417" t="str">
            <v>Fork Lift Driver</v>
          </cell>
        </row>
        <row r="2418">
          <cell r="A2418" t="str">
            <v>PSS1175</v>
          </cell>
          <cell r="Y2418" t="str">
            <v>Junior Engineer</v>
          </cell>
        </row>
        <row r="2419">
          <cell r="A2419" t="str">
            <v>PSS0472</v>
          </cell>
          <cell r="Y2419" t="str">
            <v>Helper</v>
          </cell>
        </row>
        <row r="2420">
          <cell r="A2420" t="str">
            <v>PEPPL0117</v>
          </cell>
          <cell r="Y2420" t="str">
            <v>Assistant Manager - Utility</v>
          </cell>
        </row>
        <row r="2421">
          <cell r="A2421" t="str">
            <v>PSS0225</v>
          </cell>
          <cell r="Y2421" t="str">
            <v>Senior Technician</v>
          </cell>
        </row>
        <row r="2422">
          <cell r="A2422" t="str">
            <v>PEIPL0486</v>
          </cell>
          <cell r="Y2422" t="str">
            <v>Senior Technician</v>
          </cell>
        </row>
        <row r="2423">
          <cell r="A2423" t="str">
            <v>PEPPL0756</v>
          </cell>
          <cell r="Y2423" t="str">
            <v>Deputy Engineer</v>
          </cell>
        </row>
        <row r="2424">
          <cell r="A2424" t="str">
            <v>PEIPL0179</v>
          </cell>
          <cell r="Y2424" t="str">
            <v>Executive</v>
          </cell>
        </row>
        <row r="2425">
          <cell r="A2425" t="str">
            <v>PSS0551</v>
          </cell>
          <cell r="Y2425" t="str">
            <v>Supervisor</v>
          </cell>
        </row>
        <row r="2426">
          <cell r="A2426" t="str">
            <v>PEIPL0704</v>
          </cell>
          <cell r="Y2426" t="str">
            <v>Supervisor</v>
          </cell>
        </row>
        <row r="2427">
          <cell r="A2427" t="str">
            <v>PSS1236</v>
          </cell>
          <cell r="Y2427" t="str">
            <v>Coordinator - Human Resources</v>
          </cell>
        </row>
        <row r="2428">
          <cell r="A2428" t="str">
            <v>P0142</v>
          </cell>
          <cell r="Y2428" t="str">
            <v>Project Manager</v>
          </cell>
        </row>
        <row r="2429">
          <cell r="A2429" t="str">
            <v>PSS1269</v>
          </cell>
          <cell r="Y2429" t="str">
            <v>Executive Assistant To Chairman</v>
          </cell>
        </row>
        <row r="2430">
          <cell r="A2430" t="str">
            <v>PEPPL0810</v>
          </cell>
          <cell r="Y2430" t="str">
            <v>Junior Engineer</v>
          </cell>
        </row>
        <row r="2431">
          <cell r="A2431" t="str">
            <v>PSS1056</v>
          </cell>
          <cell r="Y2431" t="str">
            <v>Operator</v>
          </cell>
        </row>
        <row r="2432">
          <cell r="A2432" t="str">
            <v>PEIPL0536</v>
          </cell>
          <cell r="Y2432" t="str">
            <v>Junior Technician</v>
          </cell>
        </row>
        <row r="2433">
          <cell r="A2433" t="str">
            <v>PEPPL0187</v>
          </cell>
          <cell r="Y2433" t="str">
            <v>Junior Engineer</v>
          </cell>
        </row>
        <row r="2434">
          <cell r="A2434" t="str">
            <v>10000</v>
          </cell>
          <cell r="Y2434" t="str">
            <v>Managing Director</v>
          </cell>
        </row>
        <row r="2435">
          <cell r="A2435" t="str">
            <v>PEPPL0496</v>
          </cell>
          <cell r="Y2435" t="str">
            <v>Senior Technician</v>
          </cell>
        </row>
        <row r="2436">
          <cell r="A2436" t="str">
            <v>PSS1343</v>
          </cell>
          <cell r="Y2436" t="str">
            <v>Assistant Manager - Finance &amp; Accounts</v>
          </cell>
        </row>
        <row r="2437">
          <cell r="A2437" t="str">
            <v>PEGEPL0038</v>
          </cell>
          <cell r="Y2437" t="str">
            <v>Junior Engineer</v>
          </cell>
        </row>
        <row r="2438">
          <cell r="A2438" t="str">
            <v>PEGEPL0013</v>
          </cell>
          <cell r="Y2438" t="str">
            <v>Supervisor</v>
          </cell>
        </row>
        <row r="2439">
          <cell r="A2439" t="str">
            <v>PSS0089</v>
          </cell>
          <cell r="Y2439" t="str">
            <v>Supervisor</v>
          </cell>
        </row>
        <row r="2440">
          <cell r="A2440" t="str">
            <v>PSS0128</v>
          </cell>
          <cell r="Y2440" t="str">
            <v>Assistant Project Manager</v>
          </cell>
        </row>
        <row r="2441">
          <cell r="A2441" t="str">
            <v>PEPPL0127</v>
          </cell>
          <cell r="Y2441" t="str">
            <v>Manager - Stores</v>
          </cell>
        </row>
        <row r="2442">
          <cell r="A2442" t="str">
            <v>PEPPL0233</v>
          </cell>
          <cell r="Y2442" t="str">
            <v>Engineer</v>
          </cell>
        </row>
        <row r="2443">
          <cell r="A2443" t="str">
            <v>PEIPL0438</v>
          </cell>
          <cell r="Y2443" t="str">
            <v>Senior Engineer</v>
          </cell>
        </row>
        <row r="2444">
          <cell r="A2444" t="str">
            <v>PSS1159</v>
          </cell>
          <cell r="Y2444" t="str">
            <v>Engineer</v>
          </cell>
        </row>
        <row r="2445">
          <cell r="A2445" t="str">
            <v>PEIPL0310</v>
          </cell>
          <cell r="Y2445" t="str">
            <v>Assistant Engineer</v>
          </cell>
        </row>
        <row r="2446">
          <cell r="A2446" t="str">
            <v>P0122</v>
          </cell>
          <cell r="Y2446" t="str">
            <v>Operator</v>
          </cell>
        </row>
        <row r="2447">
          <cell r="A2447" t="str">
            <v>PEPPL0031</v>
          </cell>
          <cell r="Y2447" t="str">
            <v>Assistant Manager - Production</v>
          </cell>
        </row>
        <row r="2448">
          <cell r="A2448" t="str">
            <v>PSS0875</v>
          </cell>
          <cell r="Y2448" t="str">
            <v>General Manager</v>
          </cell>
        </row>
        <row r="2449">
          <cell r="A2449" t="str">
            <v>PEPPL0882</v>
          </cell>
          <cell r="Y2449" t="str">
            <v>Area Manager - Channel Sales</v>
          </cell>
        </row>
        <row r="2450">
          <cell r="A2450" t="str">
            <v>PEPPL0043</v>
          </cell>
          <cell r="Y2450" t="str">
            <v>Associate Manager - Maintenance</v>
          </cell>
        </row>
        <row r="2451">
          <cell r="A2451" t="str">
            <v>PEIPL0283</v>
          </cell>
          <cell r="Y2451" t="str">
            <v>Senior Technician</v>
          </cell>
        </row>
        <row r="2452">
          <cell r="A2452" t="str">
            <v>PEIPL0144</v>
          </cell>
          <cell r="Y2452" t="str">
            <v>Engineer</v>
          </cell>
        </row>
        <row r="2453">
          <cell r="A2453" t="str">
            <v>PEIPL0163</v>
          </cell>
          <cell r="Y2453" t="str">
            <v>Assistant Engineer</v>
          </cell>
        </row>
        <row r="2454">
          <cell r="A2454" t="str">
            <v>PEIPL0183</v>
          </cell>
          <cell r="Y2454" t="str">
            <v>Senior Technician</v>
          </cell>
        </row>
        <row r="2455">
          <cell r="A2455" t="str">
            <v>PEPPL0580</v>
          </cell>
          <cell r="Y2455" t="str">
            <v>Senior Technician</v>
          </cell>
        </row>
        <row r="2456">
          <cell r="A2456" t="str">
            <v>PEPPL0550</v>
          </cell>
          <cell r="Y2456" t="str">
            <v>Senior Engineer</v>
          </cell>
        </row>
        <row r="2457">
          <cell r="A2457" t="str">
            <v>PEPPL0654</v>
          </cell>
          <cell r="Y2457" t="str">
            <v>Regional Head - Channel Sales</v>
          </cell>
        </row>
        <row r="2458">
          <cell r="A2458" t="str">
            <v>PEIPL0130</v>
          </cell>
          <cell r="Y2458" t="str">
            <v>Senior Engineer</v>
          </cell>
        </row>
        <row r="2459">
          <cell r="A2459" t="str">
            <v>P0280</v>
          </cell>
          <cell r="Y2459" t="str">
            <v>Helper</v>
          </cell>
        </row>
        <row r="2460">
          <cell r="A2460" t="str">
            <v>P0228</v>
          </cell>
          <cell r="Y2460" t="str">
            <v>Helper</v>
          </cell>
        </row>
        <row r="2461">
          <cell r="A2461" t="str">
            <v>P0257</v>
          </cell>
          <cell r="Y2461" t="str">
            <v>Operator</v>
          </cell>
        </row>
        <row r="2462">
          <cell r="A2462" t="str">
            <v>P0376</v>
          </cell>
          <cell r="Y2462" t="str">
            <v>Operator</v>
          </cell>
        </row>
        <row r="2463">
          <cell r="A2463" t="str">
            <v>P0397</v>
          </cell>
          <cell r="Y2463" t="str">
            <v>Helper</v>
          </cell>
        </row>
        <row r="2464">
          <cell r="A2464" t="str">
            <v>PEGEPL0080</v>
          </cell>
          <cell r="Y2464" t="str">
            <v>Senior Engineer</v>
          </cell>
        </row>
        <row r="2465">
          <cell r="A2465" t="str">
            <v>PEIPL0031</v>
          </cell>
          <cell r="Y2465" t="str">
            <v>Assistant Manager</v>
          </cell>
        </row>
        <row r="2466">
          <cell r="A2466" t="str">
            <v>PSS1285</v>
          </cell>
          <cell r="Y2466" t="str">
            <v>Service Technician</v>
          </cell>
        </row>
        <row r="2467">
          <cell r="A2467" t="str">
            <v>PSS1322</v>
          </cell>
          <cell r="Y2467" t="str">
            <v>Service Technician</v>
          </cell>
        </row>
        <row r="2468">
          <cell r="A2468" t="str">
            <v>PSS1383</v>
          </cell>
          <cell r="Y2468" t="str">
            <v>Technician</v>
          </cell>
        </row>
        <row r="2469">
          <cell r="A2469" t="str">
            <v>BDPL0023</v>
          </cell>
          <cell r="Y2469" t="str">
            <v>Helper</v>
          </cell>
        </row>
        <row r="2470">
          <cell r="A2470" t="str">
            <v>P0399</v>
          </cell>
          <cell r="Y2470" t="str">
            <v>Helper</v>
          </cell>
        </row>
        <row r="2471">
          <cell r="A2471" t="str">
            <v>P0357</v>
          </cell>
          <cell r="Y2471" t="str">
            <v>Helper</v>
          </cell>
        </row>
        <row r="2472">
          <cell r="A2472" t="str">
            <v>PEIPL0434</v>
          </cell>
          <cell r="Y2472" t="str">
            <v>Engineer</v>
          </cell>
        </row>
        <row r="2473">
          <cell r="A2473" t="str">
            <v>PEIPL0010</v>
          </cell>
          <cell r="Y2473" t="str">
            <v>Engineer</v>
          </cell>
        </row>
        <row r="2474">
          <cell r="A2474" t="str">
            <v>PEPPL0402</v>
          </cell>
          <cell r="Y2474" t="str">
            <v>Assistant Manager - Maintenance</v>
          </cell>
        </row>
        <row r="2475">
          <cell r="A2475" t="str">
            <v>PEPPL0641</v>
          </cell>
          <cell r="Y2475" t="str">
            <v>Assistant Manager - Maintenance</v>
          </cell>
        </row>
        <row r="2476">
          <cell r="A2476" t="str">
            <v>PEIPL0113</v>
          </cell>
          <cell r="Y2476" t="str">
            <v>Engineer</v>
          </cell>
        </row>
        <row r="2477">
          <cell r="A2477" t="str">
            <v>PEPPL0093</v>
          </cell>
          <cell r="Y2477" t="str">
            <v>Senior Engineer</v>
          </cell>
        </row>
        <row r="2478">
          <cell r="A2478" t="str">
            <v>PEIPL0520</v>
          </cell>
          <cell r="Y2478" t="str">
            <v>Junior Engineer</v>
          </cell>
        </row>
        <row r="2479">
          <cell r="A2479" t="str">
            <v>PEIPL0561</v>
          </cell>
          <cell r="Y2479" t="str">
            <v>Senior Technician</v>
          </cell>
        </row>
        <row r="2480">
          <cell r="A2480" t="str">
            <v>PEIPL0258</v>
          </cell>
          <cell r="Y2480" t="str">
            <v>Deputy Manager - Human Resources</v>
          </cell>
        </row>
        <row r="2481">
          <cell r="A2481" t="str">
            <v>PEGEPL0048</v>
          </cell>
          <cell r="Y2481" t="str">
            <v>Assistant Engineer</v>
          </cell>
        </row>
        <row r="2482">
          <cell r="A2482" t="str">
            <v>BDPL0010</v>
          </cell>
          <cell r="Y2482" t="str">
            <v>Helper</v>
          </cell>
        </row>
        <row r="2483">
          <cell r="A2483" t="str">
            <v>P0351</v>
          </cell>
          <cell r="Y2483" t="str">
            <v>Helper</v>
          </cell>
        </row>
        <row r="2484">
          <cell r="A2484" t="str">
            <v>P0496</v>
          </cell>
          <cell r="Y2484" t="str">
            <v>Helper</v>
          </cell>
        </row>
        <row r="2485">
          <cell r="A2485" t="str">
            <v>PEGEPL0050</v>
          </cell>
          <cell r="Y2485" t="str">
            <v>Senior Technician</v>
          </cell>
        </row>
        <row r="2486">
          <cell r="A2486" t="str">
            <v>BDPL0016</v>
          </cell>
          <cell r="Y2486" t="str">
            <v>Helper</v>
          </cell>
        </row>
        <row r="2487">
          <cell r="A2487" t="str">
            <v>P0356</v>
          </cell>
          <cell r="Y2487" t="str">
            <v>Helper</v>
          </cell>
        </row>
        <row r="2488">
          <cell r="A2488" t="str">
            <v>P0491</v>
          </cell>
          <cell r="Y2488" t="str">
            <v>Helper</v>
          </cell>
        </row>
        <row r="2489">
          <cell r="A2489" t="str">
            <v>PEIPL0106</v>
          </cell>
          <cell r="Y2489" t="str">
            <v>Deputy Manager</v>
          </cell>
        </row>
        <row r="2490">
          <cell r="A2490" t="str">
            <v>PEPPL0836</v>
          </cell>
          <cell r="Y2490" t="str">
            <v>Associate Manager</v>
          </cell>
        </row>
        <row r="2491">
          <cell r="A2491" t="str">
            <v>PEPPL0036</v>
          </cell>
          <cell r="Y2491" t="str">
            <v>Deputy Manager</v>
          </cell>
        </row>
        <row r="2492">
          <cell r="A2492" t="str">
            <v>PEPPL0531</v>
          </cell>
          <cell r="Y2492" t="str">
            <v>Assistant Manager</v>
          </cell>
        </row>
        <row r="2493">
          <cell r="A2493" t="str">
            <v>PEIPL0800</v>
          </cell>
          <cell r="Y2493" t="str">
            <v>Junior Maintenance Engineer</v>
          </cell>
        </row>
        <row r="2494">
          <cell r="A2494" t="str">
            <v>PEIPL0053</v>
          </cell>
          <cell r="Y2494" t="str">
            <v>Junior Engineer</v>
          </cell>
        </row>
        <row r="2495">
          <cell r="A2495" t="str">
            <v>PEIPL0376</v>
          </cell>
          <cell r="Y2495" t="str">
            <v>Junior Engineer</v>
          </cell>
        </row>
        <row r="2496">
          <cell r="A2496" t="str">
            <v>PEPPL0598</v>
          </cell>
          <cell r="Y2496" t="str">
            <v>Engineer</v>
          </cell>
        </row>
        <row r="2497">
          <cell r="A2497" t="str">
            <v>PEPPL0847</v>
          </cell>
          <cell r="Y2497" t="str">
            <v>Helper</v>
          </cell>
        </row>
        <row r="2498">
          <cell r="A2498" t="str">
            <v>PEIPL0234</v>
          </cell>
          <cell r="Y2498" t="str">
            <v>Senior Technician</v>
          </cell>
        </row>
        <row r="2499">
          <cell r="A2499" t="str">
            <v>PEPPL0860</v>
          </cell>
          <cell r="Y2499" t="str">
            <v>Assistant Engineer</v>
          </cell>
        </row>
        <row r="2500">
          <cell r="A2500" t="str">
            <v>PEPPL0777</v>
          </cell>
          <cell r="Y2500" t="str">
            <v>Senior Engineer</v>
          </cell>
        </row>
        <row r="2501">
          <cell r="A2501" t="str">
            <v>PEPPL0549</v>
          </cell>
          <cell r="Y2501" t="str">
            <v>Senior Executive - Stores</v>
          </cell>
        </row>
        <row r="2502">
          <cell r="A2502" t="str">
            <v>PEIPL0014</v>
          </cell>
          <cell r="Y2502" t="str">
            <v>Senior Engineer</v>
          </cell>
        </row>
        <row r="2503">
          <cell r="A2503" t="str">
            <v>PEIPL0273</v>
          </cell>
          <cell r="Y2503" t="str">
            <v>Technician</v>
          </cell>
        </row>
        <row r="2504">
          <cell r="A2504" t="str">
            <v>P0272</v>
          </cell>
          <cell r="Y2504" t="str">
            <v>Helper</v>
          </cell>
        </row>
        <row r="2505">
          <cell r="A2505" t="str">
            <v>P0284</v>
          </cell>
          <cell r="Y2505" t="str">
            <v>Helper</v>
          </cell>
        </row>
        <row r="2506">
          <cell r="A2506" t="str">
            <v>P0273</v>
          </cell>
          <cell r="Y2506" t="str">
            <v>Helper</v>
          </cell>
        </row>
        <row r="2507">
          <cell r="A2507" t="str">
            <v>PSS0759</v>
          </cell>
          <cell r="Y2507" t="str">
            <v>Junior Engineer</v>
          </cell>
        </row>
        <row r="2508">
          <cell r="A2508" t="str">
            <v>PEPPL0012</v>
          </cell>
          <cell r="Y2508" t="str">
            <v>Senior Manager</v>
          </cell>
        </row>
        <row r="2509">
          <cell r="A2509" t="str">
            <v>P0303</v>
          </cell>
          <cell r="Y2509" t="str">
            <v>Helper</v>
          </cell>
        </row>
        <row r="2510">
          <cell r="A2510" t="str">
            <v>P0271</v>
          </cell>
          <cell r="Y2510" t="str">
            <v>Helper</v>
          </cell>
        </row>
        <row r="2511">
          <cell r="A2511" t="str">
            <v>PSS1203</v>
          </cell>
          <cell r="Y2511" t="str">
            <v>Chief Finance Officer</v>
          </cell>
        </row>
        <row r="2512">
          <cell r="A2512" t="str">
            <v>PEPPL0019</v>
          </cell>
          <cell r="Y2512" t="str">
            <v>Manager</v>
          </cell>
        </row>
        <row r="2513">
          <cell r="A2513" t="str">
            <v>PEPPL0671</v>
          </cell>
          <cell r="Y2513" t="str">
            <v>Junior Engineer</v>
          </cell>
        </row>
        <row r="2514">
          <cell r="A2514" t="str">
            <v>PEGEPL0040</v>
          </cell>
          <cell r="Y2514" t="str">
            <v>Technician</v>
          </cell>
        </row>
        <row r="2515">
          <cell r="A2515" t="str">
            <v>PEGEPL0077</v>
          </cell>
          <cell r="Y2515" t="str">
            <v>Junior Engineer</v>
          </cell>
        </row>
        <row r="2516">
          <cell r="A2516" t="str">
            <v>P0109</v>
          </cell>
          <cell r="Y2516" t="str">
            <v>Operator</v>
          </cell>
        </row>
        <row r="2517">
          <cell r="A2517" t="str">
            <v>PSS1238</v>
          </cell>
          <cell r="Y2517" t="str">
            <v>Electrician</v>
          </cell>
        </row>
        <row r="2518">
          <cell r="A2518" t="str">
            <v>PEGEPL0037</v>
          </cell>
          <cell r="Y2518" t="str">
            <v>Junior Engineer</v>
          </cell>
        </row>
        <row r="2519">
          <cell r="A2519" t="str">
            <v>PEIPL0188</v>
          </cell>
          <cell r="Y2519" t="str">
            <v>Senior Technician</v>
          </cell>
        </row>
        <row r="2520">
          <cell r="A2520" t="str">
            <v>PEPPL0673</v>
          </cell>
          <cell r="Y2520" t="str">
            <v>Senior Executive - Logistics</v>
          </cell>
        </row>
        <row r="2521">
          <cell r="A2521" t="str">
            <v>PEGEPL0031</v>
          </cell>
          <cell r="Y2521" t="str">
            <v>Technician</v>
          </cell>
        </row>
        <row r="2522">
          <cell r="A2522" t="str">
            <v>PEIPL0208</v>
          </cell>
          <cell r="Y2522" t="str">
            <v>Senior Technician</v>
          </cell>
        </row>
        <row r="2523">
          <cell r="A2523" t="str">
            <v>PEPPL0066</v>
          </cell>
          <cell r="Y2523" t="str">
            <v>Assistant Manager</v>
          </cell>
        </row>
        <row r="2524">
          <cell r="A2524" t="str">
            <v>PEPPL0167</v>
          </cell>
          <cell r="Y2524" t="str">
            <v>Senior Technician</v>
          </cell>
        </row>
        <row r="2525">
          <cell r="A2525" t="str">
            <v>PEIPL0340</v>
          </cell>
          <cell r="Y2525" t="str">
            <v>Deputy Engineer</v>
          </cell>
        </row>
        <row r="2526">
          <cell r="A2526" t="str">
            <v>PEPPL0067</v>
          </cell>
          <cell r="Y2526" t="str">
            <v>Assistant Manager</v>
          </cell>
        </row>
        <row r="2527">
          <cell r="A2527" t="str">
            <v>PEPPL0364</v>
          </cell>
          <cell r="Y2527" t="str">
            <v>Senior Technician</v>
          </cell>
        </row>
        <row r="2528">
          <cell r="A2528" t="str">
            <v>PEIPL0715</v>
          </cell>
          <cell r="Y2528" t="str">
            <v>Engineer</v>
          </cell>
        </row>
        <row r="2529">
          <cell r="A2529" t="str">
            <v>PEIPL0568</v>
          </cell>
          <cell r="Y2529" t="str">
            <v>Assistant Engineer</v>
          </cell>
        </row>
        <row r="2530">
          <cell r="A2530" t="str">
            <v>PEIPL0734</v>
          </cell>
          <cell r="Y2530" t="str">
            <v>Engineer</v>
          </cell>
        </row>
        <row r="2531">
          <cell r="A2531" t="str">
            <v>PEPPL0298</v>
          </cell>
          <cell r="Y2531" t="str">
            <v>Assistant Manager</v>
          </cell>
        </row>
        <row r="2532">
          <cell r="A2532" t="str">
            <v>P0455</v>
          </cell>
          <cell r="Y2532" t="str">
            <v>Engineer</v>
          </cell>
        </row>
        <row r="2533">
          <cell r="A2533" t="str">
            <v>PEPPL0532</v>
          </cell>
          <cell r="Y2533" t="str">
            <v>Senior Officer - Safety</v>
          </cell>
        </row>
        <row r="2534">
          <cell r="A2534" t="str">
            <v>PSS1302</v>
          </cell>
          <cell r="Y2534" t="str">
            <v>Engineer</v>
          </cell>
        </row>
        <row r="2535">
          <cell r="A2535" t="str">
            <v>P0428</v>
          </cell>
          <cell r="Y2535" t="str">
            <v>Office Boy</v>
          </cell>
        </row>
        <row r="2536">
          <cell r="A2536" t="str">
            <v>PEIPL0731</v>
          </cell>
          <cell r="Y2536" t="str">
            <v>Senior Technician</v>
          </cell>
        </row>
        <row r="2537">
          <cell r="A2537" t="str">
            <v>PSS0755</v>
          </cell>
          <cell r="Y2537" t="str">
            <v>Senior Technician</v>
          </cell>
        </row>
        <row r="2538">
          <cell r="A2538" t="str">
            <v>PSS1094</v>
          </cell>
          <cell r="Y2538" t="str">
            <v>Technician</v>
          </cell>
        </row>
        <row r="2539">
          <cell r="A2539" t="str">
            <v>PEPPL0603</v>
          </cell>
          <cell r="Y2539" t="str">
            <v>Senior Engineer</v>
          </cell>
        </row>
        <row r="2540">
          <cell r="A2540" t="str">
            <v>PEPPL0749</v>
          </cell>
          <cell r="Y2540" t="str">
            <v>Diploma Engineer Trainee</v>
          </cell>
        </row>
        <row r="2541">
          <cell r="A2541" t="str">
            <v>PSS1129</v>
          </cell>
          <cell r="Y2541" t="str">
            <v>Supervisor</v>
          </cell>
        </row>
        <row r="2542">
          <cell r="A2542" t="str">
            <v>PEIPL0611</v>
          </cell>
          <cell r="Y2542" t="str">
            <v>Engineer</v>
          </cell>
        </row>
        <row r="2543">
          <cell r="A2543" t="str">
            <v>PEIPL0793</v>
          </cell>
          <cell r="Y2543" t="str">
            <v>Diploma Engineer Trainee</v>
          </cell>
        </row>
        <row r="2544">
          <cell r="A2544" t="str">
            <v>PEPPL0006</v>
          </cell>
          <cell r="Y2544" t="str">
            <v>Vice President - Administration &amp; Safety</v>
          </cell>
        </row>
        <row r="2545">
          <cell r="A2545" t="str">
            <v>P0259</v>
          </cell>
          <cell r="Y2545" t="str">
            <v>Operator</v>
          </cell>
        </row>
        <row r="2546">
          <cell r="A2546" t="str">
            <v>PSS1271</v>
          </cell>
          <cell r="Y2546" t="str">
            <v>Executive Assistant</v>
          </cell>
        </row>
        <row r="2547">
          <cell r="A2547" t="str">
            <v>PSS1291</v>
          </cell>
          <cell r="Y2547" t="str">
            <v>Executive Assistant</v>
          </cell>
        </row>
        <row r="2548">
          <cell r="A2548" t="str">
            <v>PEPPL0026</v>
          </cell>
          <cell r="Y2548" t="str">
            <v>Manager - Production</v>
          </cell>
        </row>
        <row r="2549">
          <cell r="A2549" t="str">
            <v>PSS0663</v>
          </cell>
          <cell r="Y2549" t="str">
            <v>Director</v>
          </cell>
        </row>
        <row r="2550">
          <cell r="A2550" t="str">
            <v>PEPPL0881</v>
          </cell>
          <cell r="Y2550" t="str">
            <v>Director</v>
          </cell>
        </row>
        <row r="2551">
          <cell r="A2551" t="str">
            <v>PEPPL0003</v>
          </cell>
          <cell r="Y2551" t="str">
            <v>Senior Manager</v>
          </cell>
        </row>
        <row r="2552">
          <cell r="A2552" t="str">
            <v>PEPPL0033</v>
          </cell>
          <cell r="Y2552" t="str">
            <v>Associate Manager</v>
          </cell>
        </row>
        <row r="2553">
          <cell r="A2553" t="str">
            <v>PEPPL0072</v>
          </cell>
          <cell r="Y2553" t="str">
            <v>Senior Engineer</v>
          </cell>
        </row>
        <row r="2554">
          <cell r="A2554" t="str">
            <v>PEGEPL0120</v>
          </cell>
          <cell r="Y2554" t="str">
            <v>Deputy Manager - Sales &amp; Operations</v>
          </cell>
        </row>
        <row r="2555">
          <cell r="A2555" t="str">
            <v>PEIPL0301</v>
          </cell>
          <cell r="Y2555" t="str">
            <v>Senior Technician</v>
          </cell>
        </row>
        <row r="2556">
          <cell r="A2556" t="str">
            <v>PEIPL0726</v>
          </cell>
          <cell r="Y2556" t="str">
            <v>Junior Engineer</v>
          </cell>
        </row>
        <row r="2557">
          <cell r="A2557" t="str">
            <v>PEPPL0119</v>
          </cell>
          <cell r="Y2557" t="str">
            <v>Manager - Maintenance</v>
          </cell>
        </row>
        <row r="2558">
          <cell r="A2558" t="str">
            <v>PSS1426</v>
          </cell>
          <cell r="Y2558" t="str">
            <v>Executive</v>
          </cell>
        </row>
        <row r="2559">
          <cell r="A2559" t="str">
            <v>PSS1337</v>
          </cell>
          <cell r="Y2559" t="str">
            <v>Assistant Manager - Finance &amp; Accounts</v>
          </cell>
        </row>
        <row r="2560">
          <cell r="A2560" t="str">
            <v>PEPPL0478</v>
          </cell>
          <cell r="Y2560" t="str">
            <v>Engineer</v>
          </cell>
        </row>
        <row r="2561">
          <cell r="A2561" t="str">
            <v>P0377</v>
          </cell>
          <cell r="Y2561" t="str">
            <v>Operator</v>
          </cell>
        </row>
        <row r="2562">
          <cell r="A2562" t="str">
            <v>PSS0753</v>
          </cell>
          <cell r="Y2562" t="str">
            <v>Senior Technician - Service</v>
          </cell>
        </row>
        <row r="2563">
          <cell r="A2563" t="str">
            <v>PSS1256</v>
          </cell>
          <cell r="Y2563" t="str">
            <v>Senior Technician</v>
          </cell>
        </row>
        <row r="2564">
          <cell r="A2564" t="str">
            <v>PEIPL0537</v>
          </cell>
          <cell r="Y2564" t="str">
            <v>Senior Officer - Safety</v>
          </cell>
        </row>
        <row r="2565">
          <cell r="A2565" t="str">
            <v>PSS1412</v>
          </cell>
          <cell r="Y2565" t="str">
            <v>Senior Manager - Business Analytics</v>
          </cell>
        </row>
        <row r="2566">
          <cell r="A2566" t="str">
            <v>PEPPL0162</v>
          </cell>
          <cell r="Y2566" t="str">
            <v>Engineer</v>
          </cell>
        </row>
        <row r="2567">
          <cell r="A2567" t="str">
            <v>PEPPL0082</v>
          </cell>
          <cell r="Y2567" t="str">
            <v>Deputy Manager - IT</v>
          </cell>
        </row>
        <row r="2568">
          <cell r="A2568" t="str">
            <v>PEPPL0001</v>
          </cell>
          <cell r="Y2568" t="str">
            <v>Site Manager</v>
          </cell>
        </row>
        <row r="2569">
          <cell r="A2569" t="str">
            <v>PEPPL0444</v>
          </cell>
          <cell r="Y2569" t="str">
            <v>Deputy Manager - Production</v>
          </cell>
        </row>
        <row r="2570">
          <cell r="A2570" t="str">
            <v>PEPPL0769</v>
          </cell>
          <cell r="Y2570" t="str">
            <v>Senior Engineer - Maintenance</v>
          </cell>
        </row>
        <row r="2571">
          <cell r="A2571" t="str">
            <v>PEIPL0711</v>
          </cell>
          <cell r="Y2571" t="str">
            <v>Technician</v>
          </cell>
        </row>
        <row r="2572">
          <cell r="A2572" t="str">
            <v>PEPPL0352</v>
          </cell>
          <cell r="Y2572" t="str">
            <v>Technician</v>
          </cell>
        </row>
        <row r="2573">
          <cell r="A2573" t="str">
            <v>PEIPL0604</v>
          </cell>
          <cell r="Y2573" t="str">
            <v>Driver</v>
          </cell>
        </row>
        <row r="2574">
          <cell r="A2574" t="str">
            <v>PSS1160</v>
          </cell>
          <cell r="Y2574" t="str">
            <v>Senior Executive - MD's Office</v>
          </cell>
        </row>
        <row r="2575">
          <cell r="A2575" t="str">
            <v>PSS1115</v>
          </cell>
          <cell r="Y2575" t="str">
            <v>Senior Engineer</v>
          </cell>
        </row>
        <row r="2576">
          <cell r="A2576" t="str">
            <v>PEPPL0812</v>
          </cell>
          <cell r="Y2576" t="str">
            <v>Safety Officer</v>
          </cell>
        </row>
        <row r="2577">
          <cell r="A2577" t="str">
            <v>PSS1379</v>
          </cell>
          <cell r="Y2577" t="str">
            <v>Manager - Finance &amp; Accounts</v>
          </cell>
        </row>
        <row r="2578">
          <cell r="A2578" t="str">
            <v>PEIPL0427</v>
          </cell>
          <cell r="Y2578" t="str">
            <v>Executive</v>
          </cell>
        </row>
        <row r="2579">
          <cell r="A2579" t="str">
            <v>PEPPL0524</v>
          </cell>
          <cell r="Y2579" t="str">
            <v>Junior Technician</v>
          </cell>
        </row>
        <row r="2580">
          <cell r="A2580" t="str">
            <v>PEPPL0742</v>
          </cell>
          <cell r="Y2580" t="str">
            <v>Engineer</v>
          </cell>
        </row>
        <row r="2581">
          <cell r="A2581" t="str">
            <v>PEIPL0559</v>
          </cell>
          <cell r="Y2581" t="str">
            <v>Engineer</v>
          </cell>
        </row>
        <row r="2582">
          <cell r="A2582" t="str">
            <v>PEPPL0369</v>
          </cell>
          <cell r="Y2582" t="str">
            <v>Technician</v>
          </cell>
        </row>
        <row r="2583">
          <cell r="A2583" t="str">
            <v>PEIPL0091</v>
          </cell>
          <cell r="Y2583" t="str">
            <v>Engineer</v>
          </cell>
        </row>
        <row r="2584">
          <cell r="A2584" t="str">
            <v>P0182</v>
          </cell>
          <cell r="Y2584" t="str">
            <v>Engineer</v>
          </cell>
        </row>
        <row r="2585">
          <cell r="A2585" t="str">
            <v>PEPPL0655</v>
          </cell>
          <cell r="Y2585" t="str">
            <v>Senior Executive - Finance &amp; Accounts</v>
          </cell>
        </row>
        <row r="2586">
          <cell r="A2586" t="str">
            <v>PEPPL0440</v>
          </cell>
          <cell r="Y2586" t="str">
            <v>Engineer</v>
          </cell>
        </row>
        <row r="2587">
          <cell r="A2587" t="str">
            <v>PEGEPL0062</v>
          </cell>
          <cell r="Y2587" t="str">
            <v>Deputy Engineer</v>
          </cell>
        </row>
        <row r="2588">
          <cell r="A2588" t="str">
            <v>PEIPL0496</v>
          </cell>
          <cell r="Y2588" t="str">
            <v>Senior Technician</v>
          </cell>
        </row>
        <row r="2589">
          <cell r="A2589" t="str">
            <v>PSS1082</v>
          </cell>
          <cell r="Y2589" t="str">
            <v>Senior Technician</v>
          </cell>
        </row>
        <row r="2590">
          <cell r="A2590" t="str">
            <v>PEPPL0845</v>
          </cell>
          <cell r="Y2590" t="str">
            <v>Junior Executive - Administration</v>
          </cell>
        </row>
        <row r="2591">
          <cell r="A2591" t="str">
            <v>PEIPL0139</v>
          </cell>
          <cell r="Y2591" t="str">
            <v>Engineer</v>
          </cell>
        </row>
        <row r="2592">
          <cell r="A2592" t="str">
            <v>PEIPL0172</v>
          </cell>
          <cell r="Y2592" t="str">
            <v>Engineer</v>
          </cell>
        </row>
        <row r="2593">
          <cell r="A2593" t="str">
            <v>PEPPL0492</v>
          </cell>
          <cell r="Y2593" t="str">
            <v>Senior Technician</v>
          </cell>
        </row>
        <row r="2594">
          <cell r="A2594" t="str">
            <v>PEGEPL0089</v>
          </cell>
          <cell r="Y2594" t="str">
            <v>Associate Manager</v>
          </cell>
        </row>
        <row r="2595">
          <cell r="A2595" t="str">
            <v>PSS0651</v>
          </cell>
          <cell r="Y2595" t="str">
            <v>Associate Manager</v>
          </cell>
        </row>
        <row r="2596">
          <cell r="A2596" t="str">
            <v>PEIPL0564</v>
          </cell>
          <cell r="Y2596" t="str">
            <v>Associate Manager</v>
          </cell>
        </row>
        <row r="2597">
          <cell r="A2597" t="str">
            <v>PEIPL0532</v>
          </cell>
          <cell r="Y2597" t="str">
            <v>Senior Technician</v>
          </cell>
        </row>
        <row r="2598">
          <cell r="A2598" t="str">
            <v>PEPPL0541</v>
          </cell>
          <cell r="Y2598" t="str">
            <v>Deputy Manager - Maintenance</v>
          </cell>
        </row>
        <row r="2599">
          <cell r="A2599" t="str">
            <v>PEPPL0356</v>
          </cell>
          <cell r="Y2599" t="str">
            <v>Senior Technician</v>
          </cell>
        </row>
        <row r="2600">
          <cell r="A2600" t="str">
            <v>PEPPL0515</v>
          </cell>
          <cell r="Y2600" t="str">
            <v>Engineer</v>
          </cell>
        </row>
        <row r="2601">
          <cell r="A2601" t="str">
            <v>PEPPL0316</v>
          </cell>
          <cell r="Y2601" t="str">
            <v>Fork Lift Driver</v>
          </cell>
        </row>
        <row r="2602">
          <cell r="A2602" t="str">
            <v>PSS1139</v>
          </cell>
          <cell r="Y2602" t="str">
            <v>Senior Engineer</v>
          </cell>
        </row>
        <row r="2603">
          <cell r="A2603" t="str">
            <v>PEIPL0482</v>
          </cell>
          <cell r="Y2603" t="str">
            <v>Senior Engineer - Maintenance</v>
          </cell>
        </row>
        <row r="2604">
          <cell r="A2604" t="str">
            <v>PSS1429</v>
          </cell>
          <cell r="Y2604" t="str">
            <v>Deputy Manager - Finance &amp; Accounts</v>
          </cell>
        </row>
        <row r="2605">
          <cell r="A2605" t="str">
            <v>PSS1362</v>
          </cell>
          <cell r="Y2605" t="str">
            <v>Deputy Manager - Insurance</v>
          </cell>
        </row>
        <row r="2606">
          <cell r="A2606" t="str">
            <v>PEGEPL0042</v>
          </cell>
          <cell r="Y2606" t="str">
            <v>Senior Technician</v>
          </cell>
        </row>
        <row r="2607">
          <cell r="A2607" t="str">
            <v>PEPPL0512</v>
          </cell>
          <cell r="Y2607" t="str">
            <v>Senior Engineer</v>
          </cell>
        </row>
        <row r="2608">
          <cell r="A2608" t="str">
            <v>P0499</v>
          </cell>
          <cell r="Y2608" t="str">
            <v>Helper</v>
          </cell>
        </row>
        <row r="2609">
          <cell r="A2609" t="str">
            <v>PEIPL0035</v>
          </cell>
          <cell r="Y2609" t="str">
            <v>Manager</v>
          </cell>
        </row>
        <row r="2610">
          <cell r="A2610" t="str">
            <v>PEIPL0186</v>
          </cell>
          <cell r="Y2610" t="str">
            <v>Senior Engineer</v>
          </cell>
        </row>
        <row r="2611">
          <cell r="A2611" t="str">
            <v>PEPPL0111</v>
          </cell>
          <cell r="Y2611" t="str">
            <v>Manager - Production</v>
          </cell>
        </row>
        <row r="2612">
          <cell r="A2612" t="str">
            <v>P0413</v>
          </cell>
          <cell r="Y2612" t="str">
            <v>OM Engineer</v>
          </cell>
        </row>
        <row r="2613">
          <cell r="A2613" t="str">
            <v>PEPPL0504</v>
          </cell>
          <cell r="Y2613" t="str">
            <v>Deputy Engineer</v>
          </cell>
        </row>
        <row r="2614">
          <cell r="A2614" t="str">
            <v>PEPPL0674</v>
          </cell>
          <cell r="Y2614" t="str">
            <v>Executive Assistant To Chairman</v>
          </cell>
        </row>
        <row r="2615">
          <cell r="A2615" t="str">
            <v>PEPPL0304</v>
          </cell>
          <cell r="Y2615" t="str">
            <v>Senior Engineer</v>
          </cell>
        </row>
        <row r="2616">
          <cell r="A2616" t="str">
            <v>PEPPL0871</v>
          </cell>
          <cell r="Y2616" t="str">
            <v>Regional Head - Channel Sales</v>
          </cell>
        </row>
        <row r="2617">
          <cell r="A2617" t="str">
            <v>PEPPL0295</v>
          </cell>
          <cell r="Y2617" t="str">
            <v>Shift Incharge</v>
          </cell>
        </row>
        <row r="2618">
          <cell r="A2618" t="str">
            <v>PEIPL0791</v>
          </cell>
          <cell r="Y2618" t="str">
            <v>Senior Engineer</v>
          </cell>
        </row>
        <row r="2619">
          <cell r="A2619" t="str">
            <v>PEIPL0449</v>
          </cell>
          <cell r="Y2619" t="str">
            <v>Engineer</v>
          </cell>
        </row>
        <row r="2620">
          <cell r="A2620" t="str">
            <v>PEIPL0135</v>
          </cell>
          <cell r="Y2620" t="str">
            <v>General Manager - Human Resources</v>
          </cell>
        </row>
        <row r="2621">
          <cell r="A2621" t="str">
            <v>PEPPL0561</v>
          </cell>
          <cell r="Y2621" t="str">
            <v>Project Engineer</v>
          </cell>
        </row>
        <row r="2622">
          <cell r="A2622" t="str">
            <v>PEPPL0562</v>
          </cell>
          <cell r="Y2622" t="str">
            <v>Project Engineer</v>
          </cell>
        </row>
        <row r="2623">
          <cell r="A2623" t="str">
            <v>PSS1303</v>
          </cell>
          <cell r="Y2623" t="str">
            <v>Project Engineer</v>
          </cell>
        </row>
        <row r="2624">
          <cell r="A2624" t="str">
            <v>PEPPL0563</v>
          </cell>
          <cell r="Y2624" t="str">
            <v>Project Engineer</v>
          </cell>
        </row>
        <row r="2625">
          <cell r="A2625" t="str">
            <v>PEPPL0835</v>
          </cell>
          <cell r="Y2625" t="str">
            <v>Project Engineer</v>
          </cell>
        </row>
        <row r="2626">
          <cell r="A2626" t="str">
            <v>PEPPL0564</v>
          </cell>
          <cell r="Y2626" t="str">
            <v>Project Engineer</v>
          </cell>
        </row>
        <row r="2627">
          <cell r="A2627" t="str">
            <v>PEPPL0565</v>
          </cell>
          <cell r="Y2627" t="str">
            <v>Project Engineer</v>
          </cell>
        </row>
        <row r="2628">
          <cell r="A2628" t="str">
            <v>PEPPL0566</v>
          </cell>
          <cell r="Y2628" t="str">
            <v>Project Engineer</v>
          </cell>
        </row>
        <row r="2629">
          <cell r="A2629" t="str">
            <v>PEPPL0567</v>
          </cell>
          <cell r="Y2629" t="str">
            <v>Project Engineer</v>
          </cell>
        </row>
        <row r="2630">
          <cell r="A2630" t="str">
            <v>PEPPL0570</v>
          </cell>
          <cell r="Y2630" t="str">
            <v>Project Engineer</v>
          </cell>
        </row>
        <row r="2631">
          <cell r="A2631" t="str">
            <v>PEPPL0568</v>
          </cell>
          <cell r="Y2631" t="str">
            <v>Project Engineer</v>
          </cell>
        </row>
        <row r="2632">
          <cell r="A2632" t="str">
            <v>PEPPL0716</v>
          </cell>
          <cell r="Y2632" t="str">
            <v>Senior Engineer</v>
          </cell>
        </row>
        <row r="2633">
          <cell r="A2633" t="str">
            <v>PSS1244</v>
          </cell>
          <cell r="Y2633" t="str">
            <v>Senior Executive - Finance &amp; Accounts</v>
          </cell>
        </row>
        <row r="2634">
          <cell r="A2634" t="str">
            <v>PEPPL0607</v>
          </cell>
          <cell r="Y2634" t="str">
            <v>Assistant</v>
          </cell>
        </row>
        <row r="2635">
          <cell r="A2635" t="str">
            <v>PSS0904</v>
          </cell>
          <cell r="Y2635" t="str">
            <v>Operator</v>
          </cell>
        </row>
        <row r="2636">
          <cell r="A2636" t="str">
            <v>PEIPL0673</v>
          </cell>
          <cell r="Y2636" t="str">
            <v>Senior Engineer</v>
          </cell>
        </row>
        <row r="2637">
          <cell r="A2637" t="str">
            <v>PEPPL0569</v>
          </cell>
          <cell r="Y2637" t="str">
            <v>Senior Executive - Procurement</v>
          </cell>
        </row>
        <row r="2638">
          <cell r="A2638" t="str">
            <v>PEPPL0208</v>
          </cell>
          <cell r="Y2638" t="str">
            <v>Junior Engineer</v>
          </cell>
        </row>
        <row r="2639">
          <cell r="A2639" t="str">
            <v>PEPPL0151</v>
          </cell>
          <cell r="Y2639" t="str">
            <v>Senior Engineer</v>
          </cell>
        </row>
        <row r="2640">
          <cell r="A2640" t="str">
            <v>PEIPL0531</v>
          </cell>
          <cell r="Y2640" t="str">
            <v>Assistant Manager</v>
          </cell>
        </row>
        <row r="2641">
          <cell r="A2641" t="str">
            <v>PEIPL0262</v>
          </cell>
          <cell r="Y2641" t="str">
            <v>Associate Manager - Human Resources</v>
          </cell>
        </row>
        <row r="2642">
          <cell r="A2642" t="str">
            <v>P0328</v>
          </cell>
          <cell r="Y2642" t="str">
            <v>Engineer</v>
          </cell>
        </row>
        <row r="2643">
          <cell r="A2643" t="str">
            <v>PSS1333</v>
          </cell>
          <cell r="Y2643" t="str">
            <v>Deputy Manager - Finance &amp; Accounts</v>
          </cell>
        </row>
        <row r="2644">
          <cell r="A2644" t="str">
            <v>PEIPL0046</v>
          </cell>
          <cell r="Y2644" t="str">
            <v>Engineer</v>
          </cell>
        </row>
        <row r="2645">
          <cell r="A2645" t="str">
            <v>PEIPL0173</v>
          </cell>
          <cell r="Y2645" t="str">
            <v>Associate Manager - Quality</v>
          </cell>
        </row>
        <row r="2646">
          <cell r="A2646" t="str">
            <v>PEIPL0700</v>
          </cell>
          <cell r="Y2646" t="str">
            <v>Engineer</v>
          </cell>
        </row>
        <row r="2647">
          <cell r="A2647" t="str">
            <v>PEIPL0461</v>
          </cell>
          <cell r="Y2647" t="str">
            <v>Junior Engineer</v>
          </cell>
        </row>
        <row r="2648">
          <cell r="A2648" t="str">
            <v>P0462</v>
          </cell>
          <cell r="Y2648" t="str">
            <v>Safety Officer</v>
          </cell>
        </row>
        <row r="2649">
          <cell r="A2649" t="str">
            <v>PEIPL0079</v>
          </cell>
          <cell r="Y2649" t="str">
            <v>Deputy Manager - Process</v>
          </cell>
        </row>
        <row r="2650">
          <cell r="A2650" t="str">
            <v>PSS1267</v>
          </cell>
          <cell r="Y2650" t="str">
            <v>Executive Assistant</v>
          </cell>
        </row>
        <row r="2651">
          <cell r="A2651" t="str">
            <v>BDPL0012</v>
          </cell>
          <cell r="Y2651" t="str">
            <v>Technician</v>
          </cell>
        </row>
        <row r="2652">
          <cell r="A2652" t="str">
            <v>P0349</v>
          </cell>
          <cell r="Y2652" t="str">
            <v>Technician</v>
          </cell>
        </row>
        <row r="2653">
          <cell r="A2653" t="str">
            <v>P0488</v>
          </cell>
          <cell r="Y2653" t="str">
            <v>Senior Technician</v>
          </cell>
        </row>
        <row r="2654">
          <cell r="A2654" t="str">
            <v>PEPPL0879</v>
          </cell>
          <cell r="Y2654" t="str">
            <v>Executive -  Stores</v>
          </cell>
        </row>
        <row r="2655">
          <cell r="A2655" t="str">
            <v>PEPPL0417</v>
          </cell>
          <cell r="Y2655" t="str">
            <v>Junior Technician</v>
          </cell>
        </row>
        <row r="2656">
          <cell r="A2656" t="str">
            <v>PEPPL0314</v>
          </cell>
          <cell r="Y2656" t="str">
            <v>Junior Technician</v>
          </cell>
        </row>
        <row r="2657">
          <cell r="A2657" t="str">
            <v>PEIPL0112</v>
          </cell>
          <cell r="Y2657" t="str">
            <v>Junior Engineer</v>
          </cell>
        </row>
        <row r="2658">
          <cell r="A2658" t="str">
            <v>PSS1318</v>
          </cell>
          <cell r="Y2658" t="str">
            <v>Senior Engineer</v>
          </cell>
        </row>
        <row r="2659">
          <cell r="A2659" t="str">
            <v>PEPPL0109</v>
          </cell>
          <cell r="Y2659" t="str">
            <v>Executive - Stores</v>
          </cell>
        </row>
        <row r="2660">
          <cell r="A2660" t="str">
            <v>PSS0877</v>
          </cell>
          <cell r="Y2660" t="str">
            <v>Operator</v>
          </cell>
        </row>
        <row r="2661">
          <cell r="A2661" t="str">
            <v>PEPPL0363</v>
          </cell>
          <cell r="Y2661" t="str">
            <v>Junior Technician</v>
          </cell>
        </row>
        <row r="2662">
          <cell r="A2662" t="str">
            <v>PEPPL0354</v>
          </cell>
          <cell r="Y2662" t="str">
            <v>Technician</v>
          </cell>
        </row>
        <row r="2663">
          <cell r="A2663" t="str">
            <v>PSS0522</v>
          </cell>
          <cell r="Y2663" t="str">
            <v>Admin</v>
          </cell>
        </row>
        <row r="2664">
          <cell r="A2664" t="str">
            <v>PEGEPL0117</v>
          </cell>
          <cell r="Y2664" t="str">
            <v>Associate Manager</v>
          </cell>
        </row>
        <row r="2665">
          <cell r="A2665" t="str">
            <v>PEIPL0518</v>
          </cell>
          <cell r="Y2665" t="str">
            <v>Fork Lift Driver</v>
          </cell>
        </row>
        <row r="2666">
          <cell r="A2666" t="str">
            <v>PSS0809</v>
          </cell>
          <cell r="Y2666" t="str">
            <v>Fork Lift Driver</v>
          </cell>
        </row>
        <row r="2667">
          <cell r="A2667" t="str">
            <v>PEPPL0331</v>
          </cell>
          <cell r="Y2667" t="str">
            <v>Junior Technician</v>
          </cell>
        </row>
        <row r="2668">
          <cell r="A2668" t="str">
            <v>P0383</v>
          </cell>
          <cell r="Y2668" t="str">
            <v>AssistantMagrBidMagm</v>
          </cell>
        </row>
        <row r="2669">
          <cell r="A2669" t="str">
            <v>PEIPL0476</v>
          </cell>
          <cell r="Y2669" t="str">
            <v>Associate Manager</v>
          </cell>
        </row>
        <row r="2670">
          <cell r="A2670" t="str">
            <v>P0227</v>
          </cell>
          <cell r="Y2670" t="str">
            <v>Helper</v>
          </cell>
        </row>
        <row r="2671">
          <cell r="A2671" t="str">
            <v>PSS0564</v>
          </cell>
          <cell r="Y2671" t="str">
            <v>Helper</v>
          </cell>
        </row>
        <row r="2672">
          <cell r="A2672" t="str">
            <v>PEPPL0534</v>
          </cell>
          <cell r="Y2672" t="str">
            <v>Senior Technician</v>
          </cell>
        </row>
        <row r="2673">
          <cell r="A2673" t="str">
            <v>PEGEPL0068</v>
          </cell>
          <cell r="Y2673" t="str">
            <v>Technician</v>
          </cell>
        </row>
        <row r="2674">
          <cell r="A2674" t="str">
            <v>PEPPL0159</v>
          </cell>
          <cell r="Y2674" t="str">
            <v>Fork Lift Driver</v>
          </cell>
        </row>
        <row r="2675">
          <cell r="A2675" t="str">
            <v>PEIPL0595</v>
          </cell>
          <cell r="Y2675" t="str">
            <v>Technician</v>
          </cell>
        </row>
        <row r="2676">
          <cell r="A2676" t="str">
            <v>PEPPL0133</v>
          </cell>
          <cell r="Y2676" t="str">
            <v>Vice President - Technical Operations</v>
          </cell>
        </row>
        <row r="2677">
          <cell r="A2677" t="str">
            <v>PEPPL0661</v>
          </cell>
          <cell r="Y2677" t="str">
            <v>Senior Manager - International Sales</v>
          </cell>
        </row>
        <row r="2678">
          <cell r="A2678" t="str">
            <v>PEIPL0804</v>
          </cell>
          <cell r="Y2678" t="str">
            <v>Engineer - Maintenance</v>
          </cell>
        </row>
        <row r="2679">
          <cell r="A2679" t="str">
            <v>PEIPL0344</v>
          </cell>
          <cell r="Y2679" t="str">
            <v>Graduate Engineer Trainee</v>
          </cell>
        </row>
        <row r="2680">
          <cell r="A2680" t="str">
            <v>PEIPL0345</v>
          </cell>
          <cell r="Y2680" t="str">
            <v>Graduate Engineer Trainee</v>
          </cell>
        </row>
        <row r="2681">
          <cell r="A2681" t="str">
            <v>PEIPL0355</v>
          </cell>
          <cell r="Y2681" t="str">
            <v>Graduate Engineer Trainee</v>
          </cell>
        </row>
        <row r="2682">
          <cell r="A2682" t="str">
            <v>PEPPL0053</v>
          </cell>
          <cell r="Y2682" t="str">
            <v>Engineer</v>
          </cell>
        </row>
        <row r="2683">
          <cell r="A2683" t="str">
            <v>PEIPL0525</v>
          </cell>
          <cell r="Y2683" t="str">
            <v>Graduate Engineer Trainee</v>
          </cell>
        </row>
        <row r="2684">
          <cell r="A2684" t="str">
            <v>PEGEPL0039</v>
          </cell>
          <cell r="Y2684" t="str">
            <v>Technician</v>
          </cell>
        </row>
        <row r="2685">
          <cell r="A2685" t="str">
            <v>PEPPL0738</v>
          </cell>
          <cell r="Y2685" t="str">
            <v>Area Manager - Channel Sales</v>
          </cell>
        </row>
        <row r="2686">
          <cell r="A2686" t="str">
            <v>PEIPL0105</v>
          </cell>
          <cell r="Y2686" t="str">
            <v>Senior Engineer</v>
          </cell>
        </row>
        <row r="2687">
          <cell r="A2687" t="str">
            <v>PSS1295</v>
          </cell>
          <cell r="Y2687" t="str">
            <v>Executive - MIS</v>
          </cell>
        </row>
        <row r="2688">
          <cell r="A2688" t="str">
            <v>PEIPL0118</v>
          </cell>
          <cell r="Y2688" t="str">
            <v>Assistant Engineer</v>
          </cell>
        </row>
        <row r="2689">
          <cell r="A2689" t="str">
            <v>PEIPL0092</v>
          </cell>
          <cell r="Y2689" t="str">
            <v>Engineer</v>
          </cell>
        </row>
        <row r="2690">
          <cell r="A2690" t="str">
            <v>PEPPL0520</v>
          </cell>
          <cell r="Y2690" t="str">
            <v>Senior Engineer</v>
          </cell>
        </row>
        <row r="2691">
          <cell r="A2691" t="str">
            <v>PEIPL0038</v>
          </cell>
          <cell r="Y2691" t="str">
            <v>Assistant Manager</v>
          </cell>
        </row>
        <row r="2692">
          <cell r="A2692" t="str">
            <v>P0442</v>
          </cell>
          <cell r="Y2692" t="str">
            <v>Supervisor</v>
          </cell>
        </row>
        <row r="2693">
          <cell r="A2693" t="str">
            <v>PEIPL0304</v>
          </cell>
          <cell r="Y2693" t="str">
            <v>Graduate Engineer Trainee</v>
          </cell>
        </row>
        <row r="2694">
          <cell r="A2694" t="str">
            <v>PEGEPL0093</v>
          </cell>
          <cell r="Y2694" t="str">
            <v>Deputy Engineer</v>
          </cell>
        </row>
        <row r="2695">
          <cell r="A2695" t="str">
            <v>PEIPL0727</v>
          </cell>
          <cell r="Y2695" t="str">
            <v>Engineer</v>
          </cell>
        </row>
        <row r="2696">
          <cell r="A2696" t="str">
            <v>PEIPL0153</v>
          </cell>
          <cell r="Y2696" t="str">
            <v>Engineer</v>
          </cell>
        </row>
        <row r="2697">
          <cell r="A2697" t="str">
            <v>PEIPL0450</v>
          </cell>
          <cell r="Y2697" t="str">
            <v>Senior Technician</v>
          </cell>
        </row>
        <row r="2698">
          <cell r="A2698" t="str">
            <v>PEIPL0254</v>
          </cell>
          <cell r="Y2698" t="str">
            <v>Junior Engineer - Design</v>
          </cell>
        </row>
        <row r="2699">
          <cell r="A2699" t="str">
            <v>P0168</v>
          </cell>
          <cell r="Y2699" t="str">
            <v>Executive</v>
          </cell>
        </row>
        <row r="2700">
          <cell r="A2700" t="str">
            <v>PEIPL0315</v>
          </cell>
          <cell r="Y2700" t="str">
            <v>Senior Engineer</v>
          </cell>
        </row>
        <row r="2701">
          <cell r="A2701" t="str">
            <v>PSS1395</v>
          </cell>
          <cell r="Y2701" t="str">
            <v>Site Engineer</v>
          </cell>
        </row>
        <row r="2702">
          <cell r="A2702" t="str">
            <v>PEIPL0085</v>
          </cell>
          <cell r="Y2702" t="str">
            <v>Engineer</v>
          </cell>
        </row>
        <row r="2703">
          <cell r="A2703" t="str">
            <v>PEIPL0246</v>
          </cell>
          <cell r="Y2703" t="str">
            <v>Junior Engineer</v>
          </cell>
        </row>
        <row r="2704">
          <cell r="A2704" t="str">
            <v>PSS1350</v>
          </cell>
          <cell r="Y2704" t="str">
            <v>Senior Executive - Logistics</v>
          </cell>
        </row>
        <row r="2705">
          <cell r="A2705" t="str">
            <v>PSS1399</v>
          </cell>
          <cell r="Y2705" t="str">
            <v>Senior Executive - Accounts</v>
          </cell>
        </row>
        <row r="2706">
          <cell r="A2706" t="str">
            <v>PEGEPL0128</v>
          </cell>
          <cell r="Y2706" t="str">
            <v>Engineer</v>
          </cell>
        </row>
        <row r="2707">
          <cell r="A2707" t="str">
            <v>PEPPL0428</v>
          </cell>
          <cell r="Y2707" t="str">
            <v>Junior Engineer</v>
          </cell>
        </row>
        <row r="2708">
          <cell r="A2708" t="str">
            <v>PEIPL0292</v>
          </cell>
          <cell r="Y2708" t="str">
            <v>Deputy Engineer</v>
          </cell>
        </row>
        <row r="2709">
          <cell r="A2709" t="str">
            <v>P0116</v>
          </cell>
          <cell r="Y2709" t="str">
            <v>Operator</v>
          </cell>
        </row>
        <row r="2710">
          <cell r="A2710" t="str">
            <v>P0440</v>
          </cell>
          <cell r="Y2710" t="str">
            <v>Supervisor</v>
          </cell>
        </row>
        <row r="2711">
          <cell r="A2711" t="str">
            <v>P0112</v>
          </cell>
          <cell r="Y2711" t="str">
            <v>Operator</v>
          </cell>
        </row>
        <row r="2712">
          <cell r="A2712" t="str">
            <v>PEPPL0152</v>
          </cell>
          <cell r="Y2712" t="str">
            <v>Vice President - Administration &amp; Safety</v>
          </cell>
        </row>
        <row r="2713">
          <cell r="A2713" t="str">
            <v>PEIPL0429</v>
          </cell>
          <cell r="Y2713" t="str">
            <v>Technician</v>
          </cell>
        </row>
        <row r="2714">
          <cell r="A2714" t="str">
            <v>PEPPL0198</v>
          </cell>
          <cell r="Y2714" t="str">
            <v>Fork Lift Driver</v>
          </cell>
        </row>
        <row r="2715">
          <cell r="A2715" t="str">
            <v>PEGEPL0043</v>
          </cell>
          <cell r="Y2715" t="str">
            <v>Assistant Manager</v>
          </cell>
        </row>
        <row r="2716">
          <cell r="A2716" t="str">
            <v>PEIPL0738</v>
          </cell>
          <cell r="Y2716" t="str">
            <v>Assistant Manager</v>
          </cell>
        </row>
        <row r="2717">
          <cell r="A2717" t="str">
            <v>PEPPL0054</v>
          </cell>
          <cell r="Y2717" t="str">
            <v>Senior Executive - Finance &amp; Accounts</v>
          </cell>
        </row>
        <row r="2718">
          <cell r="A2718" t="str">
            <v>PEPPL0189</v>
          </cell>
          <cell r="Y2718" t="str">
            <v>Technician</v>
          </cell>
        </row>
        <row r="2719">
          <cell r="A2719" t="str">
            <v>PEIPL0516</v>
          </cell>
          <cell r="Y2719" t="str">
            <v>Fork Lift Driver</v>
          </cell>
        </row>
        <row r="2720">
          <cell r="A2720" t="str">
            <v>PSS1232</v>
          </cell>
          <cell r="Y2720" t="str">
            <v>Fork Lift Driver</v>
          </cell>
        </row>
        <row r="2721">
          <cell r="A2721" t="str">
            <v>PEPPL0018</v>
          </cell>
          <cell r="Y2721" t="str">
            <v>Senior Manager - Human Resources</v>
          </cell>
        </row>
        <row r="2722">
          <cell r="A2722" t="str">
            <v>PEIPL0507</v>
          </cell>
          <cell r="Y2722" t="str">
            <v>Operator</v>
          </cell>
        </row>
        <row r="2723">
          <cell r="A2723" t="str">
            <v>PSS1120</v>
          </cell>
          <cell r="Y2723" t="str">
            <v>Fork Lift Driver</v>
          </cell>
        </row>
        <row r="2724">
          <cell r="A2724" t="str">
            <v>P0388</v>
          </cell>
          <cell r="Y2724" t="str">
            <v>Engineer</v>
          </cell>
        </row>
        <row r="2725">
          <cell r="A2725" t="str">
            <v>PEPPL0572</v>
          </cell>
          <cell r="Y2725" t="str">
            <v>Senior Technician</v>
          </cell>
        </row>
        <row r="2726">
          <cell r="A2726" t="str">
            <v>PEGEPL0102</v>
          </cell>
          <cell r="Y2726" t="str">
            <v>Technician</v>
          </cell>
        </row>
        <row r="2727">
          <cell r="A2727" t="str">
            <v>PSS1194</v>
          </cell>
          <cell r="Y2727" t="str">
            <v>Deputy Manager - Sales &amp; Business Development</v>
          </cell>
        </row>
        <row r="2728">
          <cell r="A2728" t="str">
            <v>PSS0137</v>
          </cell>
          <cell r="Y2728" t="str">
            <v>Manager</v>
          </cell>
        </row>
        <row r="2729">
          <cell r="A2729" t="str">
            <v>PSS1392</v>
          </cell>
          <cell r="Y2729" t="str">
            <v>Executive Assistant to Director</v>
          </cell>
        </row>
        <row r="2730">
          <cell r="A2730" t="str">
            <v>PEIPL0285</v>
          </cell>
          <cell r="Y2730" t="str">
            <v>Fork Lift Driver</v>
          </cell>
        </row>
        <row r="2731">
          <cell r="A2731" t="str">
            <v>PSS1404</v>
          </cell>
          <cell r="Y2731" t="str">
            <v>Consultant</v>
          </cell>
        </row>
        <row r="2732">
          <cell r="A2732" t="str">
            <v>PEPPL0124</v>
          </cell>
          <cell r="Y2732" t="str">
            <v>Manager - Production</v>
          </cell>
        </row>
        <row r="2733">
          <cell r="A2733" t="str">
            <v>PEPPL0282</v>
          </cell>
          <cell r="Y2733" t="str">
            <v>GEM - 2</v>
          </cell>
        </row>
        <row r="2734">
          <cell r="A2734" t="str">
            <v>PSS0042</v>
          </cell>
          <cell r="Y2734" t="str">
            <v>Driver</v>
          </cell>
        </row>
        <row r="2735">
          <cell r="A2735" t="str">
            <v>PSS0193</v>
          </cell>
          <cell r="Y2735" t="str">
            <v>Senior Executive - Accounts</v>
          </cell>
        </row>
        <row r="2736">
          <cell r="A2736" t="str">
            <v>PEIPL0555</v>
          </cell>
          <cell r="Y2736" t="str">
            <v>Manager - Logistics</v>
          </cell>
        </row>
        <row r="2737">
          <cell r="A2737" t="str">
            <v>PEIPL0483</v>
          </cell>
          <cell r="Y2737" t="str">
            <v>Deputy Manager - Stores</v>
          </cell>
        </row>
        <row r="2738">
          <cell r="A2738" t="str">
            <v>PSS1010</v>
          </cell>
          <cell r="Y2738" t="str">
            <v>Assistant Manager</v>
          </cell>
        </row>
        <row r="2739">
          <cell r="A2739" t="str">
            <v>PEPPL0415</v>
          </cell>
          <cell r="Y2739" t="str">
            <v>Senior Executive</v>
          </cell>
        </row>
        <row r="2740">
          <cell r="A2740" t="str">
            <v>PSS0469</v>
          </cell>
          <cell r="Y2740" t="str">
            <v>Vice President - Production</v>
          </cell>
        </row>
        <row r="2741">
          <cell r="A2741" t="str">
            <v>PEPPL0125</v>
          </cell>
          <cell r="Y2741" t="str">
            <v>Deputy General Manager - Safety</v>
          </cell>
        </row>
        <row r="2742">
          <cell r="A2742" t="str">
            <v>PEPPL0153</v>
          </cell>
          <cell r="Y2742" t="str">
            <v>Senior Engineer</v>
          </cell>
        </row>
        <row r="2743">
          <cell r="A2743" t="str">
            <v>PSS1003</v>
          </cell>
          <cell r="Y2743" t="str">
            <v>Fork Lift Driver</v>
          </cell>
        </row>
        <row r="2744">
          <cell r="A2744" t="str">
            <v>PEPPL0822</v>
          </cell>
          <cell r="Y2744" t="str">
            <v>Senior Engineer</v>
          </cell>
        </row>
        <row r="2745">
          <cell r="A2745" t="str">
            <v>PSS0659</v>
          </cell>
          <cell r="Y2745" t="str">
            <v>Director - Taxation</v>
          </cell>
        </row>
        <row r="2746">
          <cell r="A2746" t="str">
            <v>PEPPL0270</v>
          </cell>
          <cell r="Y2746" t="str">
            <v>Senior Technician</v>
          </cell>
        </row>
        <row r="2747">
          <cell r="A2747" t="str">
            <v>PEIPL0563</v>
          </cell>
          <cell r="Y2747" t="str">
            <v>Engineer</v>
          </cell>
        </row>
        <row r="2748">
          <cell r="A2748" t="str">
            <v>PEPPL0419</v>
          </cell>
          <cell r="Y2748" t="str">
            <v>Senior Engineer</v>
          </cell>
        </row>
        <row r="2749">
          <cell r="A2749" t="str">
            <v>PSS1114</v>
          </cell>
          <cell r="Y2749" t="str">
            <v>Assistant Manager - Accounts</v>
          </cell>
        </row>
        <row r="2750">
          <cell r="A2750" t="str">
            <v>PEIPL0583</v>
          </cell>
          <cell r="Y2750" t="str">
            <v>Senior Technician</v>
          </cell>
        </row>
        <row r="2751">
          <cell r="A2751" t="str">
            <v>PEGEPL0030</v>
          </cell>
          <cell r="Y2751" t="str">
            <v>Technician</v>
          </cell>
        </row>
        <row r="2752">
          <cell r="A2752" t="str">
            <v>PSS0972</v>
          </cell>
          <cell r="Y2752" t="str">
            <v>Helper</v>
          </cell>
        </row>
        <row r="2753">
          <cell r="A2753" t="str">
            <v>PEIPL0001</v>
          </cell>
          <cell r="Y2753" t="str">
            <v>Junior Technician</v>
          </cell>
        </row>
        <row r="2754">
          <cell r="A2754" t="str">
            <v>PEPPL0630</v>
          </cell>
          <cell r="Y2754" t="str">
            <v>Junior Technician</v>
          </cell>
        </row>
        <row r="2755">
          <cell r="A2755" t="str">
            <v>PEPPL0274</v>
          </cell>
          <cell r="Y2755" t="str">
            <v>GEM - 2</v>
          </cell>
        </row>
        <row r="2756">
          <cell r="A2756" t="str">
            <v>PEIPL0600</v>
          </cell>
          <cell r="Y2756" t="str">
            <v>Senior Technician</v>
          </cell>
        </row>
        <row r="2757">
          <cell r="A2757" t="str">
            <v>PSS0916</v>
          </cell>
          <cell r="Y2757" t="str">
            <v>Senior Technician</v>
          </cell>
        </row>
        <row r="2758">
          <cell r="A2758" t="str">
            <v>PEIPL0599</v>
          </cell>
          <cell r="Y2758" t="str">
            <v>Senior Technician</v>
          </cell>
        </row>
        <row r="2759">
          <cell r="A2759" t="str">
            <v>P0411</v>
          </cell>
          <cell r="Y2759" t="str">
            <v>Accounts Executive</v>
          </cell>
        </row>
        <row r="2760">
          <cell r="A2760" t="str">
            <v>PEGEPL0132</v>
          </cell>
          <cell r="Y2760" t="str">
            <v>Senior Engineer</v>
          </cell>
        </row>
        <row r="2761">
          <cell r="A2761" t="str">
            <v>PEPPL0221</v>
          </cell>
          <cell r="Y2761" t="str">
            <v>Technician</v>
          </cell>
        </row>
        <row r="2762">
          <cell r="A2762" t="str">
            <v>PEPPL0022</v>
          </cell>
          <cell r="Y2762" t="str">
            <v>Junior Officer - Administration</v>
          </cell>
        </row>
        <row r="2763">
          <cell r="A2763" t="str">
            <v>PEIPL0404</v>
          </cell>
          <cell r="Y2763" t="str">
            <v>Junior Engineer</v>
          </cell>
        </row>
        <row r="2764">
          <cell r="A2764" t="str">
            <v>P0446</v>
          </cell>
          <cell r="Y2764" t="str">
            <v>Supervisor</v>
          </cell>
        </row>
        <row r="2765">
          <cell r="A2765" t="str">
            <v>PEPPL0646</v>
          </cell>
          <cell r="Y2765" t="str">
            <v>Junior Technician</v>
          </cell>
        </row>
        <row r="2766">
          <cell r="A2766" t="str">
            <v>PEIPL0226</v>
          </cell>
          <cell r="Y2766" t="str">
            <v>Senior Technician</v>
          </cell>
        </row>
        <row r="2767">
          <cell r="A2767" t="str">
            <v>PSS0242</v>
          </cell>
          <cell r="Y2767" t="str">
            <v>Manager - Projects</v>
          </cell>
        </row>
        <row r="2768">
          <cell r="A2768" t="str">
            <v>PEPPL0636</v>
          </cell>
          <cell r="Y2768" t="str">
            <v>Engineer</v>
          </cell>
        </row>
        <row r="2769">
          <cell r="A2769" t="str">
            <v>P0444</v>
          </cell>
          <cell r="Y2769" t="str">
            <v>Engineer</v>
          </cell>
        </row>
        <row r="2770">
          <cell r="A2770" t="str">
            <v>PEIPL0399</v>
          </cell>
          <cell r="Y2770" t="str">
            <v>Assistant Manager</v>
          </cell>
        </row>
        <row r="2771">
          <cell r="A2771" t="str">
            <v>PEPPL0675</v>
          </cell>
          <cell r="Y2771" t="str">
            <v>Assistant Manager</v>
          </cell>
        </row>
        <row r="2772">
          <cell r="A2772" t="str">
            <v>PEPPL0834</v>
          </cell>
          <cell r="Y2772" t="str">
            <v>Junior Engineer</v>
          </cell>
        </row>
        <row r="2773">
          <cell r="A2773" t="str">
            <v>PEPPL0181</v>
          </cell>
          <cell r="Y2773" t="str">
            <v>Technician</v>
          </cell>
        </row>
        <row r="2774">
          <cell r="A2774" t="str">
            <v>PSS1367</v>
          </cell>
          <cell r="Y2774" t="str">
            <v>Driver</v>
          </cell>
        </row>
        <row r="2775">
          <cell r="A2775" t="str">
            <v>PSS0820</v>
          </cell>
          <cell r="Y2775" t="str">
            <v>Manager - Procurement</v>
          </cell>
        </row>
        <row r="2776">
          <cell r="A2776" t="str">
            <v>PSS1425</v>
          </cell>
          <cell r="Y2776" t="str">
            <v>Executive - Business Analytics</v>
          </cell>
        </row>
        <row r="2777">
          <cell r="A2777" t="str">
            <v>PEIPL0478</v>
          </cell>
          <cell r="Y2777" t="str">
            <v>Helper</v>
          </cell>
        </row>
        <row r="2778">
          <cell r="A2778" t="str">
            <v>PSS0477</v>
          </cell>
          <cell r="Y2778" t="str">
            <v>Senior Engineer</v>
          </cell>
        </row>
        <row r="2779">
          <cell r="A2779" t="str">
            <v>PEPPL0097</v>
          </cell>
          <cell r="Y2779" t="str">
            <v>Assistant Manager - Quality</v>
          </cell>
        </row>
        <row r="2780">
          <cell r="A2780" t="str">
            <v>PEPPL0452</v>
          </cell>
          <cell r="Y2780" t="str">
            <v>Senior Technician</v>
          </cell>
        </row>
        <row r="2781">
          <cell r="A2781" t="str">
            <v>BDPL0002</v>
          </cell>
          <cell r="Y2781" t="str">
            <v>Engineer</v>
          </cell>
        </row>
        <row r="2782">
          <cell r="A2782" t="str">
            <v>P0247</v>
          </cell>
          <cell r="Y2782" t="str">
            <v>Engineer</v>
          </cell>
        </row>
        <row r="2783">
          <cell r="A2783" t="str">
            <v>P0480</v>
          </cell>
          <cell r="Y2783" t="str">
            <v>Engineer</v>
          </cell>
        </row>
        <row r="2784">
          <cell r="A2784" t="str">
            <v>PSS0053</v>
          </cell>
          <cell r="Y2784" t="str">
            <v>Helper</v>
          </cell>
        </row>
        <row r="2785">
          <cell r="A2785" t="str">
            <v>PEPPL0329</v>
          </cell>
          <cell r="Y2785" t="str">
            <v>Senior Technician</v>
          </cell>
        </row>
        <row r="2786">
          <cell r="A2786" t="str">
            <v>PEIPL0005</v>
          </cell>
          <cell r="Y2786" t="str">
            <v>Senior Engineer</v>
          </cell>
        </row>
        <row r="2787">
          <cell r="A2787" t="str">
            <v>PEPPL0554</v>
          </cell>
          <cell r="Y2787" t="str">
            <v>Fork Lift Driver</v>
          </cell>
        </row>
        <row r="2788">
          <cell r="A2788" t="str">
            <v>PEIPL0686</v>
          </cell>
          <cell r="Y2788" t="str">
            <v>Senior Engineer - Maintenance</v>
          </cell>
        </row>
        <row r="2789">
          <cell r="A2789" t="str">
            <v>PEPPL0489</v>
          </cell>
          <cell r="Y2789" t="str">
            <v>Senior Technician</v>
          </cell>
        </row>
        <row r="2790">
          <cell r="A2790" t="str">
            <v>PEPPL0414</v>
          </cell>
          <cell r="Y2790" t="str">
            <v>Senior Technician</v>
          </cell>
        </row>
        <row r="2791">
          <cell r="A2791" t="str">
            <v>PEPPL0765</v>
          </cell>
          <cell r="Y2791" t="str">
            <v>Senior Executive</v>
          </cell>
        </row>
        <row r="2792">
          <cell r="A2792" t="str">
            <v>P0100</v>
          </cell>
          <cell r="Y2792" t="str">
            <v>Manager</v>
          </cell>
        </row>
        <row r="2793">
          <cell r="A2793" t="str">
            <v>PSS1268</v>
          </cell>
          <cell r="Y2793" t="str">
            <v>Deputy Manager - Finance &amp; Accounts</v>
          </cell>
        </row>
        <row r="2794">
          <cell r="A2794" t="str">
            <v>PEIPL0618</v>
          </cell>
          <cell r="Y2794" t="str">
            <v>Engineer</v>
          </cell>
        </row>
        <row r="2795">
          <cell r="A2795" t="str">
            <v>PSS0743</v>
          </cell>
          <cell r="Y2795" t="str">
            <v>Supervisor</v>
          </cell>
        </row>
        <row r="2796">
          <cell r="A2796" t="str">
            <v>PEPPL0473</v>
          </cell>
          <cell r="Y2796" t="str">
            <v>Engineer</v>
          </cell>
        </row>
        <row r="2797">
          <cell r="A2797" t="str">
            <v>PEIPL0251</v>
          </cell>
          <cell r="Y2797" t="str">
            <v>Technician</v>
          </cell>
        </row>
        <row r="2798">
          <cell r="A2798" t="str">
            <v>PEPPL0095</v>
          </cell>
          <cell r="Y2798" t="str">
            <v>Deputy Manager - Facility</v>
          </cell>
        </row>
        <row r="2799">
          <cell r="A2799" t="str">
            <v>PSS0097</v>
          </cell>
          <cell r="Y2799" t="str">
            <v>General Manager  Projects</v>
          </cell>
        </row>
        <row r="2800">
          <cell r="A2800" t="str">
            <v>PEIPL0522</v>
          </cell>
          <cell r="Y2800" t="str">
            <v>Assistant Manager - Process</v>
          </cell>
        </row>
        <row r="2801">
          <cell r="A2801" t="str">
            <v>PEGEPL0138</v>
          </cell>
          <cell r="Y2801" t="str">
            <v>Manager - Procurement</v>
          </cell>
        </row>
        <row r="2802">
          <cell r="A2802" t="str">
            <v>PSS1348</v>
          </cell>
          <cell r="Y2802" t="str">
            <v>Assistant Manager - Finance &amp; Accounts</v>
          </cell>
        </row>
        <row r="2803">
          <cell r="A2803" t="str">
            <v>PSS1331</v>
          </cell>
          <cell r="Y2803" t="str">
            <v>Helper</v>
          </cell>
        </row>
        <row r="2804">
          <cell r="A2804" t="str">
            <v>PSS0850</v>
          </cell>
          <cell r="Y2804" t="str">
            <v>Senior Executive - Tenders</v>
          </cell>
        </row>
        <row r="2805">
          <cell r="A2805" t="str">
            <v>PEIPL0612</v>
          </cell>
          <cell r="Y2805" t="str">
            <v>Engineer</v>
          </cell>
        </row>
        <row r="2806">
          <cell r="A2806" t="str">
            <v>PEGEPL0136</v>
          </cell>
          <cell r="Y2806" t="str">
            <v>Executive - Finance &amp; Accounts</v>
          </cell>
        </row>
        <row r="2807">
          <cell r="A2807" t="str">
            <v>P0240</v>
          </cell>
          <cell r="Y2807" t="str">
            <v>Engineer</v>
          </cell>
        </row>
        <row r="2808">
          <cell r="A2808" t="str">
            <v>PEPPL0034</v>
          </cell>
          <cell r="Y2808" t="str">
            <v>Senior Engineer</v>
          </cell>
        </row>
        <row r="2809">
          <cell r="A2809" t="str">
            <v>PEIPL0057</v>
          </cell>
          <cell r="Y2809" t="str">
            <v>Manager</v>
          </cell>
        </row>
        <row r="2810">
          <cell r="A2810" t="str">
            <v>PSS1378</v>
          </cell>
          <cell r="Y2810" t="str">
            <v>Assistant Manager - Procurement</v>
          </cell>
        </row>
        <row r="2811">
          <cell r="A2811" t="str">
            <v>P0127</v>
          </cell>
          <cell r="Y2811" t="str">
            <v>Operator</v>
          </cell>
        </row>
        <row r="2812">
          <cell r="A2812" t="str">
            <v>PEPPL0856</v>
          </cell>
          <cell r="Y2812" t="str">
            <v>Junior Maintenance Engineer</v>
          </cell>
        </row>
        <row r="2813">
          <cell r="A2813" t="str">
            <v>PEPPL0772</v>
          </cell>
          <cell r="Y2813" t="str">
            <v>Assistant Engineer</v>
          </cell>
        </row>
        <row r="2814">
          <cell r="A2814" t="str">
            <v>PSS1099</v>
          </cell>
          <cell r="Y2814" t="str">
            <v>Technician</v>
          </cell>
        </row>
        <row r="2815">
          <cell r="A2815" t="str">
            <v>PSS1323</v>
          </cell>
          <cell r="Y2815" t="str">
            <v>Technician</v>
          </cell>
        </row>
        <row r="2816">
          <cell r="A2816" t="str">
            <v>PEIPL0415</v>
          </cell>
          <cell r="Y2816" t="str">
            <v>Deputy Engineer</v>
          </cell>
        </row>
        <row r="2817">
          <cell r="A2817" t="str">
            <v>PEIPL0741</v>
          </cell>
          <cell r="Y2817" t="str">
            <v>Senior Engineer</v>
          </cell>
        </row>
        <row r="2818">
          <cell r="A2818" t="str">
            <v>PEIPL0168</v>
          </cell>
          <cell r="Y2818" t="str">
            <v>Executive Assistant</v>
          </cell>
        </row>
        <row r="2819">
          <cell r="A2819" t="str">
            <v>PEIPL0361</v>
          </cell>
          <cell r="Y2819" t="str">
            <v>Assistant Engineer</v>
          </cell>
        </row>
        <row r="2820">
          <cell r="A2820" t="str">
            <v>PEIPL0605</v>
          </cell>
          <cell r="Y2820" t="str">
            <v>Driver</v>
          </cell>
        </row>
        <row r="2821">
          <cell r="A2821" t="str">
            <v>PEIPL0411</v>
          </cell>
          <cell r="Y2821" t="str">
            <v>Senior Engineer</v>
          </cell>
        </row>
        <row r="2822">
          <cell r="A2822" t="str">
            <v>PEPPL0723</v>
          </cell>
          <cell r="Y2822" t="str">
            <v>Senior Engineer</v>
          </cell>
        </row>
        <row r="2823">
          <cell r="A2823" t="str">
            <v>PEPPL0235</v>
          </cell>
          <cell r="Y2823" t="str">
            <v>Senior Engineer</v>
          </cell>
        </row>
        <row r="2824">
          <cell r="A2824" t="str">
            <v>PSS1055</v>
          </cell>
          <cell r="Y2824" t="str">
            <v>Engineer</v>
          </cell>
        </row>
        <row r="2825">
          <cell r="A2825" t="str">
            <v>PEPPL0543</v>
          </cell>
          <cell r="Y2825" t="str">
            <v>Deputy Manager - Human Resources</v>
          </cell>
        </row>
        <row r="2826">
          <cell r="A2826" t="str">
            <v>P0361</v>
          </cell>
          <cell r="Y2826" t="str">
            <v>Helper</v>
          </cell>
        </row>
        <row r="2827">
          <cell r="A2827" t="str">
            <v>PEPPL0084</v>
          </cell>
          <cell r="Y2827" t="str">
            <v>Senior Engineer</v>
          </cell>
        </row>
        <row r="2828">
          <cell r="A2828" t="str">
            <v>PEPPL0542</v>
          </cell>
          <cell r="Y2828" t="str">
            <v>Deputy Manager - Maintenance</v>
          </cell>
        </row>
        <row r="2829">
          <cell r="A2829" t="str">
            <v>PEIPL0428</v>
          </cell>
          <cell r="Y2829" t="str">
            <v>Assistant Manager</v>
          </cell>
        </row>
        <row r="2830">
          <cell r="A2830" t="str">
            <v>PEPPL0088</v>
          </cell>
          <cell r="Y2830" t="str">
            <v>Engineer</v>
          </cell>
        </row>
        <row r="2831">
          <cell r="A2831" t="str">
            <v>PSS0657</v>
          </cell>
          <cell r="Y2831" t="str">
            <v>Supervisor</v>
          </cell>
        </row>
        <row r="2832">
          <cell r="A2832" t="str">
            <v>PSS0548</v>
          </cell>
          <cell r="Y2832" t="str">
            <v>Helper</v>
          </cell>
        </row>
        <row r="2833">
          <cell r="A2833" t="str">
            <v>PEPPL0725</v>
          </cell>
          <cell r="Y2833" t="str">
            <v>Junior Officer</v>
          </cell>
        </row>
        <row r="2834">
          <cell r="A2834" t="str">
            <v>PSS0293</v>
          </cell>
          <cell r="Y2834" t="str">
            <v>Assistant Manager</v>
          </cell>
        </row>
        <row r="2835">
          <cell r="A2835" t="str">
            <v>PEIPL0500</v>
          </cell>
          <cell r="Y2835" t="str">
            <v>Assistant Manager</v>
          </cell>
        </row>
        <row r="2836">
          <cell r="A2836" t="str">
            <v>PSS1282</v>
          </cell>
          <cell r="Y2836" t="str">
            <v>Executive Assistant to Director</v>
          </cell>
        </row>
        <row r="2837">
          <cell r="A2837" t="str">
            <v>PEIPL0607</v>
          </cell>
          <cell r="Y2837" t="str">
            <v>Senior Technician</v>
          </cell>
        </row>
        <row r="2838">
          <cell r="A2838" t="str">
            <v>PSS0036</v>
          </cell>
          <cell r="Y2838" t="str">
            <v>Helper</v>
          </cell>
        </row>
        <row r="2839">
          <cell r="A2839" t="str">
            <v>PEIPL0795</v>
          </cell>
          <cell r="Y2839" t="str">
            <v>Deputy Manager - Sales &amp; Operations</v>
          </cell>
        </row>
        <row r="2840">
          <cell r="A2840" t="str">
            <v>PSS0024</v>
          </cell>
          <cell r="Y2840" t="str">
            <v>Senior Executive - Accounts</v>
          </cell>
        </row>
        <row r="2841">
          <cell r="A2841" t="str">
            <v>PSS0231</v>
          </cell>
          <cell r="Y2841" t="str">
            <v>Senior Operator</v>
          </cell>
        </row>
        <row r="2842">
          <cell r="A2842" t="str">
            <v>PSS0255</v>
          </cell>
          <cell r="Y2842" t="str">
            <v>Senior Engineer</v>
          </cell>
        </row>
        <row r="2843">
          <cell r="A2843" t="str">
            <v>PEIPL0487</v>
          </cell>
          <cell r="Y2843" t="str">
            <v>Senior Engineer</v>
          </cell>
        </row>
        <row r="2844">
          <cell r="A2844" t="str">
            <v>PEIPL0751</v>
          </cell>
          <cell r="Y2844" t="str">
            <v>Consultant</v>
          </cell>
        </row>
        <row r="2845">
          <cell r="A2845" t="str">
            <v>PEPPL0407</v>
          </cell>
          <cell r="Y2845" t="str">
            <v>Senior Technician</v>
          </cell>
        </row>
        <row r="2846">
          <cell r="A2846" t="str">
            <v>PEPPL0483</v>
          </cell>
          <cell r="Y2846" t="str">
            <v>Senior Technician</v>
          </cell>
        </row>
        <row r="2847">
          <cell r="A2847" t="str">
            <v>PSS0608</v>
          </cell>
          <cell r="Y2847" t="str">
            <v>Sr. Engineer</v>
          </cell>
        </row>
        <row r="2848">
          <cell r="A2848" t="str">
            <v>PEPPL0591</v>
          </cell>
          <cell r="Y2848" t="str">
            <v>Senior Technician</v>
          </cell>
        </row>
        <row r="2849">
          <cell r="A2849" t="str">
            <v>PSS0524</v>
          </cell>
          <cell r="Y2849" t="str">
            <v>Engineer</v>
          </cell>
        </row>
        <row r="2850">
          <cell r="A2850" t="str">
            <v>PEIPL0688</v>
          </cell>
          <cell r="Y2850" t="str">
            <v>Senior Technician</v>
          </cell>
        </row>
        <row r="2851">
          <cell r="A2851" t="str">
            <v>PEPPL0042</v>
          </cell>
          <cell r="Y2851" t="str">
            <v>Manager - Facility</v>
          </cell>
        </row>
        <row r="2852">
          <cell r="A2852" t="str">
            <v>PEPPL0634</v>
          </cell>
          <cell r="Y2852" t="str">
            <v>Assistant Engineer</v>
          </cell>
        </row>
        <row r="2853">
          <cell r="A2853" t="str">
            <v>P0375</v>
          </cell>
          <cell r="Y2853" t="str">
            <v>Operator</v>
          </cell>
        </row>
        <row r="2854">
          <cell r="A2854" t="str">
            <v>PEPPL0821</v>
          </cell>
          <cell r="Y2854" t="str">
            <v>Deputy Manager</v>
          </cell>
        </row>
        <row r="2855">
          <cell r="A2855" t="str">
            <v>PEIPL0015</v>
          </cell>
          <cell r="Y2855" t="str">
            <v>Junior Technician</v>
          </cell>
        </row>
        <row r="2856">
          <cell r="A2856" t="str">
            <v>PEIPL0016</v>
          </cell>
          <cell r="Y2856" t="str">
            <v>Junior Technician</v>
          </cell>
        </row>
        <row r="2857">
          <cell r="A2857" t="str">
            <v>PEPPL0192</v>
          </cell>
          <cell r="Y2857" t="str">
            <v>Technician</v>
          </cell>
        </row>
        <row r="2858">
          <cell r="A2858" t="str">
            <v>P0426</v>
          </cell>
          <cell r="Y2858" t="str">
            <v>Helper</v>
          </cell>
        </row>
        <row r="2859">
          <cell r="A2859" t="str">
            <v>PSS1288</v>
          </cell>
          <cell r="Y2859" t="str">
            <v>Safety Officer</v>
          </cell>
        </row>
      </sheetData>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ly"/>
      <sheetName val="Filters"/>
    </sheetNames>
    <sheetDataSet>
      <sheetData sheetId="0">
        <row r="1">
          <cell r="A1" t="str">
            <v>Employee Code</v>
          </cell>
          <cell r="X1" t="str">
            <v>Yearly ctc</v>
          </cell>
        </row>
        <row r="2">
          <cell r="A2" t="str">
            <v>P0499</v>
          </cell>
          <cell r="X2">
            <v>176940</v>
          </cell>
        </row>
        <row r="3">
          <cell r="A3" t="str">
            <v>P0500</v>
          </cell>
          <cell r="X3">
            <v>233124</v>
          </cell>
        </row>
        <row r="4">
          <cell r="A4" t="str">
            <v>P0501</v>
          </cell>
          <cell r="X4">
            <v>345000</v>
          </cell>
        </row>
        <row r="5">
          <cell r="A5" t="str">
            <v>P0502</v>
          </cell>
          <cell r="X5">
            <v>172380</v>
          </cell>
        </row>
        <row r="6">
          <cell r="A6" t="str">
            <v>P0503</v>
          </cell>
          <cell r="X6">
            <v>345000</v>
          </cell>
        </row>
        <row r="7">
          <cell r="A7" t="str">
            <v>P0504</v>
          </cell>
          <cell r="X7">
            <v>404500</v>
          </cell>
        </row>
        <row r="8">
          <cell r="A8" t="str">
            <v>P0505</v>
          </cell>
          <cell r="X8">
            <v>169500</v>
          </cell>
        </row>
        <row r="9">
          <cell r="A9" t="str">
            <v>P0506</v>
          </cell>
          <cell r="X9">
            <v>405000</v>
          </cell>
        </row>
        <row r="10">
          <cell r="A10" t="str">
            <v>P0507</v>
          </cell>
          <cell r="X10">
            <v>288000</v>
          </cell>
        </row>
        <row r="11">
          <cell r="A11" t="str">
            <v>PEGEPL0014</v>
          </cell>
          <cell r="X11">
            <v>11</v>
          </cell>
        </row>
        <row r="12">
          <cell r="A12" t="str">
            <v>PEGEPL0016</v>
          </cell>
          <cell r="X12">
            <v>250376</v>
          </cell>
        </row>
        <row r="13">
          <cell r="A13" t="str">
            <v>PEGEPL0017</v>
          </cell>
          <cell r="X13">
            <v>250368</v>
          </cell>
        </row>
        <row r="14">
          <cell r="A14" t="str">
            <v>PEGEPL0020</v>
          </cell>
          <cell r="X14">
            <v>825000</v>
          </cell>
        </row>
        <row r="15">
          <cell r="A15" t="str">
            <v>PEGEPL0021</v>
          </cell>
          <cell r="X15">
            <v>11</v>
          </cell>
        </row>
        <row r="16">
          <cell r="A16" t="str">
            <v>PEGEPL0025</v>
          </cell>
          <cell r="X16">
            <v>202884</v>
          </cell>
        </row>
        <row r="17">
          <cell r="A17" t="str">
            <v>PEGEPL0027</v>
          </cell>
          <cell r="X17">
            <v>290000</v>
          </cell>
        </row>
        <row r="18">
          <cell r="A18" t="str">
            <v>PEGEPL0028</v>
          </cell>
          <cell r="X18">
            <v>250000</v>
          </cell>
        </row>
        <row r="19">
          <cell r="A19" t="str">
            <v>PEGEPL0029</v>
          </cell>
          <cell r="X19">
            <v>396005</v>
          </cell>
        </row>
        <row r="20">
          <cell r="A20" t="str">
            <v>PEGEPL0030</v>
          </cell>
          <cell r="X20">
            <v>306000</v>
          </cell>
        </row>
        <row r="21">
          <cell r="A21" t="str">
            <v>PEGEPL0031</v>
          </cell>
          <cell r="X21">
            <v>350000</v>
          </cell>
        </row>
        <row r="22">
          <cell r="A22" t="str">
            <v>PEGEPL0032</v>
          </cell>
          <cell r="X22">
            <v>330005</v>
          </cell>
        </row>
        <row r="23">
          <cell r="A23" t="str">
            <v>PEGEPL0033</v>
          </cell>
          <cell r="X23">
            <v>330000</v>
          </cell>
        </row>
        <row r="24">
          <cell r="A24" t="str">
            <v>PEGEPL0034</v>
          </cell>
          <cell r="X24">
            <v>320000</v>
          </cell>
        </row>
        <row r="25">
          <cell r="A25" t="str">
            <v>PEGEPL0035</v>
          </cell>
          <cell r="X25">
            <v>218930</v>
          </cell>
        </row>
        <row r="26">
          <cell r="A26" t="str">
            <v>PEGEPL0036</v>
          </cell>
          <cell r="X26">
            <v>221688</v>
          </cell>
        </row>
        <row r="27">
          <cell r="A27" t="str">
            <v>PEGEPL0037</v>
          </cell>
          <cell r="X27">
            <v>291850</v>
          </cell>
        </row>
        <row r="28">
          <cell r="A28" t="str">
            <v>PEGEPL0038</v>
          </cell>
          <cell r="X28">
            <v>296322</v>
          </cell>
        </row>
        <row r="29">
          <cell r="A29" t="str">
            <v>PEGEPL0039</v>
          </cell>
          <cell r="X29">
            <v>316700</v>
          </cell>
        </row>
        <row r="30">
          <cell r="A30" t="str">
            <v>PEGEPL0040</v>
          </cell>
          <cell r="X30">
            <v>300000</v>
          </cell>
        </row>
        <row r="31">
          <cell r="A31" t="str">
            <v>PEGEPL0041</v>
          </cell>
          <cell r="X31">
            <v>317000</v>
          </cell>
        </row>
        <row r="32">
          <cell r="A32" t="str">
            <v>PEGEPL0042</v>
          </cell>
          <cell r="X32">
            <v>360000</v>
          </cell>
        </row>
        <row r="33">
          <cell r="A33" t="str">
            <v>PEGEPL0043</v>
          </cell>
          <cell r="X33">
            <v>11</v>
          </cell>
        </row>
        <row r="34">
          <cell r="A34" t="str">
            <v>PEGEPL0044</v>
          </cell>
          <cell r="X34">
            <v>408000</v>
          </cell>
        </row>
        <row r="35">
          <cell r="A35" t="str">
            <v>PEGEPL0045</v>
          </cell>
          <cell r="X35">
            <v>420005</v>
          </cell>
        </row>
        <row r="36">
          <cell r="A36" t="str">
            <v>PEGEPL0046</v>
          </cell>
          <cell r="X36">
            <v>385000</v>
          </cell>
        </row>
        <row r="37">
          <cell r="A37" t="str">
            <v>PEGEPL0047</v>
          </cell>
          <cell r="X37">
            <v>421007</v>
          </cell>
        </row>
        <row r="38">
          <cell r="A38" t="str">
            <v>PEGEPL0048</v>
          </cell>
          <cell r="X38">
            <v>272272</v>
          </cell>
        </row>
        <row r="39">
          <cell r="A39" t="str">
            <v>PEGEPL0049</v>
          </cell>
          <cell r="X39">
            <v>290000</v>
          </cell>
        </row>
        <row r="40">
          <cell r="A40" t="str">
            <v>PEGEPL0050</v>
          </cell>
          <cell r="X40">
            <v>415005</v>
          </cell>
        </row>
        <row r="41">
          <cell r="A41" t="str">
            <v>PEGEPL0051</v>
          </cell>
          <cell r="X41">
            <v>363000</v>
          </cell>
        </row>
        <row r="42">
          <cell r="A42" t="str">
            <v>PEGEPL0052</v>
          </cell>
          <cell r="X42">
            <v>237916</v>
          </cell>
        </row>
        <row r="43">
          <cell r="A43" t="str">
            <v>PEGEPL0053</v>
          </cell>
          <cell r="X43">
            <v>211200</v>
          </cell>
        </row>
        <row r="44">
          <cell r="A44" t="str">
            <v>PEGEPL0054</v>
          </cell>
          <cell r="X44">
            <v>398000</v>
          </cell>
        </row>
        <row r="45">
          <cell r="A45" t="str">
            <v>PEGEPL0055</v>
          </cell>
          <cell r="X45">
            <v>279315</v>
          </cell>
        </row>
        <row r="46">
          <cell r="A46" t="str">
            <v>PEGEPL0056</v>
          </cell>
          <cell r="X46">
            <v>211200</v>
          </cell>
        </row>
        <row r="47">
          <cell r="A47" t="str">
            <v>PEGEPL0057</v>
          </cell>
          <cell r="X47">
            <v>433257</v>
          </cell>
        </row>
        <row r="48">
          <cell r="A48" t="str">
            <v>PEGEPL0058</v>
          </cell>
          <cell r="X48">
            <v>312000</v>
          </cell>
        </row>
        <row r="49">
          <cell r="A49" t="str">
            <v>PEGEPL0059</v>
          </cell>
          <cell r="X49">
            <v>366755</v>
          </cell>
        </row>
        <row r="50">
          <cell r="A50" t="str">
            <v>PEGEPL0060</v>
          </cell>
          <cell r="X50">
            <v>291850</v>
          </cell>
        </row>
        <row r="51">
          <cell r="A51" t="str">
            <v>PEGEPL0061</v>
          </cell>
          <cell r="X51">
            <v>350000</v>
          </cell>
        </row>
        <row r="52">
          <cell r="A52" t="str">
            <v>PEGEPL0062</v>
          </cell>
          <cell r="X52">
            <v>372000</v>
          </cell>
        </row>
        <row r="53">
          <cell r="A53" t="str">
            <v>PEGEPL0063</v>
          </cell>
          <cell r="X53">
            <v>275005</v>
          </cell>
        </row>
        <row r="54">
          <cell r="A54" t="str">
            <v>PEGEPL0064</v>
          </cell>
          <cell r="X54">
            <v>331000</v>
          </cell>
        </row>
        <row r="55">
          <cell r="A55" t="str">
            <v>PEGEPL0065</v>
          </cell>
          <cell r="X55">
            <v>481005</v>
          </cell>
        </row>
        <row r="56">
          <cell r="A56" t="str">
            <v>PEGEPL0066</v>
          </cell>
          <cell r="X56">
            <v>300000</v>
          </cell>
        </row>
        <row r="57">
          <cell r="A57" t="str">
            <v>PEGEPL0067</v>
          </cell>
          <cell r="X57">
            <v>316005</v>
          </cell>
        </row>
        <row r="58">
          <cell r="A58" t="str">
            <v>PEGEPL0068</v>
          </cell>
          <cell r="X58">
            <v>257017</v>
          </cell>
        </row>
        <row r="59">
          <cell r="A59" t="str">
            <v>PEGEPL0069</v>
          </cell>
          <cell r="X59">
            <v>292500</v>
          </cell>
        </row>
        <row r="60">
          <cell r="A60" t="str">
            <v>PEGEPL0070</v>
          </cell>
          <cell r="X60">
            <v>310005</v>
          </cell>
        </row>
        <row r="61">
          <cell r="A61" t="str">
            <v>PEGEPL0071</v>
          </cell>
          <cell r="X61">
            <v>390000</v>
          </cell>
        </row>
        <row r="62">
          <cell r="A62" t="str">
            <v>PEGEPL0072</v>
          </cell>
          <cell r="X62">
            <v>408657</v>
          </cell>
        </row>
        <row r="63">
          <cell r="A63" t="str">
            <v>PEGEPL0073</v>
          </cell>
          <cell r="X63">
            <v>470000</v>
          </cell>
        </row>
        <row r="64">
          <cell r="A64" t="str">
            <v>PEGEPL0074</v>
          </cell>
          <cell r="X64">
            <v>340005</v>
          </cell>
        </row>
        <row r="65">
          <cell r="A65" t="str">
            <v>PEGEPL0075</v>
          </cell>
          <cell r="X65">
            <v>254005</v>
          </cell>
        </row>
        <row r="66">
          <cell r="A66" t="str">
            <v>PEGEPL0076</v>
          </cell>
          <cell r="X66">
            <v>350000</v>
          </cell>
        </row>
        <row r="67">
          <cell r="A67" t="str">
            <v>PEGEPL0077</v>
          </cell>
          <cell r="X67">
            <v>323700</v>
          </cell>
        </row>
        <row r="68">
          <cell r="A68" t="str">
            <v>PEGEPL0078</v>
          </cell>
          <cell r="X68">
            <v>460005</v>
          </cell>
        </row>
        <row r="69">
          <cell r="A69" t="str">
            <v>PEGEPL0079</v>
          </cell>
          <cell r="X69">
            <v>302400</v>
          </cell>
        </row>
        <row r="70">
          <cell r="A70" t="str">
            <v>PEGEPL0080</v>
          </cell>
          <cell r="X70">
            <v>380000</v>
          </cell>
        </row>
        <row r="71">
          <cell r="A71" t="str">
            <v>PEGEPL0081</v>
          </cell>
          <cell r="X71">
            <v>352750</v>
          </cell>
        </row>
        <row r="72">
          <cell r="A72" t="str">
            <v>PEGEPL0082</v>
          </cell>
          <cell r="X72">
            <v>305000</v>
          </cell>
        </row>
        <row r="73">
          <cell r="A73" t="str">
            <v>PEGEPL0083</v>
          </cell>
          <cell r="X73">
            <v>480000</v>
          </cell>
        </row>
        <row r="74">
          <cell r="A74" t="str">
            <v>PEGEPL0084</v>
          </cell>
          <cell r="X74">
            <v>336000</v>
          </cell>
        </row>
        <row r="75">
          <cell r="A75" t="str">
            <v>PEGEPL0085</v>
          </cell>
          <cell r="X75">
            <v>322500</v>
          </cell>
        </row>
        <row r="76">
          <cell r="A76" t="str">
            <v>PEGEPL0086</v>
          </cell>
          <cell r="X76">
            <v>310005</v>
          </cell>
        </row>
        <row r="77">
          <cell r="A77" t="str">
            <v>PEGEPL0087</v>
          </cell>
          <cell r="X77">
            <v>407148</v>
          </cell>
        </row>
        <row r="78">
          <cell r="A78" t="str">
            <v>PEGEPL0088</v>
          </cell>
          <cell r="X78">
            <v>352005</v>
          </cell>
        </row>
        <row r="79">
          <cell r="A79" t="str">
            <v>PEGEPL0089</v>
          </cell>
          <cell r="X79">
            <v>877511</v>
          </cell>
        </row>
        <row r="80">
          <cell r="A80" t="str">
            <v>PEGEPL0090</v>
          </cell>
          <cell r="X80">
            <v>398400</v>
          </cell>
        </row>
        <row r="81">
          <cell r="A81" t="str">
            <v>PEGEPL0091</v>
          </cell>
          <cell r="X81">
            <v>440000</v>
          </cell>
        </row>
        <row r="82">
          <cell r="A82" t="str">
            <v>PEGEPL0092</v>
          </cell>
          <cell r="X82">
            <v>1630000</v>
          </cell>
        </row>
        <row r="83">
          <cell r="A83" t="str">
            <v>PEGEPL0093</v>
          </cell>
          <cell r="X83">
            <v>295005</v>
          </cell>
        </row>
        <row r="84">
          <cell r="A84" t="str">
            <v>PEGEPL0094</v>
          </cell>
          <cell r="X84">
            <v>350000</v>
          </cell>
        </row>
        <row r="85">
          <cell r="A85" t="str">
            <v>PEGEPL0095</v>
          </cell>
          <cell r="X85">
            <v>384000</v>
          </cell>
        </row>
        <row r="86">
          <cell r="A86" t="str">
            <v>PEGEPL0096</v>
          </cell>
          <cell r="X86">
            <v>535000</v>
          </cell>
        </row>
        <row r="87">
          <cell r="A87" t="str">
            <v>PEGEPL0097</v>
          </cell>
          <cell r="X87">
            <v>560005</v>
          </cell>
        </row>
        <row r="88">
          <cell r="A88" t="str">
            <v>PEGEPL0098</v>
          </cell>
          <cell r="X88">
            <v>377900</v>
          </cell>
        </row>
        <row r="89">
          <cell r="A89" t="str">
            <v>PEGEPL0099</v>
          </cell>
          <cell r="X89">
            <v>340005</v>
          </cell>
        </row>
        <row r="90">
          <cell r="A90" t="str">
            <v>PEGEPL0100</v>
          </cell>
          <cell r="X90">
            <v>1245000</v>
          </cell>
        </row>
        <row r="91">
          <cell r="A91" t="str">
            <v>PEGEPL0101</v>
          </cell>
          <cell r="X91">
            <v>324000</v>
          </cell>
        </row>
        <row r="92">
          <cell r="A92" t="str">
            <v>PEGEPL0102</v>
          </cell>
          <cell r="X92">
            <v>336000</v>
          </cell>
        </row>
        <row r="93">
          <cell r="A93" t="str">
            <v>PEGEPL0103</v>
          </cell>
          <cell r="X93">
            <v>350000</v>
          </cell>
        </row>
        <row r="94">
          <cell r="A94" t="str">
            <v>PEGEPL0104</v>
          </cell>
          <cell r="X94">
            <v>243495</v>
          </cell>
        </row>
        <row r="95">
          <cell r="A95" t="str">
            <v>PEGEPL0105</v>
          </cell>
          <cell r="X95">
            <v>292500</v>
          </cell>
        </row>
        <row r="96">
          <cell r="A96" t="str">
            <v>PEGEPL0106</v>
          </cell>
          <cell r="X96">
            <v>326405</v>
          </cell>
        </row>
        <row r="97">
          <cell r="A97" t="str">
            <v>PEGEPL0107</v>
          </cell>
          <cell r="X97">
            <v>417600</v>
          </cell>
        </row>
        <row r="98">
          <cell r="A98" t="str">
            <v>PEGEPL0108</v>
          </cell>
          <cell r="X98">
            <v>221688</v>
          </cell>
        </row>
        <row r="99">
          <cell r="A99" t="str">
            <v>PEGEPL0109</v>
          </cell>
          <cell r="X99">
            <v>372000</v>
          </cell>
        </row>
        <row r="100">
          <cell r="A100" t="str">
            <v>PEGEPL0110</v>
          </cell>
          <cell r="X100">
            <v>243495</v>
          </cell>
        </row>
        <row r="101">
          <cell r="A101" t="str">
            <v>PEGEPL0111</v>
          </cell>
          <cell r="X101">
            <v>221688</v>
          </cell>
        </row>
        <row r="102">
          <cell r="A102" t="str">
            <v>PEGEPL0112</v>
          </cell>
          <cell r="X102">
            <v>342005</v>
          </cell>
        </row>
        <row r="103">
          <cell r="A103" t="str">
            <v>PEGEPL0113</v>
          </cell>
          <cell r="X103">
            <v>348000</v>
          </cell>
        </row>
        <row r="104">
          <cell r="A104" t="str">
            <v>PEGEPL0114</v>
          </cell>
          <cell r="X104">
            <v>433500</v>
          </cell>
        </row>
        <row r="105">
          <cell r="A105" t="str">
            <v>PEGEPL0115</v>
          </cell>
          <cell r="X105">
            <v>258000</v>
          </cell>
        </row>
        <row r="106">
          <cell r="A106" t="str">
            <v>PEGEPL0116</v>
          </cell>
          <cell r="X106">
            <v>792000</v>
          </cell>
        </row>
        <row r="107">
          <cell r="A107" t="str">
            <v>PEGEPL0117</v>
          </cell>
          <cell r="X107">
            <v>1200005</v>
          </cell>
        </row>
        <row r="108">
          <cell r="A108" t="str">
            <v>PEGEPL0118</v>
          </cell>
          <cell r="X108">
            <v>487019</v>
          </cell>
        </row>
        <row r="109">
          <cell r="A109" t="str">
            <v>PEGEPL0119</v>
          </cell>
          <cell r="X109">
            <v>675007</v>
          </cell>
        </row>
        <row r="110">
          <cell r="A110" t="str">
            <v>PEGEPL0120</v>
          </cell>
          <cell r="X110">
            <v>1147776</v>
          </cell>
        </row>
        <row r="111">
          <cell r="A111" t="str">
            <v>PEGEPL0121</v>
          </cell>
          <cell r="X111">
            <v>530005</v>
          </cell>
        </row>
        <row r="112">
          <cell r="A112" t="str">
            <v>PEGEPL0122</v>
          </cell>
          <cell r="X112">
            <v>480000</v>
          </cell>
        </row>
        <row r="113">
          <cell r="A113" t="str">
            <v>PEGEPL0123</v>
          </cell>
          <cell r="X113">
            <v>295525</v>
          </cell>
        </row>
        <row r="114">
          <cell r="A114" t="str">
            <v>PEGEPL0124</v>
          </cell>
          <cell r="X114">
            <v>243495</v>
          </cell>
        </row>
        <row r="115">
          <cell r="A115" t="str">
            <v>PEGEPL0126</v>
          </cell>
          <cell r="X115">
            <v>336000</v>
          </cell>
        </row>
        <row r="116">
          <cell r="A116" t="str">
            <v>PEGEPL0127</v>
          </cell>
          <cell r="X116">
            <v>320040</v>
          </cell>
        </row>
        <row r="117">
          <cell r="A117" t="str">
            <v>PEGEPL0128</v>
          </cell>
          <cell r="X117">
            <v>360000</v>
          </cell>
        </row>
        <row r="118">
          <cell r="A118" t="str">
            <v>PEGEPL0130</v>
          </cell>
          <cell r="X118">
            <v>281197</v>
          </cell>
        </row>
        <row r="119">
          <cell r="A119" t="str">
            <v>PEIPL0679</v>
          </cell>
          <cell r="X119">
            <v>649521</v>
          </cell>
        </row>
        <row r="120">
          <cell r="A120" t="str">
            <v>PEIPL0680</v>
          </cell>
          <cell r="X120">
            <v>361000</v>
          </cell>
        </row>
        <row r="121">
          <cell r="A121" t="str">
            <v>PEIPL0681</v>
          </cell>
          <cell r="X121">
            <v>259505</v>
          </cell>
        </row>
        <row r="122">
          <cell r="A122" t="str">
            <v>PEIPL0682</v>
          </cell>
          <cell r="X122">
            <v>299010</v>
          </cell>
        </row>
        <row r="123">
          <cell r="A123" t="str">
            <v>PEIPL0683</v>
          </cell>
          <cell r="X123">
            <v>280000</v>
          </cell>
        </row>
        <row r="124">
          <cell r="A124" t="str">
            <v>PEIPL0684</v>
          </cell>
          <cell r="X124">
            <v>260020</v>
          </cell>
        </row>
        <row r="125">
          <cell r="A125" t="str">
            <v>PEIPL0685</v>
          </cell>
          <cell r="X125">
            <v>237916</v>
          </cell>
        </row>
        <row r="126">
          <cell r="A126" t="str">
            <v>PEIPL0686</v>
          </cell>
          <cell r="X126">
            <v>500000</v>
          </cell>
        </row>
        <row r="127">
          <cell r="A127" t="str">
            <v>PEIPL0695</v>
          </cell>
          <cell r="X127">
            <v>11</v>
          </cell>
        </row>
        <row r="128">
          <cell r="A128" t="str">
            <v>PEIPL0697</v>
          </cell>
          <cell r="X128">
            <v>363005</v>
          </cell>
        </row>
        <row r="129">
          <cell r="A129" t="str">
            <v>PEIPL0698</v>
          </cell>
          <cell r="X129">
            <v>320000</v>
          </cell>
        </row>
        <row r="130">
          <cell r="A130" t="str">
            <v>PEIPL0699</v>
          </cell>
          <cell r="X130">
            <v>320000</v>
          </cell>
        </row>
        <row r="131">
          <cell r="A131" t="str">
            <v>PEIPL0700</v>
          </cell>
          <cell r="X131">
            <v>466005</v>
          </cell>
        </row>
        <row r="132">
          <cell r="A132" t="str">
            <v>PEIPL0701</v>
          </cell>
          <cell r="X132">
            <v>230005</v>
          </cell>
        </row>
        <row r="133">
          <cell r="A133" t="str">
            <v>PEIPL0705</v>
          </cell>
          <cell r="X133">
            <v>3250000</v>
          </cell>
        </row>
        <row r="134">
          <cell r="A134" t="str">
            <v>PEIPL0707</v>
          </cell>
          <cell r="X134">
            <v>2800005</v>
          </cell>
        </row>
        <row r="135">
          <cell r="A135" t="str">
            <v>PEIPL0709</v>
          </cell>
          <cell r="X135">
            <v>479000</v>
          </cell>
        </row>
        <row r="136">
          <cell r="A136" t="str">
            <v>PEIPL0711</v>
          </cell>
          <cell r="X136">
            <v>324800</v>
          </cell>
        </row>
        <row r="137">
          <cell r="A137" t="str">
            <v>PEIPL0712</v>
          </cell>
          <cell r="X137">
            <v>812600</v>
          </cell>
        </row>
        <row r="138">
          <cell r="A138" t="str">
            <v>PEIPL0713</v>
          </cell>
          <cell r="X138">
            <v>298908</v>
          </cell>
        </row>
        <row r="139">
          <cell r="A139" t="str">
            <v>PEIPL0714</v>
          </cell>
          <cell r="X139">
            <v>323010</v>
          </cell>
        </row>
        <row r="140">
          <cell r="A140" t="str">
            <v>PEIPL0715</v>
          </cell>
          <cell r="X140">
            <v>403505</v>
          </cell>
        </row>
        <row r="141">
          <cell r="A141" t="str">
            <v>PEIPL0716</v>
          </cell>
          <cell r="X141">
            <v>1000005</v>
          </cell>
        </row>
        <row r="142">
          <cell r="A142" t="str">
            <v>PEIPL0717</v>
          </cell>
          <cell r="X142">
            <v>479165</v>
          </cell>
        </row>
        <row r="143">
          <cell r="A143" t="str">
            <v>PEIPL0718</v>
          </cell>
          <cell r="X143">
            <v>390000</v>
          </cell>
        </row>
        <row r="144">
          <cell r="A144" t="str">
            <v>PEIPL0719</v>
          </cell>
          <cell r="X144">
            <v>266664</v>
          </cell>
        </row>
        <row r="145">
          <cell r="A145" t="str">
            <v>PEIPL0720</v>
          </cell>
          <cell r="X145">
            <v>262000</v>
          </cell>
        </row>
        <row r="146">
          <cell r="A146" t="str">
            <v>PEIPL0721</v>
          </cell>
          <cell r="X146">
            <v>11</v>
          </cell>
        </row>
        <row r="147">
          <cell r="A147" t="str">
            <v>PEIPL0722</v>
          </cell>
          <cell r="X147">
            <v>233340</v>
          </cell>
        </row>
        <row r="148">
          <cell r="A148" t="str">
            <v>PEIPL0723</v>
          </cell>
          <cell r="X148">
            <v>357500</v>
          </cell>
        </row>
        <row r="149">
          <cell r="A149" t="str">
            <v>PEIPL0724</v>
          </cell>
          <cell r="X149">
            <v>233340</v>
          </cell>
        </row>
        <row r="150">
          <cell r="A150" t="str">
            <v>PEIPL0725</v>
          </cell>
          <cell r="X150">
            <v>266005</v>
          </cell>
        </row>
        <row r="151">
          <cell r="A151" t="str">
            <v>PEIPL0726</v>
          </cell>
          <cell r="X151">
            <v>290000</v>
          </cell>
        </row>
        <row r="152">
          <cell r="A152" t="str">
            <v>PEIPL0727</v>
          </cell>
          <cell r="X152">
            <v>400005</v>
          </cell>
        </row>
        <row r="153">
          <cell r="A153" t="str">
            <v>PEIPL0728</v>
          </cell>
          <cell r="X153">
            <v>390005</v>
          </cell>
        </row>
        <row r="154">
          <cell r="A154" t="str">
            <v>PEIPL0729</v>
          </cell>
          <cell r="X154">
            <v>270795</v>
          </cell>
        </row>
        <row r="155">
          <cell r="A155" t="str">
            <v>PEIPL0730</v>
          </cell>
          <cell r="X155">
            <v>243489</v>
          </cell>
        </row>
        <row r="156">
          <cell r="A156" t="str">
            <v>PEIPL0731</v>
          </cell>
          <cell r="X156">
            <v>420000</v>
          </cell>
        </row>
        <row r="157">
          <cell r="A157" t="str">
            <v>PEIPL0732</v>
          </cell>
          <cell r="X157">
            <v>720000</v>
          </cell>
        </row>
        <row r="158">
          <cell r="A158" t="str">
            <v>PEIPL0733</v>
          </cell>
          <cell r="X158">
            <v>337410</v>
          </cell>
        </row>
        <row r="159">
          <cell r="A159" t="str">
            <v>PEIPL0734</v>
          </cell>
          <cell r="X159">
            <v>518100</v>
          </cell>
        </row>
        <row r="160">
          <cell r="A160" t="str">
            <v>PEIPL0735</v>
          </cell>
          <cell r="X160">
            <v>336005</v>
          </cell>
        </row>
        <row r="161">
          <cell r="A161" t="str">
            <v>PEIPL0736</v>
          </cell>
          <cell r="X161">
            <v>360000</v>
          </cell>
        </row>
        <row r="162">
          <cell r="A162" t="str">
            <v>PEIPL0737</v>
          </cell>
          <cell r="X162">
            <v>545000</v>
          </cell>
        </row>
        <row r="163">
          <cell r="A163" t="str">
            <v>PEIPL0738</v>
          </cell>
          <cell r="X163">
            <v>792000</v>
          </cell>
        </row>
        <row r="164">
          <cell r="A164" t="str">
            <v>PEIPL0739</v>
          </cell>
          <cell r="X164">
            <v>610000</v>
          </cell>
        </row>
        <row r="165">
          <cell r="A165" t="str">
            <v>PEIPL0740</v>
          </cell>
          <cell r="X165">
            <v>259505</v>
          </cell>
        </row>
        <row r="166">
          <cell r="A166" t="str">
            <v>PEIPL0741</v>
          </cell>
          <cell r="X166">
            <v>598007</v>
          </cell>
        </row>
        <row r="167">
          <cell r="A167" t="str">
            <v>PEIPL0742</v>
          </cell>
          <cell r="X167">
            <v>330000</v>
          </cell>
        </row>
        <row r="168">
          <cell r="A168" t="str">
            <v>PEIPL0743</v>
          </cell>
          <cell r="X168">
            <v>288000</v>
          </cell>
        </row>
        <row r="169">
          <cell r="A169" t="str">
            <v>PEIPL0744</v>
          </cell>
          <cell r="X169">
            <v>320400</v>
          </cell>
        </row>
        <row r="170">
          <cell r="A170" t="str">
            <v>PEIPL0745</v>
          </cell>
          <cell r="X170">
            <v>324000</v>
          </cell>
        </row>
        <row r="171">
          <cell r="A171" t="str">
            <v>PEIPL0746</v>
          </cell>
          <cell r="X171">
            <v>403832</v>
          </cell>
        </row>
        <row r="172">
          <cell r="A172" t="str">
            <v>PEIPL0747</v>
          </cell>
          <cell r="X172">
            <v>243495</v>
          </cell>
        </row>
        <row r="173">
          <cell r="A173" t="str">
            <v>PEIPL0748</v>
          </cell>
          <cell r="X173">
            <v>306000</v>
          </cell>
        </row>
        <row r="174">
          <cell r="A174" t="str">
            <v>PEIPL0749</v>
          </cell>
          <cell r="X174">
            <v>480000</v>
          </cell>
        </row>
        <row r="175">
          <cell r="A175" t="str">
            <v>PEIPL0750</v>
          </cell>
          <cell r="X175">
            <v>348000</v>
          </cell>
        </row>
        <row r="176">
          <cell r="A176" t="str">
            <v>PEIPL0751</v>
          </cell>
          <cell r="X176">
            <v>11</v>
          </cell>
        </row>
        <row r="177">
          <cell r="A177" t="str">
            <v>PEIPL0752</v>
          </cell>
          <cell r="X177">
            <v>482590</v>
          </cell>
        </row>
        <row r="178">
          <cell r="A178" t="str">
            <v>PEIPL0753</v>
          </cell>
          <cell r="X178">
            <v>221688</v>
          </cell>
        </row>
        <row r="179">
          <cell r="A179" t="str">
            <v>PEIPL0754</v>
          </cell>
          <cell r="X179">
            <v>221688</v>
          </cell>
        </row>
        <row r="180">
          <cell r="A180" t="str">
            <v>PEIPL0755</v>
          </cell>
          <cell r="X180">
            <v>675000</v>
          </cell>
        </row>
        <row r="181">
          <cell r="A181" t="str">
            <v>PEIPL0756</v>
          </cell>
          <cell r="X181">
            <v>221688</v>
          </cell>
        </row>
        <row r="182">
          <cell r="A182" t="str">
            <v>PEIPL0757</v>
          </cell>
          <cell r="X182">
            <v>360000</v>
          </cell>
        </row>
        <row r="183">
          <cell r="A183" t="str">
            <v>PEIPL0758</v>
          </cell>
          <cell r="X183">
            <v>288000</v>
          </cell>
        </row>
        <row r="184">
          <cell r="A184" t="str">
            <v>PEIPL0759</v>
          </cell>
          <cell r="X184">
            <v>338159</v>
          </cell>
        </row>
        <row r="185">
          <cell r="A185" t="str">
            <v>PEIPL0760</v>
          </cell>
          <cell r="X185">
            <v>318000</v>
          </cell>
        </row>
        <row r="186">
          <cell r="A186" t="str">
            <v>PEIPL0761</v>
          </cell>
          <cell r="X186">
            <v>412005</v>
          </cell>
        </row>
        <row r="187">
          <cell r="A187" t="str">
            <v>PEIPL0762</v>
          </cell>
          <cell r="X187">
            <v>294380</v>
          </cell>
        </row>
        <row r="188">
          <cell r="A188" t="str">
            <v>PEIPL0763</v>
          </cell>
          <cell r="X188">
            <v>277074</v>
          </cell>
        </row>
        <row r="189">
          <cell r="A189" t="str">
            <v>PEIPL0764</v>
          </cell>
          <cell r="X189">
            <v>550007</v>
          </cell>
        </row>
        <row r="190">
          <cell r="A190" t="str">
            <v>PEIPL0765</v>
          </cell>
          <cell r="X190">
            <v>437400</v>
          </cell>
        </row>
        <row r="191">
          <cell r="A191" t="str">
            <v>PEIPL0766</v>
          </cell>
          <cell r="X191">
            <v>360000</v>
          </cell>
        </row>
        <row r="192">
          <cell r="A192" t="str">
            <v>PEIPL0767</v>
          </cell>
          <cell r="X192">
            <v>360000</v>
          </cell>
        </row>
        <row r="193">
          <cell r="A193" t="str">
            <v>PEIPL0768</v>
          </cell>
          <cell r="X193">
            <v>298285</v>
          </cell>
        </row>
        <row r="194">
          <cell r="A194" t="str">
            <v>PEIPL0769</v>
          </cell>
          <cell r="X194">
            <v>300000</v>
          </cell>
        </row>
        <row r="195">
          <cell r="A195" t="str">
            <v>PEIPL0770</v>
          </cell>
          <cell r="X195">
            <v>11</v>
          </cell>
        </row>
        <row r="196">
          <cell r="A196" t="str">
            <v>PEIPL0771</v>
          </cell>
          <cell r="X196">
            <v>247104</v>
          </cell>
        </row>
        <row r="197">
          <cell r="A197" t="str">
            <v>PEIPL0772</v>
          </cell>
          <cell r="X197">
            <v>11</v>
          </cell>
        </row>
        <row r="198">
          <cell r="A198" t="str">
            <v>PEIPL0773</v>
          </cell>
          <cell r="X198">
            <v>532800</v>
          </cell>
        </row>
        <row r="199">
          <cell r="A199" t="str">
            <v>PEIPL0774</v>
          </cell>
          <cell r="X199">
            <v>300000</v>
          </cell>
        </row>
        <row r="200">
          <cell r="A200" t="str">
            <v>PEIPL0775</v>
          </cell>
          <cell r="X200">
            <v>327421</v>
          </cell>
        </row>
        <row r="201">
          <cell r="A201" t="str">
            <v>PEIPL0776</v>
          </cell>
          <cell r="X201">
            <v>249600</v>
          </cell>
        </row>
        <row r="202">
          <cell r="A202" t="str">
            <v>PEIPL0777</v>
          </cell>
          <cell r="X202">
            <v>408900</v>
          </cell>
        </row>
        <row r="203">
          <cell r="A203" t="str">
            <v>PEIPL0778</v>
          </cell>
          <cell r="X203">
            <v>925000</v>
          </cell>
        </row>
        <row r="204">
          <cell r="A204" t="str">
            <v>PEIPL0779</v>
          </cell>
          <cell r="X204">
            <v>221688</v>
          </cell>
        </row>
        <row r="205">
          <cell r="A205" t="str">
            <v>PEIPL0780</v>
          </cell>
          <cell r="X205">
            <v>350000</v>
          </cell>
        </row>
        <row r="206">
          <cell r="A206" t="str">
            <v>PEIPL0781</v>
          </cell>
          <cell r="X206">
            <v>432000</v>
          </cell>
        </row>
        <row r="207">
          <cell r="A207" t="str">
            <v>PEIPL0782</v>
          </cell>
          <cell r="X207">
            <v>249216</v>
          </cell>
        </row>
        <row r="208">
          <cell r="A208" t="str">
            <v>PEIPL0783</v>
          </cell>
          <cell r="X208">
            <v>300000</v>
          </cell>
        </row>
        <row r="209">
          <cell r="A209" t="str">
            <v>PEIPL0784</v>
          </cell>
          <cell r="X209">
            <v>285324</v>
          </cell>
        </row>
        <row r="210">
          <cell r="A210" t="str">
            <v>PEIPL0785</v>
          </cell>
          <cell r="X210">
            <v>301127</v>
          </cell>
        </row>
        <row r="211">
          <cell r="A211" t="str">
            <v>PEIPL0786</v>
          </cell>
          <cell r="X211">
            <v>561793</v>
          </cell>
        </row>
        <row r="212">
          <cell r="A212" t="str">
            <v>PEIPL0787</v>
          </cell>
          <cell r="X212">
            <v>221688</v>
          </cell>
        </row>
        <row r="213">
          <cell r="A213" t="str">
            <v>PEIPL0788</v>
          </cell>
          <cell r="X213">
            <v>440007</v>
          </cell>
        </row>
        <row r="214">
          <cell r="A214" t="str">
            <v>PEIPL0789</v>
          </cell>
          <cell r="X214">
            <v>289941</v>
          </cell>
        </row>
        <row r="215">
          <cell r="A215" t="str">
            <v>PEIPL0790</v>
          </cell>
          <cell r="X215">
            <v>289175</v>
          </cell>
        </row>
        <row r="216">
          <cell r="A216" t="str">
            <v>PEIPL0791</v>
          </cell>
          <cell r="X216">
            <v>400005</v>
          </cell>
        </row>
        <row r="217">
          <cell r="A217" t="str">
            <v>PEIPL0792</v>
          </cell>
          <cell r="X217">
            <v>421356</v>
          </cell>
        </row>
        <row r="218">
          <cell r="A218" t="str">
            <v>PEIPL0793</v>
          </cell>
          <cell r="X218">
            <v>221688</v>
          </cell>
        </row>
        <row r="219">
          <cell r="A219" t="str">
            <v>PEIPL0794</v>
          </cell>
          <cell r="X219">
            <v>435600</v>
          </cell>
        </row>
        <row r="220">
          <cell r="A220" t="str">
            <v>PEIPL0796</v>
          </cell>
          <cell r="X220">
            <v>363000</v>
          </cell>
        </row>
        <row r="221">
          <cell r="A221" t="str">
            <v>PEIPL0798</v>
          </cell>
          <cell r="X221">
            <v>510000</v>
          </cell>
        </row>
        <row r="222">
          <cell r="A222" t="str">
            <v>PEIPL0799</v>
          </cell>
          <cell r="X222">
            <v>276000</v>
          </cell>
        </row>
        <row r="223">
          <cell r="A223" t="str">
            <v>PEIPL0800</v>
          </cell>
          <cell r="X223">
            <v>271035</v>
          </cell>
        </row>
        <row r="224">
          <cell r="A224" t="str">
            <v>PEPPL0803</v>
          </cell>
          <cell r="X224">
            <v>368930</v>
          </cell>
        </row>
        <row r="225">
          <cell r="A225" t="str">
            <v>PEPPL0804</v>
          </cell>
          <cell r="X225">
            <v>237916</v>
          </cell>
        </row>
        <row r="226">
          <cell r="A226" t="str">
            <v>PEPPL0805</v>
          </cell>
          <cell r="X226">
            <v>237916</v>
          </cell>
        </row>
        <row r="227">
          <cell r="A227" t="str">
            <v>PEPPL0806</v>
          </cell>
          <cell r="X227">
            <v>1200000</v>
          </cell>
        </row>
        <row r="228">
          <cell r="A228" t="str">
            <v>PEPPL0807</v>
          </cell>
          <cell r="X228">
            <v>280000</v>
          </cell>
        </row>
        <row r="229">
          <cell r="A229" t="str">
            <v>PEPPL0808</v>
          </cell>
          <cell r="X229">
            <v>360005</v>
          </cell>
        </row>
        <row r="230">
          <cell r="A230" t="str">
            <v>PEPPL0809</v>
          </cell>
          <cell r="X230">
            <v>234372</v>
          </cell>
        </row>
        <row r="231">
          <cell r="A231" t="str">
            <v>PEPPL0810</v>
          </cell>
          <cell r="X231">
            <v>237937</v>
          </cell>
        </row>
        <row r="232">
          <cell r="A232" t="str">
            <v>PEPPL0811</v>
          </cell>
          <cell r="X232">
            <v>220884</v>
          </cell>
        </row>
        <row r="233">
          <cell r="A233" t="str">
            <v>PEPPL0812</v>
          </cell>
          <cell r="X233">
            <v>427950</v>
          </cell>
        </row>
        <row r="234">
          <cell r="A234" t="str">
            <v>PEPPL0814</v>
          </cell>
          <cell r="X234">
            <v>1000000</v>
          </cell>
        </row>
        <row r="235">
          <cell r="A235" t="str">
            <v>PEPPL0815</v>
          </cell>
          <cell r="X235">
            <v>482000</v>
          </cell>
        </row>
        <row r="236">
          <cell r="A236" t="str">
            <v>PEPPL0816</v>
          </cell>
          <cell r="X236">
            <v>620005</v>
          </cell>
        </row>
        <row r="237">
          <cell r="A237" t="str">
            <v>PEPPL0817</v>
          </cell>
          <cell r="X237">
            <v>300005</v>
          </cell>
        </row>
        <row r="238">
          <cell r="A238" t="str">
            <v>PEPPL0818</v>
          </cell>
          <cell r="X238">
            <v>300005</v>
          </cell>
        </row>
        <row r="239">
          <cell r="A239" t="str">
            <v>PEPPL0819</v>
          </cell>
          <cell r="X239">
            <v>272748</v>
          </cell>
        </row>
        <row r="240">
          <cell r="A240" t="str">
            <v>PEPPL0820</v>
          </cell>
          <cell r="X240">
            <v>390384</v>
          </cell>
        </row>
        <row r="241">
          <cell r="A241" t="str">
            <v>PEPPL0821</v>
          </cell>
          <cell r="X241">
            <v>850000</v>
          </cell>
        </row>
        <row r="242">
          <cell r="A242" t="str">
            <v>PEPPL0822</v>
          </cell>
          <cell r="X242">
            <v>630005</v>
          </cell>
        </row>
        <row r="243">
          <cell r="A243" t="str">
            <v>PEPPL0823</v>
          </cell>
          <cell r="X243">
            <v>243489</v>
          </cell>
        </row>
        <row r="244">
          <cell r="A244" t="str">
            <v>PEPPL0824</v>
          </cell>
          <cell r="X244">
            <v>1050000</v>
          </cell>
        </row>
        <row r="245">
          <cell r="A245" t="str">
            <v>PEPPL0825</v>
          </cell>
          <cell r="X245">
            <v>472010</v>
          </cell>
        </row>
        <row r="246">
          <cell r="A246" t="str">
            <v>PEPPL0826</v>
          </cell>
          <cell r="X246">
            <v>430000</v>
          </cell>
        </row>
        <row r="247">
          <cell r="A247" t="str">
            <v>PEPPL0827</v>
          </cell>
          <cell r="X247">
            <v>475005</v>
          </cell>
        </row>
        <row r="248">
          <cell r="A248" t="str">
            <v>PEPPL0828</v>
          </cell>
          <cell r="X248">
            <v>235000</v>
          </cell>
        </row>
        <row r="249">
          <cell r="A249" t="str">
            <v>PEPPL0829</v>
          </cell>
          <cell r="X249">
            <v>2040000</v>
          </cell>
        </row>
        <row r="250">
          <cell r="A250" t="str">
            <v>PEPPL0830</v>
          </cell>
          <cell r="X250">
            <v>360000</v>
          </cell>
        </row>
        <row r="251">
          <cell r="A251" t="str">
            <v>PEPPL0831</v>
          </cell>
          <cell r="X251">
            <v>10850000</v>
          </cell>
        </row>
        <row r="252">
          <cell r="A252" t="str">
            <v>PEPPL0832</v>
          </cell>
          <cell r="X252">
            <v>336000</v>
          </cell>
        </row>
        <row r="253">
          <cell r="A253" t="str">
            <v>PEPPL0833</v>
          </cell>
          <cell r="X253">
            <v>300000</v>
          </cell>
        </row>
        <row r="254">
          <cell r="A254" t="str">
            <v>PEPPL0834</v>
          </cell>
          <cell r="X254">
            <v>290895</v>
          </cell>
        </row>
        <row r="255">
          <cell r="A255" t="str">
            <v>PEPPL0835</v>
          </cell>
          <cell r="X255">
            <v>2852005</v>
          </cell>
        </row>
        <row r="256">
          <cell r="A256" t="str">
            <v>PEPPL0836</v>
          </cell>
          <cell r="X256">
            <v>1020005</v>
          </cell>
        </row>
        <row r="257">
          <cell r="A257" t="str">
            <v>PEPPL0837</v>
          </cell>
          <cell r="X257">
            <v>243495</v>
          </cell>
        </row>
        <row r="258">
          <cell r="A258" t="str">
            <v>PEPPL0838</v>
          </cell>
          <cell r="X258">
            <v>350000</v>
          </cell>
        </row>
        <row r="259">
          <cell r="A259" t="str">
            <v>PEPPL0839</v>
          </cell>
          <cell r="X259">
            <v>291600</v>
          </cell>
        </row>
        <row r="260">
          <cell r="A260" t="str">
            <v>PEPPL0840</v>
          </cell>
          <cell r="X260">
            <v>320445</v>
          </cell>
        </row>
        <row r="261">
          <cell r="A261" t="str">
            <v>PEPPL0841</v>
          </cell>
          <cell r="X261">
            <v>300000</v>
          </cell>
        </row>
        <row r="262">
          <cell r="A262" t="str">
            <v>PEPPL0842</v>
          </cell>
          <cell r="X262">
            <v>289044</v>
          </cell>
        </row>
        <row r="263">
          <cell r="A263" t="str">
            <v>PEPPL0843</v>
          </cell>
          <cell r="X263">
            <v>243495</v>
          </cell>
        </row>
        <row r="264">
          <cell r="A264" t="str">
            <v>PEPPL0844</v>
          </cell>
          <cell r="X264">
            <v>243495</v>
          </cell>
        </row>
        <row r="265">
          <cell r="A265" t="str">
            <v>PEPPL0845</v>
          </cell>
          <cell r="X265">
            <v>265000</v>
          </cell>
        </row>
        <row r="266">
          <cell r="A266" t="str">
            <v>PEPPL0846</v>
          </cell>
          <cell r="X266">
            <v>707767</v>
          </cell>
        </row>
        <row r="267">
          <cell r="A267" t="str">
            <v>PEPPL0847</v>
          </cell>
          <cell r="X267">
            <v>330000</v>
          </cell>
        </row>
        <row r="268">
          <cell r="A268" t="str">
            <v>PEPPL0848</v>
          </cell>
          <cell r="X268">
            <v>314160</v>
          </cell>
        </row>
        <row r="269">
          <cell r="A269" t="str">
            <v>PEPPL0849</v>
          </cell>
          <cell r="X269">
            <v>300000</v>
          </cell>
        </row>
        <row r="270">
          <cell r="A270" t="str">
            <v>PEPPL0850</v>
          </cell>
          <cell r="X270">
            <v>333495</v>
          </cell>
        </row>
        <row r="271">
          <cell r="A271" t="str">
            <v>PEPPL0851</v>
          </cell>
          <cell r="X271">
            <v>570000</v>
          </cell>
        </row>
        <row r="272">
          <cell r="A272" t="str">
            <v>PEPPL0852</v>
          </cell>
          <cell r="X272">
            <v>338375</v>
          </cell>
        </row>
        <row r="273">
          <cell r="A273" t="str">
            <v>PEPPL0853</v>
          </cell>
          <cell r="X273">
            <v>343200</v>
          </cell>
        </row>
        <row r="274">
          <cell r="A274" t="str">
            <v>PEPPL0854</v>
          </cell>
          <cell r="X274">
            <v>336000</v>
          </cell>
        </row>
        <row r="275">
          <cell r="A275" t="str">
            <v>PEPPL0855</v>
          </cell>
          <cell r="X275">
            <v>1200005</v>
          </cell>
        </row>
        <row r="276">
          <cell r="A276" t="str">
            <v>PEPPL0856</v>
          </cell>
          <cell r="X276">
            <v>288000</v>
          </cell>
        </row>
        <row r="277">
          <cell r="A277" t="str">
            <v>PEPPL0857</v>
          </cell>
          <cell r="X277">
            <v>300000</v>
          </cell>
        </row>
        <row r="278">
          <cell r="A278" t="str">
            <v>PEPPL0858</v>
          </cell>
          <cell r="X278">
            <v>306000</v>
          </cell>
        </row>
        <row r="279">
          <cell r="A279" t="str">
            <v>PEPPL0859</v>
          </cell>
          <cell r="X279">
            <v>480000</v>
          </cell>
        </row>
        <row r="280">
          <cell r="A280" t="str">
            <v>PEPPL0860</v>
          </cell>
          <cell r="X280">
            <v>394741</v>
          </cell>
        </row>
        <row r="281">
          <cell r="A281" t="str">
            <v>PEPPL0861</v>
          </cell>
          <cell r="X281">
            <v>360000</v>
          </cell>
        </row>
        <row r="282">
          <cell r="A282" t="str">
            <v>PEPPL0862</v>
          </cell>
          <cell r="X282">
            <v>313475</v>
          </cell>
        </row>
        <row r="283">
          <cell r="A283" t="str">
            <v>PEPPL0863</v>
          </cell>
          <cell r="X283">
            <v>491400</v>
          </cell>
        </row>
        <row r="284">
          <cell r="A284" t="str">
            <v>PEPPL0864</v>
          </cell>
          <cell r="X284">
            <v>470000</v>
          </cell>
        </row>
        <row r="285">
          <cell r="A285" t="str">
            <v>PEPPL0865</v>
          </cell>
          <cell r="X285">
            <v>360000</v>
          </cell>
        </row>
        <row r="286">
          <cell r="A286" t="str">
            <v>PEPPL0866</v>
          </cell>
          <cell r="X286">
            <v>400000</v>
          </cell>
        </row>
        <row r="287">
          <cell r="A287" t="str">
            <v>PEPPL0867</v>
          </cell>
          <cell r="X287">
            <v>310497</v>
          </cell>
        </row>
        <row r="288">
          <cell r="A288" t="str">
            <v>PEPPL0868</v>
          </cell>
          <cell r="X288">
            <v>281005</v>
          </cell>
        </row>
        <row r="289">
          <cell r="A289" t="str">
            <v>PEPPL0869</v>
          </cell>
          <cell r="X289">
            <v>387657</v>
          </cell>
        </row>
        <row r="290">
          <cell r="A290" t="str">
            <v>PEPPL0870</v>
          </cell>
          <cell r="X290">
            <v>298005</v>
          </cell>
        </row>
        <row r="291">
          <cell r="A291" t="str">
            <v>PEPPL0871</v>
          </cell>
          <cell r="X291">
            <v>1700000</v>
          </cell>
        </row>
        <row r="292">
          <cell r="A292" t="str">
            <v>PEPPL0872</v>
          </cell>
          <cell r="X292">
            <v>283285</v>
          </cell>
        </row>
        <row r="293">
          <cell r="A293" t="str">
            <v>PEPPL0873</v>
          </cell>
          <cell r="X293">
            <v>300000</v>
          </cell>
        </row>
        <row r="294">
          <cell r="A294" t="str">
            <v>PEPPL0874</v>
          </cell>
          <cell r="X294">
            <v>600000</v>
          </cell>
        </row>
        <row r="295">
          <cell r="A295" t="str">
            <v>PEPPL0875</v>
          </cell>
          <cell r="X295">
            <v>710000</v>
          </cell>
        </row>
        <row r="296">
          <cell r="A296" t="str">
            <v>PEPPL0876</v>
          </cell>
          <cell r="X296">
            <v>800000</v>
          </cell>
        </row>
        <row r="297">
          <cell r="A297" t="str">
            <v>PEPPL0877</v>
          </cell>
          <cell r="X297">
            <v>285000</v>
          </cell>
        </row>
        <row r="298">
          <cell r="A298" t="str">
            <v>PEPPL0878</v>
          </cell>
          <cell r="X298">
            <v>650005</v>
          </cell>
        </row>
        <row r="299">
          <cell r="A299" t="str">
            <v>PEPPL0879</v>
          </cell>
          <cell r="X299">
            <v>465000</v>
          </cell>
        </row>
        <row r="300">
          <cell r="A300" t="str">
            <v>PEPPL0880</v>
          </cell>
          <cell r="X300">
            <v>336000</v>
          </cell>
        </row>
        <row r="301">
          <cell r="A301" t="str">
            <v>PEPPL0881</v>
          </cell>
          <cell r="X301">
            <v>2100000</v>
          </cell>
        </row>
        <row r="302">
          <cell r="A302" t="str">
            <v>PEPPL0883</v>
          </cell>
          <cell r="X302">
            <v>634725</v>
          </cell>
        </row>
        <row r="303">
          <cell r="A303" t="str">
            <v>PEPPL0884</v>
          </cell>
          <cell r="X303">
            <v>470000</v>
          </cell>
        </row>
        <row r="304">
          <cell r="A304" t="str">
            <v>PEPPL0885</v>
          </cell>
          <cell r="X304">
            <v>475000</v>
          </cell>
        </row>
        <row r="305">
          <cell r="A305" t="str">
            <v>PEPPL0886</v>
          </cell>
          <cell r="X305">
            <v>350000</v>
          </cell>
        </row>
        <row r="306">
          <cell r="A306" t="str">
            <v>PEPPL0887</v>
          </cell>
          <cell r="X306">
            <v>254000</v>
          </cell>
        </row>
        <row r="307">
          <cell r="A307" t="str">
            <v>PEPPL0888</v>
          </cell>
          <cell r="X307">
            <v>650005</v>
          </cell>
        </row>
        <row r="308">
          <cell r="A308" t="str">
            <v>PEPPL0889</v>
          </cell>
          <cell r="X308">
            <v>315777</v>
          </cell>
        </row>
        <row r="309">
          <cell r="A309" t="str">
            <v>PEPPL0890</v>
          </cell>
          <cell r="X309">
            <v>290000</v>
          </cell>
        </row>
        <row r="310">
          <cell r="A310" t="str">
            <v>PEPPL0891</v>
          </cell>
          <cell r="X310">
            <v>420000</v>
          </cell>
        </row>
        <row r="311">
          <cell r="A311" t="str">
            <v>PSS1097</v>
          </cell>
          <cell r="X311">
            <v>873746</v>
          </cell>
        </row>
        <row r="312">
          <cell r="A312" t="str">
            <v>PSS1359</v>
          </cell>
          <cell r="X312">
            <v>412601</v>
          </cell>
        </row>
        <row r="313">
          <cell r="A313" t="str">
            <v>PSS1404</v>
          </cell>
          <cell r="X313">
            <v>240000</v>
          </cell>
        </row>
        <row r="314">
          <cell r="A314" t="str">
            <v>PSS1405</v>
          </cell>
          <cell r="X314">
            <v>1950000</v>
          </cell>
        </row>
        <row r="315">
          <cell r="A315" t="str">
            <v>PSS1406</v>
          </cell>
          <cell r="X315">
            <v>1200001</v>
          </cell>
        </row>
        <row r="316">
          <cell r="A316" t="str">
            <v>PSS1407</v>
          </cell>
          <cell r="X316">
            <v>2700000</v>
          </cell>
        </row>
        <row r="317">
          <cell r="A317" t="str">
            <v>PSS1408</v>
          </cell>
          <cell r="X317">
            <v>700000</v>
          </cell>
        </row>
        <row r="318">
          <cell r="A318" t="str">
            <v>PSS1409</v>
          </cell>
          <cell r="X318">
            <v>2700000</v>
          </cell>
        </row>
        <row r="319">
          <cell r="A319" t="str">
            <v>PSS1410</v>
          </cell>
          <cell r="X319">
            <v>700000</v>
          </cell>
        </row>
        <row r="320">
          <cell r="A320" t="str">
            <v>PSS1411</v>
          </cell>
          <cell r="X320">
            <v>2600000</v>
          </cell>
        </row>
        <row r="321">
          <cell r="A321" t="str">
            <v>PSS1412</v>
          </cell>
          <cell r="X321">
            <v>2300000</v>
          </cell>
        </row>
        <row r="322">
          <cell r="A322" t="str">
            <v>PSS1413</v>
          </cell>
          <cell r="X322">
            <v>630000</v>
          </cell>
        </row>
        <row r="323">
          <cell r="A323" t="str">
            <v>PSS1414</v>
          </cell>
          <cell r="X323">
            <v>650000</v>
          </cell>
        </row>
        <row r="324">
          <cell r="A324" t="str">
            <v>PSS1415</v>
          </cell>
          <cell r="X324">
            <v>2600000</v>
          </cell>
        </row>
        <row r="325">
          <cell r="A325" t="str">
            <v>PSS1416</v>
          </cell>
          <cell r="X325">
            <v>11</v>
          </cell>
        </row>
        <row r="326">
          <cell r="A326" t="str">
            <v>PSS1417</v>
          </cell>
          <cell r="X326">
            <v>2300000</v>
          </cell>
        </row>
        <row r="327">
          <cell r="A327" t="str">
            <v>PSS1418</v>
          </cell>
          <cell r="X327">
            <v>1200000</v>
          </cell>
        </row>
        <row r="328">
          <cell r="A328" t="str">
            <v>PSS1419</v>
          </cell>
          <cell r="X328">
            <v>675000</v>
          </cell>
        </row>
        <row r="329">
          <cell r="A329" t="str">
            <v>PSS1420</v>
          </cell>
          <cell r="X329">
            <v>750005</v>
          </cell>
        </row>
        <row r="330">
          <cell r="A330" t="str">
            <v>PSS1421</v>
          </cell>
          <cell r="X330">
            <v>323841</v>
          </cell>
        </row>
        <row r="331">
          <cell r="A331" t="str">
            <v>PSS1422</v>
          </cell>
          <cell r="X331">
            <v>11</v>
          </cell>
        </row>
        <row r="332">
          <cell r="A332" t="str">
            <v>PSS1423</v>
          </cell>
          <cell r="X332">
            <v>1200000</v>
          </cell>
        </row>
        <row r="333">
          <cell r="A333" t="str">
            <v>PSS1424</v>
          </cell>
          <cell r="X333">
            <v>1200000</v>
          </cell>
        </row>
        <row r="334">
          <cell r="A334" t="str">
            <v>PSS1425</v>
          </cell>
          <cell r="X334">
            <v>600000</v>
          </cell>
        </row>
        <row r="335">
          <cell r="A335" t="str">
            <v>PSS1426</v>
          </cell>
          <cell r="X335">
            <v>465000</v>
          </cell>
        </row>
        <row r="336">
          <cell r="A336" t="str">
            <v>PSS1427</v>
          </cell>
          <cell r="X336">
            <v>422000</v>
          </cell>
        </row>
        <row r="337">
          <cell r="A337" t="str">
            <v>PSS1428</v>
          </cell>
          <cell r="X337">
            <v>298285</v>
          </cell>
        </row>
        <row r="338">
          <cell r="A338" t="str">
            <v>PSS1429</v>
          </cell>
          <cell r="X338">
            <v>1750000</v>
          </cell>
        </row>
        <row r="339">
          <cell r="A339" t="str">
            <v>PSS1430</v>
          </cell>
          <cell r="X339">
            <v>750000</v>
          </cell>
        </row>
        <row r="340">
          <cell r="A340" t="str">
            <v>PSS1431</v>
          </cell>
          <cell r="X340">
            <v>4000000</v>
          </cell>
        </row>
        <row r="341">
          <cell r="A341" t="str">
            <v>PSS1432</v>
          </cell>
          <cell r="X341">
            <v>1650000</v>
          </cell>
        </row>
        <row r="342">
          <cell r="A342" t="str">
            <v>10000</v>
          </cell>
          <cell r="X342">
            <v>20000000</v>
          </cell>
        </row>
        <row r="343">
          <cell r="A343" t="str">
            <v>10001</v>
          </cell>
          <cell r="X343">
            <v>10000000</v>
          </cell>
        </row>
        <row r="344">
          <cell r="A344" t="str">
            <v>PSS1373</v>
          </cell>
          <cell r="X344">
            <v>10500000</v>
          </cell>
        </row>
        <row r="345">
          <cell r="A345" t="str">
            <v>P0400</v>
          </cell>
          <cell r="X345">
            <v>6762743</v>
          </cell>
        </row>
        <row r="346">
          <cell r="A346" t="str">
            <v>PSS0440</v>
          </cell>
          <cell r="X346">
            <v>6413010</v>
          </cell>
        </row>
        <row r="347">
          <cell r="A347" t="str">
            <v>PSS1080</v>
          </cell>
          <cell r="X347">
            <v>4100004</v>
          </cell>
        </row>
        <row r="348">
          <cell r="A348" t="str">
            <v>PSS0659</v>
          </cell>
          <cell r="X348">
            <v>3300000</v>
          </cell>
        </row>
        <row r="349">
          <cell r="A349" t="str">
            <v>PSS0663</v>
          </cell>
          <cell r="X349">
            <v>1800000</v>
          </cell>
        </row>
        <row r="350">
          <cell r="A350" t="str">
            <v>PEIPL0589</v>
          </cell>
          <cell r="X350">
            <v>1720000</v>
          </cell>
        </row>
        <row r="351">
          <cell r="A351" t="str">
            <v>PSS1352</v>
          </cell>
          <cell r="X351">
            <v>720000</v>
          </cell>
        </row>
        <row r="352">
          <cell r="A352" t="str">
            <v>PEPPL0594</v>
          </cell>
          <cell r="X352">
            <v>720000</v>
          </cell>
        </row>
        <row r="353">
          <cell r="A353" t="str">
            <v>PEIPL0094</v>
          </cell>
          <cell r="X353">
            <v>1550000</v>
          </cell>
        </row>
        <row r="354">
          <cell r="A354" t="str">
            <v>PEPPL0769</v>
          </cell>
          <cell r="X354">
            <v>910000</v>
          </cell>
        </row>
        <row r="355">
          <cell r="A355" t="str">
            <v>PSS1160</v>
          </cell>
          <cell r="X355">
            <v>650000</v>
          </cell>
        </row>
        <row r="356">
          <cell r="A356" t="str">
            <v>PSS1339</v>
          </cell>
          <cell r="X356">
            <v>720000</v>
          </cell>
        </row>
        <row r="357">
          <cell r="A357" t="str">
            <v>PSS1358</v>
          </cell>
          <cell r="X357">
            <v>805006</v>
          </cell>
        </row>
        <row r="358">
          <cell r="A358" t="str">
            <v>PSS0868</v>
          </cell>
          <cell r="X358">
            <v>318840</v>
          </cell>
        </row>
        <row r="359">
          <cell r="A359" t="str">
            <v>PEGEPL0026</v>
          </cell>
          <cell r="X359">
            <v>475001</v>
          </cell>
        </row>
        <row r="360">
          <cell r="A360" t="str">
            <v>PEPPL0661</v>
          </cell>
          <cell r="X360">
            <v>1980010</v>
          </cell>
        </row>
        <row r="361">
          <cell r="A361" t="str">
            <v>PEIPL0278</v>
          </cell>
          <cell r="X361">
            <v>1030310</v>
          </cell>
        </row>
        <row r="362">
          <cell r="A362" t="str">
            <v>PEGEPL0024</v>
          </cell>
          <cell r="X362">
            <v>328840</v>
          </cell>
        </row>
        <row r="363">
          <cell r="A363" t="str">
            <v>PEGEPL0018</v>
          </cell>
          <cell r="X363">
            <v>319901</v>
          </cell>
        </row>
        <row r="364">
          <cell r="A364" t="str">
            <v>PSS0117</v>
          </cell>
          <cell r="X364">
            <v>299094</v>
          </cell>
        </row>
        <row r="365">
          <cell r="A365" t="str">
            <v>PSS1237</v>
          </cell>
          <cell r="X365">
            <v>360574</v>
          </cell>
        </row>
        <row r="366">
          <cell r="A366" t="str">
            <v>PEGEPL0023</v>
          </cell>
          <cell r="X366">
            <v>464562</v>
          </cell>
        </row>
        <row r="367">
          <cell r="A367" t="str">
            <v>PSS1357</v>
          </cell>
          <cell r="X367">
            <v>328884</v>
          </cell>
        </row>
        <row r="368">
          <cell r="A368" t="str">
            <v>PEIPL0524</v>
          </cell>
          <cell r="X368">
            <v>246937</v>
          </cell>
        </row>
        <row r="369">
          <cell r="A369" t="str">
            <v>PEIPL0525</v>
          </cell>
          <cell r="X369">
            <v>246937</v>
          </cell>
        </row>
        <row r="370">
          <cell r="A370" t="str">
            <v>PEPPL0747</v>
          </cell>
          <cell r="X370">
            <v>243554</v>
          </cell>
        </row>
        <row r="371">
          <cell r="A371" t="str">
            <v>PSS0121</v>
          </cell>
          <cell r="X371">
            <v>230435</v>
          </cell>
        </row>
        <row r="372">
          <cell r="A372" t="str">
            <v>PEIPL0708</v>
          </cell>
          <cell r="X372">
            <v>466668</v>
          </cell>
        </row>
        <row r="373">
          <cell r="A373" t="str">
            <v>PEIPL0004</v>
          </cell>
          <cell r="X373">
            <v>793884</v>
          </cell>
        </row>
        <row r="374">
          <cell r="A374" t="str">
            <v>PEIPL0080</v>
          </cell>
          <cell r="X374">
            <v>1168330</v>
          </cell>
        </row>
        <row r="375">
          <cell r="A375" t="str">
            <v>PEIPL0481</v>
          </cell>
          <cell r="X375">
            <v>419504</v>
          </cell>
        </row>
        <row r="376">
          <cell r="A376" t="str">
            <v>PEIPL0609</v>
          </cell>
          <cell r="X376">
            <v>639638</v>
          </cell>
        </row>
        <row r="377">
          <cell r="A377" t="str">
            <v>PEIPL0710</v>
          </cell>
          <cell r="X377">
            <v>250316</v>
          </cell>
        </row>
        <row r="378">
          <cell r="A378" t="str">
            <v>PEPPL0075</v>
          </cell>
          <cell r="X378">
            <v>513338</v>
          </cell>
        </row>
        <row r="379">
          <cell r="A379" t="str">
            <v>PSS1294</v>
          </cell>
          <cell r="X379">
            <v>3385829</v>
          </cell>
        </row>
        <row r="380">
          <cell r="A380" t="str">
            <v>PEIPL0209</v>
          </cell>
          <cell r="X380">
            <v>367793</v>
          </cell>
        </row>
        <row r="381">
          <cell r="A381" t="str">
            <v>PEIPL0368</v>
          </cell>
          <cell r="X381">
            <v>222913</v>
          </cell>
        </row>
        <row r="382">
          <cell r="A382" t="str">
            <v>PEIPL0369</v>
          </cell>
          <cell r="X382">
            <v>222913</v>
          </cell>
        </row>
        <row r="383">
          <cell r="A383" t="str">
            <v>PEIPL0448</v>
          </cell>
          <cell r="X383">
            <v>285581</v>
          </cell>
        </row>
        <row r="384">
          <cell r="A384" t="str">
            <v>PEIPL0288</v>
          </cell>
          <cell r="X384">
            <v>335433</v>
          </cell>
        </row>
        <row r="385">
          <cell r="A385" t="str">
            <v>PEIPL0443</v>
          </cell>
          <cell r="X385">
            <v>452282</v>
          </cell>
        </row>
        <row r="386">
          <cell r="A386" t="str">
            <v>PEIPL0474</v>
          </cell>
          <cell r="X386">
            <v>249732</v>
          </cell>
        </row>
        <row r="387">
          <cell r="A387" t="str">
            <v>PEPPL0046</v>
          </cell>
          <cell r="X387">
            <v>1211944</v>
          </cell>
        </row>
        <row r="388">
          <cell r="A388" t="str">
            <v>PEPPL0069</v>
          </cell>
          <cell r="X388">
            <v>743188</v>
          </cell>
        </row>
        <row r="389">
          <cell r="A389" t="str">
            <v>PEPPL0211</v>
          </cell>
          <cell r="X389">
            <v>373228</v>
          </cell>
        </row>
        <row r="390">
          <cell r="A390" t="str">
            <v>PEPPL0310</v>
          </cell>
          <cell r="X390">
            <v>268000</v>
          </cell>
        </row>
        <row r="391">
          <cell r="A391" t="str">
            <v>PEPPL0346</v>
          </cell>
          <cell r="X391">
            <v>268000</v>
          </cell>
        </row>
        <row r="392">
          <cell r="A392" t="str">
            <v>PEPPL0467</v>
          </cell>
          <cell r="X392">
            <v>2215717</v>
          </cell>
        </row>
        <row r="393">
          <cell r="A393" t="str">
            <v>PEIPL0190</v>
          </cell>
          <cell r="X393">
            <v>512268</v>
          </cell>
        </row>
        <row r="394">
          <cell r="A394" t="str">
            <v>PEPPL0659</v>
          </cell>
          <cell r="X394">
            <v>5655330</v>
          </cell>
        </row>
        <row r="395">
          <cell r="A395" t="str">
            <v>P0125</v>
          </cell>
          <cell r="X395">
            <v>282531</v>
          </cell>
        </row>
        <row r="396">
          <cell r="A396" t="str">
            <v>P0170</v>
          </cell>
          <cell r="X396">
            <v>1375077</v>
          </cell>
        </row>
        <row r="397">
          <cell r="A397" t="str">
            <v>PEPPL0494</v>
          </cell>
          <cell r="X397">
            <v>266658</v>
          </cell>
        </row>
        <row r="398">
          <cell r="A398" t="str">
            <v>PSS0193</v>
          </cell>
          <cell r="X398">
            <v>531894</v>
          </cell>
        </row>
        <row r="399">
          <cell r="A399" t="str">
            <v>PEPPL0191</v>
          </cell>
          <cell r="X399">
            <v>427795</v>
          </cell>
        </row>
        <row r="400">
          <cell r="A400" t="str">
            <v>PEIPL0385</v>
          </cell>
          <cell r="X400">
            <v>290898</v>
          </cell>
        </row>
        <row r="401">
          <cell r="A401" t="str">
            <v>PEIPL0161</v>
          </cell>
          <cell r="X401">
            <v>374411</v>
          </cell>
        </row>
        <row r="402">
          <cell r="A402" t="str">
            <v>PEIPL0163</v>
          </cell>
          <cell r="X402">
            <v>374411</v>
          </cell>
        </row>
        <row r="403">
          <cell r="A403" t="str">
            <v>PEPPL0303</v>
          </cell>
          <cell r="X403">
            <v>360371</v>
          </cell>
        </row>
        <row r="404">
          <cell r="A404" t="str">
            <v>PEPPL0429</v>
          </cell>
          <cell r="X404">
            <v>374411</v>
          </cell>
        </row>
        <row r="405">
          <cell r="A405" t="str">
            <v>PEPPL0533</v>
          </cell>
          <cell r="X405">
            <v>392300</v>
          </cell>
        </row>
        <row r="406">
          <cell r="A406" t="str">
            <v>PEPPL0535</v>
          </cell>
          <cell r="X406">
            <v>392300</v>
          </cell>
        </row>
        <row r="407">
          <cell r="A407" t="str">
            <v>PEIPL0421</v>
          </cell>
          <cell r="X407">
            <v>512842</v>
          </cell>
        </row>
        <row r="408">
          <cell r="A408" t="str">
            <v>PEPPL0036</v>
          </cell>
          <cell r="X408">
            <v>1440658</v>
          </cell>
        </row>
        <row r="409">
          <cell r="A409" t="str">
            <v>PEIPL0430</v>
          </cell>
          <cell r="X409">
            <v>461554</v>
          </cell>
        </row>
        <row r="410">
          <cell r="A410" t="str">
            <v>PEPPL0706</v>
          </cell>
          <cell r="X410">
            <v>282850</v>
          </cell>
        </row>
        <row r="411">
          <cell r="A411" t="str">
            <v>PEIPL0265</v>
          </cell>
          <cell r="X411">
            <v>272295</v>
          </cell>
        </row>
        <row r="412">
          <cell r="A412" t="str">
            <v>P0488</v>
          </cell>
          <cell r="X412">
            <v>327250</v>
          </cell>
        </row>
        <row r="413">
          <cell r="A413" t="str">
            <v>PEPPL0175</v>
          </cell>
          <cell r="X413">
            <v>257995</v>
          </cell>
        </row>
        <row r="414">
          <cell r="A414" t="str">
            <v>PEIPL0309</v>
          </cell>
          <cell r="X414">
            <v>336087</v>
          </cell>
        </row>
        <row r="415">
          <cell r="A415" t="str">
            <v>PEIPL0273</v>
          </cell>
          <cell r="X415">
            <v>263001</v>
          </cell>
        </row>
        <row r="416">
          <cell r="A416" t="str">
            <v>PEIPL0109</v>
          </cell>
          <cell r="X416">
            <v>499506</v>
          </cell>
        </row>
        <row r="417">
          <cell r="A417" t="str">
            <v>PEIPL0117</v>
          </cell>
          <cell r="X417">
            <v>382956</v>
          </cell>
        </row>
        <row r="418">
          <cell r="A418" t="str">
            <v>PEPPL0194</v>
          </cell>
          <cell r="X418">
            <v>399606</v>
          </cell>
        </row>
        <row r="419">
          <cell r="A419" t="str">
            <v>PEPPL0264</v>
          </cell>
          <cell r="X419">
            <v>419586</v>
          </cell>
        </row>
        <row r="420">
          <cell r="A420" t="str">
            <v>PEPPL0283</v>
          </cell>
          <cell r="X420">
            <v>503502</v>
          </cell>
        </row>
        <row r="421">
          <cell r="A421" t="str">
            <v>PEIPL0391</v>
          </cell>
          <cell r="X421">
            <v>312919</v>
          </cell>
        </row>
        <row r="422">
          <cell r="A422" t="str">
            <v>P0116</v>
          </cell>
          <cell r="X422">
            <v>248525</v>
          </cell>
        </row>
        <row r="423">
          <cell r="A423" t="str">
            <v>P0254</v>
          </cell>
          <cell r="X423">
            <v>270170</v>
          </cell>
        </row>
        <row r="424">
          <cell r="A424" t="str">
            <v>P0255</v>
          </cell>
          <cell r="X424">
            <v>270170</v>
          </cell>
        </row>
        <row r="425">
          <cell r="A425" t="str">
            <v>P0258</v>
          </cell>
          <cell r="X425">
            <v>270170</v>
          </cell>
        </row>
        <row r="426">
          <cell r="A426" t="str">
            <v>P0259</v>
          </cell>
          <cell r="X426">
            <v>270170</v>
          </cell>
        </row>
        <row r="427">
          <cell r="A427" t="str">
            <v>P0263</v>
          </cell>
          <cell r="X427">
            <v>270170</v>
          </cell>
        </row>
        <row r="428">
          <cell r="A428" t="str">
            <v>P0269</v>
          </cell>
          <cell r="X428">
            <v>270170</v>
          </cell>
        </row>
        <row r="429">
          <cell r="A429" t="str">
            <v>PEIPL0027</v>
          </cell>
          <cell r="X429">
            <v>268793</v>
          </cell>
        </row>
        <row r="430">
          <cell r="A430" t="str">
            <v>PEIPL0050</v>
          </cell>
          <cell r="X430">
            <v>340235</v>
          </cell>
        </row>
        <row r="431">
          <cell r="A431" t="str">
            <v>PEIPL0069</v>
          </cell>
          <cell r="X431">
            <v>363950</v>
          </cell>
        </row>
        <row r="432">
          <cell r="A432" t="str">
            <v>PEIPL0070</v>
          </cell>
          <cell r="X432">
            <v>461060</v>
          </cell>
        </row>
        <row r="433">
          <cell r="A433" t="str">
            <v>PEIPL0484</v>
          </cell>
          <cell r="X433">
            <v>418355</v>
          </cell>
        </row>
        <row r="434">
          <cell r="A434" t="str">
            <v>PEPPL0509</v>
          </cell>
          <cell r="X434">
            <v>259451</v>
          </cell>
        </row>
        <row r="435">
          <cell r="A435" t="str">
            <v>PEPPL0556</v>
          </cell>
          <cell r="X435">
            <v>358748</v>
          </cell>
        </row>
        <row r="436">
          <cell r="A436" t="str">
            <v>PEPPL0591</v>
          </cell>
          <cell r="X436">
            <v>487925</v>
          </cell>
        </row>
        <row r="437">
          <cell r="A437" t="str">
            <v>PSS0931</v>
          </cell>
          <cell r="X437">
            <v>324338</v>
          </cell>
        </row>
        <row r="438">
          <cell r="A438" t="str">
            <v>PEIPL0291</v>
          </cell>
          <cell r="X438">
            <v>341801</v>
          </cell>
        </row>
        <row r="439">
          <cell r="A439" t="str">
            <v>PEPPL0709</v>
          </cell>
          <cell r="X439">
            <v>240881</v>
          </cell>
        </row>
        <row r="440">
          <cell r="A440" t="str">
            <v>PEIPL0280</v>
          </cell>
          <cell r="X440">
            <v>400708</v>
          </cell>
        </row>
        <row r="441">
          <cell r="A441" t="str">
            <v>PEIPL0383</v>
          </cell>
          <cell r="X441">
            <v>289220</v>
          </cell>
        </row>
        <row r="442">
          <cell r="A442" t="str">
            <v>PEIPL0342</v>
          </cell>
          <cell r="X442">
            <v>364876</v>
          </cell>
        </row>
        <row r="443">
          <cell r="A443" t="str">
            <v>PEPPL0452</v>
          </cell>
          <cell r="X443">
            <v>413971</v>
          </cell>
        </row>
        <row r="444">
          <cell r="A444" t="str">
            <v>PEIPL0435</v>
          </cell>
          <cell r="X444">
            <v>342823</v>
          </cell>
        </row>
        <row r="445">
          <cell r="A445" t="str">
            <v>PEPPL0664</v>
          </cell>
          <cell r="X445">
            <v>254755</v>
          </cell>
        </row>
        <row r="446">
          <cell r="A446" t="str">
            <v>PEIPL0019</v>
          </cell>
          <cell r="X446">
            <v>1489447</v>
          </cell>
        </row>
        <row r="447">
          <cell r="A447" t="str">
            <v>PEIPL0467</v>
          </cell>
          <cell r="X447">
            <v>260247</v>
          </cell>
        </row>
        <row r="448">
          <cell r="A448" t="str">
            <v>PEIPL0414</v>
          </cell>
          <cell r="X448">
            <v>530286</v>
          </cell>
        </row>
        <row r="449">
          <cell r="A449" t="str">
            <v>PEPPL0097</v>
          </cell>
          <cell r="X449">
            <v>474405</v>
          </cell>
        </row>
        <row r="450">
          <cell r="A450" t="str">
            <v>PEPPL0629</v>
          </cell>
          <cell r="X450">
            <v>368901</v>
          </cell>
        </row>
        <row r="451">
          <cell r="A451" t="str">
            <v>PEPPL0153</v>
          </cell>
          <cell r="X451">
            <v>482493</v>
          </cell>
        </row>
        <row r="452">
          <cell r="A452" t="str">
            <v>PEPPL0329</v>
          </cell>
          <cell r="X452">
            <v>320655</v>
          </cell>
        </row>
        <row r="453">
          <cell r="A453" t="str">
            <v>PEPPL0399</v>
          </cell>
          <cell r="X453">
            <v>317325</v>
          </cell>
        </row>
        <row r="454">
          <cell r="A454" t="str">
            <v>PEPPL0004</v>
          </cell>
          <cell r="X454">
            <v>2470491</v>
          </cell>
        </row>
        <row r="455">
          <cell r="A455" t="str">
            <v>PEIPL0321</v>
          </cell>
          <cell r="X455">
            <v>314146</v>
          </cell>
        </row>
        <row r="456">
          <cell r="A456" t="str">
            <v>PEIPL0330</v>
          </cell>
          <cell r="X456">
            <v>401432</v>
          </cell>
        </row>
        <row r="457">
          <cell r="A457" t="str">
            <v>PEIPL0254</v>
          </cell>
          <cell r="X457">
            <v>378797</v>
          </cell>
        </row>
        <row r="458">
          <cell r="A458" t="str">
            <v>PEIPL0325</v>
          </cell>
          <cell r="X458">
            <v>286499</v>
          </cell>
        </row>
        <row r="459">
          <cell r="A459" t="str">
            <v>PEPPL0210</v>
          </cell>
          <cell r="X459">
            <v>336510</v>
          </cell>
        </row>
        <row r="460">
          <cell r="A460" t="str">
            <v>PSS1345</v>
          </cell>
          <cell r="X460">
            <v>608024</v>
          </cell>
        </row>
        <row r="461">
          <cell r="A461" t="str">
            <v>PEGEPL0013</v>
          </cell>
          <cell r="X461">
            <v>497632</v>
          </cell>
        </row>
        <row r="462">
          <cell r="A462" t="str">
            <v>PEIPL0516</v>
          </cell>
          <cell r="X462">
            <v>374404</v>
          </cell>
        </row>
        <row r="463">
          <cell r="A463" t="str">
            <v>PEIPL0694</v>
          </cell>
          <cell r="X463">
            <v>426676</v>
          </cell>
        </row>
        <row r="464">
          <cell r="A464" t="str">
            <v>PEIPL0601</v>
          </cell>
          <cell r="X464">
            <v>407938</v>
          </cell>
        </row>
        <row r="465">
          <cell r="A465" t="str">
            <v>PEPPL0438</v>
          </cell>
          <cell r="X465">
            <v>344569</v>
          </cell>
        </row>
        <row r="466">
          <cell r="A466" t="str">
            <v>PEPPL0508</v>
          </cell>
          <cell r="X466">
            <v>286978</v>
          </cell>
        </row>
        <row r="467">
          <cell r="A467" t="str">
            <v>PSS1115</v>
          </cell>
          <cell r="X467">
            <v>632416</v>
          </cell>
        </row>
        <row r="468">
          <cell r="A468" t="str">
            <v>PSS1332</v>
          </cell>
          <cell r="X468">
            <v>242824</v>
          </cell>
        </row>
        <row r="469">
          <cell r="A469" t="str">
            <v>PEPPL0684</v>
          </cell>
          <cell r="X469">
            <v>211612</v>
          </cell>
        </row>
        <row r="470">
          <cell r="A470" t="str">
            <v>PEIPL0213</v>
          </cell>
          <cell r="X470">
            <v>295036</v>
          </cell>
        </row>
        <row r="471">
          <cell r="A471" t="str">
            <v>PEIPL0390</v>
          </cell>
          <cell r="X471">
            <v>259612</v>
          </cell>
        </row>
        <row r="472">
          <cell r="A472" t="str">
            <v>PEPPL0699</v>
          </cell>
          <cell r="X472">
            <v>222590</v>
          </cell>
        </row>
        <row r="473">
          <cell r="A473" t="str">
            <v>PEIPL0059</v>
          </cell>
          <cell r="X473">
            <v>387894</v>
          </cell>
        </row>
        <row r="474">
          <cell r="A474" t="str">
            <v>P0451</v>
          </cell>
          <cell r="X474">
            <v>229494</v>
          </cell>
        </row>
        <row r="475">
          <cell r="A475" t="str">
            <v>PEIPL0361</v>
          </cell>
          <cell r="X475">
            <v>290040</v>
          </cell>
        </row>
        <row r="476">
          <cell r="A476" t="str">
            <v>PEIPL0314</v>
          </cell>
          <cell r="X476">
            <v>343477</v>
          </cell>
        </row>
        <row r="477">
          <cell r="A477" t="str">
            <v>PEIPL0062</v>
          </cell>
          <cell r="X477">
            <v>377948</v>
          </cell>
        </row>
        <row r="478">
          <cell r="A478" t="str">
            <v>PEPPL0008</v>
          </cell>
          <cell r="X478">
            <v>536351</v>
          </cell>
        </row>
        <row r="479">
          <cell r="A479" t="str">
            <v>PEIPL0293</v>
          </cell>
          <cell r="X479">
            <v>371193</v>
          </cell>
        </row>
        <row r="480">
          <cell r="A480" t="str">
            <v>PEPPL0704</v>
          </cell>
          <cell r="X480">
            <v>211849</v>
          </cell>
        </row>
        <row r="481">
          <cell r="A481" t="str">
            <v>PEPPL0683</v>
          </cell>
          <cell r="X481">
            <v>240666</v>
          </cell>
        </row>
        <row r="482">
          <cell r="A482" t="str">
            <v>PEIPL0338</v>
          </cell>
          <cell r="X482">
            <v>419469</v>
          </cell>
        </row>
        <row r="483">
          <cell r="A483" t="str">
            <v>PEPPL0407</v>
          </cell>
          <cell r="X483">
            <v>496318</v>
          </cell>
        </row>
        <row r="484">
          <cell r="A484" t="str">
            <v>PEPPL0602</v>
          </cell>
          <cell r="X484">
            <v>392698</v>
          </cell>
        </row>
        <row r="485">
          <cell r="A485" t="str">
            <v>PSS1374</v>
          </cell>
          <cell r="X485">
            <v>783699</v>
          </cell>
        </row>
        <row r="486">
          <cell r="A486" t="str">
            <v>PEIPL0395</v>
          </cell>
          <cell r="X486">
            <v>264010</v>
          </cell>
        </row>
        <row r="487">
          <cell r="A487" t="str">
            <v>PSS1355</v>
          </cell>
          <cell r="X487">
            <v>377702</v>
          </cell>
        </row>
        <row r="488">
          <cell r="A488" t="str">
            <v>P0137</v>
          </cell>
          <cell r="X488">
            <v>237321</v>
          </cell>
        </row>
        <row r="489">
          <cell r="A489" t="str">
            <v>P0338</v>
          </cell>
          <cell r="X489">
            <v>232749</v>
          </cell>
        </row>
        <row r="490">
          <cell r="A490" t="str">
            <v>P0493</v>
          </cell>
          <cell r="X490">
            <v>232749</v>
          </cell>
        </row>
        <row r="491">
          <cell r="A491" t="str">
            <v>PEIPL0083</v>
          </cell>
          <cell r="X491">
            <v>359811</v>
          </cell>
        </row>
        <row r="492">
          <cell r="A492" t="str">
            <v>PEIPL0138</v>
          </cell>
          <cell r="X492">
            <v>302409</v>
          </cell>
        </row>
        <row r="493">
          <cell r="A493" t="str">
            <v>PEIPL0180</v>
          </cell>
          <cell r="X493">
            <v>324117</v>
          </cell>
        </row>
        <row r="494">
          <cell r="A494" t="str">
            <v>PEPPL0583</v>
          </cell>
          <cell r="X494">
            <v>506556</v>
          </cell>
        </row>
        <row r="495">
          <cell r="A495" t="str">
            <v>PSS0950</v>
          </cell>
          <cell r="X495">
            <v>240849</v>
          </cell>
        </row>
        <row r="496">
          <cell r="A496" t="str">
            <v>PSS0951</v>
          </cell>
          <cell r="X496">
            <v>240849</v>
          </cell>
        </row>
        <row r="497">
          <cell r="A497" t="str">
            <v>PEIPL0208</v>
          </cell>
          <cell r="X497">
            <v>376673</v>
          </cell>
        </row>
        <row r="498">
          <cell r="A498" t="str">
            <v>PEPPL0717</v>
          </cell>
          <cell r="X498">
            <v>611893</v>
          </cell>
        </row>
        <row r="499">
          <cell r="A499" t="str">
            <v>PEPPL0128</v>
          </cell>
          <cell r="X499">
            <v>724504</v>
          </cell>
        </row>
        <row r="500">
          <cell r="A500" t="str">
            <v>P0111</v>
          </cell>
          <cell r="X500">
            <v>711527</v>
          </cell>
        </row>
        <row r="501">
          <cell r="A501" t="str">
            <v>PEGEPL0010</v>
          </cell>
          <cell r="X501">
            <v>324275</v>
          </cell>
        </row>
        <row r="502">
          <cell r="A502" t="str">
            <v>PEIPL0189</v>
          </cell>
          <cell r="X502">
            <v>407414</v>
          </cell>
        </row>
        <row r="503">
          <cell r="A503" t="str">
            <v>PEIPL0413</v>
          </cell>
          <cell r="X503">
            <v>378125</v>
          </cell>
        </row>
        <row r="504">
          <cell r="A504" t="str">
            <v>PEPPL0026</v>
          </cell>
          <cell r="X504">
            <v>1702225</v>
          </cell>
        </row>
        <row r="505">
          <cell r="A505" t="str">
            <v>PEIPL0461</v>
          </cell>
          <cell r="X505">
            <v>312625</v>
          </cell>
        </row>
        <row r="506">
          <cell r="A506" t="str">
            <v>PEIPL0462</v>
          </cell>
          <cell r="X506">
            <v>581825</v>
          </cell>
        </row>
        <row r="507">
          <cell r="A507" t="str">
            <v>PEPPL0066</v>
          </cell>
          <cell r="X507">
            <v>710945</v>
          </cell>
        </row>
        <row r="508">
          <cell r="A508" t="str">
            <v>PEIPL0061</v>
          </cell>
          <cell r="X508">
            <v>419941</v>
          </cell>
        </row>
        <row r="509">
          <cell r="A509" t="str">
            <v>PEPPL0140</v>
          </cell>
          <cell r="X509">
            <v>862477</v>
          </cell>
        </row>
        <row r="510">
          <cell r="A510" t="str">
            <v>PEPPL0226</v>
          </cell>
          <cell r="X510">
            <v>377407</v>
          </cell>
        </row>
        <row r="511">
          <cell r="A511" t="str">
            <v>PEPPL0227</v>
          </cell>
          <cell r="X511">
            <v>377407</v>
          </cell>
        </row>
        <row r="512">
          <cell r="A512" t="str">
            <v>PEPPL0275</v>
          </cell>
          <cell r="X512">
            <v>517489</v>
          </cell>
        </row>
        <row r="513">
          <cell r="A513" t="str">
            <v>PEIPL0227</v>
          </cell>
          <cell r="X513">
            <v>271652</v>
          </cell>
        </row>
        <row r="514">
          <cell r="A514" t="str">
            <v>PEIPL0095</v>
          </cell>
          <cell r="X514">
            <v>548004</v>
          </cell>
        </row>
        <row r="515">
          <cell r="A515" t="str">
            <v>PEIPL0282</v>
          </cell>
          <cell r="X515">
            <v>309768</v>
          </cell>
        </row>
        <row r="516">
          <cell r="A516" t="str">
            <v>PEIPL0337</v>
          </cell>
          <cell r="X516">
            <v>317688</v>
          </cell>
        </row>
        <row r="517">
          <cell r="A517" t="str">
            <v>PEIPL0249</v>
          </cell>
          <cell r="X517">
            <v>402654</v>
          </cell>
        </row>
        <row r="518">
          <cell r="A518" t="str">
            <v>P0472</v>
          </cell>
          <cell r="X518">
            <v>244400</v>
          </cell>
        </row>
        <row r="519">
          <cell r="A519" t="str">
            <v>P0473</v>
          </cell>
          <cell r="X519">
            <v>244400</v>
          </cell>
        </row>
        <row r="520">
          <cell r="A520" t="str">
            <v>PEIPL0006</v>
          </cell>
          <cell r="X520">
            <v>292190</v>
          </cell>
        </row>
        <row r="521">
          <cell r="A521" t="str">
            <v>PEIPL0498</v>
          </cell>
          <cell r="X521">
            <v>497336</v>
          </cell>
        </row>
        <row r="522">
          <cell r="A522" t="str">
            <v>PEIPL0510</v>
          </cell>
          <cell r="X522">
            <v>409964</v>
          </cell>
        </row>
        <row r="523">
          <cell r="A523" t="str">
            <v>PEIPL0517</v>
          </cell>
          <cell r="X523">
            <v>471632</v>
          </cell>
        </row>
        <row r="524">
          <cell r="A524" t="str">
            <v>PEPPL0353</v>
          </cell>
          <cell r="X524">
            <v>286700</v>
          </cell>
        </row>
        <row r="525">
          <cell r="A525" t="str">
            <v>PEPPL0555</v>
          </cell>
          <cell r="X525">
            <v>349052</v>
          </cell>
        </row>
        <row r="526">
          <cell r="A526" t="str">
            <v>PSS0792</v>
          </cell>
          <cell r="X526">
            <v>331100</v>
          </cell>
        </row>
        <row r="527">
          <cell r="A527" t="str">
            <v>PSS0981</v>
          </cell>
          <cell r="X527">
            <v>226427</v>
          </cell>
        </row>
        <row r="528">
          <cell r="A528" t="str">
            <v>PEPPL0510</v>
          </cell>
          <cell r="X528">
            <v>608765</v>
          </cell>
        </row>
        <row r="529">
          <cell r="A529" t="str">
            <v>PEPPL0652</v>
          </cell>
          <cell r="X529">
            <v>627926</v>
          </cell>
        </row>
        <row r="530">
          <cell r="A530" t="str">
            <v>PEPPL0697</v>
          </cell>
          <cell r="X530">
            <v>226949</v>
          </cell>
        </row>
        <row r="531">
          <cell r="A531" t="str">
            <v>PEPPL0002</v>
          </cell>
          <cell r="X531">
            <v>2738101</v>
          </cell>
        </row>
        <row r="532">
          <cell r="A532" t="str">
            <v>PEPPL0217</v>
          </cell>
          <cell r="X532">
            <v>282472</v>
          </cell>
        </row>
        <row r="533">
          <cell r="A533" t="str">
            <v>PEPPL0722</v>
          </cell>
          <cell r="X533">
            <v>858113</v>
          </cell>
        </row>
        <row r="534">
          <cell r="A534" t="str">
            <v>PEIPL0478</v>
          </cell>
          <cell r="X534">
            <v>205942</v>
          </cell>
        </row>
        <row r="535">
          <cell r="A535" t="str">
            <v>PEIPL0500</v>
          </cell>
          <cell r="X535">
            <v>538656</v>
          </cell>
        </row>
        <row r="536">
          <cell r="A536" t="str">
            <v>PEPPL0035</v>
          </cell>
          <cell r="X536">
            <v>1382484</v>
          </cell>
        </row>
        <row r="537">
          <cell r="A537" t="str">
            <v>PEPPL0126</v>
          </cell>
          <cell r="X537">
            <v>1140006</v>
          </cell>
        </row>
        <row r="538">
          <cell r="A538" t="str">
            <v>PEPPL0246</v>
          </cell>
          <cell r="X538">
            <v>646500</v>
          </cell>
        </row>
        <row r="539">
          <cell r="A539" t="str">
            <v>PEPPL0261</v>
          </cell>
          <cell r="X539">
            <v>857154</v>
          </cell>
        </row>
        <row r="540">
          <cell r="A540" t="str">
            <v>PEPPL0131</v>
          </cell>
          <cell r="X540">
            <v>909804</v>
          </cell>
        </row>
        <row r="541">
          <cell r="A541" t="str">
            <v>PEIPL0129</v>
          </cell>
          <cell r="X541">
            <v>410406</v>
          </cell>
        </row>
        <row r="542">
          <cell r="A542" t="str">
            <v>PEIPL0157</v>
          </cell>
          <cell r="X542">
            <v>478806</v>
          </cell>
        </row>
        <row r="543">
          <cell r="A543" t="str">
            <v>PEPPL0277</v>
          </cell>
          <cell r="X543">
            <v>502746</v>
          </cell>
        </row>
        <row r="544">
          <cell r="A544" t="str">
            <v>PEPPL0079</v>
          </cell>
          <cell r="X544">
            <v>476823</v>
          </cell>
        </row>
        <row r="545">
          <cell r="A545" t="str">
            <v>PEPPL0441</v>
          </cell>
          <cell r="X545">
            <v>369264</v>
          </cell>
        </row>
        <row r="546">
          <cell r="A546" t="str">
            <v>PEPPL0634</v>
          </cell>
          <cell r="X546">
            <v>398949</v>
          </cell>
        </row>
        <row r="547">
          <cell r="A547" t="str">
            <v>PEIPL0057</v>
          </cell>
          <cell r="X547">
            <v>2327870</v>
          </cell>
        </row>
        <row r="548">
          <cell r="A548" t="str">
            <v>PEPPL0679</v>
          </cell>
          <cell r="X548">
            <v>226505</v>
          </cell>
        </row>
        <row r="549">
          <cell r="A549" t="str">
            <v>PEIPL0320</v>
          </cell>
          <cell r="X549">
            <v>320894</v>
          </cell>
        </row>
        <row r="550">
          <cell r="A550" t="str">
            <v>PEIPL0235</v>
          </cell>
          <cell r="X550">
            <v>1331587</v>
          </cell>
        </row>
        <row r="551">
          <cell r="A551" t="str">
            <v>PEPPL0582</v>
          </cell>
          <cell r="X551">
            <v>526430</v>
          </cell>
        </row>
        <row r="552">
          <cell r="A552" t="str">
            <v>PEIPL0089</v>
          </cell>
          <cell r="X552">
            <v>376136</v>
          </cell>
        </row>
        <row r="553">
          <cell r="A553" t="str">
            <v>PEIPL0445</v>
          </cell>
          <cell r="X553">
            <v>425677</v>
          </cell>
        </row>
        <row r="554">
          <cell r="A554" t="str">
            <v>PEGEPL0022</v>
          </cell>
          <cell r="X554">
            <v>297334</v>
          </cell>
        </row>
        <row r="555">
          <cell r="A555" t="str">
            <v>PEIPL0140</v>
          </cell>
          <cell r="X555">
            <v>345610</v>
          </cell>
        </row>
        <row r="556">
          <cell r="A556" t="str">
            <v>PEIPL0509</v>
          </cell>
          <cell r="X556">
            <v>284833</v>
          </cell>
        </row>
        <row r="557">
          <cell r="A557" t="str">
            <v>PEIPL0597</v>
          </cell>
          <cell r="X557">
            <v>404299</v>
          </cell>
        </row>
        <row r="558">
          <cell r="A558" t="str">
            <v>PEPPL0072</v>
          </cell>
          <cell r="X558">
            <v>648010</v>
          </cell>
        </row>
        <row r="559">
          <cell r="A559" t="str">
            <v>PEPPL0383</v>
          </cell>
          <cell r="X559">
            <v>345610</v>
          </cell>
        </row>
        <row r="560">
          <cell r="A560" t="str">
            <v>PEPPL0373</v>
          </cell>
          <cell r="X560">
            <v>306259</v>
          </cell>
        </row>
        <row r="561">
          <cell r="A561" t="str">
            <v>PEPPL0611</v>
          </cell>
          <cell r="X561">
            <v>306082</v>
          </cell>
        </row>
        <row r="562">
          <cell r="A562" t="str">
            <v>PEPPL0641</v>
          </cell>
          <cell r="X562">
            <v>550855</v>
          </cell>
        </row>
        <row r="563">
          <cell r="A563" t="str">
            <v>PSS0024</v>
          </cell>
          <cell r="X563">
            <v>484471</v>
          </cell>
        </row>
        <row r="564">
          <cell r="A564" t="str">
            <v>PEPPL0603</v>
          </cell>
          <cell r="X564">
            <v>446194</v>
          </cell>
        </row>
        <row r="565">
          <cell r="A565" t="str">
            <v>PEIPL0039</v>
          </cell>
          <cell r="X565">
            <v>384075</v>
          </cell>
        </row>
        <row r="566">
          <cell r="A566" t="str">
            <v>PEPPL0327</v>
          </cell>
          <cell r="X566">
            <v>275217</v>
          </cell>
        </row>
        <row r="567">
          <cell r="A567" t="str">
            <v>PEPPL0403</v>
          </cell>
          <cell r="X567">
            <v>402561</v>
          </cell>
        </row>
        <row r="568">
          <cell r="A568" t="str">
            <v>PEPPL0001</v>
          </cell>
          <cell r="X568">
            <v>690135</v>
          </cell>
        </row>
        <row r="569">
          <cell r="A569" t="str">
            <v>PEIPL0289</v>
          </cell>
          <cell r="X569">
            <v>309387</v>
          </cell>
        </row>
        <row r="570">
          <cell r="A570" t="str">
            <v>PEIPL0198</v>
          </cell>
          <cell r="X570">
            <v>553202</v>
          </cell>
        </row>
        <row r="571">
          <cell r="A571" t="str">
            <v>PEPPL0299</v>
          </cell>
          <cell r="X571">
            <v>249566</v>
          </cell>
        </row>
        <row r="572">
          <cell r="A572" t="str">
            <v>PEIPL0246</v>
          </cell>
          <cell r="X572">
            <v>278924</v>
          </cell>
        </row>
        <row r="573">
          <cell r="A573" t="str">
            <v>PEIPL0335</v>
          </cell>
          <cell r="X573">
            <v>270289</v>
          </cell>
        </row>
        <row r="574">
          <cell r="A574" t="str">
            <v>PEPPL0677</v>
          </cell>
          <cell r="X574">
            <v>254227</v>
          </cell>
        </row>
        <row r="575">
          <cell r="A575" t="str">
            <v>P0462</v>
          </cell>
          <cell r="X575">
            <v>417055</v>
          </cell>
        </row>
        <row r="576">
          <cell r="A576" t="str">
            <v>PEIPL0172</v>
          </cell>
          <cell r="X576">
            <v>417055</v>
          </cell>
        </row>
        <row r="577">
          <cell r="A577" t="str">
            <v>PEIPL0179</v>
          </cell>
          <cell r="X577">
            <v>486880</v>
          </cell>
        </row>
        <row r="578">
          <cell r="A578" t="str">
            <v>PEPPL0633</v>
          </cell>
          <cell r="X578">
            <v>811882</v>
          </cell>
        </row>
        <row r="579">
          <cell r="A579" t="str">
            <v>PEIPL0197</v>
          </cell>
          <cell r="X579">
            <v>301750</v>
          </cell>
        </row>
        <row r="580">
          <cell r="A580" t="str">
            <v>PEIPL0038</v>
          </cell>
          <cell r="X580">
            <v>748866</v>
          </cell>
        </row>
        <row r="581">
          <cell r="A581" t="str">
            <v>PEIPL0329</v>
          </cell>
          <cell r="X581">
            <v>276466</v>
          </cell>
        </row>
        <row r="582">
          <cell r="A582" t="str">
            <v>PEIPL0408</v>
          </cell>
          <cell r="X582">
            <v>468506</v>
          </cell>
        </row>
        <row r="583">
          <cell r="A583" t="str">
            <v>PEIPL0439</v>
          </cell>
          <cell r="X583">
            <v>314466</v>
          </cell>
        </row>
        <row r="584">
          <cell r="A584" t="str">
            <v>P0438</v>
          </cell>
          <cell r="X584">
            <v>280626</v>
          </cell>
        </row>
        <row r="585">
          <cell r="A585" t="str">
            <v>PEIPL0494</v>
          </cell>
          <cell r="X585">
            <v>404538</v>
          </cell>
        </row>
        <row r="586">
          <cell r="A586" t="str">
            <v>PEPPL0588</v>
          </cell>
          <cell r="X586">
            <v>264165</v>
          </cell>
        </row>
        <row r="587">
          <cell r="A587" t="str">
            <v>PSS0973</v>
          </cell>
          <cell r="X587">
            <v>243321</v>
          </cell>
        </row>
        <row r="588">
          <cell r="A588" t="str">
            <v>PSS1333</v>
          </cell>
          <cell r="X588">
            <v>1522689</v>
          </cell>
        </row>
        <row r="589">
          <cell r="A589" t="str">
            <v>PEIPL0465</v>
          </cell>
          <cell r="X589">
            <v>343712</v>
          </cell>
        </row>
        <row r="590">
          <cell r="A590" t="str">
            <v>PEIPL0065</v>
          </cell>
          <cell r="X590">
            <v>435101</v>
          </cell>
        </row>
        <row r="591">
          <cell r="A591" t="str">
            <v>PEIPL0067</v>
          </cell>
          <cell r="X591">
            <v>435101</v>
          </cell>
        </row>
        <row r="592">
          <cell r="A592" t="str">
            <v>PEIPL0174</v>
          </cell>
          <cell r="X592">
            <v>999008</v>
          </cell>
        </row>
        <row r="593">
          <cell r="A593" t="str">
            <v>PEPPL0333</v>
          </cell>
          <cell r="X593">
            <v>272624</v>
          </cell>
        </row>
        <row r="594">
          <cell r="A594" t="str">
            <v>PEIPL0192</v>
          </cell>
          <cell r="X594">
            <v>1025649</v>
          </cell>
        </row>
        <row r="595">
          <cell r="A595" t="str">
            <v>P0467</v>
          </cell>
          <cell r="X595">
            <v>182013</v>
          </cell>
        </row>
        <row r="596">
          <cell r="A596" t="str">
            <v>PEPPL0375</v>
          </cell>
          <cell r="X596">
            <v>358417</v>
          </cell>
        </row>
        <row r="597">
          <cell r="A597" t="str">
            <v>PEIPL0464</v>
          </cell>
          <cell r="X597">
            <v>449592</v>
          </cell>
        </row>
        <row r="598">
          <cell r="A598" t="str">
            <v>PEPPL0665</v>
          </cell>
          <cell r="X598">
            <v>254702</v>
          </cell>
        </row>
        <row r="599">
          <cell r="A599" t="str">
            <v>PEIPL0110</v>
          </cell>
          <cell r="X599">
            <v>500265</v>
          </cell>
        </row>
        <row r="600">
          <cell r="A600" t="str">
            <v>PEPPL0316</v>
          </cell>
          <cell r="X600">
            <v>366732</v>
          </cell>
        </row>
        <row r="601">
          <cell r="A601" t="str">
            <v>PEPPL0450</v>
          </cell>
          <cell r="X601">
            <v>498045</v>
          </cell>
        </row>
        <row r="602">
          <cell r="A602" t="str">
            <v>PEPPL0606</v>
          </cell>
          <cell r="X602">
            <v>2321743</v>
          </cell>
        </row>
        <row r="603">
          <cell r="A603" t="str">
            <v>P0272</v>
          </cell>
          <cell r="X603">
            <v>191342</v>
          </cell>
        </row>
        <row r="604">
          <cell r="A604" t="str">
            <v>P0273</v>
          </cell>
          <cell r="X604">
            <v>191342</v>
          </cell>
        </row>
        <row r="605">
          <cell r="A605" t="str">
            <v>P0279</v>
          </cell>
          <cell r="X605">
            <v>191342</v>
          </cell>
        </row>
        <row r="606">
          <cell r="A606" t="str">
            <v>P0280</v>
          </cell>
          <cell r="X606">
            <v>191342</v>
          </cell>
        </row>
        <row r="607">
          <cell r="A607" t="str">
            <v>P0281</v>
          </cell>
          <cell r="X607">
            <v>191342</v>
          </cell>
        </row>
        <row r="608">
          <cell r="A608" t="str">
            <v>P0282</v>
          </cell>
          <cell r="X608">
            <v>191342</v>
          </cell>
        </row>
        <row r="609">
          <cell r="A609" t="str">
            <v>P0284</v>
          </cell>
          <cell r="X609">
            <v>191342</v>
          </cell>
        </row>
        <row r="610">
          <cell r="A610" t="str">
            <v>P0285</v>
          </cell>
          <cell r="X610">
            <v>191342</v>
          </cell>
        </row>
        <row r="611">
          <cell r="A611" t="str">
            <v>P0287</v>
          </cell>
          <cell r="X611">
            <v>191342</v>
          </cell>
        </row>
        <row r="612">
          <cell r="A612" t="str">
            <v>P0288</v>
          </cell>
          <cell r="X612">
            <v>191342</v>
          </cell>
        </row>
        <row r="613">
          <cell r="A613" t="str">
            <v>P0290</v>
          </cell>
          <cell r="X613">
            <v>191342</v>
          </cell>
        </row>
        <row r="614">
          <cell r="A614" t="str">
            <v>P0291</v>
          </cell>
          <cell r="X614">
            <v>191342</v>
          </cell>
        </row>
        <row r="615">
          <cell r="A615" t="str">
            <v>P0293</v>
          </cell>
          <cell r="X615">
            <v>191342</v>
          </cell>
        </row>
        <row r="616">
          <cell r="A616" t="str">
            <v>P0295</v>
          </cell>
          <cell r="X616">
            <v>191342</v>
          </cell>
        </row>
        <row r="617">
          <cell r="A617" t="str">
            <v>P0296</v>
          </cell>
          <cell r="X617">
            <v>191342</v>
          </cell>
        </row>
        <row r="618">
          <cell r="A618" t="str">
            <v>P0300</v>
          </cell>
          <cell r="X618">
            <v>191342</v>
          </cell>
        </row>
        <row r="619">
          <cell r="A619" t="str">
            <v>P0301</v>
          </cell>
          <cell r="X619">
            <v>191342</v>
          </cell>
        </row>
        <row r="620">
          <cell r="A620" t="str">
            <v>P0302</v>
          </cell>
          <cell r="X620">
            <v>191342</v>
          </cell>
        </row>
        <row r="621">
          <cell r="A621" t="str">
            <v>P0364</v>
          </cell>
          <cell r="X621">
            <v>191342</v>
          </cell>
        </row>
        <row r="622">
          <cell r="A622" t="str">
            <v>P0365</v>
          </cell>
          <cell r="X622">
            <v>191342</v>
          </cell>
        </row>
        <row r="623">
          <cell r="A623" t="str">
            <v>P0366</v>
          </cell>
          <cell r="X623">
            <v>191342</v>
          </cell>
        </row>
        <row r="624">
          <cell r="A624" t="str">
            <v>P0367</v>
          </cell>
          <cell r="X624">
            <v>191342</v>
          </cell>
        </row>
        <row r="625">
          <cell r="A625" t="str">
            <v>P0369</v>
          </cell>
          <cell r="X625">
            <v>191342</v>
          </cell>
        </row>
        <row r="626">
          <cell r="A626" t="str">
            <v>P0370</v>
          </cell>
          <cell r="X626">
            <v>191342</v>
          </cell>
        </row>
        <row r="627">
          <cell r="A627" t="str">
            <v>P0371</v>
          </cell>
          <cell r="X627">
            <v>191342</v>
          </cell>
        </row>
        <row r="628">
          <cell r="A628" t="str">
            <v>P0379</v>
          </cell>
          <cell r="X628">
            <v>191342</v>
          </cell>
        </row>
        <row r="629">
          <cell r="A629" t="str">
            <v>P0393</v>
          </cell>
          <cell r="X629">
            <v>191342</v>
          </cell>
        </row>
        <row r="630">
          <cell r="A630" t="str">
            <v>P0394</v>
          </cell>
          <cell r="X630">
            <v>191342</v>
          </cell>
        </row>
        <row r="631">
          <cell r="A631" t="str">
            <v>P0474</v>
          </cell>
          <cell r="X631">
            <v>232697</v>
          </cell>
        </row>
        <row r="632">
          <cell r="A632" t="str">
            <v>PEIPL0054</v>
          </cell>
          <cell r="X632">
            <v>416801</v>
          </cell>
        </row>
        <row r="633">
          <cell r="A633" t="str">
            <v>PEIPL0104</v>
          </cell>
          <cell r="X633">
            <v>339428</v>
          </cell>
        </row>
        <row r="634">
          <cell r="A634" t="str">
            <v>PEIPL0166</v>
          </cell>
          <cell r="X634">
            <v>285023</v>
          </cell>
        </row>
        <row r="635">
          <cell r="A635" t="str">
            <v>PEIPL0175</v>
          </cell>
          <cell r="X635">
            <v>296390</v>
          </cell>
        </row>
        <row r="636">
          <cell r="A636" t="str">
            <v>PEPPL0113</v>
          </cell>
          <cell r="X636">
            <v>489710</v>
          </cell>
        </row>
        <row r="637">
          <cell r="A637" t="str">
            <v>PEPPL0305</v>
          </cell>
          <cell r="X637">
            <v>325319</v>
          </cell>
        </row>
        <row r="638">
          <cell r="A638" t="str">
            <v>PEPPL0493</v>
          </cell>
          <cell r="X638">
            <v>299099</v>
          </cell>
        </row>
        <row r="639">
          <cell r="A639" t="str">
            <v>PEPPL0560</v>
          </cell>
          <cell r="X639">
            <v>308564</v>
          </cell>
        </row>
        <row r="640">
          <cell r="A640" t="str">
            <v>PSS0624</v>
          </cell>
          <cell r="X640">
            <v>216128</v>
          </cell>
        </row>
        <row r="641">
          <cell r="A641" t="str">
            <v>PSS0636</v>
          </cell>
          <cell r="X641">
            <v>489311</v>
          </cell>
        </row>
        <row r="642">
          <cell r="A642" t="str">
            <v>PSS1170</v>
          </cell>
          <cell r="X642">
            <v>304625</v>
          </cell>
        </row>
        <row r="643">
          <cell r="A643" t="str">
            <v>PSS1353</v>
          </cell>
          <cell r="X643">
            <v>144371</v>
          </cell>
        </row>
        <row r="644">
          <cell r="A644" t="str">
            <v>PEPPL0334</v>
          </cell>
          <cell r="X644">
            <v>652547</v>
          </cell>
        </row>
        <row r="645">
          <cell r="A645" t="str">
            <v>PEIPL0564</v>
          </cell>
          <cell r="X645">
            <v>877511</v>
          </cell>
        </row>
        <row r="646">
          <cell r="A646" t="str">
            <v>PEPPL0091</v>
          </cell>
          <cell r="X646">
            <v>548192</v>
          </cell>
        </row>
        <row r="647">
          <cell r="A647" t="str">
            <v>PSS0200</v>
          </cell>
          <cell r="X647">
            <v>1731611</v>
          </cell>
        </row>
        <row r="648">
          <cell r="A648" t="str">
            <v>PEIPL0427</v>
          </cell>
          <cell r="X648">
            <v>410270</v>
          </cell>
        </row>
        <row r="649">
          <cell r="A649" t="str">
            <v>PEIPL0024</v>
          </cell>
          <cell r="X649">
            <v>448219</v>
          </cell>
        </row>
        <row r="650">
          <cell r="A650" t="str">
            <v>PEPPL0667</v>
          </cell>
          <cell r="X650">
            <v>227266</v>
          </cell>
        </row>
        <row r="651">
          <cell r="A651" t="str">
            <v>PEIPL0415</v>
          </cell>
          <cell r="X651">
            <v>378469</v>
          </cell>
        </row>
        <row r="652">
          <cell r="A652" t="str">
            <v>P0484</v>
          </cell>
          <cell r="X652">
            <v>383796</v>
          </cell>
        </row>
        <row r="653">
          <cell r="A653" t="str">
            <v>PEIPL0025</v>
          </cell>
          <cell r="X653">
            <v>511077</v>
          </cell>
        </row>
        <row r="654">
          <cell r="A654" t="str">
            <v>PEIPL0119</v>
          </cell>
          <cell r="X654">
            <v>358773</v>
          </cell>
        </row>
        <row r="655">
          <cell r="A655" t="str">
            <v>PEPPL0269</v>
          </cell>
          <cell r="X655">
            <v>312312</v>
          </cell>
        </row>
        <row r="656">
          <cell r="A656" t="str">
            <v>PEPPL0505</v>
          </cell>
          <cell r="X656">
            <v>389667</v>
          </cell>
        </row>
        <row r="657">
          <cell r="A657" t="str">
            <v>PEPPL0551</v>
          </cell>
          <cell r="X657">
            <v>358821</v>
          </cell>
        </row>
        <row r="658">
          <cell r="A658" t="str">
            <v>PEIPL0422</v>
          </cell>
          <cell r="X658">
            <v>251941</v>
          </cell>
        </row>
        <row r="659">
          <cell r="A659" t="str">
            <v>PEIPL0472</v>
          </cell>
          <cell r="X659">
            <v>253381</v>
          </cell>
        </row>
        <row r="660">
          <cell r="A660" t="str">
            <v>PEPPL0427</v>
          </cell>
          <cell r="X660">
            <v>321293</v>
          </cell>
        </row>
        <row r="661">
          <cell r="A661" t="str">
            <v>PEIPL0432</v>
          </cell>
          <cell r="X661">
            <v>303022</v>
          </cell>
        </row>
        <row r="662">
          <cell r="A662" t="str">
            <v>PEIPL0449</v>
          </cell>
          <cell r="X662">
            <v>595506</v>
          </cell>
        </row>
        <row r="663">
          <cell r="A663" t="str">
            <v>PEPPL0745</v>
          </cell>
          <cell r="X663">
            <v>311124</v>
          </cell>
        </row>
        <row r="664">
          <cell r="A664" t="str">
            <v>PEPPL0152</v>
          </cell>
          <cell r="X664">
            <v>3147454</v>
          </cell>
        </row>
        <row r="665">
          <cell r="A665" t="str">
            <v>PEPPL0005</v>
          </cell>
          <cell r="X665">
            <v>756514</v>
          </cell>
        </row>
        <row r="666">
          <cell r="A666" t="str">
            <v>P0129</v>
          </cell>
          <cell r="X666">
            <v>245320</v>
          </cell>
        </row>
        <row r="667">
          <cell r="A667" t="str">
            <v>PEIPL0232</v>
          </cell>
          <cell r="X667">
            <v>247246</v>
          </cell>
        </row>
        <row r="668">
          <cell r="A668" t="str">
            <v>PEIPL0496</v>
          </cell>
          <cell r="X668">
            <v>251827</v>
          </cell>
        </row>
        <row r="669">
          <cell r="A669" t="str">
            <v>PEIPL0642</v>
          </cell>
          <cell r="X669">
            <v>251827</v>
          </cell>
        </row>
        <row r="670">
          <cell r="A670" t="str">
            <v>PSS1310</v>
          </cell>
          <cell r="X670">
            <v>163348</v>
          </cell>
        </row>
        <row r="671">
          <cell r="A671" t="str">
            <v>P0250</v>
          </cell>
          <cell r="X671">
            <v>268225</v>
          </cell>
        </row>
        <row r="672">
          <cell r="A672" t="str">
            <v>P0257</v>
          </cell>
          <cell r="X672">
            <v>265561</v>
          </cell>
        </row>
        <row r="673">
          <cell r="A673" t="str">
            <v>P0262</v>
          </cell>
          <cell r="X673">
            <v>268225</v>
          </cell>
        </row>
        <row r="674">
          <cell r="A674" t="str">
            <v>P0267</v>
          </cell>
          <cell r="X674">
            <v>268225</v>
          </cell>
        </row>
        <row r="675">
          <cell r="A675" t="str">
            <v>P0373</v>
          </cell>
          <cell r="X675">
            <v>268225</v>
          </cell>
        </row>
        <row r="676">
          <cell r="A676" t="str">
            <v>P0374</v>
          </cell>
          <cell r="X676">
            <v>268225</v>
          </cell>
        </row>
        <row r="677">
          <cell r="A677" t="str">
            <v>P0375</v>
          </cell>
          <cell r="X677">
            <v>268225</v>
          </cell>
        </row>
        <row r="678">
          <cell r="A678" t="str">
            <v>P0376</v>
          </cell>
          <cell r="X678">
            <v>268225</v>
          </cell>
        </row>
        <row r="679">
          <cell r="A679" t="str">
            <v>P0405</v>
          </cell>
          <cell r="X679">
            <v>317572</v>
          </cell>
        </row>
        <row r="680">
          <cell r="A680" t="str">
            <v>P0487</v>
          </cell>
          <cell r="X680">
            <v>304900</v>
          </cell>
        </row>
        <row r="681">
          <cell r="A681" t="str">
            <v>PEIPL0082</v>
          </cell>
          <cell r="X681">
            <v>441232</v>
          </cell>
        </row>
        <row r="682">
          <cell r="A682" t="str">
            <v>PEIPL0511</v>
          </cell>
          <cell r="X682">
            <v>342235</v>
          </cell>
        </row>
        <row r="683">
          <cell r="A683" t="str">
            <v>PEPPL0418</v>
          </cell>
          <cell r="X683">
            <v>272320</v>
          </cell>
        </row>
        <row r="684">
          <cell r="A684" t="str">
            <v>PEPPL0468</v>
          </cell>
          <cell r="X684">
            <v>477238</v>
          </cell>
        </row>
        <row r="685">
          <cell r="A685" t="str">
            <v>PEPPL0491</v>
          </cell>
          <cell r="X685">
            <v>274006</v>
          </cell>
        </row>
        <row r="686">
          <cell r="A686" t="str">
            <v>PSS0288</v>
          </cell>
          <cell r="X686">
            <v>371005</v>
          </cell>
        </row>
        <row r="687">
          <cell r="A687" t="str">
            <v>PSS1164</v>
          </cell>
          <cell r="X687">
            <v>334096</v>
          </cell>
        </row>
        <row r="688">
          <cell r="A688" t="str">
            <v>PSS1264</v>
          </cell>
          <cell r="X688">
            <v>334096</v>
          </cell>
        </row>
        <row r="689">
          <cell r="A689" t="str">
            <v>PSS1341</v>
          </cell>
          <cell r="X689">
            <v>287458</v>
          </cell>
        </row>
        <row r="690">
          <cell r="A690" t="str">
            <v>PEIPL0336</v>
          </cell>
          <cell r="X690">
            <v>508111</v>
          </cell>
        </row>
        <row r="691">
          <cell r="A691" t="str">
            <v>PEPPL0013</v>
          </cell>
          <cell r="X691">
            <v>1318547</v>
          </cell>
        </row>
        <row r="692">
          <cell r="A692" t="str">
            <v>PEIPL0473</v>
          </cell>
          <cell r="X692">
            <v>202907</v>
          </cell>
        </row>
        <row r="693">
          <cell r="A693" t="str">
            <v>PEIPL0296</v>
          </cell>
          <cell r="X693">
            <v>267191</v>
          </cell>
        </row>
        <row r="694">
          <cell r="A694" t="str">
            <v>P0431</v>
          </cell>
          <cell r="X694">
            <v>379104</v>
          </cell>
        </row>
        <row r="695">
          <cell r="A695" t="str">
            <v>PEIPL0084</v>
          </cell>
          <cell r="X695">
            <v>889206</v>
          </cell>
        </row>
        <row r="696">
          <cell r="A696" t="str">
            <v>PEIPL0489</v>
          </cell>
          <cell r="X696">
            <v>363342</v>
          </cell>
        </row>
        <row r="697">
          <cell r="A697" t="str">
            <v>PEPPL0239</v>
          </cell>
          <cell r="X697">
            <v>435948</v>
          </cell>
        </row>
        <row r="698">
          <cell r="A698" t="str">
            <v>PEPPL0529</v>
          </cell>
          <cell r="X698">
            <v>360456</v>
          </cell>
        </row>
        <row r="699">
          <cell r="A699" t="str">
            <v>PEPPL0090</v>
          </cell>
          <cell r="X699">
            <v>1450806</v>
          </cell>
        </row>
        <row r="700">
          <cell r="A700" t="str">
            <v>PEPPL0707</v>
          </cell>
          <cell r="X700">
            <v>299994</v>
          </cell>
        </row>
        <row r="701">
          <cell r="A701" t="str">
            <v>PEIPL0436</v>
          </cell>
          <cell r="X701">
            <v>272556</v>
          </cell>
        </row>
        <row r="702">
          <cell r="A702" t="str">
            <v>PEPPL0415</v>
          </cell>
          <cell r="X702">
            <v>491233</v>
          </cell>
        </row>
        <row r="703">
          <cell r="A703" t="str">
            <v>PEPPL0631</v>
          </cell>
          <cell r="X703">
            <v>526168</v>
          </cell>
        </row>
        <row r="704">
          <cell r="A704" t="str">
            <v>PEPPL0687</v>
          </cell>
          <cell r="X704">
            <v>211671</v>
          </cell>
        </row>
        <row r="705">
          <cell r="A705" t="str">
            <v>PEIPL0416</v>
          </cell>
          <cell r="X705">
            <v>930509</v>
          </cell>
        </row>
        <row r="706">
          <cell r="A706" t="str">
            <v>P0480</v>
          </cell>
          <cell r="X706">
            <v>368660</v>
          </cell>
        </row>
        <row r="707">
          <cell r="A707" t="str">
            <v>PEIPL0047</v>
          </cell>
          <cell r="X707">
            <v>350321</v>
          </cell>
        </row>
        <row r="708">
          <cell r="A708" t="str">
            <v>PEIPL0088</v>
          </cell>
          <cell r="X708">
            <v>400310</v>
          </cell>
        </row>
        <row r="709">
          <cell r="A709" t="str">
            <v>PEPPL0202</v>
          </cell>
          <cell r="X709">
            <v>251555</v>
          </cell>
        </row>
        <row r="710">
          <cell r="A710" t="str">
            <v>PEPPL0203</v>
          </cell>
          <cell r="X710">
            <v>251555</v>
          </cell>
        </row>
        <row r="711">
          <cell r="A711" t="str">
            <v>PEPPL0187</v>
          </cell>
          <cell r="X711">
            <v>350466</v>
          </cell>
        </row>
        <row r="712">
          <cell r="A712" t="str">
            <v>PEIPL0211</v>
          </cell>
          <cell r="X712">
            <v>351339</v>
          </cell>
        </row>
        <row r="713">
          <cell r="A713" t="str">
            <v>PEIPL0261</v>
          </cell>
          <cell r="X713">
            <v>280652</v>
          </cell>
        </row>
        <row r="714">
          <cell r="A714" t="str">
            <v>PEPPL0074</v>
          </cell>
          <cell r="X714">
            <v>423595</v>
          </cell>
        </row>
        <row r="715">
          <cell r="A715" t="str">
            <v>PEPPL0482</v>
          </cell>
          <cell r="X715">
            <v>1450813</v>
          </cell>
        </row>
        <row r="716">
          <cell r="A716" t="str">
            <v>PEIPL0310</v>
          </cell>
          <cell r="X716">
            <v>346574</v>
          </cell>
        </row>
        <row r="717">
          <cell r="A717" t="str">
            <v>PEPPL0714</v>
          </cell>
          <cell r="X717">
            <v>211908</v>
          </cell>
        </row>
        <row r="718">
          <cell r="A718" t="str">
            <v>P0396</v>
          </cell>
          <cell r="X718">
            <v>253731</v>
          </cell>
        </row>
        <row r="719">
          <cell r="A719" t="str">
            <v>P0397</v>
          </cell>
          <cell r="X719">
            <v>253731</v>
          </cell>
        </row>
        <row r="720">
          <cell r="A720" t="str">
            <v>P0398</v>
          </cell>
          <cell r="X720">
            <v>253731</v>
          </cell>
        </row>
        <row r="721">
          <cell r="A721" t="str">
            <v>PEGEPL0011</v>
          </cell>
          <cell r="X721">
            <v>288912</v>
          </cell>
        </row>
        <row r="722">
          <cell r="A722" t="str">
            <v>PEIPL0045</v>
          </cell>
          <cell r="X722">
            <v>420480</v>
          </cell>
        </row>
        <row r="723">
          <cell r="A723" t="str">
            <v>PEPPL0352</v>
          </cell>
          <cell r="X723">
            <v>272334</v>
          </cell>
        </row>
        <row r="724">
          <cell r="A724" t="str">
            <v>PEPPL0356</v>
          </cell>
          <cell r="X724">
            <v>406158</v>
          </cell>
        </row>
        <row r="725">
          <cell r="A725" t="str">
            <v>PEPPL0372</v>
          </cell>
          <cell r="X725">
            <v>282504</v>
          </cell>
        </row>
        <row r="726">
          <cell r="A726" t="str">
            <v>PEPPL0392</v>
          </cell>
          <cell r="X726">
            <v>282504</v>
          </cell>
        </row>
        <row r="727">
          <cell r="A727" t="str">
            <v>PEPPL0612</v>
          </cell>
          <cell r="X727">
            <v>312408</v>
          </cell>
        </row>
        <row r="728">
          <cell r="A728" t="str">
            <v>PEPPL0708</v>
          </cell>
          <cell r="X728">
            <v>282791</v>
          </cell>
        </row>
        <row r="729">
          <cell r="A729" t="str">
            <v>PEIPL0290</v>
          </cell>
          <cell r="X729">
            <v>360239</v>
          </cell>
        </row>
        <row r="730">
          <cell r="A730" t="str">
            <v>PEIPL0219</v>
          </cell>
          <cell r="X730">
            <v>245702</v>
          </cell>
        </row>
        <row r="731">
          <cell r="A731" t="str">
            <v>PEIPL0221</v>
          </cell>
          <cell r="X731">
            <v>245702</v>
          </cell>
        </row>
        <row r="732">
          <cell r="A732" t="str">
            <v>PEPPL0579</v>
          </cell>
          <cell r="X732">
            <v>415028</v>
          </cell>
        </row>
        <row r="733">
          <cell r="A733" t="str">
            <v>PEPPL0111</v>
          </cell>
          <cell r="X733">
            <v>1469796</v>
          </cell>
        </row>
        <row r="734">
          <cell r="A734" t="str">
            <v>PEIPL0381</v>
          </cell>
          <cell r="X734">
            <v>306759</v>
          </cell>
        </row>
        <row r="735">
          <cell r="A735" t="str">
            <v>PEIPL0035</v>
          </cell>
          <cell r="X735">
            <v>2334843</v>
          </cell>
        </row>
        <row r="736">
          <cell r="A736" t="str">
            <v>PEIPL0009</v>
          </cell>
          <cell r="X736">
            <v>515662</v>
          </cell>
        </row>
        <row r="737">
          <cell r="A737" t="str">
            <v>PEIPL0074</v>
          </cell>
          <cell r="X737">
            <v>377380</v>
          </cell>
        </row>
        <row r="738">
          <cell r="A738" t="str">
            <v>PEIPL0127</v>
          </cell>
          <cell r="X738">
            <v>358285</v>
          </cell>
        </row>
        <row r="739">
          <cell r="A739" t="str">
            <v>PEPPL0077</v>
          </cell>
          <cell r="X739">
            <v>502597</v>
          </cell>
        </row>
        <row r="740">
          <cell r="A740" t="str">
            <v>PEPPL0705</v>
          </cell>
          <cell r="X740">
            <v>240948</v>
          </cell>
        </row>
        <row r="741">
          <cell r="A741" t="str">
            <v>PSS1371</v>
          </cell>
          <cell r="X741">
            <v>3475759</v>
          </cell>
        </row>
        <row r="742">
          <cell r="A742" t="str">
            <v>PEIPL0324</v>
          </cell>
          <cell r="X742">
            <v>331759</v>
          </cell>
        </row>
        <row r="743">
          <cell r="A743" t="str">
            <v>PEIPL0359</v>
          </cell>
          <cell r="X743">
            <v>272416</v>
          </cell>
        </row>
        <row r="744">
          <cell r="A744" t="str">
            <v>PEPPL0212</v>
          </cell>
          <cell r="X744">
            <v>282807</v>
          </cell>
        </row>
        <row r="745">
          <cell r="A745" t="str">
            <v>PEPPL0654</v>
          </cell>
          <cell r="X745">
            <v>2803333</v>
          </cell>
        </row>
        <row r="746">
          <cell r="A746" t="str">
            <v>PEIPL0392</v>
          </cell>
          <cell r="X746">
            <v>236369</v>
          </cell>
        </row>
        <row r="747">
          <cell r="A747" t="str">
            <v>PEPPL0690</v>
          </cell>
          <cell r="X747">
            <v>236369</v>
          </cell>
        </row>
        <row r="748">
          <cell r="A748" t="str">
            <v>PEPPL0681</v>
          </cell>
          <cell r="X748">
            <v>351356</v>
          </cell>
        </row>
        <row r="749">
          <cell r="A749" t="str">
            <v>PEIPL0380</v>
          </cell>
          <cell r="X749">
            <v>259877</v>
          </cell>
        </row>
        <row r="750">
          <cell r="A750" t="str">
            <v>PEIPL0404</v>
          </cell>
          <cell r="X750">
            <v>322422</v>
          </cell>
        </row>
        <row r="751">
          <cell r="A751" t="str">
            <v>PEIPL0450</v>
          </cell>
          <cell r="X751">
            <v>389482</v>
          </cell>
        </row>
        <row r="752">
          <cell r="A752" t="str">
            <v>PSS1361</v>
          </cell>
          <cell r="X752">
            <v>531840</v>
          </cell>
        </row>
        <row r="753">
          <cell r="A753" t="str">
            <v>PEGEPL0004</v>
          </cell>
          <cell r="X753">
            <v>362771</v>
          </cell>
        </row>
        <row r="754">
          <cell r="A754" t="str">
            <v>PEIPL0098</v>
          </cell>
          <cell r="X754">
            <v>379241</v>
          </cell>
        </row>
        <row r="755">
          <cell r="A755" t="str">
            <v>PEIPL0100</v>
          </cell>
          <cell r="X755">
            <v>379241</v>
          </cell>
        </row>
        <row r="756">
          <cell r="A756" t="str">
            <v>PEIPL0122</v>
          </cell>
          <cell r="X756">
            <v>274130</v>
          </cell>
        </row>
        <row r="757">
          <cell r="A757" t="str">
            <v>PEIPL0644</v>
          </cell>
          <cell r="X757">
            <v>348164</v>
          </cell>
        </row>
        <row r="758">
          <cell r="A758" t="str">
            <v>PEPPL0578</v>
          </cell>
          <cell r="X758">
            <v>267731</v>
          </cell>
        </row>
        <row r="759">
          <cell r="A759" t="str">
            <v>PEPPL0590</v>
          </cell>
          <cell r="X759">
            <v>363716</v>
          </cell>
        </row>
        <row r="760">
          <cell r="A760" t="str">
            <v>P0124</v>
          </cell>
          <cell r="X760">
            <v>257786</v>
          </cell>
        </row>
        <row r="761">
          <cell r="A761" t="str">
            <v>PEPPL0549</v>
          </cell>
          <cell r="X761">
            <v>535841</v>
          </cell>
        </row>
        <row r="762">
          <cell r="A762" t="str">
            <v>PSS0068</v>
          </cell>
          <cell r="X762">
            <v>811592</v>
          </cell>
        </row>
        <row r="763">
          <cell r="A763" t="str">
            <v>PSS0309</v>
          </cell>
          <cell r="X763">
            <v>1013984</v>
          </cell>
        </row>
        <row r="764">
          <cell r="A764" t="str">
            <v>PEIPL0212</v>
          </cell>
          <cell r="X764">
            <v>785658</v>
          </cell>
        </row>
        <row r="765">
          <cell r="A765" t="str">
            <v>PEIPL0252</v>
          </cell>
          <cell r="X765">
            <v>534135</v>
          </cell>
        </row>
        <row r="766">
          <cell r="A766" t="str">
            <v>PEPPL0715</v>
          </cell>
          <cell r="X766">
            <v>288353</v>
          </cell>
        </row>
        <row r="767">
          <cell r="A767" t="str">
            <v>PEIPL0237</v>
          </cell>
          <cell r="X767">
            <v>264176</v>
          </cell>
        </row>
        <row r="768">
          <cell r="A768" t="str">
            <v>PEPPL0433</v>
          </cell>
          <cell r="X768">
            <v>332794</v>
          </cell>
        </row>
        <row r="769">
          <cell r="A769" t="str">
            <v>PEPPL0234</v>
          </cell>
          <cell r="X769">
            <v>300984</v>
          </cell>
        </row>
        <row r="770">
          <cell r="A770" t="str">
            <v>PEPPL0519</v>
          </cell>
          <cell r="X770">
            <v>406437</v>
          </cell>
        </row>
        <row r="771">
          <cell r="A771" t="str">
            <v>PSS0800</v>
          </cell>
          <cell r="X771">
            <v>279780</v>
          </cell>
        </row>
        <row r="772">
          <cell r="A772" t="str">
            <v>PEPPL0731</v>
          </cell>
          <cell r="X772">
            <v>258456</v>
          </cell>
        </row>
        <row r="773">
          <cell r="A773" t="str">
            <v>PEIPL0458</v>
          </cell>
          <cell r="X773">
            <v>798825</v>
          </cell>
        </row>
        <row r="774">
          <cell r="A774" t="str">
            <v>PEIPL0263</v>
          </cell>
          <cell r="X774">
            <v>285927</v>
          </cell>
        </row>
        <row r="775">
          <cell r="A775" t="str">
            <v>PEIPL0196</v>
          </cell>
          <cell r="X775">
            <v>419188</v>
          </cell>
        </row>
        <row r="776">
          <cell r="A776" t="str">
            <v>PEPPL0313</v>
          </cell>
          <cell r="X776">
            <v>319931</v>
          </cell>
        </row>
        <row r="777">
          <cell r="A777" t="str">
            <v>PEIPL0033</v>
          </cell>
          <cell r="X777">
            <v>648689</v>
          </cell>
        </row>
        <row r="778">
          <cell r="A778" t="str">
            <v>PEIPL0691</v>
          </cell>
          <cell r="X778">
            <v>351809</v>
          </cell>
        </row>
        <row r="779">
          <cell r="A779" t="str">
            <v>PEIPL0706</v>
          </cell>
          <cell r="X779">
            <v>351809</v>
          </cell>
        </row>
        <row r="780">
          <cell r="A780" t="str">
            <v>PEPPL0710</v>
          </cell>
          <cell r="X780">
            <v>240733</v>
          </cell>
        </row>
        <row r="781">
          <cell r="A781" t="str">
            <v>PEPPL0125</v>
          </cell>
          <cell r="X781">
            <v>2272811</v>
          </cell>
        </row>
        <row r="782">
          <cell r="A782" t="str">
            <v>PEPPL0112</v>
          </cell>
          <cell r="X782">
            <v>610891</v>
          </cell>
        </row>
        <row r="783">
          <cell r="A783" t="str">
            <v>PSS1377</v>
          </cell>
          <cell r="X783">
            <v>2082411</v>
          </cell>
        </row>
        <row r="784">
          <cell r="A784" t="str">
            <v>PEPPL0642</v>
          </cell>
          <cell r="X784">
            <v>666049</v>
          </cell>
        </row>
        <row r="785">
          <cell r="A785" t="str">
            <v>PSS0984</v>
          </cell>
          <cell r="X785">
            <v>231619</v>
          </cell>
        </row>
        <row r="786">
          <cell r="A786" t="str">
            <v>P0470</v>
          </cell>
          <cell r="X786">
            <v>293524</v>
          </cell>
        </row>
        <row r="787">
          <cell r="A787" t="str">
            <v>PEPPL0554</v>
          </cell>
          <cell r="X787">
            <v>349123</v>
          </cell>
        </row>
        <row r="788">
          <cell r="A788" t="str">
            <v>PEPPL0599</v>
          </cell>
          <cell r="X788">
            <v>314314</v>
          </cell>
        </row>
        <row r="789">
          <cell r="A789" t="str">
            <v>PSS0728</v>
          </cell>
          <cell r="X789">
            <v>350635</v>
          </cell>
        </row>
        <row r="790">
          <cell r="A790" t="str">
            <v>PEIPL0393</v>
          </cell>
          <cell r="X790">
            <v>263289</v>
          </cell>
        </row>
        <row r="791">
          <cell r="A791" t="str">
            <v>PSS1378</v>
          </cell>
          <cell r="X791">
            <v>510904</v>
          </cell>
        </row>
        <row r="792">
          <cell r="A792" t="str">
            <v>PEIPL0218</v>
          </cell>
          <cell r="X792">
            <v>250742</v>
          </cell>
        </row>
        <row r="793">
          <cell r="A793" t="str">
            <v>PEIPL0229</v>
          </cell>
          <cell r="X793">
            <v>250742</v>
          </cell>
        </row>
        <row r="794">
          <cell r="A794" t="str">
            <v>PEPPL0680</v>
          </cell>
          <cell r="X794">
            <v>254174</v>
          </cell>
        </row>
        <row r="795">
          <cell r="A795" t="str">
            <v>PEPPL0688</v>
          </cell>
          <cell r="X795">
            <v>254174</v>
          </cell>
        </row>
        <row r="796">
          <cell r="A796" t="str">
            <v>PEPPL0701</v>
          </cell>
          <cell r="X796">
            <v>254174</v>
          </cell>
        </row>
        <row r="797">
          <cell r="A797" t="str">
            <v>PEPPL0224</v>
          </cell>
          <cell r="X797">
            <v>396795</v>
          </cell>
        </row>
        <row r="798">
          <cell r="A798" t="str">
            <v>PEPPL0230</v>
          </cell>
          <cell r="X798">
            <v>396795</v>
          </cell>
        </row>
        <row r="799">
          <cell r="A799" t="str">
            <v>PSS0322</v>
          </cell>
          <cell r="X799">
            <v>347349</v>
          </cell>
        </row>
        <row r="800">
          <cell r="A800" t="str">
            <v>PEIPL0417</v>
          </cell>
          <cell r="X800">
            <v>330630</v>
          </cell>
        </row>
        <row r="801">
          <cell r="A801" t="str">
            <v>PEIPL0332</v>
          </cell>
          <cell r="X801">
            <v>287368</v>
          </cell>
        </row>
        <row r="802">
          <cell r="A802" t="str">
            <v>PEPPL0321</v>
          </cell>
          <cell r="X802">
            <v>284846</v>
          </cell>
        </row>
        <row r="803">
          <cell r="A803" t="str">
            <v>PEPPL0414</v>
          </cell>
          <cell r="X803">
            <v>399287</v>
          </cell>
        </row>
        <row r="804">
          <cell r="A804" t="str">
            <v>PEPPL0439</v>
          </cell>
          <cell r="X804">
            <v>399287</v>
          </cell>
        </row>
        <row r="805">
          <cell r="A805" t="str">
            <v>PEIPL0250</v>
          </cell>
          <cell r="X805">
            <v>388525</v>
          </cell>
        </row>
        <row r="806">
          <cell r="A806" t="str">
            <v>PEPPL0358</v>
          </cell>
          <cell r="X806">
            <v>375427</v>
          </cell>
        </row>
        <row r="807">
          <cell r="A807" t="str">
            <v>PEIPL0315</v>
          </cell>
          <cell r="X807">
            <v>546985</v>
          </cell>
        </row>
        <row r="808">
          <cell r="A808" t="str">
            <v>PEIPL0022</v>
          </cell>
          <cell r="X808">
            <v>1671337</v>
          </cell>
        </row>
        <row r="809">
          <cell r="A809" t="str">
            <v>PEIPL0137</v>
          </cell>
          <cell r="X809">
            <v>388510</v>
          </cell>
        </row>
        <row r="810">
          <cell r="A810" t="str">
            <v>PEIPL0139</v>
          </cell>
          <cell r="X810">
            <v>355210</v>
          </cell>
        </row>
        <row r="811">
          <cell r="A811" t="str">
            <v>PEIPL0687</v>
          </cell>
          <cell r="X811">
            <v>298822</v>
          </cell>
        </row>
        <row r="812">
          <cell r="A812" t="str">
            <v>PEPPL0410</v>
          </cell>
          <cell r="X812">
            <v>379075</v>
          </cell>
        </row>
        <row r="813">
          <cell r="A813" t="str">
            <v>PEPPL0572</v>
          </cell>
          <cell r="X813">
            <v>375190</v>
          </cell>
        </row>
        <row r="814">
          <cell r="A814" t="str">
            <v>PEPPL0033</v>
          </cell>
          <cell r="X814">
            <v>1075600</v>
          </cell>
        </row>
        <row r="815">
          <cell r="A815" t="str">
            <v>PEIPL0358</v>
          </cell>
          <cell r="X815">
            <v>262920</v>
          </cell>
        </row>
        <row r="816">
          <cell r="A816" t="str">
            <v>PEIPL0351</v>
          </cell>
          <cell r="X816">
            <v>257562</v>
          </cell>
        </row>
        <row r="817">
          <cell r="A817" t="str">
            <v>PEIPL0352</v>
          </cell>
          <cell r="X817">
            <v>257562</v>
          </cell>
        </row>
        <row r="818">
          <cell r="A818" t="str">
            <v>PEIPL0339</v>
          </cell>
          <cell r="X818">
            <v>529531</v>
          </cell>
        </row>
        <row r="819">
          <cell r="A819" t="str">
            <v>PEIPL0343</v>
          </cell>
          <cell r="X819">
            <v>252204</v>
          </cell>
        </row>
        <row r="820">
          <cell r="A820" t="str">
            <v>PEIPL0354</v>
          </cell>
          <cell r="X820">
            <v>252204</v>
          </cell>
        </row>
        <row r="821">
          <cell r="A821" t="str">
            <v>PEIPL0355</v>
          </cell>
          <cell r="X821">
            <v>252204</v>
          </cell>
        </row>
        <row r="822">
          <cell r="A822" t="str">
            <v>PEIPL0356</v>
          </cell>
          <cell r="X822">
            <v>252204</v>
          </cell>
        </row>
        <row r="823">
          <cell r="A823" t="str">
            <v>PEIPL0357</v>
          </cell>
          <cell r="X823">
            <v>252204</v>
          </cell>
        </row>
        <row r="824">
          <cell r="A824" t="str">
            <v>PEIPL0258</v>
          </cell>
          <cell r="X824">
            <v>1029909</v>
          </cell>
        </row>
        <row r="825">
          <cell r="A825" t="str">
            <v>P0114</v>
          </cell>
          <cell r="X825">
            <v>259185</v>
          </cell>
        </row>
        <row r="826">
          <cell r="A826" t="str">
            <v>P0127</v>
          </cell>
          <cell r="X826">
            <v>245100</v>
          </cell>
        </row>
        <row r="827">
          <cell r="A827" t="str">
            <v>P0142</v>
          </cell>
          <cell r="X827">
            <v>1057950</v>
          </cell>
        </row>
        <row r="828">
          <cell r="A828" t="str">
            <v>P0249</v>
          </cell>
          <cell r="X828">
            <v>561600</v>
          </cell>
        </row>
        <row r="829">
          <cell r="A829" t="str">
            <v>P0268</v>
          </cell>
          <cell r="X829">
            <v>339300</v>
          </cell>
        </row>
        <row r="830">
          <cell r="A830" t="str">
            <v>P0271</v>
          </cell>
          <cell r="X830">
            <v>188145</v>
          </cell>
        </row>
        <row r="831">
          <cell r="A831" t="str">
            <v>P0286</v>
          </cell>
          <cell r="X831">
            <v>188145</v>
          </cell>
        </row>
        <row r="832">
          <cell r="A832" t="str">
            <v>P0292</v>
          </cell>
          <cell r="X832">
            <v>188145</v>
          </cell>
        </row>
        <row r="833">
          <cell r="A833" t="str">
            <v>P0294</v>
          </cell>
          <cell r="X833">
            <v>188145</v>
          </cell>
        </row>
        <row r="834">
          <cell r="A834" t="str">
            <v>P0324</v>
          </cell>
          <cell r="X834">
            <v>566100</v>
          </cell>
        </row>
        <row r="835">
          <cell r="A835" t="str">
            <v>P0381</v>
          </cell>
          <cell r="X835">
            <v>904932</v>
          </cell>
        </row>
        <row r="836">
          <cell r="A836" t="str">
            <v>P0403</v>
          </cell>
          <cell r="X836">
            <v>1438560</v>
          </cell>
        </row>
        <row r="837">
          <cell r="A837" t="str">
            <v>P0404</v>
          </cell>
          <cell r="X837">
            <v>527473</v>
          </cell>
        </row>
        <row r="838">
          <cell r="A838" t="str">
            <v>P0420</v>
          </cell>
          <cell r="X838">
            <v>550800</v>
          </cell>
        </row>
        <row r="839">
          <cell r="A839" t="str">
            <v>PSS0875</v>
          </cell>
          <cell r="X839">
            <v>963288</v>
          </cell>
        </row>
        <row r="840">
          <cell r="A840" t="str">
            <v>P0423</v>
          </cell>
          <cell r="X840">
            <v>500000</v>
          </cell>
        </row>
        <row r="841">
          <cell r="A841" t="str">
            <v>P0424</v>
          </cell>
          <cell r="X841">
            <v>669871</v>
          </cell>
        </row>
        <row r="842">
          <cell r="A842" t="str">
            <v>P0457</v>
          </cell>
          <cell r="X842">
            <v>751842</v>
          </cell>
        </row>
        <row r="843">
          <cell r="A843" t="str">
            <v>P0458</v>
          </cell>
          <cell r="X843">
            <v>566100</v>
          </cell>
        </row>
        <row r="844">
          <cell r="A844" t="str">
            <v>P0461</v>
          </cell>
          <cell r="X844">
            <v>626100</v>
          </cell>
        </row>
        <row r="845">
          <cell r="A845" t="str">
            <v>P0468</v>
          </cell>
          <cell r="X845">
            <v>510000</v>
          </cell>
        </row>
        <row r="846">
          <cell r="A846" t="str">
            <v>P0483</v>
          </cell>
          <cell r="X846">
            <v>1000000</v>
          </cell>
        </row>
        <row r="847">
          <cell r="A847" t="str">
            <v>P0498</v>
          </cell>
          <cell r="X847">
            <v>266666</v>
          </cell>
        </row>
        <row r="848">
          <cell r="A848" t="str">
            <v>PEGEPL0002</v>
          </cell>
          <cell r="X848">
            <v>550000</v>
          </cell>
        </row>
        <row r="849">
          <cell r="A849" t="str">
            <v>PEGEPL0003</v>
          </cell>
          <cell r="X849">
            <v>600155</v>
          </cell>
        </row>
        <row r="850">
          <cell r="A850" t="str">
            <v>PEGEPL0009</v>
          </cell>
          <cell r="X850">
            <v>477900</v>
          </cell>
        </row>
        <row r="851">
          <cell r="A851" t="str">
            <v>PEGEPL0019</v>
          </cell>
          <cell r="X851">
            <v>589680</v>
          </cell>
        </row>
        <row r="852">
          <cell r="A852" t="str">
            <v>PSS0147</v>
          </cell>
          <cell r="X852">
            <v>2220000</v>
          </cell>
        </row>
        <row r="853">
          <cell r="A853" t="str">
            <v>PEIPL0010</v>
          </cell>
          <cell r="X853">
            <v>462213</v>
          </cell>
        </row>
        <row r="854">
          <cell r="A854" t="str">
            <v>PEIPL0011</v>
          </cell>
          <cell r="X854">
            <v>744000</v>
          </cell>
        </row>
        <row r="855">
          <cell r="A855" t="str">
            <v>PEIPL0020</v>
          </cell>
          <cell r="X855">
            <v>495171</v>
          </cell>
        </row>
        <row r="856">
          <cell r="A856" t="str">
            <v>PEIPL0037</v>
          </cell>
          <cell r="X856">
            <v>508554</v>
          </cell>
        </row>
        <row r="857">
          <cell r="A857" t="str">
            <v>PEIPL0052</v>
          </cell>
          <cell r="X857">
            <v>321725</v>
          </cell>
        </row>
        <row r="858">
          <cell r="A858" t="str">
            <v>PEIPL0055</v>
          </cell>
          <cell r="X858">
            <v>368448</v>
          </cell>
        </row>
        <row r="859">
          <cell r="A859" t="str">
            <v>PEIPL0056</v>
          </cell>
          <cell r="X859">
            <v>331604</v>
          </cell>
        </row>
        <row r="860">
          <cell r="A860" t="str">
            <v>PEIPL0092</v>
          </cell>
          <cell r="X860">
            <v>333000</v>
          </cell>
        </row>
        <row r="861">
          <cell r="A861" t="str">
            <v>PEIPL0102</v>
          </cell>
          <cell r="X861">
            <v>314285</v>
          </cell>
        </row>
        <row r="862">
          <cell r="A862" t="str">
            <v>PEIPL0106</v>
          </cell>
          <cell r="X862">
            <v>954600</v>
          </cell>
        </row>
        <row r="863">
          <cell r="A863" t="str">
            <v>PEIPL0112</v>
          </cell>
          <cell r="X863">
            <v>310601</v>
          </cell>
        </row>
        <row r="864">
          <cell r="A864" t="str">
            <v>PEIPL0114</v>
          </cell>
          <cell r="X864">
            <v>288696</v>
          </cell>
        </row>
        <row r="865">
          <cell r="A865" t="str">
            <v>PEIPL0120</v>
          </cell>
          <cell r="X865">
            <v>420000</v>
          </cell>
        </row>
        <row r="866">
          <cell r="A866" t="str">
            <v>PEIPL0201</v>
          </cell>
          <cell r="X866">
            <v>642613</v>
          </cell>
        </row>
        <row r="867">
          <cell r="A867" t="str">
            <v>PEPPL0523</v>
          </cell>
          <cell r="X867">
            <v>328573</v>
          </cell>
        </row>
        <row r="868">
          <cell r="A868" t="str">
            <v>PEIPL0134</v>
          </cell>
          <cell r="X868">
            <v>400000</v>
          </cell>
        </row>
        <row r="869">
          <cell r="A869" t="str">
            <v>PEIPL0136</v>
          </cell>
          <cell r="X869">
            <v>302400</v>
          </cell>
        </row>
        <row r="870">
          <cell r="A870" t="str">
            <v>PEIPL0147</v>
          </cell>
          <cell r="X870">
            <v>351000</v>
          </cell>
        </row>
        <row r="871">
          <cell r="A871" t="str">
            <v>PEIPL0149</v>
          </cell>
          <cell r="X871">
            <v>451440</v>
          </cell>
        </row>
        <row r="872">
          <cell r="A872" t="str">
            <v>PEIPL0151</v>
          </cell>
          <cell r="X872">
            <v>310001</v>
          </cell>
        </row>
        <row r="873">
          <cell r="A873" t="str">
            <v>PEIPL0154</v>
          </cell>
          <cell r="X873">
            <v>315325</v>
          </cell>
        </row>
        <row r="874">
          <cell r="A874" t="str">
            <v>PEIPL0176</v>
          </cell>
          <cell r="X874">
            <v>355200</v>
          </cell>
        </row>
        <row r="875">
          <cell r="A875" t="str">
            <v>PEIPL0184</v>
          </cell>
          <cell r="X875">
            <v>380645</v>
          </cell>
        </row>
        <row r="876">
          <cell r="A876" t="str">
            <v>PEIPL0186</v>
          </cell>
          <cell r="X876">
            <v>666000</v>
          </cell>
        </row>
        <row r="877">
          <cell r="A877" t="str">
            <v>PEIPL0231</v>
          </cell>
          <cell r="X877">
            <v>218136</v>
          </cell>
        </row>
        <row r="878">
          <cell r="A878" t="str">
            <v>PEIPL0242</v>
          </cell>
          <cell r="X878">
            <v>272322</v>
          </cell>
        </row>
        <row r="879">
          <cell r="A879" t="str">
            <v>PEIPL0279</v>
          </cell>
          <cell r="X879">
            <v>300000</v>
          </cell>
        </row>
        <row r="880">
          <cell r="A880" t="str">
            <v>PEIPL0281</v>
          </cell>
          <cell r="X880">
            <v>320009</v>
          </cell>
        </row>
        <row r="881">
          <cell r="A881" t="str">
            <v>PEIPL0340</v>
          </cell>
          <cell r="X881">
            <v>344008</v>
          </cell>
        </row>
        <row r="882">
          <cell r="A882" t="str">
            <v>PEIPL0348</v>
          </cell>
          <cell r="X882">
            <v>237916</v>
          </cell>
        </row>
        <row r="883">
          <cell r="A883" t="str">
            <v>PEIPL0350</v>
          </cell>
          <cell r="X883">
            <v>237916</v>
          </cell>
        </row>
        <row r="884">
          <cell r="A884" t="str">
            <v>PEIPL0373</v>
          </cell>
          <cell r="X884">
            <v>210458</v>
          </cell>
        </row>
        <row r="885">
          <cell r="A885" t="str">
            <v>PEIPL0400</v>
          </cell>
          <cell r="X885">
            <v>315800</v>
          </cell>
        </row>
        <row r="886">
          <cell r="A886" t="str">
            <v>PEIPL0402</v>
          </cell>
          <cell r="X886">
            <v>316000</v>
          </cell>
        </row>
        <row r="887">
          <cell r="A887" t="str">
            <v>PEIPL0403</v>
          </cell>
          <cell r="X887">
            <v>382038</v>
          </cell>
        </row>
        <row r="888">
          <cell r="A888" t="str">
            <v>PEIPL0418</v>
          </cell>
          <cell r="X888">
            <v>361250</v>
          </cell>
        </row>
        <row r="889">
          <cell r="A889" t="str">
            <v>PEIPL0419</v>
          </cell>
          <cell r="X889">
            <v>1202459</v>
          </cell>
        </row>
        <row r="890">
          <cell r="A890" t="str">
            <v>PEIPL0428</v>
          </cell>
          <cell r="X890">
            <v>730000</v>
          </cell>
        </row>
        <row r="891">
          <cell r="A891" t="str">
            <v>PEIPL0440</v>
          </cell>
          <cell r="X891">
            <v>360000</v>
          </cell>
        </row>
        <row r="892">
          <cell r="A892" t="str">
            <v>PEIPL0441</v>
          </cell>
          <cell r="X892">
            <v>390000</v>
          </cell>
        </row>
        <row r="893">
          <cell r="A893" t="str">
            <v>PEIPL0475</v>
          </cell>
          <cell r="X893">
            <v>235000</v>
          </cell>
        </row>
        <row r="894">
          <cell r="A894" t="str">
            <v>PEIPL0477</v>
          </cell>
          <cell r="X894">
            <v>1495000</v>
          </cell>
        </row>
        <row r="895">
          <cell r="A895" t="str">
            <v>PEIPL0479</v>
          </cell>
          <cell r="X895">
            <v>1824000</v>
          </cell>
        </row>
        <row r="896">
          <cell r="A896" t="str">
            <v>PEIPL0480</v>
          </cell>
          <cell r="X896">
            <v>270000</v>
          </cell>
        </row>
        <row r="897">
          <cell r="A897" t="str">
            <v>PEIPL0483</v>
          </cell>
          <cell r="X897">
            <v>890226</v>
          </cell>
        </row>
        <row r="898">
          <cell r="A898" t="str">
            <v>PEPPL0172</v>
          </cell>
          <cell r="X898">
            <v>300200</v>
          </cell>
        </row>
        <row r="899">
          <cell r="A899" t="str">
            <v>PEIPL0486</v>
          </cell>
          <cell r="X899">
            <v>556200</v>
          </cell>
        </row>
        <row r="900">
          <cell r="A900" t="str">
            <v>PEIPL0488</v>
          </cell>
          <cell r="X900">
            <v>709845</v>
          </cell>
        </row>
        <row r="901">
          <cell r="A901" t="str">
            <v>PEIPL0491</v>
          </cell>
          <cell r="X901">
            <v>273510</v>
          </cell>
        </row>
        <row r="902">
          <cell r="A902" t="str">
            <v>PEIPL0493</v>
          </cell>
          <cell r="X902">
            <v>454746</v>
          </cell>
        </row>
        <row r="903">
          <cell r="A903" t="str">
            <v>PEIPL0495</v>
          </cell>
          <cell r="X903">
            <v>411426</v>
          </cell>
        </row>
        <row r="904">
          <cell r="A904" t="str">
            <v>PEIPL0497</v>
          </cell>
          <cell r="X904">
            <v>314449</v>
          </cell>
        </row>
        <row r="905">
          <cell r="A905" t="str">
            <v>PEIPL0506</v>
          </cell>
          <cell r="X905">
            <v>273510</v>
          </cell>
        </row>
        <row r="906">
          <cell r="A906" t="str">
            <v>PEIPL0507</v>
          </cell>
          <cell r="X906">
            <v>339513</v>
          </cell>
        </row>
        <row r="907">
          <cell r="A907" t="str">
            <v>PEIPL0512</v>
          </cell>
          <cell r="X907">
            <v>273510</v>
          </cell>
        </row>
        <row r="908">
          <cell r="A908" t="str">
            <v>PEIPL0515</v>
          </cell>
          <cell r="X908">
            <v>540000</v>
          </cell>
        </row>
        <row r="909">
          <cell r="A909" t="str">
            <v>PEIPL0519</v>
          </cell>
          <cell r="X909">
            <v>300000</v>
          </cell>
        </row>
        <row r="910">
          <cell r="A910" t="str">
            <v>PEIPL0522</v>
          </cell>
          <cell r="X910">
            <v>1102200</v>
          </cell>
        </row>
        <row r="911">
          <cell r="A911" t="str">
            <v>PEIPL0526</v>
          </cell>
          <cell r="X911">
            <v>706482</v>
          </cell>
        </row>
        <row r="912">
          <cell r="A912" t="str">
            <v>PEIPL0528</v>
          </cell>
          <cell r="X912">
            <v>550008</v>
          </cell>
        </row>
        <row r="913">
          <cell r="A913" t="str">
            <v>PEIPL0529</v>
          </cell>
          <cell r="X913">
            <v>229930</v>
          </cell>
        </row>
        <row r="914">
          <cell r="A914" t="str">
            <v>PEIPL0530</v>
          </cell>
          <cell r="X914">
            <v>336000</v>
          </cell>
        </row>
        <row r="915">
          <cell r="A915" t="str">
            <v>PEIPL0531</v>
          </cell>
          <cell r="X915">
            <v>530000</v>
          </cell>
        </row>
        <row r="916">
          <cell r="A916" t="str">
            <v>PEIPL0532</v>
          </cell>
          <cell r="X916">
            <v>383000</v>
          </cell>
        </row>
        <row r="917">
          <cell r="A917" t="str">
            <v>PEIPL0533</v>
          </cell>
          <cell r="X917">
            <v>222000</v>
          </cell>
        </row>
        <row r="918">
          <cell r="A918" t="str">
            <v>PEIPL0534</v>
          </cell>
          <cell r="X918">
            <v>228000</v>
          </cell>
        </row>
        <row r="919">
          <cell r="A919" t="str">
            <v>PEIPL0536</v>
          </cell>
          <cell r="X919">
            <v>276000</v>
          </cell>
        </row>
        <row r="920">
          <cell r="A920" t="str">
            <v>PEIPL0537</v>
          </cell>
          <cell r="X920">
            <v>820000</v>
          </cell>
        </row>
        <row r="921">
          <cell r="A921" t="str">
            <v>PEIPL0538</v>
          </cell>
          <cell r="X921">
            <v>241000</v>
          </cell>
        </row>
        <row r="922">
          <cell r="A922" t="str">
            <v>PEIPL0539</v>
          </cell>
          <cell r="X922">
            <v>180000</v>
          </cell>
        </row>
        <row r="923">
          <cell r="A923" t="str">
            <v>PEIPL0540</v>
          </cell>
          <cell r="X923">
            <v>350008</v>
          </cell>
        </row>
        <row r="924">
          <cell r="A924" t="str">
            <v>PEIPL0541</v>
          </cell>
          <cell r="X924">
            <v>397100</v>
          </cell>
        </row>
        <row r="925">
          <cell r="A925" t="str">
            <v>PEIPL0543</v>
          </cell>
          <cell r="X925">
            <v>264000</v>
          </cell>
        </row>
        <row r="926">
          <cell r="A926" t="str">
            <v>PEIPL0544</v>
          </cell>
          <cell r="X926">
            <v>218500</v>
          </cell>
        </row>
        <row r="927">
          <cell r="A927" t="str">
            <v>PEIPL0545</v>
          </cell>
          <cell r="X927">
            <v>299008</v>
          </cell>
        </row>
        <row r="928">
          <cell r="A928" t="str">
            <v>PEIPL0546</v>
          </cell>
          <cell r="X928">
            <v>200000</v>
          </cell>
        </row>
        <row r="929">
          <cell r="A929" t="str">
            <v>PEIPL0547</v>
          </cell>
          <cell r="X929">
            <v>300005</v>
          </cell>
        </row>
        <row r="930">
          <cell r="A930" t="str">
            <v>PEIPL0548</v>
          </cell>
          <cell r="X930">
            <v>251542</v>
          </cell>
        </row>
        <row r="931">
          <cell r="A931" t="str">
            <v>PEIPL0549</v>
          </cell>
          <cell r="X931">
            <v>425000</v>
          </cell>
        </row>
        <row r="932">
          <cell r="A932" t="str">
            <v>PEIPL0550</v>
          </cell>
          <cell r="X932">
            <v>360008</v>
          </cell>
        </row>
        <row r="933">
          <cell r="A933" t="str">
            <v>PEIPL0551</v>
          </cell>
          <cell r="X933">
            <v>240000</v>
          </cell>
        </row>
        <row r="934">
          <cell r="A934" t="str">
            <v>PEIPL0554</v>
          </cell>
          <cell r="X934">
            <v>446000</v>
          </cell>
        </row>
        <row r="935">
          <cell r="A935" t="str">
            <v>PEIPL0555</v>
          </cell>
          <cell r="X935">
            <v>1050000</v>
          </cell>
        </row>
        <row r="936">
          <cell r="A936" t="str">
            <v>PEIPL0556</v>
          </cell>
          <cell r="X936">
            <v>218400</v>
          </cell>
        </row>
        <row r="937">
          <cell r="A937" t="str">
            <v>PEIPL0557</v>
          </cell>
          <cell r="X937">
            <v>196000</v>
          </cell>
        </row>
        <row r="938">
          <cell r="A938" t="str">
            <v>PEIPL0558</v>
          </cell>
          <cell r="X938">
            <v>237005</v>
          </cell>
        </row>
        <row r="939">
          <cell r="A939" t="str">
            <v>PEIPL0559</v>
          </cell>
          <cell r="X939">
            <v>300000</v>
          </cell>
        </row>
        <row r="940">
          <cell r="A940" t="str">
            <v>PEIPL0560</v>
          </cell>
          <cell r="X940">
            <v>240000</v>
          </cell>
        </row>
        <row r="941">
          <cell r="A941" t="str">
            <v>PEIPL0561</v>
          </cell>
          <cell r="X941">
            <v>330000</v>
          </cell>
        </row>
        <row r="942">
          <cell r="A942" t="str">
            <v>PEIPL0562</v>
          </cell>
          <cell r="X942">
            <v>820063</v>
          </cell>
        </row>
        <row r="943">
          <cell r="A943" t="str">
            <v>PEIPL0563</v>
          </cell>
          <cell r="X943">
            <v>540000</v>
          </cell>
        </row>
        <row r="944">
          <cell r="A944" t="str">
            <v>PEIPL0565</v>
          </cell>
          <cell r="X944">
            <v>675000</v>
          </cell>
        </row>
        <row r="945">
          <cell r="A945" t="str">
            <v>PEIPL0566</v>
          </cell>
          <cell r="X945">
            <v>360208</v>
          </cell>
        </row>
        <row r="946">
          <cell r="A946" t="str">
            <v>PEIPL0568</v>
          </cell>
          <cell r="X946">
            <v>480005</v>
          </cell>
        </row>
        <row r="947">
          <cell r="A947" t="str">
            <v>PEIPL0569</v>
          </cell>
          <cell r="X947">
            <v>289999</v>
          </cell>
        </row>
        <row r="948">
          <cell r="A948" t="str">
            <v>PEIPL0570</v>
          </cell>
          <cell r="X948">
            <v>360000</v>
          </cell>
        </row>
        <row r="949">
          <cell r="A949" t="str">
            <v>PEIPL0571</v>
          </cell>
          <cell r="X949">
            <v>302400</v>
          </cell>
        </row>
        <row r="950">
          <cell r="A950" t="str">
            <v>PEIPL0572</v>
          </cell>
          <cell r="X950">
            <v>709845</v>
          </cell>
        </row>
        <row r="951">
          <cell r="A951" t="str">
            <v>PEIPL0574</v>
          </cell>
          <cell r="X951">
            <v>360018</v>
          </cell>
        </row>
        <row r="952">
          <cell r="A952" t="str">
            <v>PEIPL0575</v>
          </cell>
          <cell r="X952">
            <v>261405</v>
          </cell>
        </row>
        <row r="953">
          <cell r="A953" t="str">
            <v>PEIPL0577</v>
          </cell>
          <cell r="X953">
            <v>290000</v>
          </cell>
        </row>
        <row r="954">
          <cell r="A954" t="str">
            <v>PEIPL0578</v>
          </cell>
          <cell r="X954">
            <v>586005</v>
          </cell>
        </row>
        <row r="955">
          <cell r="A955" t="str">
            <v>PEIPL0579</v>
          </cell>
          <cell r="X955">
            <v>470000</v>
          </cell>
        </row>
        <row r="956">
          <cell r="A956" t="str">
            <v>PEIPL0580</v>
          </cell>
          <cell r="X956">
            <v>225000</v>
          </cell>
        </row>
        <row r="957">
          <cell r="A957" t="str">
            <v>PEIPL0581</v>
          </cell>
          <cell r="X957">
            <v>186350</v>
          </cell>
        </row>
        <row r="958">
          <cell r="A958" t="str">
            <v>PEIPL0582</v>
          </cell>
          <cell r="X958">
            <v>289900</v>
          </cell>
        </row>
        <row r="959">
          <cell r="A959" t="str">
            <v>PEIPL0583</v>
          </cell>
          <cell r="X959">
            <v>360000</v>
          </cell>
        </row>
        <row r="960">
          <cell r="A960" t="str">
            <v>PEIPL0584</v>
          </cell>
          <cell r="X960">
            <v>400000</v>
          </cell>
        </row>
        <row r="961">
          <cell r="A961" t="str">
            <v>PEIPL0585</v>
          </cell>
          <cell r="X961">
            <v>262000</v>
          </cell>
        </row>
        <row r="962">
          <cell r="A962" t="str">
            <v>PEIPL0586</v>
          </cell>
          <cell r="X962">
            <v>400000</v>
          </cell>
        </row>
        <row r="963">
          <cell r="A963" t="str">
            <v>PEIPL0587</v>
          </cell>
          <cell r="X963">
            <v>324000</v>
          </cell>
        </row>
        <row r="964">
          <cell r="A964" t="str">
            <v>PEIPL0590</v>
          </cell>
          <cell r="X964">
            <v>360000</v>
          </cell>
        </row>
        <row r="965">
          <cell r="A965" t="str">
            <v>PEIPL0591</v>
          </cell>
          <cell r="X965">
            <v>420005</v>
          </cell>
        </row>
        <row r="966">
          <cell r="A966" t="str">
            <v>PEIPL0592</v>
          </cell>
          <cell r="X966">
            <v>480005</v>
          </cell>
        </row>
        <row r="967">
          <cell r="A967" t="str">
            <v>PEIPL0594</v>
          </cell>
          <cell r="X967">
            <v>270005</v>
          </cell>
        </row>
        <row r="968">
          <cell r="A968" t="str">
            <v>PEIPL0596</v>
          </cell>
          <cell r="X968">
            <v>286300</v>
          </cell>
        </row>
        <row r="969">
          <cell r="A969" t="str">
            <v>PEIPL0603</v>
          </cell>
          <cell r="X969">
            <v>420005</v>
          </cell>
        </row>
        <row r="970">
          <cell r="A970" t="str">
            <v>PEIPL0604</v>
          </cell>
          <cell r="X970">
            <v>317500</v>
          </cell>
        </row>
        <row r="971">
          <cell r="A971" t="str">
            <v>PEIPL0605</v>
          </cell>
          <cell r="X971">
            <v>305005</v>
          </cell>
        </row>
        <row r="972">
          <cell r="A972" t="str">
            <v>PEIPL0606</v>
          </cell>
          <cell r="X972">
            <v>520000</v>
          </cell>
        </row>
        <row r="973">
          <cell r="A973" t="str">
            <v>PEIPL0607</v>
          </cell>
          <cell r="X973">
            <v>393000</v>
          </cell>
        </row>
        <row r="974">
          <cell r="A974" t="str">
            <v>PEIPL0608</v>
          </cell>
          <cell r="X974">
            <v>360000</v>
          </cell>
        </row>
        <row r="975">
          <cell r="A975" t="str">
            <v>PEIPL0612</v>
          </cell>
          <cell r="X975">
            <v>345000</v>
          </cell>
        </row>
        <row r="976">
          <cell r="A976" t="str">
            <v>PEIPL0613</v>
          </cell>
          <cell r="X976">
            <v>580000</v>
          </cell>
        </row>
        <row r="977">
          <cell r="A977" t="str">
            <v>PEIPL0614</v>
          </cell>
          <cell r="X977">
            <v>232723</v>
          </cell>
        </row>
        <row r="978">
          <cell r="A978" t="str">
            <v>PEIPL0616</v>
          </cell>
          <cell r="X978">
            <v>700001</v>
          </cell>
        </row>
        <row r="979">
          <cell r="A979" t="str">
            <v>PEIPL0618</v>
          </cell>
          <cell r="X979">
            <v>396000</v>
          </cell>
        </row>
        <row r="980">
          <cell r="A980" t="str">
            <v>PEIPL0619</v>
          </cell>
          <cell r="X980">
            <v>300000</v>
          </cell>
        </row>
        <row r="981">
          <cell r="A981" t="str">
            <v>PEIPL0620</v>
          </cell>
          <cell r="X981">
            <v>280009</v>
          </cell>
        </row>
        <row r="982">
          <cell r="A982" t="str">
            <v>PEIPL0621</v>
          </cell>
          <cell r="X982">
            <v>550000</v>
          </cell>
        </row>
        <row r="983">
          <cell r="A983" t="str">
            <v>PEIPL0622</v>
          </cell>
          <cell r="X983">
            <v>239510</v>
          </cell>
        </row>
        <row r="984">
          <cell r="A984" t="str">
            <v>PEIPL0624</v>
          </cell>
          <cell r="X984">
            <v>300005</v>
          </cell>
        </row>
        <row r="985">
          <cell r="A985" t="str">
            <v>PEIPL0625</v>
          </cell>
          <cell r="X985">
            <v>372125</v>
          </cell>
        </row>
        <row r="986">
          <cell r="A986" t="str">
            <v>PEIPL0626</v>
          </cell>
          <cell r="X986">
            <v>900000</v>
          </cell>
        </row>
        <row r="987">
          <cell r="A987" t="str">
            <v>PEIPL0627</v>
          </cell>
          <cell r="X987">
            <v>237916</v>
          </cell>
        </row>
        <row r="988">
          <cell r="A988" t="str">
            <v>PEIPL0628</v>
          </cell>
          <cell r="X988">
            <v>237916</v>
          </cell>
        </row>
        <row r="989">
          <cell r="A989" t="str">
            <v>PEIPL0629</v>
          </cell>
          <cell r="X989">
            <v>218930</v>
          </cell>
        </row>
        <row r="990">
          <cell r="A990" t="str">
            <v>PEIPL0630</v>
          </cell>
          <cell r="X990">
            <v>352000</v>
          </cell>
        </row>
        <row r="991">
          <cell r="A991" t="str">
            <v>PEIPL0631</v>
          </cell>
          <cell r="X991">
            <v>218930</v>
          </cell>
        </row>
        <row r="992">
          <cell r="A992" t="str">
            <v>PEIPL0632</v>
          </cell>
          <cell r="X992">
            <v>540005</v>
          </cell>
        </row>
        <row r="993">
          <cell r="A993" t="str">
            <v>PEIPL0633</v>
          </cell>
          <cell r="X993">
            <v>360000</v>
          </cell>
        </row>
        <row r="994">
          <cell r="A994" t="str">
            <v>PEIPL0634</v>
          </cell>
          <cell r="X994">
            <v>493500</v>
          </cell>
        </row>
        <row r="995">
          <cell r="A995" t="str">
            <v>PEIPL0635</v>
          </cell>
          <cell r="X995">
            <v>336000</v>
          </cell>
        </row>
        <row r="996">
          <cell r="A996" t="str">
            <v>PEIPL0636</v>
          </cell>
          <cell r="X996">
            <v>305500</v>
          </cell>
        </row>
        <row r="997">
          <cell r="A997" t="str">
            <v>PEIPL0637</v>
          </cell>
          <cell r="X997">
            <v>336000</v>
          </cell>
        </row>
        <row r="998">
          <cell r="A998" t="str">
            <v>PEIPL0638</v>
          </cell>
          <cell r="X998">
            <v>421200</v>
          </cell>
        </row>
        <row r="999">
          <cell r="A999" t="str">
            <v>PEIPL0639</v>
          </cell>
          <cell r="X999">
            <v>690660</v>
          </cell>
        </row>
        <row r="1000">
          <cell r="A1000" t="str">
            <v>PEIPL0641</v>
          </cell>
          <cell r="X1000">
            <v>478764</v>
          </cell>
        </row>
        <row r="1001">
          <cell r="A1001" t="str">
            <v>PEIPL0643</v>
          </cell>
          <cell r="X1001">
            <v>547020</v>
          </cell>
        </row>
        <row r="1002">
          <cell r="A1002" t="str">
            <v>PEIPL0645</v>
          </cell>
          <cell r="X1002">
            <v>278100</v>
          </cell>
        </row>
        <row r="1003">
          <cell r="A1003" t="str">
            <v>PEIPL0646</v>
          </cell>
          <cell r="X1003">
            <v>320000</v>
          </cell>
        </row>
        <row r="1004">
          <cell r="A1004" t="str">
            <v>PEIPL0647</v>
          </cell>
          <cell r="X1004">
            <v>554000</v>
          </cell>
        </row>
        <row r="1005">
          <cell r="A1005" t="str">
            <v>PEIPL0648</v>
          </cell>
          <cell r="X1005">
            <v>517505</v>
          </cell>
        </row>
        <row r="1006">
          <cell r="A1006" t="str">
            <v>PEIPL0649</v>
          </cell>
          <cell r="X1006">
            <v>323345</v>
          </cell>
        </row>
        <row r="1007">
          <cell r="A1007" t="str">
            <v>PEIPL0650</v>
          </cell>
          <cell r="X1007">
            <v>298300</v>
          </cell>
        </row>
        <row r="1008">
          <cell r="A1008" t="str">
            <v>PEIPL0651</v>
          </cell>
          <cell r="X1008">
            <v>396000</v>
          </cell>
        </row>
        <row r="1009">
          <cell r="A1009" t="str">
            <v>PEIPL0652</v>
          </cell>
          <cell r="X1009">
            <v>237916</v>
          </cell>
        </row>
        <row r="1010">
          <cell r="A1010" t="str">
            <v>PEIPL0653</v>
          </cell>
          <cell r="X1010">
            <v>396000</v>
          </cell>
        </row>
        <row r="1011">
          <cell r="A1011" t="str">
            <v>PEIPL0654</v>
          </cell>
          <cell r="X1011">
            <v>396000</v>
          </cell>
        </row>
        <row r="1012">
          <cell r="A1012" t="str">
            <v>PEIPL0655</v>
          </cell>
          <cell r="X1012">
            <v>360005</v>
          </cell>
        </row>
        <row r="1013">
          <cell r="A1013" t="str">
            <v>PEIPL0656</v>
          </cell>
          <cell r="X1013">
            <v>237916</v>
          </cell>
        </row>
        <row r="1014">
          <cell r="A1014" t="str">
            <v>PEIPL0657</v>
          </cell>
          <cell r="X1014">
            <v>252105</v>
          </cell>
        </row>
        <row r="1015">
          <cell r="A1015" t="str">
            <v>PEIPL0658</v>
          </cell>
          <cell r="X1015">
            <v>277596</v>
          </cell>
        </row>
        <row r="1016">
          <cell r="A1016" t="str">
            <v>PEIPL0659</v>
          </cell>
          <cell r="X1016">
            <v>340000</v>
          </cell>
        </row>
        <row r="1017">
          <cell r="A1017" t="str">
            <v>PEIPL0660</v>
          </cell>
          <cell r="X1017">
            <v>300005</v>
          </cell>
        </row>
        <row r="1018">
          <cell r="A1018" t="str">
            <v>PEIPL0661</v>
          </cell>
          <cell r="X1018">
            <v>300005</v>
          </cell>
        </row>
        <row r="1019">
          <cell r="A1019" t="str">
            <v>PEIPL0662</v>
          </cell>
          <cell r="X1019">
            <v>300005</v>
          </cell>
        </row>
        <row r="1020">
          <cell r="A1020" t="str">
            <v>PEIPL0663</v>
          </cell>
          <cell r="X1020">
            <v>300005</v>
          </cell>
        </row>
        <row r="1021">
          <cell r="A1021" t="str">
            <v>PEIPL0664</v>
          </cell>
          <cell r="X1021">
            <v>300005</v>
          </cell>
        </row>
        <row r="1022">
          <cell r="A1022" t="str">
            <v>PEIPL0665</v>
          </cell>
          <cell r="X1022">
            <v>300005</v>
          </cell>
        </row>
        <row r="1023">
          <cell r="A1023" t="str">
            <v>PEIPL0666</v>
          </cell>
          <cell r="X1023">
            <v>661005</v>
          </cell>
        </row>
        <row r="1024">
          <cell r="A1024" t="str">
            <v>PEIPL0667</v>
          </cell>
          <cell r="X1024">
            <v>300005</v>
          </cell>
        </row>
        <row r="1025">
          <cell r="A1025" t="str">
            <v>PEIPL0668</v>
          </cell>
          <cell r="X1025">
            <v>237916</v>
          </cell>
        </row>
        <row r="1026">
          <cell r="A1026" t="str">
            <v>PEIPL0669</v>
          </cell>
          <cell r="X1026">
            <v>450005</v>
          </cell>
        </row>
        <row r="1027">
          <cell r="A1027" t="str">
            <v>PEIPL0670</v>
          </cell>
          <cell r="X1027">
            <v>1800000</v>
          </cell>
        </row>
        <row r="1028">
          <cell r="A1028" t="str">
            <v>PEIPL0671</v>
          </cell>
          <cell r="X1028">
            <v>750005</v>
          </cell>
        </row>
        <row r="1029">
          <cell r="A1029" t="str">
            <v>PEIPL0672</v>
          </cell>
          <cell r="X1029">
            <v>430000</v>
          </cell>
        </row>
        <row r="1030">
          <cell r="A1030" t="str">
            <v>PEIPL0673</v>
          </cell>
          <cell r="X1030">
            <v>684000</v>
          </cell>
        </row>
        <row r="1031">
          <cell r="A1031" t="str">
            <v>PEIPL0674</v>
          </cell>
          <cell r="X1031">
            <v>620000</v>
          </cell>
        </row>
        <row r="1032">
          <cell r="A1032" t="str">
            <v>PEIPL0675</v>
          </cell>
          <cell r="X1032">
            <v>680005</v>
          </cell>
        </row>
        <row r="1033">
          <cell r="A1033" t="str">
            <v>PEIPL0676</v>
          </cell>
          <cell r="X1033">
            <v>470000</v>
          </cell>
        </row>
        <row r="1034">
          <cell r="A1034" t="str">
            <v>PEIPL0678</v>
          </cell>
          <cell r="X1034">
            <v>300005</v>
          </cell>
        </row>
        <row r="1035">
          <cell r="A1035" t="str">
            <v>PEIPL0688</v>
          </cell>
          <cell r="X1035">
            <v>578826</v>
          </cell>
        </row>
        <row r="1036">
          <cell r="A1036" t="str">
            <v>PEPPL0010</v>
          </cell>
          <cell r="X1036">
            <v>726840</v>
          </cell>
        </row>
        <row r="1037">
          <cell r="A1037" t="str">
            <v>PEPPL0039</v>
          </cell>
          <cell r="X1037">
            <v>684513</v>
          </cell>
        </row>
        <row r="1038">
          <cell r="A1038" t="str">
            <v>PEPPL0054</v>
          </cell>
          <cell r="X1038">
            <v>600000</v>
          </cell>
        </row>
        <row r="1039">
          <cell r="A1039" t="str">
            <v>PEPPL0060</v>
          </cell>
          <cell r="X1039">
            <v>693365</v>
          </cell>
        </row>
        <row r="1040">
          <cell r="A1040" t="str">
            <v>PEPPL0100</v>
          </cell>
          <cell r="X1040">
            <v>474525</v>
          </cell>
        </row>
        <row r="1041">
          <cell r="A1041" t="str">
            <v>PEPPL0130</v>
          </cell>
          <cell r="X1041">
            <v>2200000</v>
          </cell>
        </row>
        <row r="1042">
          <cell r="A1042" t="str">
            <v>PEPPL0159</v>
          </cell>
          <cell r="X1042">
            <v>343953</v>
          </cell>
        </row>
        <row r="1043">
          <cell r="A1043" t="str">
            <v>PEPPL0171</v>
          </cell>
          <cell r="X1043">
            <v>336960</v>
          </cell>
        </row>
        <row r="1044">
          <cell r="A1044" t="str">
            <v>PEPPL0198</v>
          </cell>
          <cell r="X1044">
            <v>295319</v>
          </cell>
        </row>
        <row r="1045">
          <cell r="A1045" t="str">
            <v>PEPPL0221</v>
          </cell>
          <cell r="X1045">
            <v>286158</v>
          </cell>
        </row>
        <row r="1046">
          <cell r="A1046" t="str">
            <v>PEPPL0223</v>
          </cell>
          <cell r="X1046">
            <v>355350</v>
          </cell>
        </row>
        <row r="1047">
          <cell r="A1047" t="str">
            <v>PEPPL0225</v>
          </cell>
          <cell r="X1047">
            <v>418470</v>
          </cell>
        </row>
        <row r="1048">
          <cell r="A1048" t="str">
            <v>PEPPL0342</v>
          </cell>
          <cell r="X1048">
            <v>379080</v>
          </cell>
        </row>
        <row r="1049">
          <cell r="A1049" t="str">
            <v>PEPPL0436</v>
          </cell>
          <cell r="X1049">
            <v>332670</v>
          </cell>
        </row>
        <row r="1050">
          <cell r="A1050" t="str">
            <v>PEPPL0444</v>
          </cell>
          <cell r="X1050">
            <v>854685</v>
          </cell>
        </row>
        <row r="1051">
          <cell r="A1051" t="str">
            <v>PEPPL0464</v>
          </cell>
          <cell r="X1051">
            <v>379620</v>
          </cell>
        </row>
        <row r="1052">
          <cell r="A1052" t="str">
            <v>PEPPL0471</v>
          </cell>
          <cell r="X1052">
            <v>389610</v>
          </cell>
        </row>
        <row r="1053">
          <cell r="A1053" t="str">
            <v>PEPPL0484</v>
          </cell>
          <cell r="X1053">
            <v>362000</v>
          </cell>
        </row>
        <row r="1054">
          <cell r="A1054" t="str">
            <v>PEPPL0525</v>
          </cell>
          <cell r="X1054">
            <v>240232</v>
          </cell>
        </row>
        <row r="1055">
          <cell r="A1055" t="str">
            <v>PEPPL0527</v>
          </cell>
          <cell r="X1055">
            <v>2360000</v>
          </cell>
        </row>
        <row r="1056">
          <cell r="A1056" t="str">
            <v>PEIPL0173</v>
          </cell>
          <cell r="X1056">
            <v>1404000</v>
          </cell>
        </row>
        <row r="1057">
          <cell r="A1057" t="str">
            <v>PEPPL0532</v>
          </cell>
          <cell r="X1057">
            <v>497316</v>
          </cell>
        </row>
        <row r="1058">
          <cell r="A1058" t="str">
            <v>PEPPL0547</v>
          </cell>
          <cell r="X1058">
            <v>1100000</v>
          </cell>
        </row>
        <row r="1059">
          <cell r="A1059" t="str">
            <v>PEPPL0559</v>
          </cell>
          <cell r="X1059">
            <v>388697</v>
          </cell>
        </row>
        <row r="1060">
          <cell r="A1060" t="str">
            <v>PEPPL0562</v>
          </cell>
          <cell r="X1060">
            <v>2464000</v>
          </cell>
        </row>
        <row r="1061">
          <cell r="A1061" t="str">
            <v>PEPPL0569</v>
          </cell>
          <cell r="X1061">
            <v>804000</v>
          </cell>
        </row>
        <row r="1062">
          <cell r="A1062" t="str">
            <v>PEPPL0584</v>
          </cell>
          <cell r="X1062">
            <v>435276</v>
          </cell>
        </row>
        <row r="1063">
          <cell r="A1063" t="str">
            <v>PEPPL0592</v>
          </cell>
          <cell r="X1063">
            <v>407565</v>
          </cell>
        </row>
        <row r="1064">
          <cell r="A1064" t="str">
            <v>P0422</v>
          </cell>
          <cell r="X1064">
            <v>1037400</v>
          </cell>
        </row>
        <row r="1065">
          <cell r="A1065" t="str">
            <v>P0454</v>
          </cell>
          <cell r="X1065">
            <v>1026000</v>
          </cell>
        </row>
        <row r="1066">
          <cell r="A1066" t="str">
            <v>PEPPL0604</v>
          </cell>
          <cell r="X1066">
            <v>972000</v>
          </cell>
        </row>
        <row r="1067">
          <cell r="A1067" t="str">
            <v>PEPPL0628</v>
          </cell>
          <cell r="X1067">
            <v>722706</v>
          </cell>
        </row>
        <row r="1068">
          <cell r="A1068" t="str">
            <v>PEPPL0650</v>
          </cell>
          <cell r="X1068">
            <v>380712</v>
          </cell>
        </row>
        <row r="1069">
          <cell r="A1069" t="str">
            <v>PEPPL0653</v>
          </cell>
          <cell r="X1069">
            <v>770000</v>
          </cell>
        </row>
        <row r="1070">
          <cell r="A1070" t="str">
            <v>PEPPL0656</v>
          </cell>
          <cell r="X1070">
            <v>717761</v>
          </cell>
        </row>
        <row r="1071">
          <cell r="A1071" t="str">
            <v>PEPPL0660</v>
          </cell>
          <cell r="X1071">
            <v>1306240</v>
          </cell>
        </row>
        <row r="1072">
          <cell r="A1072" t="str">
            <v>PEIPL0485</v>
          </cell>
          <cell r="X1072">
            <v>688545</v>
          </cell>
        </row>
        <row r="1073">
          <cell r="A1073" t="str">
            <v>PEPPL0692</v>
          </cell>
          <cell r="X1073">
            <v>223440</v>
          </cell>
        </row>
        <row r="1074">
          <cell r="A1074" t="str">
            <v>PEPPL0693</v>
          </cell>
          <cell r="X1074">
            <v>223440</v>
          </cell>
        </row>
        <row r="1075">
          <cell r="A1075" t="str">
            <v>PEPPL0719</v>
          </cell>
          <cell r="X1075">
            <v>1900000</v>
          </cell>
        </row>
        <row r="1076">
          <cell r="A1076" t="str">
            <v>PEPPL0721</v>
          </cell>
          <cell r="X1076">
            <v>210458</v>
          </cell>
        </row>
        <row r="1077">
          <cell r="A1077" t="str">
            <v>PEPPL0736</v>
          </cell>
          <cell r="X1077">
            <v>370000</v>
          </cell>
        </row>
        <row r="1078">
          <cell r="A1078" t="str">
            <v>PEPPL0740</v>
          </cell>
          <cell r="X1078">
            <v>320000</v>
          </cell>
        </row>
        <row r="1079">
          <cell r="A1079" t="str">
            <v>PEPPL0748</v>
          </cell>
          <cell r="X1079">
            <v>229930</v>
          </cell>
        </row>
        <row r="1080">
          <cell r="A1080" t="str">
            <v>PEPPL0749</v>
          </cell>
          <cell r="X1080">
            <v>229930</v>
          </cell>
        </row>
        <row r="1081">
          <cell r="A1081" t="str">
            <v>PEPPL0750</v>
          </cell>
          <cell r="X1081">
            <v>229930</v>
          </cell>
        </row>
        <row r="1082">
          <cell r="A1082" t="str">
            <v>PEPPL0751</v>
          </cell>
          <cell r="X1082">
            <v>229930</v>
          </cell>
        </row>
        <row r="1083">
          <cell r="A1083" t="str">
            <v>PEPPL0752</v>
          </cell>
          <cell r="X1083">
            <v>229930</v>
          </cell>
        </row>
        <row r="1084">
          <cell r="A1084" t="str">
            <v>PEPPL0753</v>
          </cell>
          <cell r="X1084">
            <v>229930</v>
          </cell>
        </row>
        <row r="1085">
          <cell r="A1085" t="str">
            <v>PEPPL0754</v>
          </cell>
          <cell r="X1085">
            <v>229930</v>
          </cell>
        </row>
        <row r="1086">
          <cell r="A1086" t="str">
            <v>PEPPL0755</v>
          </cell>
          <cell r="X1086">
            <v>317000</v>
          </cell>
        </row>
        <row r="1087">
          <cell r="A1087" t="str">
            <v>PEPPL0756</v>
          </cell>
          <cell r="X1087">
            <v>396700</v>
          </cell>
        </row>
        <row r="1088">
          <cell r="A1088" t="str">
            <v>PEPPL0757</v>
          </cell>
          <cell r="X1088">
            <v>540000</v>
          </cell>
        </row>
        <row r="1089">
          <cell r="A1089" t="str">
            <v>PEPPL0759</v>
          </cell>
          <cell r="X1089">
            <v>1800000</v>
          </cell>
        </row>
        <row r="1090">
          <cell r="A1090" t="str">
            <v>PEPPL0760</v>
          </cell>
          <cell r="X1090">
            <v>289999</v>
          </cell>
        </row>
        <row r="1091">
          <cell r="A1091" t="str">
            <v>PEPPL0761</v>
          </cell>
          <cell r="X1091">
            <v>438005</v>
          </cell>
        </row>
        <row r="1092">
          <cell r="A1092" t="str">
            <v>PEPPL0762</v>
          </cell>
          <cell r="X1092">
            <v>298505</v>
          </cell>
        </row>
        <row r="1093">
          <cell r="A1093" t="str">
            <v>PEPPL0763</v>
          </cell>
          <cell r="X1093">
            <v>298500</v>
          </cell>
        </row>
        <row r="1094">
          <cell r="A1094" t="str">
            <v>PEPPL0764</v>
          </cell>
          <cell r="X1094">
            <v>213375</v>
          </cell>
        </row>
        <row r="1095">
          <cell r="A1095" t="str">
            <v>PEPPL0765</v>
          </cell>
          <cell r="X1095">
            <v>379364</v>
          </cell>
        </row>
        <row r="1096">
          <cell r="A1096" t="str">
            <v>PEPPL0766</v>
          </cell>
          <cell r="X1096">
            <v>450008</v>
          </cell>
        </row>
        <row r="1097">
          <cell r="A1097" t="str">
            <v>PEPPL0767</v>
          </cell>
          <cell r="X1097">
            <v>352085</v>
          </cell>
        </row>
        <row r="1098">
          <cell r="A1098" t="str">
            <v>PEPPL0768</v>
          </cell>
          <cell r="X1098">
            <v>278020</v>
          </cell>
        </row>
        <row r="1099">
          <cell r="A1099" t="str">
            <v>PEPPL0770</v>
          </cell>
          <cell r="X1099">
            <v>385100</v>
          </cell>
        </row>
        <row r="1100">
          <cell r="A1100" t="str">
            <v>PEPPL0771</v>
          </cell>
          <cell r="X1100">
            <v>393000</v>
          </cell>
        </row>
        <row r="1101">
          <cell r="A1101" t="str">
            <v>PEPPL0772</v>
          </cell>
          <cell r="X1101">
            <v>386505</v>
          </cell>
        </row>
        <row r="1102">
          <cell r="A1102" t="str">
            <v>PEPPL0773</v>
          </cell>
          <cell r="X1102">
            <v>484410</v>
          </cell>
        </row>
        <row r="1103">
          <cell r="A1103" t="str">
            <v>PEPPL0774</v>
          </cell>
          <cell r="X1103">
            <v>350000</v>
          </cell>
        </row>
        <row r="1104">
          <cell r="A1104" t="str">
            <v>PEPPL0775</v>
          </cell>
          <cell r="X1104">
            <v>309005</v>
          </cell>
        </row>
        <row r="1105">
          <cell r="A1105" t="str">
            <v>PEPPL0776</v>
          </cell>
          <cell r="X1105">
            <v>370020</v>
          </cell>
        </row>
        <row r="1106">
          <cell r="A1106" t="str">
            <v>PEPPL0777</v>
          </cell>
          <cell r="X1106">
            <v>684000</v>
          </cell>
        </row>
        <row r="1107">
          <cell r="A1107" t="str">
            <v>PEPPL0778</v>
          </cell>
          <cell r="X1107">
            <v>218930</v>
          </cell>
        </row>
        <row r="1108">
          <cell r="A1108" t="str">
            <v>PEPPL0779</v>
          </cell>
          <cell r="X1108">
            <v>218930</v>
          </cell>
        </row>
        <row r="1109">
          <cell r="A1109" t="str">
            <v>PEPPL0780</v>
          </cell>
          <cell r="X1109">
            <v>325000</v>
          </cell>
        </row>
        <row r="1110">
          <cell r="A1110" t="str">
            <v>PEPPL0781</v>
          </cell>
          <cell r="X1110">
            <v>237916</v>
          </cell>
        </row>
        <row r="1111">
          <cell r="A1111" t="str">
            <v>PEPPL0782</v>
          </cell>
          <cell r="X1111">
            <v>270000</v>
          </cell>
        </row>
        <row r="1112">
          <cell r="A1112" t="str">
            <v>PEPPL0783</v>
          </cell>
          <cell r="X1112">
            <v>280000</v>
          </cell>
        </row>
        <row r="1113">
          <cell r="A1113" t="str">
            <v>PEPPL0784</v>
          </cell>
          <cell r="X1113">
            <v>280000</v>
          </cell>
        </row>
        <row r="1114">
          <cell r="A1114" t="str">
            <v>PEPPL0785</v>
          </cell>
          <cell r="X1114">
            <v>483505</v>
          </cell>
        </row>
        <row r="1115">
          <cell r="A1115" t="str">
            <v>PEPPL0786</v>
          </cell>
          <cell r="X1115">
            <v>11</v>
          </cell>
        </row>
        <row r="1116">
          <cell r="A1116" t="str">
            <v>PEPPL0787</v>
          </cell>
          <cell r="X1116">
            <v>450005</v>
          </cell>
        </row>
        <row r="1117">
          <cell r="A1117" t="str">
            <v>PEPPL0788</v>
          </cell>
          <cell r="X1117">
            <v>620000</v>
          </cell>
        </row>
        <row r="1118">
          <cell r="A1118" t="str">
            <v>PEPPL0790</v>
          </cell>
          <cell r="X1118">
            <v>237916</v>
          </cell>
        </row>
        <row r="1119">
          <cell r="A1119" t="str">
            <v>PEPPL0791</v>
          </cell>
          <cell r="X1119">
            <v>360005</v>
          </cell>
        </row>
        <row r="1120">
          <cell r="A1120" t="str">
            <v>PEPPL0792</v>
          </cell>
          <cell r="X1120">
            <v>323010</v>
          </cell>
        </row>
        <row r="1121">
          <cell r="A1121" t="str">
            <v>PEPPL0793</v>
          </cell>
          <cell r="X1121">
            <v>237916</v>
          </cell>
        </row>
        <row r="1122">
          <cell r="A1122" t="str">
            <v>PEPPL0794</v>
          </cell>
          <cell r="X1122">
            <v>290000</v>
          </cell>
        </row>
        <row r="1123">
          <cell r="A1123" t="str">
            <v>PEPPL0795</v>
          </cell>
          <cell r="X1123">
            <v>500000</v>
          </cell>
        </row>
        <row r="1124">
          <cell r="A1124" t="str">
            <v>PEPPL0796</v>
          </cell>
          <cell r="X1124">
            <v>420005</v>
          </cell>
        </row>
        <row r="1125">
          <cell r="A1125" t="str">
            <v>PEPPL0797</v>
          </cell>
          <cell r="X1125">
            <v>408120</v>
          </cell>
        </row>
        <row r="1126">
          <cell r="A1126" t="str">
            <v>PEPPL0798</v>
          </cell>
          <cell r="X1126">
            <v>230500</v>
          </cell>
        </row>
        <row r="1127">
          <cell r="A1127" t="str">
            <v>PEPPL0799</v>
          </cell>
          <cell r="X1127">
            <v>384500</v>
          </cell>
        </row>
        <row r="1128">
          <cell r="A1128" t="str">
            <v>PEPPL0800</v>
          </cell>
          <cell r="X1128">
            <v>298285</v>
          </cell>
        </row>
        <row r="1129">
          <cell r="A1129" t="str">
            <v>PEPPL0801</v>
          </cell>
          <cell r="X1129">
            <v>920000</v>
          </cell>
        </row>
        <row r="1130">
          <cell r="A1130" t="str">
            <v>PEPPL0802</v>
          </cell>
          <cell r="X1130">
            <v>341225</v>
          </cell>
        </row>
        <row r="1131">
          <cell r="A1131" t="str">
            <v>PEPPL0813</v>
          </cell>
          <cell r="X1131">
            <v>336000</v>
          </cell>
        </row>
        <row r="1132">
          <cell r="A1132" t="str">
            <v>PSS0063</v>
          </cell>
          <cell r="X1132">
            <v>500175</v>
          </cell>
        </row>
        <row r="1133">
          <cell r="A1133" t="str">
            <v>PSS0072</v>
          </cell>
          <cell r="X1133">
            <v>198276</v>
          </cell>
        </row>
        <row r="1134">
          <cell r="A1134" t="str">
            <v>PSS0155</v>
          </cell>
          <cell r="X1134">
            <v>491400</v>
          </cell>
        </row>
        <row r="1135">
          <cell r="A1135" t="str">
            <v>PSS0159</v>
          </cell>
          <cell r="X1135">
            <v>228648</v>
          </cell>
        </row>
        <row r="1136">
          <cell r="A1136" t="str">
            <v>PSS0467</v>
          </cell>
          <cell r="X1136">
            <v>3077076</v>
          </cell>
        </row>
        <row r="1137">
          <cell r="A1137" t="str">
            <v>PSS0592</v>
          </cell>
          <cell r="X1137">
            <v>217728</v>
          </cell>
        </row>
        <row r="1138">
          <cell r="A1138" t="str">
            <v>PSS0619</v>
          </cell>
          <cell r="X1138">
            <v>980000</v>
          </cell>
        </row>
        <row r="1139">
          <cell r="A1139" t="str">
            <v>PSS0690</v>
          </cell>
          <cell r="X1139">
            <v>690000</v>
          </cell>
        </row>
        <row r="1140">
          <cell r="A1140" t="str">
            <v>PSS0761</v>
          </cell>
          <cell r="X1140">
            <v>539460</v>
          </cell>
        </row>
        <row r="1141">
          <cell r="A1141" t="str">
            <v>PSS0947</v>
          </cell>
          <cell r="X1141">
            <v>215784</v>
          </cell>
        </row>
        <row r="1142">
          <cell r="A1142" t="str">
            <v>PSS0988</v>
          </cell>
          <cell r="X1142">
            <v>1560600</v>
          </cell>
        </row>
        <row r="1143">
          <cell r="A1143" t="str">
            <v>PSS1039</v>
          </cell>
          <cell r="X1143">
            <v>169407</v>
          </cell>
        </row>
        <row r="1144">
          <cell r="A1144" t="str">
            <v>PSS1047</v>
          </cell>
          <cell r="X1144">
            <v>209952</v>
          </cell>
        </row>
        <row r="1145">
          <cell r="A1145" t="str">
            <v>PSS1076</v>
          </cell>
          <cell r="X1145">
            <v>204120</v>
          </cell>
        </row>
        <row r="1146">
          <cell r="A1146" t="str">
            <v>PSS1095</v>
          </cell>
          <cell r="X1146">
            <v>1170000</v>
          </cell>
        </row>
        <row r="1147">
          <cell r="A1147" t="str">
            <v>PSS1113</v>
          </cell>
          <cell r="X1147">
            <v>487176</v>
          </cell>
        </row>
        <row r="1148">
          <cell r="A1148" t="str">
            <v>PSS1121</v>
          </cell>
          <cell r="X1148">
            <v>974700</v>
          </cell>
        </row>
        <row r="1149">
          <cell r="A1149" t="str">
            <v>PSS1122</v>
          </cell>
          <cell r="X1149">
            <v>204120</v>
          </cell>
        </row>
        <row r="1150">
          <cell r="A1150" t="str">
            <v>PSS1127</v>
          </cell>
          <cell r="X1150">
            <v>178200</v>
          </cell>
        </row>
        <row r="1151">
          <cell r="A1151" t="str">
            <v>PSS1140</v>
          </cell>
          <cell r="X1151">
            <v>194400</v>
          </cell>
        </row>
        <row r="1152">
          <cell r="A1152" t="str">
            <v>PSS1169</v>
          </cell>
          <cell r="X1152">
            <v>2925000</v>
          </cell>
        </row>
        <row r="1153">
          <cell r="A1153" t="str">
            <v>PSS1207</v>
          </cell>
          <cell r="X1153">
            <v>226800</v>
          </cell>
        </row>
        <row r="1154">
          <cell r="A1154" t="str">
            <v>PSS1208</v>
          </cell>
          <cell r="X1154">
            <v>209952</v>
          </cell>
        </row>
        <row r="1155">
          <cell r="A1155" t="str">
            <v>PSS1224</v>
          </cell>
          <cell r="X1155">
            <v>494004</v>
          </cell>
        </row>
        <row r="1156">
          <cell r="A1156" t="str">
            <v>PSS1229</v>
          </cell>
          <cell r="X1156">
            <v>383364</v>
          </cell>
        </row>
        <row r="1157">
          <cell r="A1157" t="str">
            <v>PSS1235</v>
          </cell>
          <cell r="X1157">
            <v>248832</v>
          </cell>
        </row>
        <row r="1158">
          <cell r="A1158" t="str">
            <v>PSS1239</v>
          </cell>
          <cell r="X1158">
            <v>209952</v>
          </cell>
        </row>
        <row r="1159">
          <cell r="A1159" t="str">
            <v>PSS1248</v>
          </cell>
          <cell r="X1159">
            <v>178200</v>
          </cell>
        </row>
        <row r="1160">
          <cell r="A1160" t="str">
            <v>PSS1249</v>
          </cell>
          <cell r="X1160">
            <v>5100000</v>
          </cell>
        </row>
        <row r="1161">
          <cell r="A1161" t="str">
            <v>PSS1251</v>
          </cell>
          <cell r="X1161">
            <v>2339280</v>
          </cell>
        </row>
        <row r="1162">
          <cell r="A1162" t="str">
            <v>PSS1261</v>
          </cell>
          <cell r="X1162">
            <v>124680</v>
          </cell>
        </row>
        <row r="1163">
          <cell r="A1163" t="str">
            <v>PSS1268</v>
          </cell>
          <cell r="X1163">
            <v>1288200</v>
          </cell>
        </row>
        <row r="1164">
          <cell r="A1164" t="str">
            <v>PSS1286</v>
          </cell>
          <cell r="X1164">
            <v>1100000</v>
          </cell>
        </row>
        <row r="1165">
          <cell r="A1165" t="str">
            <v>PSS1290</v>
          </cell>
          <cell r="X1165">
            <v>2300000</v>
          </cell>
        </row>
        <row r="1166">
          <cell r="A1166" t="str">
            <v>PSS1304</v>
          </cell>
          <cell r="X1166">
            <v>646616</v>
          </cell>
        </row>
        <row r="1167">
          <cell r="A1167" t="str">
            <v>PSS1323</v>
          </cell>
          <cell r="X1167">
            <v>180747</v>
          </cell>
        </row>
        <row r="1168">
          <cell r="A1168" t="str">
            <v>PSS1334</v>
          </cell>
          <cell r="X1168">
            <v>4100000</v>
          </cell>
        </row>
        <row r="1169">
          <cell r="A1169" t="str">
            <v>PSS1343</v>
          </cell>
          <cell r="X1169">
            <v>604697</v>
          </cell>
        </row>
        <row r="1170">
          <cell r="A1170" t="str">
            <v>PSS1344</v>
          </cell>
          <cell r="X1170">
            <v>255759</v>
          </cell>
        </row>
        <row r="1171">
          <cell r="A1171" t="str">
            <v>PSS1354</v>
          </cell>
          <cell r="X1171">
            <v>400000</v>
          </cell>
        </row>
        <row r="1172">
          <cell r="A1172" t="str">
            <v>PSS1362</v>
          </cell>
          <cell r="X1172">
            <v>904038</v>
          </cell>
        </row>
        <row r="1173">
          <cell r="A1173" t="str">
            <v>PSS1363</v>
          </cell>
          <cell r="X1173">
            <v>920000</v>
          </cell>
        </row>
        <row r="1174">
          <cell r="A1174" t="str">
            <v>PSS1369</v>
          </cell>
          <cell r="X1174">
            <v>906000</v>
          </cell>
        </row>
        <row r="1175">
          <cell r="A1175" t="str">
            <v>PSS1376</v>
          </cell>
          <cell r="X1175">
            <v>660000</v>
          </cell>
        </row>
        <row r="1176">
          <cell r="A1176" t="str">
            <v>PSS1379</v>
          </cell>
          <cell r="X1176">
            <v>2150000</v>
          </cell>
        </row>
        <row r="1177">
          <cell r="A1177" t="str">
            <v>PSS1380</v>
          </cell>
          <cell r="X1177">
            <v>450000</v>
          </cell>
        </row>
        <row r="1178">
          <cell r="A1178" t="str">
            <v>PSS1381</v>
          </cell>
          <cell r="X1178">
            <v>246400</v>
          </cell>
        </row>
        <row r="1179">
          <cell r="A1179" t="str">
            <v>PSS1382</v>
          </cell>
          <cell r="X1179">
            <v>800000</v>
          </cell>
        </row>
        <row r="1180">
          <cell r="A1180" t="str">
            <v>PSS1383</v>
          </cell>
          <cell r="X1180">
            <v>200400</v>
          </cell>
        </row>
        <row r="1181">
          <cell r="A1181" t="str">
            <v>PSS1384</v>
          </cell>
          <cell r="X1181">
            <v>298285</v>
          </cell>
        </row>
        <row r="1182">
          <cell r="A1182" t="str">
            <v>PSS1385</v>
          </cell>
          <cell r="X1182">
            <v>298285</v>
          </cell>
        </row>
        <row r="1183">
          <cell r="A1183" t="str">
            <v>PSS1386</v>
          </cell>
          <cell r="X1183">
            <v>3000000</v>
          </cell>
        </row>
        <row r="1184">
          <cell r="A1184" t="str">
            <v>PSS1387</v>
          </cell>
          <cell r="X1184">
            <v>878000</v>
          </cell>
        </row>
        <row r="1185">
          <cell r="A1185" t="str">
            <v>PSS1388</v>
          </cell>
          <cell r="X1185">
            <v>1300000</v>
          </cell>
        </row>
        <row r="1186">
          <cell r="A1186" t="str">
            <v>PSS1389</v>
          </cell>
          <cell r="X1186">
            <v>735000</v>
          </cell>
        </row>
        <row r="1187">
          <cell r="A1187" t="str">
            <v>PSS1390</v>
          </cell>
          <cell r="X1187">
            <v>466670</v>
          </cell>
        </row>
        <row r="1188">
          <cell r="A1188" t="str">
            <v>PSS1391</v>
          </cell>
          <cell r="X1188">
            <v>466670</v>
          </cell>
        </row>
        <row r="1189">
          <cell r="A1189" t="str">
            <v>PSS1392</v>
          </cell>
          <cell r="X1189">
            <v>700000</v>
          </cell>
        </row>
        <row r="1190">
          <cell r="A1190" t="str">
            <v>PSS1393</v>
          </cell>
          <cell r="X1190">
            <v>750000</v>
          </cell>
        </row>
        <row r="1191">
          <cell r="A1191" t="str">
            <v>PSS1395</v>
          </cell>
          <cell r="X1191">
            <v>240000</v>
          </cell>
        </row>
        <row r="1192">
          <cell r="A1192" t="str">
            <v>PSS1396</v>
          </cell>
          <cell r="X1192">
            <v>586560</v>
          </cell>
        </row>
        <row r="1193">
          <cell r="A1193" t="str">
            <v>PSS1397</v>
          </cell>
          <cell r="X1193">
            <v>5300000</v>
          </cell>
        </row>
        <row r="1194">
          <cell r="A1194" t="str">
            <v>PSS1398</v>
          </cell>
          <cell r="X1194">
            <v>5395000</v>
          </cell>
        </row>
        <row r="1195">
          <cell r="A1195" t="str">
            <v>PSS1399</v>
          </cell>
          <cell r="X1195">
            <v>546816</v>
          </cell>
        </row>
        <row r="1196">
          <cell r="A1196" t="str">
            <v>PSS1400</v>
          </cell>
          <cell r="X1196">
            <v>266666</v>
          </cell>
        </row>
        <row r="1197">
          <cell r="A1197" t="str">
            <v>PSS1401</v>
          </cell>
          <cell r="X1197">
            <v>266666</v>
          </cell>
        </row>
        <row r="1198">
          <cell r="A1198" t="str">
            <v>PSS1402</v>
          </cell>
          <cell r="X1198">
            <v>266666</v>
          </cell>
        </row>
        <row r="1199">
          <cell r="A1199" t="str">
            <v>PSS1403</v>
          </cell>
          <cell r="X1199">
            <v>298285</v>
          </cell>
        </row>
        <row r="1200">
          <cell r="A1200" t="str">
            <v>PEPPL0744</v>
          </cell>
          <cell r="X1200">
            <v>207760</v>
          </cell>
        </row>
        <row r="1201">
          <cell r="A1201" t="str">
            <v>PEPPL0663</v>
          </cell>
          <cell r="X1201">
            <v>254649</v>
          </cell>
        </row>
        <row r="1202">
          <cell r="A1202" t="str">
            <v>PEPPL0673</v>
          </cell>
          <cell r="X1202">
            <v>534403</v>
          </cell>
        </row>
        <row r="1203">
          <cell r="A1203" t="str">
            <v>PEPPL0512</v>
          </cell>
          <cell r="X1203">
            <v>454313</v>
          </cell>
        </row>
        <row r="1204">
          <cell r="A1204" t="str">
            <v>PEPPL0263</v>
          </cell>
          <cell r="X1204">
            <v>356411</v>
          </cell>
        </row>
        <row r="1205">
          <cell r="A1205" t="str">
            <v>PEIPL0460</v>
          </cell>
          <cell r="X1205">
            <v>529672</v>
          </cell>
        </row>
        <row r="1206">
          <cell r="A1206" t="str">
            <v>PEIPL0248</v>
          </cell>
          <cell r="X1206">
            <v>604377</v>
          </cell>
        </row>
        <row r="1207">
          <cell r="A1207" t="str">
            <v>PEIPL0319</v>
          </cell>
          <cell r="X1207">
            <v>362763</v>
          </cell>
        </row>
        <row r="1208">
          <cell r="A1208" t="str">
            <v>PEPPL0115</v>
          </cell>
          <cell r="X1208">
            <v>751263</v>
          </cell>
        </row>
        <row r="1209">
          <cell r="A1209" t="str">
            <v>PEIPL0002</v>
          </cell>
          <cell r="X1209">
            <v>804718</v>
          </cell>
        </row>
        <row r="1210">
          <cell r="A1210" t="str">
            <v>PEPPL0095</v>
          </cell>
          <cell r="X1210">
            <v>910735</v>
          </cell>
        </row>
        <row r="1211">
          <cell r="A1211" t="str">
            <v>PEPPL0513</v>
          </cell>
          <cell r="X1211">
            <v>385594</v>
          </cell>
        </row>
        <row r="1212">
          <cell r="A1212" t="str">
            <v>PEPPL0302</v>
          </cell>
          <cell r="X1212">
            <v>263827</v>
          </cell>
        </row>
        <row r="1213">
          <cell r="A1213" t="str">
            <v>PEPPL0382</v>
          </cell>
          <cell r="X1213">
            <v>508360</v>
          </cell>
        </row>
        <row r="1214">
          <cell r="A1214" t="str">
            <v>PEPPL0462</v>
          </cell>
          <cell r="X1214">
            <v>490939</v>
          </cell>
        </row>
        <row r="1215">
          <cell r="A1215" t="str">
            <v>PEPPL0558</v>
          </cell>
          <cell r="X1215">
            <v>386566</v>
          </cell>
        </row>
        <row r="1216">
          <cell r="A1216" t="str">
            <v>PEIPL0308</v>
          </cell>
          <cell r="X1216">
            <v>354166</v>
          </cell>
        </row>
        <row r="1217">
          <cell r="A1217" t="str">
            <v>PEIPL0426</v>
          </cell>
          <cell r="X1217">
            <v>314926</v>
          </cell>
        </row>
        <row r="1218">
          <cell r="A1218" t="str">
            <v>PEIPL0429</v>
          </cell>
          <cell r="X1218">
            <v>314926</v>
          </cell>
        </row>
        <row r="1219">
          <cell r="A1219" t="str">
            <v>PEIPL0471</v>
          </cell>
          <cell r="X1219">
            <v>364126</v>
          </cell>
        </row>
        <row r="1220">
          <cell r="A1220" t="str">
            <v>PEIPL0222</v>
          </cell>
          <cell r="X1220">
            <v>239880</v>
          </cell>
        </row>
        <row r="1221">
          <cell r="A1221" t="str">
            <v>P0108</v>
          </cell>
          <cell r="X1221">
            <v>362219</v>
          </cell>
        </row>
        <row r="1222">
          <cell r="A1222" t="str">
            <v>P0253</v>
          </cell>
          <cell r="X1222">
            <v>316616</v>
          </cell>
        </row>
        <row r="1223">
          <cell r="A1223" t="str">
            <v>P0419</v>
          </cell>
          <cell r="X1223">
            <v>344615</v>
          </cell>
        </row>
        <row r="1224">
          <cell r="A1224" t="str">
            <v>PEIPL0188</v>
          </cell>
          <cell r="X1224">
            <v>419054</v>
          </cell>
        </row>
        <row r="1225">
          <cell r="A1225" t="str">
            <v>PEIPL0130</v>
          </cell>
          <cell r="X1225">
            <v>419054</v>
          </cell>
        </row>
        <row r="1226">
          <cell r="A1226" t="str">
            <v>PEIPL0499</v>
          </cell>
          <cell r="X1226">
            <v>381308</v>
          </cell>
        </row>
        <row r="1227">
          <cell r="A1227" t="str">
            <v>PEIPL0690</v>
          </cell>
          <cell r="X1227">
            <v>414680</v>
          </cell>
        </row>
        <row r="1228">
          <cell r="A1228" t="str">
            <v>PEPPL0405</v>
          </cell>
          <cell r="X1228">
            <v>279167</v>
          </cell>
        </row>
        <row r="1229">
          <cell r="A1229" t="str">
            <v>PEPPL0595</v>
          </cell>
          <cell r="X1229">
            <v>464387</v>
          </cell>
        </row>
        <row r="1230">
          <cell r="A1230" t="str">
            <v>PEPPL0645</v>
          </cell>
          <cell r="X1230">
            <v>396779</v>
          </cell>
        </row>
        <row r="1231">
          <cell r="A1231" t="str">
            <v>PSS0762</v>
          </cell>
          <cell r="X1231">
            <v>507236</v>
          </cell>
        </row>
        <row r="1232">
          <cell r="A1232" t="str">
            <v>PSS1168</v>
          </cell>
          <cell r="X1232">
            <v>361535</v>
          </cell>
        </row>
        <row r="1233">
          <cell r="A1233" t="str">
            <v>P0368</v>
          </cell>
          <cell r="X1233">
            <v>202091</v>
          </cell>
        </row>
        <row r="1234">
          <cell r="A1234" t="str">
            <v>PSS0763</v>
          </cell>
          <cell r="X1234">
            <v>252410</v>
          </cell>
        </row>
        <row r="1235">
          <cell r="A1235" t="str">
            <v>PSS1062</v>
          </cell>
          <cell r="X1235">
            <v>217715</v>
          </cell>
        </row>
        <row r="1236">
          <cell r="A1236" t="str">
            <v>PSS1187</v>
          </cell>
          <cell r="X1236">
            <v>248819</v>
          </cell>
        </row>
        <row r="1237">
          <cell r="A1237" t="str">
            <v>P0335</v>
          </cell>
          <cell r="X1237">
            <v>361265</v>
          </cell>
        </row>
        <row r="1238">
          <cell r="A1238" t="str">
            <v>P0377</v>
          </cell>
          <cell r="X1238">
            <v>359600</v>
          </cell>
        </row>
        <row r="1239">
          <cell r="A1239" t="str">
            <v>P0481</v>
          </cell>
          <cell r="X1239">
            <v>1019507</v>
          </cell>
        </row>
        <row r="1240">
          <cell r="A1240" t="str">
            <v>PEIPL0036</v>
          </cell>
          <cell r="X1240">
            <v>484031</v>
          </cell>
        </row>
        <row r="1241">
          <cell r="A1241" t="str">
            <v>PEPPL0051</v>
          </cell>
          <cell r="X1241">
            <v>2421758</v>
          </cell>
        </row>
        <row r="1242">
          <cell r="A1242" t="str">
            <v>PEPPL0466</v>
          </cell>
          <cell r="X1242">
            <v>657302</v>
          </cell>
        </row>
        <row r="1243">
          <cell r="A1243" t="str">
            <v>PEPPL0614</v>
          </cell>
          <cell r="X1243">
            <v>3671150</v>
          </cell>
        </row>
        <row r="1244">
          <cell r="A1244" t="str">
            <v>PEIPL0214</v>
          </cell>
          <cell r="X1244">
            <v>246306</v>
          </cell>
        </row>
        <row r="1245">
          <cell r="A1245" t="str">
            <v>PEIPL0236</v>
          </cell>
          <cell r="X1245">
            <v>246306</v>
          </cell>
        </row>
        <row r="1246">
          <cell r="A1246" t="str">
            <v>PEIPL0255</v>
          </cell>
          <cell r="X1246">
            <v>362999</v>
          </cell>
        </row>
        <row r="1247">
          <cell r="A1247" t="str">
            <v>PEIPL0456</v>
          </cell>
          <cell r="X1247">
            <v>272914</v>
          </cell>
        </row>
        <row r="1248">
          <cell r="A1248" t="str">
            <v>PEPPL0728</v>
          </cell>
          <cell r="X1248">
            <v>211019</v>
          </cell>
        </row>
        <row r="1249">
          <cell r="A1249" t="str">
            <v>PEPPL0571</v>
          </cell>
          <cell r="X1249">
            <v>447718</v>
          </cell>
        </row>
        <row r="1250">
          <cell r="A1250" t="str">
            <v>PSS0991</v>
          </cell>
          <cell r="X1250">
            <v>235432</v>
          </cell>
        </row>
        <row r="1251">
          <cell r="A1251" t="str">
            <v>PSS1307</v>
          </cell>
          <cell r="X1251">
            <v>497743</v>
          </cell>
        </row>
        <row r="1252">
          <cell r="A1252" t="str">
            <v>PEPPL0149</v>
          </cell>
          <cell r="X1252">
            <v>1060222</v>
          </cell>
        </row>
        <row r="1253">
          <cell r="A1253" t="str">
            <v>PEIPL0411</v>
          </cell>
          <cell r="X1253">
            <v>579052</v>
          </cell>
        </row>
        <row r="1254">
          <cell r="A1254" t="str">
            <v>PEPPL0738</v>
          </cell>
          <cell r="X1254">
            <v>1312202</v>
          </cell>
        </row>
        <row r="1255">
          <cell r="A1255" t="str">
            <v>PEIPL0224</v>
          </cell>
          <cell r="X1255">
            <v>252732</v>
          </cell>
        </row>
        <row r="1256">
          <cell r="A1256" t="str">
            <v>PEIPL0298</v>
          </cell>
          <cell r="X1256">
            <v>298312</v>
          </cell>
        </row>
        <row r="1257">
          <cell r="A1257" t="str">
            <v>PEIPL0101</v>
          </cell>
          <cell r="X1257">
            <v>365289</v>
          </cell>
        </row>
        <row r="1258">
          <cell r="A1258" t="str">
            <v>PEIPL0017</v>
          </cell>
          <cell r="X1258">
            <v>815133</v>
          </cell>
        </row>
        <row r="1259">
          <cell r="A1259" t="str">
            <v>PEIPL0251</v>
          </cell>
          <cell r="X1259">
            <v>263998</v>
          </cell>
        </row>
        <row r="1260">
          <cell r="A1260" t="str">
            <v>PEIPL0204</v>
          </cell>
          <cell r="X1260">
            <v>318252</v>
          </cell>
        </row>
        <row r="1261">
          <cell r="A1261" t="str">
            <v>PEIPL0425</v>
          </cell>
          <cell r="X1261">
            <v>327523</v>
          </cell>
        </row>
        <row r="1262">
          <cell r="A1262" t="str">
            <v>PEPPL0409</v>
          </cell>
          <cell r="X1262">
            <v>366674</v>
          </cell>
        </row>
        <row r="1263">
          <cell r="A1263" t="str">
            <v>PEPPL0449</v>
          </cell>
          <cell r="X1263">
            <v>388541</v>
          </cell>
        </row>
        <row r="1264">
          <cell r="A1264" t="str">
            <v>PEPPL0589</v>
          </cell>
          <cell r="X1264">
            <v>553727</v>
          </cell>
        </row>
        <row r="1265">
          <cell r="A1265" t="str">
            <v>PEIPL0322</v>
          </cell>
          <cell r="X1265">
            <v>286913</v>
          </cell>
        </row>
        <row r="1266">
          <cell r="A1266" t="str">
            <v>PEPPL0541</v>
          </cell>
          <cell r="X1266">
            <v>750855</v>
          </cell>
        </row>
        <row r="1267">
          <cell r="A1267" t="str">
            <v>PEIPL0021</v>
          </cell>
          <cell r="X1267">
            <v>549424</v>
          </cell>
        </row>
        <row r="1268">
          <cell r="A1268" t="str">
            <v>PEPPL0638</v>
          </cell>
          <cell r="X1268">
            <v>702001</v>
          </cell>
        </row>
        <row r="1269">
          <cell r="A1269" t="str">
            <v>PSS1247</v>
          </cell>
          <cell r="X1269">
            <v>158410</v>
          </cell>
        </row>
        <row r="1270">
          <cell r="A1270" t="str">
            <v>P0109</v>
          </cell>
          <cell r="X1270">
            <v>350542</v>
          </cell>
        </row>
        <row r="1271">
          <cell r="A1271" t="str">
            <v>PEIPL0207</v>
          </cell>
          <cell r="X1271">
            <v>717778</v>
          </cell>
        </row>
        <row r="1272">
          <cell r="A1272" t="str">
            <v>PEIPL0405</v>
          </cell>
          <cell r="X1272">
            <v>315978</v>
          </cell>
        </row>
        <row r="1273">
          <cell r="A1273" t="str">
            <v>PEPPL0238</v>
          </cell>
          <cell r="X1273">
            <v>733498</v>
          </cell>
        </row>
        <row r="1274">
          <cell r="A1274" t="str">
            <v>PEPPL0049</v>
          </cell>
          <cell r="X1274">
            <v>1256178</v>
          </cell>
        </row>
        <row r="1275">
          <cell r="A1275" t="str">
            <v>PEIPL0206</v>
          </cell>
          <cell r="X1275">
            <v>354922</v>
          </cell>
        </row>
        <row r="1276">
          <cell r="A1276" t="str">
            <v>PEIPL0331</v>
          </cell>
          <cell r="X1276">
            <v>398289</v>
          </cell>
        </row>
        <row r="1277">
          <cell r="A1277" t="str">
            <v>PEPPL0668</v>
          </cell>
          <cell r="X1277">
            <v>283911</v>
          </cell>
        </row>
        <row r="1278">
          <cell r="A1278" t="str">
            <v>PEPPL0696</v>
          </cell>
          <cell r="X1278">
            <v>254385</v>
          </cell>
        </row>
        <row r="1279">
          <cell r="A1279" t="str">
            <v>PEIPL0399</v>
          </cell>
          <cell r="X1279">
            <v>897024</v>
          </cell>
        </row>
        <row r="1280">
          <cell r="A1280" t="str">
            <v>PEPPL0351</v>
          </cell>
          <cell r="X1280">
            <v>402128</v>
          </cell>
        </row>
        <row r="1281">
          <cell r="A1281" t="str">
            <v>PEPPL0323</v>
          </cell>
          <cell r="X1281">
            <v>1235041</v>
          </cell>
        </row>
        <row r="1282">
          <cell r="A1282" t="str">
            <v>PEPPL0737</v>
          </cell>
          <cell r="X1282">
            <v>671281</v>
          </cell>
        </row>
        <row r="1283">
          <cell r="A1283" t="str">
            <v>PEIPL0215</v>
          </cell>
          <cell r="X1283">
            <v>359921</v>
          </cell>
        </row>
        <row r="1284">
          <cell r="A1284" t="str">
            <v>PEPPL0702</v>
          </cell>
          <cell r="X1284">
            <v>236026</v>
          </cell>
        </row>
        <row r="1285">
          <cell r="A1285" t="str">
            <v>P0427</v>
          </cell>
          <cell r="X1285">
            <v>329705</v>
          </cell>
        </row>
        <row r="1286">
          <cell r="A1286" t="str">
            <v>PEGEPL0006</v>
          </cell>
          <cell r="X1286">
            <v>377477</v>
          </cell>
        </row>
        <row r="1287">
          <cell r="A1287" t="str">
            <v>PEIPL0260</v>
          </cell>
          <cell r="X1287">
            <v>307096</v>
          </cell>
        </row>
        <row r="1288">
          <cell r="A1288" t="str">
            <v>PEIPL0275</v>
          </cell>
          <cell r="X1288">
            <v>304864</v>
          </cell>
        </row>
        <row r="1289">
          <cell r="A1289" t="str">
            <v>PEIPL0306</v>
          </cell>
          <cell r="X1289">
            <v>356904</v>
          </cell>
        </row>
        <row r="1290">
          <cell r="A1290" t="str">
            <v>PEPPL0266</v>
          </cell>
          <cell r="X1290">
            <v>279499</v>
          </cell>
        </row>
        <row r="1291">
          <cell r="A1291" t="str">
            <v>PSS1347</v>
          </cell>
          <cell r="X1291">
            <v>457987</v>
          </cell>
        </row>
        <row r="1292">
          <cell r="A1292" t="str">
            <v>PEIPL0302</v>
          </cell>
          <cell r="X1292">
            <v>300404</v>
          </cell>
        </row>
        <row r="1293">
          <cell r="A1293" t="str">
            <v>PEIPL0244</v>
          </cell>
          <cell r="X1293">
            <v>360455</v>
          </cell>
        </row>
        <row r="1294">
          <cell r="A1294" t="str">
            <v>P0112</v>
          </cell>
          <cell r="X1294">
            <v>287025</v>
          </cell>
        </row>
        <row r="1295">
          <cell r="A1295" t="str">
            <v>P0477</v>
          </cell>
          <cell r="X1295">
            <v>239073</v>
          </cell>
        </row>
        <row r="1296">
          <cell r="A1296" t="str">
            <v>P0478</v>
          </cell>
          <cell r="X1296">
            <v>239073</v>
          </cell>
        </row>
        <row r="1297">
          <cell r="A1297" t="str">
            <v>PEGEPL0012</v>
          </cell>
          <cell r="X1297">
            <v>397023</v>
          </cell>
        </row>
        <row r="1298">
          <cell r="A1298" t="str">
            <v>PEIPL0124</v>
          </cell>
          <cell r="X1298">
            <v>342123</v>
          </cell>
        </row>
        <row r="1299">
          <cell r="A1299" t="str">
            <v>PEPPL0061</v>
          </cell>
          <cell r="X1299">
            <v>717756</v>
          </cell>
        </row>
        <row r="1300">
          <cell r="A1300" t="str">
            <v>PEPPL0222</v>
          </cell>
          <cell r="X1300">
            <v>379722</v>
          </cell>
        </row>
        <row r="1301">
          <cell r="A1301" t="str">
            <v>PEIPL0492</v>
          </cell>
          <cell r="X1301">
            <v>320505</v>
          </cell>
        </row>
        <row r="1302">
          <cell r="A1302" t="str">
            <v>PSS1045</v>
          </cell>
          <cell r="X1302">
            <v>308571</v>
          </cell>
        </row>
        <row r="1303">
          <cell r="A1303" t="str">
            <v>PEIPL0514</v>
          </cell>
          <cell r="X1303">
            <v>1177923</v>
          </cell>
        </row>
        <row r="1304">
          <cell r="A1304" t="str">
            <v>PSS0805</v>
          </cell>
          <cell r="X1304">
            <v>1824009</v>
          </cell>
        </row>
        <row r="1305">
          <cell r="A1305" t="str">
            <v>PEIPL0397</v>
          </cell>
          <cell r="X1305">
            <v>474352</v>
          </cell>
        </row>
        <row r="1306">
          <cell r="A1306" t="str">
            <v>PEPPL0531</v>
          </cell>
          <cell r="X1306">
            <v>729767</v>
          </cell>
        </row>
        <row r="1307">
          <cell r="A1307" t="str">
            <v>PEPPL0404</v>
          </cell>
          <cell r="X1307">
            <v>1421167</v>
          </cell>
        </row>
        <row r="1308">
          <cell r="A1308" t="str">
            <v>PEIPL0394</v>
          </cell>
          <cell r="X1308">
            <v>235977</v>
          </cell>
        </row>
        <row r="1309">
          <cell r="A1309" t="str">
            <v>PEIPL0401</v>
          </cell>
          <cell r="X1309">
            <v>263610</v>
          </cell>
        </row>
        <row r="1310">
          <cell r="A1310" t="str">
            <v>PEIPL0412</v>
          </cell>
          <cell r="X1310">
            <v>429245</v>
          </cell>
        </row>
        <row r="1311">
          <cell r="A1311" t="str">
            <v>P0128</v>
          </cell>
          <cell r="X1311">
            <v>883430</v>
          </cell>
        </row>
        <row r="1312">
          <cell r="A1312" t="str">
            <v>PEPPL0235</v>
          </cell>
          <cell r="X1312">
            <v>324311</v>
          </cell>
        </row>
        <row r="1313">
          <cell r="A1313" t="str">
            <v>PSS1130</v>
          </cell>
          <cell r="X1313">
            <v>270377</v>
          </cell>
        </row>
        <row r="1314">
          <cell r="A1314" t="str">
            <v>PEIPL0370</v>
          </cell>
          <cell r="X1314">
            <v>276079</v>
          </cell>
        </row>
        <row r="1315">
          <cell r="A1315" t="str">
            <v>PEPPL0073</v>
          </cell>
          <cell r="X1315">
            <v>899230</v>
          </cell>
        </row>
        <row r="1316">
          <cell r="A1316" t="str">
            <v>PSS1367</v>
          </cell>
          <cell r="X1316">
            <v>240181</v>
          </cell>
        </row>
        <row r="1317">
          <cell r="A1317" t="str">
            <v>PEPPL0732</v>
          </cell>
          <cell r="X1317">
            <v>253646</v>
          </cell>
        </row>
        <row r="1318">
          <cell r="A1318" t="str">
            <v>PEIPL0696</v>
          </cell>
          <cell r="X1318">
            <v>673852</v>
          </cell>
        </row>
        <row r="1319">
          <cell r="A1319" t="str">
            <v>PSS1234</v>
          </cell>
          <cell r="X1319">
            <v>823495</v>
          </cell>
        </row>
        <row r="1320">
          <cell r="A1320" t="str">
            <v>PEIPL0520</v>
          </cell>
          <cell r="X1320">
            <v>326232</v>
          </cell>
        </row>
        <row r="1321">
          <cell r="A1321" t="str">
            <v>PEIPL0195</v>
          </cell>
          <cell r="X1321">
            <v>377626</v>
          </cell>
        </row>
        <row r="1322">
          <cell r="A1322" t="str">
            <v>PEIPL0378</v>
          </cell>
          <cell r="X1322">
            <v>306653</v>
          </cell>
        </row>
        <row r="1323">
          <cell r="A1323" t="str">
            <v>PEPPL0318</v>
          </cell>
          <cell r="X1323">
            <v>464893</v>
          </cell>
        </row>
        <row r="1324">
          <cell r="A1324" t="str">
            <v>P0464</v>
          </cell>
          <cell r="X1324">
            <v>235789</v>
          </cell>
        </row>
        <row r="1325">
          <cell r="A1325" t="str">
            <v>PEIPL0026</v>
          </cell>
          <cell r="X1325">
            <v>1424893</v>
          </cell>
        </row>
        <row r="1326">
          <cell r="A1326" t="str">
            <v>PEPPL0726</v>
          </cell>
          <cell r="X1326">
            <v>239803</v>
          </cell>
        </row>
        <row r="1327">
          <cell r="A1327" t="str">
            <v>PEPPL0727</v>
          </cell>
          <cell r="X1327">
            <v>239803</v>
          </cell>
        </row>
        <row r="1328">
          <cell r="A1328" t="str">
            <v>PEIPL0216</v>
          </cell>
          <cell r="X1328">
            <v>278922</v>
          </cell>
        </row>
        <row r="1329">
          <cell r="A1329" t="str">
            <v>PEPPL0669</v>
          </cell>
          <cell r="X1329">
            <v>212204</v>
          </cell>
        </row>
        <row r="1330">
          <cell r="A1330" t="str">
            <v>PEIPL0287</v>
          </cell>
          <cell r="X1330">
            <v>275664</v>
          </cell>
        </row>
        <row r="1331">
          <cell r="A1331" t="str">
            <v>PEPPL0515</v>
          </cell>
          <cell r="X1331">
            <v>335315</v>
          </cell>
        </row>
        <row r="1332">
          <cell r="A1332" t="str">
            <v>PSS1016</v>
          </cell>
          <cell r="X1332">
            <v>210548</v>
          </cell>
        </row>
        <row r="1333">
          <cell r="A1333" t="str">
            <v>PSS1272</v>
          </cell>
          <cell r="X1333">
            <v>249428</v>
          </cell>
        </row>
        <row r="1334">
          <cell r="A1334" t="str">
            <v>P0265</v>
          </cell>
          <cell r="X1334">
            <v>290549</v>
          </cell>
        </row>
        <row r="1335">
          <cell r="A1335" t="str">
            <v>PEPPL0534</v>
          </cell>
          <cell r="X1335">
            <v>465707</v>
          </cell>
        </row>
        <row r="1336">
          <cell r="A1336" t="str">
            <v>PEPPL0573</v>
          </cell>
          <cell r="X1336">
            <v>500528</v>
          </cell>
        </row>
        <row r="1337">
          <cell r="A1337" t="str">
            <v>PSS1242</v>
          </cell>
          <cell r="X1337">
            <v>464699</v>
          </cell>
        </row>
        <row r="1338">
          <cell r="A1338" t="str">
            <v>PSS1350</v>
          </cell>
          <cell r="X1338">
            <v>472151</v>
          </cell>
        </row>
        <row r="1339">
          <cell r="A1339" t="str">
            <v>PEIPL0256</v>
          </cell>
          <cell r="X1339">
            <v>397446</v>
          </cell>
        </row>
        <row r="1340">
          <cell r="A1340" t="str">
            <v>PEPPL0598</v>
          </cell>
          <cell r="X1340">
            <v>322951</v>
          </cell>
        </row>
        <row r="1341">
          <cell r="A1341" t="str">
            <v>PEPPL0600</v>
          </cell>
          <cell r="X1341">
            <v>322951</v>
          </cell>
        </row>
        <row r="1342">
          <cell r="A1342" t="str">
            <v>PEPPL0610</v>
          </cell>
          <cell r="X1342">
            <v>668605</v>
          </cell>
        </row>
        <row r="1343">
          <cell r="A1343" t="str">
            <v>PEIPL0264</v>
          </cell>
          <cell r="X1343">
            <v>279117</v>
          </cell>
        </row>
        <row r="1344">
          <cell r="A1344" t="str">
            <v>PEIPL0407</v>
          </cell>
          <cell r="X1344">
            <v>250483</v>
          </cell>
        </row>
        <row r="1345">
          <cell r="A1345" t="str">
            <v>PEIPL0295</v>
          </cell>
          <cell r="X1345">
            <v>334041</v>
          </cell>
        </row>
        <row r="1346">
          <cell r="A1346" t="str">
            <v>PEPPL0043</v>
          </cell>
          <cell r="X1346">
            <v>1456596</v>
          </cell>
        </row>
        <row r="1347">
          <cell r="A1347" t="str">
            <v>PEPPL0397</v>
          </cell>
          <cell r="X1347">
            <v>283314</v>
          </cell>
        </row>
        <row r="1348">
          <cell r="A1348" t="str">
            <v>PEPPL0445</v>
          </cell>
          <cell r="X1348">
            <v>283314</v>
          </cell>
        </row>
        <row r="1349">
          <cell r="A1349" t="str">
            <v>PEIPL0169</v>
          </cell>
          <cell r="X1349">
            <v>414318</v>
          </cell>
        </row>
        <row r="1350">
          <cell r="A1350" t="str">
            <v>P0418</v>
          </cell>
          <cell r="X1350">
            <v>716475</v>
          </cell>
        </row>
        <row r="1351">
          <cell r="A1351" t="str">
            <v>PEPPL0139</v>
          </cell>
          <cell r="X1351">
            <v>833610</v>
          </cell>
        </row>
        <row r="1352">
          <cell r="A1352" t="str">
            <v>PEIPL0217</v>
          </cell>
          <cell r="X1352">
            <v>288387</v>
          </cell>
        </row>
        <row r="1353">
          <cell r="A1353" t="str">
            <v>PEIPL0230</v>
          </cell>
          <cell r="X1353">
            <v>287421</v>
          </cell>
        </row>
        <row r="1354">
          <cell r="A1354" t="str">
            <v>PSS1356</v>
          </cell>
          <cell r="X1354">
            <v>338601</v>
          </cell>
        </row>
        <row r="1355">
          <cell r="A1355" t="str">
            <v>PEIPL0043</v>
          </cell>
          <cell r="X1355">
            <v>383651</v>
          </cell>
        </row>
        <row r="1356">
          <cell r="A1356" t="str">
            <v>PEIPL0085</v>
          </cell>
          <cell r="X1356">
            <v>355676</v>
          </cell>
        </row>
        <row r="1357">
          <cell r="A1357" t="str">
            <v>PEIPL0160</v>
          </cell>
          <cell r="X1357">
            <v>355676</v>
          </cell>
        </row>
        <row r="1358">
          <cell r="A1358" t="str">
            <v>PEIPL0446</v>
          </cell>
          <cell r="X1358">
            <v>507642</v>
          </cell>
        </row>
        <row r="1359">
          <cell r="A1359" t="str">
            <v>PEPPL0619</v>
          </cell>
          <cell r="X1359">
            <v>278362</v>
          </cell>
        </row>
        <row r="1360">
          <cell r="A1360" t="str">
            <v>PEPPL0718</v>
          </cell>
          <cell r="X1360">
            <v>332829</v>
          </cell>
        </row>
        <row r="1361">
          <cell r="A1361" t="str">
            <v>PEIPL0523</v>
          </cell>
          <cell r="X1361">
            <v>623614</v>
          </cell>
        </row>
        <row r="1362">
          <cell r="A1362" t="str">
            <v>PSS0979</v>
          </cell>
          <cell r="X1362">
            <v>752263</v>
          </cell>
        </row>
        <row r="1363">
          <cell r="A1363" t="str">
            <v>P0270</v>
          </cell>
          <cell r="X1363">
            <v>326176</v>
          </cell>
        </row>
        <row r="1364">
          <cell r="A1364" t="str">
            <v>P0392</v>
          </cell>
          <cell r="X1364">
            <v>191095</v>
          </cell>
        </row>
        <row r="1365">
          <cell r="A1365" t="str">
            <v>P0437</v>
          </cell>
          <cell r="X1365">
            <v>187531</v>
          </cell>
        </row>
        <row r="1366">
          <cell r="A1366" t="str">
            <v>P0448</v>
          </cell>
          <cell r="X1366">
            <v>187531</v>
          </cell>
        </row>
        <row r="1367">
          <cell r="A1367" t="str">
            <v>P0449</v>
          </cell>
          <cell r="X1367">
            <v>187531</v>
          </cell>
        </row>
        <row r="1368">
          <cell r="A1368" t="str">
            <v>P0482</v>
          </cell>
          <cell r="X1368">
            <v>236455</v>
          </cell>
        </row>
        <row r="1369">
          <cell r="A1369" t="str">
            <v>PEGEPL0005</v>
          </cell>
          <cell r="X1369">
            <v>396214</v>
          </cell>
        </row>
        <row r="1370">
          <cell r="A1370" t="str">
            <v>PEIPL0076</v>
          </cell>
          <cell r="X1370">
            <v>340348</v>
          </cell>
        </row>
        <row r="1371">
          <cell r="A1371" t="str">
            <v>PEIPL0156</v>
          </cell>
          <cell r="X1371">
            <v>304504</v>
          </cell>
        </row>
        <row r="1372">
          <cell r="A1372" t="str">
            <v>PEIPL0162</v>
          </cell>
          <cell r="X1372">
            <v>293389</v>
          </cell>
        </row>
        <row r="1373">
          <cell r="A1373" t="str">
            <v>PEPPL0071</v>
          </cell>
          <cell r="X1373">
            <v>489013</v>
          </cell>
        </row>
        <row r="1374">
          <cell r="A1374" t="str">
            <v>PEPPL0200</v>
          </cell>
          <cell r="X1374">
            <v>265867</v>
          </cell>
        </row>
        <row r="1375">
          <cell r="A1375" t="str">
            <v>PSS0621</v>
          </cell>
          <cell r="X1375">
            <v>503971</v>
          </cell>
        </row>
        <row r="1376">
          <cell r="A1376" t="str">
            <v>PSS0118</v>
          </cell>
          <cell r="X1376">
            <v>405751</v>
          </cell>
        </row>
        <row r="1377">
          <cell r="A1377" t="str">
            <v>PSS0620</v>
          </cell>
          <cell r="X1377">
            <v>331153</v>
          </cell>
        </row>
        <row r="1378">
          <cell r="A1378" t="str">
            <v>PSS0648</v>
          </cell>
          <cell r="X1378">
            <v>392083</v>
          </cell>
        </row>
        <row r="1379">
          <cell r="A1379" t="str">
            <v>PSS1026</v>
          </cell>
          <cell r="X1379">
            <v>174247</v>
          </cell>
        </row>
        <row r="1380">
          <cell r="A1380" t="str">
            <v>PSS1037</v>
          </cell>
          <cell r="X1380">
            <v>174247</v>
          </cell>
        </row>
        <row r="1381">
          <cell r="A1381" t="str">
            <v>PSS1118</v>
          </cell>
          <cell r="X1381">
            <v>174247</v>
          </cell>
        </row>
        <row r="1382">
          <cell r="A1382" t="str">
            <v>PSS1171</v>
          </cell>
          <cell r="X1382">
            <v>174247</v>
          </cell>
        </row>
        <row r="1383">
          <cell r="A1383" t="str">
            <v>PSS1250</v>
          </cell>
          <cell r="X1383">
            <v>153997</v>
          </cell>
        </row>
        <row r="1384">
          <cell r="A1384" t="str">
            <v>PEPPL0080</v>
          </cell>
          <cell r="X1384">
            <v>1009745</v>
          </cell>
        </row>
        <row r="1385">
          <cell r="A1385" t="str">
            <v>PEPPL0307</v>
          </cell>
          <cell r="X1385">
            <v>702505</v>
          </cell>
        </row>
        <row r="1386">
          <cell r="A1386" t="str">
            <v>PEIPL0158</v>
          </cell>
          <cell r="X1386">
            <v>603945</v>
          </cell>
        </row>
        <row r="1387">
          <cell r="A1387" t="str">
            <v>PEPPL0725</v>
          </cell>
          <cell r="X1387">
            <v>310720</v>
          </cell>
        </row>
        <row r="1388">
          <cell r="A1388" t="str">
            <v>PEPPL0682</v>
          </cell>
          <cell r="X1388">
            <v>235830</v>
          </cell>
        </row>
        <row r="1389">
          <cell r="A1389" t="str">
            <v>PEIPL0692</v>
          </cell>
          <cell r="X1389">
            <v>296937</v>
          </cell>
        </row>
        <row r="1390">
          <cell r="A1390" t="str">
            <v>PSS1302</v>
          </cell>
          <cell r="X1390">
            <v>336675</v>
          </cell>
        </row>
        <row r="1391">
          <cell r="A1391" t="str">
            <v>PEIPL0313</v>
          </cell>
          <cell r="X1391">
            <v>328163</v>
          </cell>
        </row>
        <row r="1392">
          <cell r="A1392" t="str">
            <v>PEIPL0317</v>
          </cell>
          <cell r="X1392">
            <v>318608</v>
          </cell>
        </row>
        <row r="1393">
          <cell r="A1393" t="str">
            <v>PEIPL0423</v>
          </cell>
          <cell r="X1393">
            <v>333344</v>
          </cell>
        </row>
        <row r="1394">
          <cell r="A1394" t="str">
            <v>PEIPL0444</v>
          </cell>
          <cell r="X1394">
            <v>471008</v>
          </cell>
        </row>
        <row r="1395">
          <cell r="A1395" t="str">
            <v>PEIPL0459</v>
          </cell>
          <cell r="X1395">
            <v>399872</v>
          </cell>
        </row>
        <row r="1396">
          <cell r="A1396" t="str">
            <v>PEIPL0502</v>
          </cell>
          <cell r="X1396">
            <v>396974</v>
          </cell>
        </row>
        <row r="1397">
          <cell r="A1397" t="str">
            <v>PEPPL0151</v>
          </cell>
          <cell r="X1397">
            <v>565436</v>
          </cell>
        </row>
        <row r="1398">
          <cell r="A1398" t="str">
            <v>PEPPL0338</v>
          </cell>
          <cell r="X1398">
            <v>576410</v>
          </cell>
        </row>
        <row r="1399">
          <cell r="A1399" t="str">
            <v>PEIPL0573</v>
          </cell>
          <cell r="X1399">
            <v>265817</v>
          </cell>
        </row>
        <row r="1400">
          <cell r="A1400" t="str">
            <v>PEPPL0539</v>
          </cell>
          <cell r="X1400">
            <v>431570</v>
          </cell>
        </row>
        <row r="1401">
          <cell r="A1401" t="str">
            <v>PEIPL0470</v>
          </cell>
          <cell r="X1401">
            <v>922586</v>
          </cell>
        </row>
        <row r="1402">
          <cell r="A1402" t="str">
            <v>PEIPL0096</v>
          </cell>
          <cell r="X1402">
            <v>467524</v>
          </cell>
        </row>
        <row r="1403">
          <cell r="A1403" t="str">
            <v>PSS0863</v>
          </cell>
          <cell r="X1403">
            <v>325999</v>
          </cell>
        </row>
        <row r="1404">
          <cell r="A1404" t="str">
            <v>PEIPL0044</v>
          </cell>
          <cell r="X1404">
            <v>444231</v>
          </cell>
        </row>
        <row r="1405">
          <cell r="A1405" t="str">
            <v>PEPPL0205</v>
          </cell>
          <cell r="X1405">
            <v>1019571</v>
          </cell>
        </row>
        <row r="1406">
          <cell r="A1406" t="str">
            <v>PEIPL0433</v>
          </cell>
          <cell r="X1406">
            <v>377911</v>
          </cell>
        </row>
        <row r="1407">
          <cell r="A1407" t="str">
            <v>PEIPL0292</v>
          </cell>
          <cell r="X1407">
            <v>369906</v>
          </cell>
        </row>
        <row r="1408">
          <cell r="A1408" t="str">
            <v>P0239</v>
          </cell>
          <cell r="X1408">
            <v>452826</v>
          </cell>
        </row>
        <row r="1409">
          <cell r="A1409" t="str">
            <v>P0337</v>
          </cell>
          <cell r="X1409">
            <v>235794</v>
          </cell>
        </row>
        <row r="1410">
          <cell r="A1410" t="str">
            <v>P0469</v>
          </cell>
          <cell r="X1410">
            <v>235794</v>
          </cell>
        </row>
        <row r="1411">
          <cell r="A1411" t="str">
            <v>P0471</v>
          </cell>
          <cell r="X1411">
            <v>293709</v>
          </cell>
        </row>
        <row r="1412">
          <cell r="A1412" t="str">
            <v>P0475</v>
          </cell>
          <cell r="X1412">
            <v>235794</v>
          </cell>
        </row>
        <row r="1413">
          <cell r="A1413" t="str">
            <v>P0479</v>
          </cell>
          <cell r="X1413">
            <v>235794</v>
          </cell>
        </row>
        <row r="1414">
          <cell r="A1414" t="str">
            <v>P0485</v>
          </cell>
          <cell r="X1414">
            <v>235794</v>
          </cell>
        </row>
        <row r="1415">
          <cell r="A1415" t="str">
            <v>P0486</v>
          </cell>
          <cell r="X1415">
            <v>235794</v>
          </cell>
        </row>
        <row r="1416">
          <cell r="A1416" t="str">
            <v>P0494</v>
          </cell>
          <cell r="X1416">
            <v>235794</v>
          </cell>
        </row>
        <row r="1417">
          <cell r="A1417" t="str">
            <v>PEGEPL0007</v>
          </cell>
          <cell r="X1417">
            <v>402060</v>
          </cell>
        </row>
        <row r="1418">
          <cell r="A1418" t="str">
            <v>PEIPL0576</v>
          </cell>
          <cell r="X1418">
            <v>278211</v>
          </cell>
        </row>
        <row r="1419">
          <cell r="A1419" t="str">
            <v>PEIPL0182</v>
          </cell>
          <cell r="X1419">
            <v>297129</v>
          </cell>
        </row>
        <row r="1420">
          <cell r="A1420" t="str">
            <v>PEPPL0244</v>
          </cell>
          <cell r="X1420">
            <v>530688</v>
          </cell>
        </row>
        <row r="1421">
          <cell r="A1421" t="str">
            <v>PEPPL0458</v>
          </cell>
          <cell r="X1421">
            <v>806682</v>
          </cell>
        </row>
        <row r="1422">
          <cell r="A1422" t="str">
            <v>PEPPL0574</v>
          </cell>
          <cell r="X1422">
            <v>433191</v>
          </cell>
        </row>
        <row r="1423">
          <cell r="A1423" t="str">
            <v>PSS0065</v>
          </cell>
          <cell r="X1423">
            <v>380946</v>
          </cell>
        </row>
        <row r="1424">
          <cell r="A1424" t="str">
            <v>PSS0685</v>
          </cell>
          <cell r="X1424">
            <v>245460</v>
          </cell>
        </row>
        <row r="1425">
          <cell r="A1425" t="str">
            <v>PEIPL0301</v>
          </cell>
          <cell r="X1425">
            <v>382579</v>
          </cell>
        </row>
        <row r="1426">
          <cell r="A1426" t="str">
            <v>PEIPL0226</v>
          </cell>
          <cell r="X1426">
            <v>486195</v>
          </cell>
        </row>
        <row r="1427">
          <cell r="A1427" t="str">
            <v>PSS1096</v>
          </cell>
          <cell r="X1427">
            <v>947934</v>
          </cell>
        </row>
        <row r="1428">
          <cell r="A1428" t="str">
            <v>PEPPL0651</v>
          </cell>
          <cell r="X1428">
            <v>1811717</v>
          </cell>
        </row>
        <row r="1429">
          <cell r="A1429" t="str">
            <v>PEPPL0741</v>
          </cell>
          <cell r="X1429">
            <v>814523</v>
          </cell>
        </row>
        <row r="1430">
          <cell r="A1430" t="str">
            <v>PEPPL0711</v>
          </cell>
          <cell r="X1430">
            <v>226885</v>
          </cell>
        </row>
        <row r="1431">
          <cell r="A1431" t="str">
            <v>PEPPL0742</v>
          </cell>
          <cell r="X1431">
            <v>459898</v>
          </cell>
        </row>
        <row r="1432">
          <cell r="A1432" t="str">
            <v>PEIPL0165</v>
          </cell>
          <cell r="X1432">
            <v>364810</v>
          </cell>
        </row>
        <row r="1433">
          <cell r="A1433" t="str">
            <v>PEPPL0406</v>
          </cell>
          <cell r="X1433">
            <v>739813</v>
          </cell>
        </row>
        <row r="1434">
          <cell r="A1434" t="str">
            <v>PSS1145</v>
          </cell>
          <cell r="X1434">
            <v>909730</v>
          </cell>
        </row>
        <row r="1435">
          <cell r="A1435" t="str">
            <v>PEPPL0713</v>
          </cell>
          <cell r="X1435">
            <v>294757</v>
          </cell>
        </row>
        <row r="1436">
          <cell r="A1436" t="str">
            <v>PSS1364</v>
          </cell>
          <cell r="X1436">
            <v>506205</v>
          </cell>
        </row>
        <row r="1437">
          <cell r="A1437" t="str">
            <v>PEPPL0428</v>
          </cell>
          <cell r="X1437">
            <v>340985</v>
          </cell>
        </row>
        <row r="1438">
          <cell r="A1438" t="str">
            <v>PEIPL0365</v>
          </cell>
          <cell r="X1438">
            <v>255071</v>
          </cell>
        </row>
        <row r="1439">
          <cell r="A1439" t="str">
            <v>PEIPL0374</v>
          </cell>
          <cell r="X1439">
            <v>255071</v>
          </cell>
        </row>
        <row r="1440">
          <cell r="A1440" t="str">
            <v>PEIPL0375</v>
          </cell>
          <cell r="X1440">
            <v>255071</v>
          </cell>
        </row>
        <row r="1441">
          <cell r="A1441" t="str">
            <v>PEIPL0362</v>
          </cell>
          <cell r="X1441">
            <v>241419</v>
          </cell>
        </row>
        <row r="1442">
          <cell r="A1442" t="str">
            <v>PEIPL0372</v>
          </cell>
          <cell r="X1442">
            <v>241419</v>
          </cell>
        </row>
        <row r="1443">
          <cell r="A1443" t="str">
            <v>PEIPL0457</v>
          </cell>
          <cell r="X1443">
            <v>572858</v>
          </cell>
        </row>
        <row r="1444">
          <cell r="A1444" t="str">
            <v>PEPPL0739</v>
          </cell>
          <cell r="X1444">
            <v>287824</v>
          </cell>
        </row>
        <row r="1445">
          <cell r="A1445" t="str">
            <v>PEIPL0305</v>
          </cell>
          <cell r="X1445">
            <v>833860</v>
          </cell>
        </row>
        <row r="1446">
          <cell r="A1446" t="str">
            <v>PEIPL0333</v>
          </cell>
          <cell r="X1446">
            <v>992860</v>
          </cell>
        </row>
        <row r="1447">
          <cell r="A1447" t="str">
            <v>PEIPL0285</v>
          </cell>
          <cell r="X1447">
            <v>335570</v>
          </cell>
        </row>
        <row r="1448">
          <cell r="A1448" t="str">
            <v>PSS1328</v>
          </cell>
          <cell r="X1448">
            <v>753690</v>
          </cell>
        </row>
        <row r="1449">
          <cell r="A1449" t="str">
            <v>P0428</v>
          </cell>
          <cell r="X1449">
            <v>184589</v>
          </cell>
        </row>
        <row r="1450">
          <cell r="A1450" t="str">
            <v>PSS0187</v>
          </cell>
          <cell r="X1450">
            <v>260729</v>
          </cell>
        </row>
        <row r="1451">
          <cell r="A1451" t="str">
            <v>PSS1223</v>
          </cell>
          <cell r="X1451">
            <v>245366</v>
          </cell>
        </row>
        <row r="1452">
          <cell r="A1452" t="str">
            <v>P0490</v>
          </cell>
          <cell r="X1452">
            <v>285101</v>
          </cell>
        </row>
        <row r="1453">
          <cell r="A1453" t="str">
            <v>PEIPL0073</v>
          </cell>
          <cell r="X1453">
            <v>331172</v>
          </cell>
        </row>
        <row r="1454">
          <cell r="A1454" t="str">
            <v>PEIPL0116</v>
          </cell>
          <cell r="X1454">
            <v>540017</v>
          </cell>
        </row>
        <row r="1455">
          <cell r="A1455" t="str">
            <v>PEIPL0487</v>
          </cell>
          <cell r="X1455">
            <v>332765</v>
          </cell>
        </row>
        <row r="1456">
          <cell r="A1456" t="str">
            <v>PEIPL0702</v>
          </cell>
          <cell r="X1456">
            <v>397211</v>
          </cell>
        </row>
        <row r="1457">
          <cell r="A1457" t="str">
            <v>PEPPL0447</v>
          </cell>
          <cell r="X1457">
            <v>279884</v>
          </cell>
        </row>
        <row r="1458">
          <cell r="A1458" t="str">
            <v>PEPPL0507</v>
          </cell>
          <cell r="X1458">
            <v>325421</v>
          </cell>
        </row>
        <row r="1459">
          <cell r="A1459" t="str">
            <v>PEPPL0575</v>
          </cell>
          <cell r="X1459">
            <v>373013</v>
          </cell>
        </row>
        <row r="1460">
          <cell r="A1460" t="str">
            <v>PEIPL0366</v>
          </cell>
          <cell r="X1460">
            <v>241621</v>
          </cell>
        </row>
        <row r="1461">
          <cell r="A1461" t="str">
            <v>PEIPL0371</v>
          </cell>
          <cell r="X1461">
            <v>241621</v>
          </cell>
        </row>
        <row r="1462">
          <cell r="A1462" t="str">
            <v>PEIPL0384</v>
          </cell>
          <cell r="X1462">
            <v>536073</v>
          </cell>
        </row>
        <row r="1463">
          <cell r="A1463" t="str">
            <v>PEIPL0431</v>
          </cell>
          <cell r="X1463">
            <v>320523</v>
          </cell>
        </row>
        <row r="1464">
          <cell r="A1464" t="str">
            <v>PEIPL0141</v>
          </cell>
          <cell r="X1464">
            <v>427923</v>
          </cell>
        </row>
        <row r="1465">
          <cell r="A1465" t="str">
            <v>PEIPL0389</v>
          </cell>
          <cell r="X1465">
            <v>340875</v>
          </cell>
        </row>
        <row r="1466">
          <cell r="A1466" t="str">
            <v>PEPPL0216</v>
          </cell>
          <cell r="X1466">
            <v>278209</v>
          </cell>
        </row>
        <row r="1467">
          <cell r="A1467" t="str">
            <v>PEPPL0686</v>
          </cell>
          <cell r="X1467">
            <v>240800</v>
          </cell>
        </row>
        <row r="1468">
          <cell r="A1468" t="str">
            <v>PEIPL0377</v>
          </cell>
          <cell r="X1468">
            <v>306984</v>
          </cell>
        </row>
        <row r="1469">
          <cell r="A1469" t="str">
            <v>PEIPL0364</v>
          </cell>
          <cell r="X1469">
            <v>246151</v>
          </cell>
        </row>
        <row r="1470">
          <cell r="A1470" t="str">
            <v>P0234</v>
          </cell>
          <cell r="X1470">
            <v>962610</v>
          </cell>
        </row>
        <row r="1471">
          <cell r="A1471" t="str">
            <v>PEPPL0296</v>
          </cell>
          <cell r="X1471">
            <v>1625586</v>
          </cell>
        </row>
        <row r="1472">
          <cell r="A1472" t="str">
            <v>PEPPL0012</v>
          </cell>
          <cell r="X1472">
            <v>1810371</v>
          </cell>
        </row>
        <row r="1473">
          <cell r="A1473" t="str">
            <v>PEPPL0542</v>
          </cell>
          <cell r="X1473">
            <v>1063044</v>
          </cell>
        </row>
        <row r="1474">
          <cell r="A1474" t="str">
            <v>PEPPL0637</v>
          </cell>
          <cell r="X1474">
            <v>423590</v>
          </cell>
        </row>
        <row r="1475">
          <cell r="A1475" t="str">
            <v>PEIPL0386</v>
          </cell>
          <cell r="X1475">
            <v>365669</v>
          </cell>
        </row>
        <row r="1476">
          <cell r="A1476" t="str">
            <v>PEIPL0241</v>
          </cell>
          <cell r="X1476">
            <v>352220</v>
          </cell>
        </row>
        <row r="1477">
          <cell r="A1477" t="str">
            <v>PSS0781</v>
          </cell>
          <cell r="X1477">
            <v>779224</v>
          </cell>
        </row>
        <row r="1478">
          <cell r="A1478" t="str">
            <v>P0429</v>
          </cell>
          <cell r="X1478">
            <v>291469</v>
          </cell>
        </row>
        <row r="1479">
          <cell r="A1479" t="str">
            <v>P0439</v>
          </cell>
          <cell r="X1479">
            <v>290713</v>
          </cell>
        </row>
        <row r="1480">
          <cell r="A1480" t="str">
            <v>P0440</v>
          </cell>
          <cell r="X1480">
            <v>290713</v>
          </cell>
        </row>
        <row r="1481">
          <cell r="A1481" t="str">
            <v>P0441</v>
          </cell>
          <cell r="X1481">
            <v>290713</v>
          </cell>
        </row>
        <row r="1482">
          <cell r="A1482" t="str">
            <v>P0442</v>
          </cell>
          <cell r="X1482">
            <v>290713</v>
          </cell>
        </row>
        <row r="1483">
          <cell r="A1483" t="str">
            <v>P0443</v>
          </cell>
          <cell r="X1483">
            <v>290713</v>
          </cell>
        </row>
        <row r="1484">
          <cell r="A1484" t="str">
            <v>P0445</v>
          </cell>
          <cell r="X1484">
            <v>290713</v>
          </cell>
        </row>
        <row r="1485">
          <cell r="A1485" t="str">
            <v>P0446</v>
          </cell>
          <cell r="X1485">
            <v>290713</v>
          </cell>
        </row>
        <row r="1486">
          <cell r="A1486" t="str">
            <v>P0476</v>
          </cell>
          <cell r="X1486">
            <v>310369</v>
          </cell>
        </row>
        <row r="1487">
          <cell r="A1487" t="str">
            <v>PEIPL0277</v>
          </cell>
          <cell r="X1487">
            <v>313204</v>
          </cell>
        </row>
        <row r="1488">
          <cell r="A1488" t="str">
            <v>PEIPL0503</v>
          </cell>
          <cell r="X1488">
            <v>313339</v>
          </cell>
        </row>
        <row r="1489">
          <cell r="A1489" t="str">
            <v>PEIPL0518</v>
          </cell>
          <cell r="X1489">
            <v>366664</v>
          </cell>
        </row>
        <row r="1490">
          <cell r="A1490" t="str">
            <v>PEIPL0640</v>
          </cell>
          <cell r="X1490">
            <v>258718</v>
          </cell>
        </row>
        <row r="1491">
          <cell r="A1491" t="str">
            <v>PEPPL0189</v>
          </cell>
          <cell r="X1491">
            <v>273073</v>
          </cell>
        </row>
        <row r="1492">
          <cell r="A1492" t="str">
            <v>PEPPL0483</v>
          </cell>
          <cell r="X1492">
            <v>407716</v>
          </cell>
        </row>
        <row r="1493">
          <cell r="A1493" t="str">
            <v>PEPPL0553</v>
          </cell>
          <cell r="X1493">
            <v>339745</v>
          </cell>
        </row>
        <row r="1494">
          <cell r="A1494" t="str">
            <v>PSS1129</v>
          </cell>
          <cell r="X1494">
            <v>259744</v>
          </cell>
        </row>
        <row r="1495">
          <cell r="A1495" t="str">
            <v>PSS1322</v>
          </cell>
          <cell r="X1495">
            <v>211801</v>
          </cell>
        </row>
        <row r="1496">
          <cell r="A1496" t="str">
            <v>PEIPL0030</v>
          </cell>
          <cell r="X1496">
            <v>1406689</v>
          </cell>
        </row>
        <row r="1497">
          <cell r="A1497" t="str">
            <v>PEIPL0454</v>
          </cell>
          <cell r="X1497">
            <v>296792</v>
          </cell>
        </row>
        <row r="1498">
          <cell r="A1498" t="str">
            <v>PEIPL0014</v>
          </cell>
          <cell r="X1498">
            <v>851112</v>
          </cell>
        </row>
        <row r="1499">
          <cell r="A1499" t="str">
            <v>PEIPL0023</v>
          </cell>
          <cell r="X1499">
            <v>407112</v>
          </cell>
        </row>
        <row r="1500">
          <cell r="A1500" t="str">
            <v>PEIPL0284</v>
          </cell>
          <cell r="X1500">
            <v>296177</v>
          </cell>
        </row>
        <row r="1501">
          <cell r="A1501" t="str">
            <v>PEIPL0253</v>
          </cell>
          <cell r="X1501">
            <v>404882</v>
          </cell>
        </row>
        <row r="1502">
          <cell r="A1502" t="str">
            <v>PSS1289</v>
          </cell>
          <cell r="X1502">
            <v>998789</v>
          </cell>
        </row>
        <row r="1503">
          <cell r="A1503" t="str">
            <v>PEIPL0482</v>
          </cell>
          <cell r="X1503">
            <v>472337</v>
          </cell>
        </row>
        <row r="1504">
          <cell r="A1504" t="str">
            <v>PEPPL0448</v>
          </cell>
          <cell r="X1504">
            <v>307241</v>
          </cell>
        </row>
        <row r="1505">
          <cell r="A1505" t="str">
            <v>PEPPL0489</v>
          </cell>
          <cell r="X1505">
            <v>301679</v>
          </cell>
        </row>
        <row r="1506">
          <cell r="A1506" t="str">
            <v>PEPPL0270</v>
          </cell>
          <cell r="X1506">
            <v>328638</v>
          </cell>
        </row>
        <row r="1507">
          <cell r="A1507" t="str">
            <v>PEIPL0145</v>
          </cell>
          <cell r="X1507">
            <v>348856</v>
          </cell>
        </row>
        <row r="1508">
          <cell r="A1508" t="str">
            <v>PEPPL0671</v>
          </cell>
          <cell r="X1508">
            <v>254807</v>
          </cell>
        </row>
        <row r="1509">
          <cell r="A1509" t="str">
            <v>PEPPL0169</v>
          </cell>
          <cell r="X1509">
            <v>298522</v>
          </cell>
        </row>
        <row r="1510">
          <cell r="A1510" t="str">
            <v>P0227</v>
          </cell>
          <cell r="X1510">
            <v>198171</v>
          </cell>
        </row>
        <row r="1511">
          <cell r="A1511" t="str">
            <v>P0228</v>
          </cell>
          <cell r="X1511">
            <v>198171</v>
          </cell>
        </row>
        <row r="1512">
          <cell r="A1512" t="str">
            <v>P0459</v>
          </cell>
          <cell r="X1512">
            <v>629874</v>
          </cell>
        </row>
        <row r="1513">
          <cell r="A1513" t="str">
            <v>P0489</v>
          </cell>
          <cell r="X1513">
            <v>233487</v>
          </cell>
        </row>
        <row r="1514">
          <cell r="A1514" t="str">
            <v>P0491</v>
          </cell>
          <cell r="X1514">
            <v>236079</v>
          </cell>
        </row>
        <row r="1515">
          <cell r="A1515" t="str">
            <v>P0492</v>
          </cell>
          <cell r="X1515">
            <v>236079</v>
          </cell>
        </row>
        <row r="1516">
          <cell r="A1516" t="str">
            <v>P0495</v>
          </cell>
          <cell r="X1516">
            <v>236079</v>
          </cell>
        </row>
        <row r="1517">
          <cell r="A1517" t="str">
            <v>P0496</v>
          </cell>
          <cell r="X1517">
            <v>233487</v>
          </cell>
        </row>
        <row r="1518">
          <cell r="A1518" t="str">
            <v>P0497</v>
          </cell>
          <cell r="X1518">
            <v>233487</v>
          </cell>
        </row>
        <row r="1519">
          <cell r="A1519" t="str">
            <v>PEIPL0087</v>
          </cell>
          <cell r="X1519">
            <v>319347</v>
          </cell>
        </row>
        <row r="1520">
          <cell r="A1520" t="str">
            <v>PEIPL0146</v>
          </cell>
          <cell r="X1520">
            <v>327609</v>
          </cell>
        </row>
        <row r="1521">
          <cell r="A1521" t="str">
            <v>PEIPL0171</v>
          </cell>
          <cell r="X1521">
            <v>319347</v>
          </cell>
        </row>
        <row r="1522">
          <cell r="A1522" t="str">
            <v>PEIPL0187</v>
          </cell>
          <cell r="X1522">
            <v>473274</v>
          </cell>
        </row>
        <row r="1523">
          <cell r="A1523" t="str">
            <v>PEPPL0251</v>
          </cell>
          <cell r="X1523">
            <v>508374</v>
          </cell>
        </row>
        <row r="1524">
          <cell r="A1524" t="str">
            <v>PEPPL0376</v>
          </cell>
          <cell r="X1524">
            <v>297774</v>
          </cell>
        </row>
        <row r="1525">
          <cell r="A1525" t="str">
            <v>PSS1049</v>
          </cell>
          <cell r="X1525">
            <v>336843</v>
          </cell>
        </row>
        <row r="1526">
          <cell r="A1526" t="str">
            <v>PSS1136</v>
          </cell>
          <cell r="X1526">
            <v>336843</v>
          </cell>
        </row>
        <row r="1527">
          <cell r="A1527" t="str">
            <v>PSS1137</v>
          </cell>
          <cell r="X1527">
            <v>336843</v>
          </cell>
        </row>
        <row r="1528">
          <cell r="A1528" t="str">
            <v>PSS1238</v>
          </cell>
          <cell r="X1528">
            <v>190071</v>
          </cell>
        </row>
        <row r="1529">
          <cell r="A1529" t="str">
            <v>P0166</v>
          </cell>
          <cell r="X1529">
            <v>210699</v>
          </cell>
        </row>
        <row r="1530">
          <cell r="A1530" t="str">
            <v>P0266</v>
          </cell>
          <cell r="X1530">
            <v>262044</v>
          </cell>
        </row>
        <row r="1531">
          <cell r="A1531" t="str">
            <v>PEIPL0262</v>
          </cell>
          <cell r="X1531">
            <v>1034565</v>
          </cell>
        </row>
        <row r="1532">
          <cell r="A1532" t="str">
            <v>PEIPL0398</v>
          </cell>
          <cell r="X1532">
            <v>1058534</v>
          </cell>
        </row>
        <row r="1533">
          <cell r="A1533" t="str">
            <v>PEPPL0674</v>
          </cell>
          <cell r="X1533">
            <v>431101</v>
          </cell>
        </row>
        <row r="1534">
          <cell r="A1534" t="str">
            <v>PEIPL0269</v>
          </cell>
          <cell r="X1534">
            <v>807830</v>
          </cell>
        </row>
        <row r="1535">
          <cell r="A1535" t="str">
            <v>PSS1366</v>
          </cell>
          <cell r="X1535">
            <v>146657</v>
          </cell>
        </row>
        <row r="1536">
          <cell r="A1536" t="str">
            <v>PEIPL0299</v>
          </cell>
          <cell r="X1536">
            <v>312008</v>
          </cell>
        </row>
        <row r="1537">
          <cell r="A1537" t="str">
            <v>PEPPL0593</v>
          </cell>
          <cell r="X1537">
            <v>350935</v>
          </cell>
        </row>
        <row r="1538">
          <cell r="A1538" t="str">
            <v>PEPPL0528</v>
          </cell>
          <cell r="X1538">
            <v>432250</v>
          </cell>
        </row>
        <row r="1539">
          <cell r="A1539" t="str">
            <v>PEIPL0079</v>
          </cell>
          <cell r="X1539">
            <v>1402604</v>
          </cell>
        </row>
        <row r="1540">
          <cell r="A1540" t="str">
            <v>PEIPL0286</v>
          </cell>
          <cell r="X1540">
            <v>298255</v>
          </cell>
        </row>
        <row r="1541">
          <cell r="A1541" t="str">
            <v>PEIPL0090</v>
          </cell>
          <cell r="X1541">
            <v>389775</v>
          </cell>
        </row>
        <row r="1542">
          <cell r="A1542" t="str">
            <v>PEPPL0220</v>
          </cell>
          <cell r="X1542">
            <v>352257</v>
          </cell>
        </row>
        <row r="1543">
          <cell r="A1543" t="str">
            <v>PEPPL0446</v>
          </cell>
          <cell r="X1543">
            <v>350592</v>
          </cell>
        </row>
        <row r="1544">
          <cell r="A1544" t="str">
            <v>PEPPL0557</v>
          </cell>
          <cell r="X1544">
            <v>432510</v>
          </cell>
        </row>
        <row r="1545">
          <cell r="A1545" t="str">
            <v>PEPPL0630</v>
          </cell>
          <cell r="X1545">
            <v>278331</v>
          </cell>
        </row>
        <row r="1546">
          <cell r="A1546" t="str">
            <v>PEIPL0276</v>
          </cell>
          <cell r="X1546">
            <v>272307</v>
          </cell>
        </row>
        <row r="1547">
          <cell r="A1547" t="str">
            <v>PEIPL0406</v>
          </cell>
          <cell r="X1547">
            <v>547467</v>
          </cell>
        </row>
        <row r="1548">
          <cell r="A1548" t="str">
            <v>PEIPL0387</v>
          </cell>
          <cell r="X1548">
            <v>317227</v>
          </cell>
        </row>
        <row r="1549">
          <cell r="A1549" t="str">
            <v>PEIPL0466</v>
          </cell>
          <cell r="X1549">
            <v>1050667</v>
          </cell>
        </row>
        <row r="1550">
          <cell r="A1550" t="str">
            <v>PEPPL0703</v>
          </cell>
          <cell r="X1550">
            <v>254068</v>
          </cell>
        </row>
        <row r="1551">
          <cell r="A1551" t="str">
            <v>PEIPL0447</v>
          </cell>
          <cell r="X1551">
            <v>312378</v>
          </cell>
        </row>
        <row r="1552">
          <cell r="A1552" t="str">
            <v>PEIPL0178</v>
          </cell>
          <cell r="X1552">
            <v>1055129</v>
          </cell>
        </row>
        <row r="1553">
          <cell r="A1553" t="str">
            <v>PSS0995</v>
          </cell>
          <cell r="X1553">
            <v>245138</v>
          </cell>
        </row>
        <row r="1554">
          <cell r="A1554" t="str">
            <v>PSS1284</v>
          </cell>
          <cell r="X1554">
            <v>179087</v>
          </cell>
        </row>
        <row r="1555">
          <cell r="A1555" t="str">
            <v>PSS1325</v>
          </cell>
          <cell r="X1555">
            <v>174020</v>
          </cell>
        </row>
        <row r="1556">
          <cell r="A1556" t="str">
            <v>PEGEPL0008</v>
          </cell>
          <cell r="X1556">
            <v>394664</v>
          </cell>
        </row>
        <row r="1557">
          <cell r="A1557" t="str">
            <v>PEGEPL0015</v>
          </cell>
          <cell r="X1557">
            <v>377987</v>
          </cell>
        </row>
        <row r="1558">
          <cell r="A1558" t="str">
            <v>PEIPL0143</v>
          </cell>
          <cell r="X1558">
            <v>349925</v>
          </cell>
        </row>
        <row r="1559">
          <cell r="A1559" t="str">
            <v>PEIPL0152</v>
          </cell>
          <cell r="X1559">
            <v>349925</v>
          </cell>
        </row>
        <row r="1560">
          <cell r="A1560" t="str">
            <v>PEIPL0177</v>
          </cell>
          <cell r="X1560">
            <v>648005</v>
          </cell>
        </row>
        <row r="1561">
          <cell r="A1561" t="str">
            <v>PEIPL0183</v>
          </cell>
          <cell r="X1561">
            <v>518405</v>
          </cell>
        </row>
        <row r="1562">
          <cell r="A1562" t="str">
            <v>PEPPL0388</v>
          </cell>
          <cell r="X1562">
            <v>459887</v>
          </cell>
        </row>
        <row r="1563">
          <cell r="A1563" t="str">
            <v>PEPPL0395</v>
          </cell>
          <cell r="X1563">
            <v>281873</v>
          </cell>
        </row>
        <row r="1564">
          <cell r="A1564" t="str">
            <v>PEPPL0463</v>
          </cell>
          <cell r="X1564">
            <v>297788</v>
          </cell>
        </row>
        <row r="1565">
          <cell r="A1565" t="str">
            <v>PEPPL0498</v>
          </cell>
          <cell r="X1565">
            <v>283760</v>
          </cell>
        </row>
        <row r="1566">
          <cell r="A1566" t="str">
            <v>PEPPL0586</v>
          </cell>
          <cell r="X1566">
            <v>430502</v>
          </cell>
        </row>
        <row r="1567">
          <cell r="A1567" t="str">
            <v>PSS1336</v>
          </cell>
          <cell r="X1567">
            <v>481982</v>
          </cell>
        </row>
        <row r="1568">
          <cell r="A1568" t="str">
            <v>PEPPL0666</v>
          </cell>
          <cell r="X1568">
            <v>283377</v>
          </cell>
        </row>
        <row r="1569">
          <cell r="A1569" t="str">
            <v>PEIPL0326</v>
          </cell>
          <cell r="X1569">
            <v>254624</v>
          </cell>
        </row>
        <row r="1570">
          <cell r="A1570" t="str">
            <v>PEIPL0318</v>
          </cell>
          <cell r="X1570">
            <v>387609</v>
          </cell>
        </row>
        <row r="1571">
          <cell r="A1571" t="str">
            <v>PEPPL0453</v>
          </cell>
          <cell r="X1571">
            <v>495871</v>
          </cell>
        </row>
        <row r="1572">
          <cell r="A1572" t="str">
            <v>PEPPL0440</v>
          </cell>
          <cell r="X1572">
            <v>406503</v>
          </cell>
        </row>
        <row r="1573">
          <cell r="A1573" t="str">
            <v>PEIPL0199</v>
          </cell>
          <cell r="X1573">
            <v>261781</v>
          </cell>
        </row>
        <row r="1574">
          <cell r="A1574" t="str">
            <v>PSS1375</v>
          </cell>
          <cell r="X1574">
            <v>709557</v>
          </cell>
        </row>
        <row r="1575">
          <cell r="A1575" t="str">
            <v>PEIPL0599</v>
          </cell>
          <cell r="X1575">
            <v>293667</v>
          </cell>
        </row>
        <row r="1576">
          <cell r="A1576" t="str">
            <v>PEIPL0689</v>
          </cell>
          <cell r="X1576">
            <v>293667</v>
          </cell>
        </row>
        <row r="1577">
          <cell r="A1577" t="str">
            <v>PEIPL0703</v>
          </cell>
          <cell r="X1577">
            <v>293667</v>
          </cell>
        </row>
        <row r="1578">
          <cell r="A1578" t="str">
            <v>PEPPL0232</v>
          </cell>
          <cell r="X1578">
            <v>427161</v>
          </cell>
        </row>
        <row r="1579">
          <cell r="A1579" t="str">
            <v>PEPPL0616</v>
          </cell>
          <cell r="X1579">
            <v>242103</v>
          </cell>
        </row>
        <row r="1580">
          <cell r="A1580" t="str">
            <v>PEPPL0162</v>
          </cell>
          <cell r="X1580">
            <v>471423</v>
          </cell>
        </row>
        <row r="1581">
          <cell r="A1581" t="str">
            <v>PEIPL0327</v>
          </cell>
          <cell r="X1581">
            <v>375096</v>
          </cell>
        </row>
        <row r="1582">
          <cell r="A1582" t="str">
            <v>PEIPL0382</v>
          </cell>
          <cell r="X1582">
            <v>259665</v>
          </cell>
        </row>
        <row r="1583">
          <cell r="A1583" t="str">
            <v>PEPPL0545</v>
          </cell>
          <cell r="X1583">
            <v>1663349</v>
          </cell>
        </row>
        <row r="1584">
          <cell r="A1584" t="str">
            <v>PEIPL0159</v>
          </cell>
          <cell r="X1584">
            <v>430694</v>
          </cell>
        </row>
        <row r="1585">
          <cell r="A1585" t="str">
            <v>PEPPL0320</v>
          </cell>
          <cell r="X1585">
            <v>376859</v>
          </cell>
        </row>
        <row r="1586">
          <cell r="A1586" t="str">
            <v>PEPPL0384</v>
          </cell>
          <cell r="X1586">
            <v>477314</v>
          </cell>
        </row>
        <row r="1587">
          <cell r="A1587" t="str">
            <v>PEPPL0546</v>
          </cell>
          <cell r="X1587">
            <v>2679998</v>
          </cell>
        </row>
        <row r="1588">
          <cell r="A1588" t="str">
            <v>PEPPL0184</v>
          </cell>
          <cell r="X1588">
            <v>312821</v>
          </cell>
        </row>
        <row r="1589">
          <cell r="A1589" t="str">
            <v>PEIPL0297</v>
          </cell>
          <cell r="X1589">
            <v>337588</v>
          </cell>
        </row>
        <row r="1590">
          <cell r="A1590" t="str">
            <v>PEIPL0463</v>
          </cell>
          <cell r="X1590">
            <v>259176</v>
          </cell>
        </row>
        <row r="1591">
          <cell r="A1591" t="str">
            <v>PEPPL0185</v>
          </cell>
          <cell r="X1591">
            <v>403616</v>
          </cell>
        </row>
        <row r="1592">
          <cell r="A1592" t="str">
            <v>PEPPL0639</v>
          </cell>
          <cell r="X1592">
            <v>961867</v>
          </cell>
        </row>
        <row r="1593">
          <cell r="A1593" t="str">
            <v>PSS1114</v>
          </cell>
          <cell r="X1593">
            <v>669592</v>
          </cell>
        </row>
        <row r="1594">
          <cell r="A1594" t="str">
            <v>P0107</v>
          </cell>
          <cell r="X1594">
            <v>334558</v>
          </cell>
        </row>
        <row r="1595">
          <cell r="A1595" t="str">
            <v>PEIPL0075</v>
          </cell>
          <cell r="X1595">
            <v>463825</v>
          </cell>
        </row>
        <row r="1596">
          <cell r="A1596" t="str">
            <v>PEIPL0704</v>
          </cell>
          <cell r="X1596">
            <v>430399</v>
          </cell>
        </row>
        <row r="1597">
          <cell r="A1597" t="str">
            <v>PEPPL0262</v>
          </cell>
          <cell r="X1597">
            <v>356647</v>
          </cell>
        </row>
        <row r="1598">
          <cell r="A1598" t="str">
            <v>PEPPL0430</v>
          </cell>
          <cell r="X1598">
            <v>257599</v>
          </cell>
        </row>
        <row r="1599">
          <cell r="A1599" t="str">
            <v>PEPPL0492</v>
          </cell>
          <cell r="X1599">
            <v>281071</v>
          </cell>
        </row>
        <row r="1600">
          <cell r="A1600" t="str">
            <v>PEPPL0495</v>
          </cell>
          <cell r="X1600">
            <v>281071</v>
          </cell>
        </row>
        <row r="1601">
          <cell r="A1601" t="str">
            <v>PSS1327</v>
          </cell>
          <cell r="X1601">
            <v>284005</v>
          </cell>
        </row>
        <row r="1602">
          <cell r="A1602" t="str">
            <v>PEPPL0691</v>
          </cell>
          <cell r="X1602">
            <v>254543</v>
          </cell>
        </row>
        <row r="1603">
          <cell r="A1603" t="str">
            <v>PEIPL0437</v>
          </cell>
          <cell r="X1603">
            <v>299285</v>
          </cell>
        </row>
        <row r="1604">
          <cell r="A1604" t="str">
            <v>PEIPL0410</v>
          </cell>
          <cell r="X1604">
            <v>347435</v>
          </cell>
        </row>
        <row r="1605">
          <cell r="A1605" t="str">
            <v>PEPPL0733</v>
          </cell>
          <cell r="X1605">
            <v>239264</v>
          </cell>
        </row>
        <row r="1606">
          <cell r="A1606" t="str">
            <v>PEIPL0118</v>
          </cell>
          <cell r="X1606">
            <v>367713</v>
          </cell>
        </row>
        <row r="1607">
          <cell r="A1607" t="str">
            <v>PEPPL0461</v>
          </cell>
          <cell r="X1607">
            <v>621879</v>
          </cell>
        </row>
        <row r="1608">
          <cell r="A1608" t="str">
            <v>PEIPL0508</v>
          </cell>
          <cell r="X1608">
            <v>332240</v>
          </cell>
        </row>
        <row r="1609">
          <cell r="A1609" t="str">
            <v>PEPPL0502</v>
          </cell>
          <cell r="X1609">
            <v>274043</v>
          </cell>
        </row>
        <row r="1610">
          <cell r="A1610" t="str">
            <v>PEPPL0601</v>
          </cell>
          <cell r="X1610">
            <v>306989</v>
          </cell>
        </row>
        <row r="1611">
          <cell r="A1611" t="str">
            <v>PEIPL0274</v>
          </cell>
          <cell r="X1611">
            <v>342762</v>
          </cell>
        </row>
        <row r="1612">
          <cell r="A1612" t="str">
            <v>PEIPL0193</v>
          </cell>
          <cell r="X1612">
            <v>302179</v>
          </cell>
        </row>
        <row r="1613">
          <cell r="A1613" t="str">
            <v>PEPPL0419</v>
          </cell>
          <cell r="X1613">
            <v>435966</v>
          </cell>
        </row>
        <row r="1614">
          <cell r="A1614" t="str">
            <v>PEIPL0153</v>
          </cell>
          <cell r="X1614">
            <v>485266</v>
          </cell>
        </row>
        <row r="1615">
          <cell r="A1615" t="str">
            <v>PSS1319</v>
          </cell>
          <cell r="X1615">
            <v>294568</v>
          </cell>
        </row>
        <row r="1616">
          <cell r="A1616" t="str">
            <v>PEIPL0468</v>
          </cell>
          <cell r="X1616">
            <v>624465</v>
          </cell>
        </row>
        <row r="1617">
          <cell r="A1617" t="str">
            <v>PEIPL0420</v>
          </cell>
          <cell r="X1617">
            <v>453493</v>
          </cell>
        </row>
        <row r="1618">
          <cell r="A1618" t="str">
            <v>P0110</v>
          </cell>
          <cell r="X1618">
            <v>336678</v>
          </cell>
        </row>
        <row r="1619">
          <cell r="A1619" t="str">
            <v>P0122</v>
          </cell>
          <cell r="X1619">
            <v>278484</v>
          </cell>
        </row>
        <row r="1620">
          <cell r="A1620" t="str">
            <v>P0382</v>
          </cell>
          <cell r="X1620">
            <v>734622</v>
          </cell>
        </row>
        <row r="1621">
          <cell r="A1621" t="str">
            <v>PEIPL0142</v>
          </cell>
          <cell r="X1621">
            <v>889851</v>
          </cell>
        </row>
        <row r="1622">
          <cell r="A1622" t="str">
            <v>PEIPL0693</v>
          </cell>
          <cell r="X1622">
            <v>288825</v>
          </cell>
        </row>
        <row r="1623">
          <cell r="A1623" t="str">
            <v>PEPPL0284</v>
          </cell>
          <cell r="X1623">
            <v>503502</v>
          </cell>
        </row>
        <row r="1624">
          <cell r="A1624" t="str">
            <v>PEPPL0496</v>
          </cell>
          <cell r="X1624">
            <v>273864</v>
          </cell>
        </row>
        <row r="1625">
          <cell r="A1625" t="str">
            <v>PEPPL0500</v>
          </cell>
          <cell r="X1625">
            <v>273864</v>
          </cell>
        </row>
        <row r="1626">
          <cell r="A1626" t="str">
            <v>PEPPL0501</v>
          </cell>
          <cell r="X1626">
            <v>273864</v>
          </cell>
        </row>
        <row r="1627">
          <cell r="A1627" t="str">
            <v>PEPPL0516</v>
          </cell>
          <cell r="X1627">
            <v>273864</v>
          </cell>
        </row>
        <row r="1628">
          <cell r="A1628" t="str">
            <v>PEPPL0596</v>
          </cell>
          <cell r="X1628">
            <v>410703</v>
          </cell>
        </row>
        <row r="1629">
          <cell r="A1629" t="str">
            <v>PEIPL0513</v>
          </cell>
          <cell r="X1629">
            <v>259557</v>
          </cell>
        </row>
        <row r="1630">
          <cell r="A1630" t="str">
            <v>PEPPL0378</v>
          </cell>
          <cell r="X1630">
            <v>254508</v>
          </cell>
        </row>
        <row r="1631">
          <cell r="A1631" t="str">
            <v>PEPPL0730</v>
          </cell>
          <cell r="X1631">
            <v>269059</v>
          </cell>
        </row>
        <row r="1632">
          <cell r="A1632" t="str">
            <v>PEPPL0635</v>
          </cell>
          <cell r="X1632">
            <v>735329</v>
          </cell>
        </row>
        <row r="1633">
          <cell r="A1633" t="str">
            <v>PEIPL0266</v>
          </cell>
          <cell r="X1633">
            <v>283120</v>
          </cell>
        </row>
        <row r="1634">
          <cell r="A1634" t="str">
            <v>PEIPL0200</v>
          </cell>
          <cell r="X1634">
            <v>1172946</v>
          </cell>
        </row>
        <row r="1635">
          <cell r="A1635" t="str">
            <v>PEPPL0204</v>
          </cell>
          <cell r="X1635">
            <v>650850</v>
          </cell>
        </row>
        <row r="1636">
          <cell r="A1636" t="str">
            <v>PEIPL0294</v>
          </cell>
          <cell r="X1636">
            <v>265600</v>
          </cell>
        </row>
        <row r="1637">
          <cell r="A1637" t="str">
            <v>PSS0244</v>
          </cell>
          <cell r="X1637">
            <v>426862</v>
          </cell>
        </row>
        <row r="1638">
          <cell r="A1638" t="str">
            <v>PSS0755</v>
          </cell>
          <cell r="X1638">
            <v>232142</v>
          </cell>
        </row>
        <row r="1639">
          <cell r="A1639" t="str">
            <v>PSS1100</v>
          </cell>
          <cell r="X1639">
            <v>467856</v>
          </cell>
        </row>
        <row r="1640">
          <cell r="A1640" t="str">
            <v>PEPPL0700</v>
          </cell>
          <cell r="X1640">
            <v>223440</v>
          </cell>
        </row>
        <row r="1641">
          <cell r="A1641" t="str">
            <v>PEIPL0434</v>
          </cell>
          <cell r="X1641">
            <v>255508</v>
          </cell>
        </row>
        <row r="1642">
          <cell r="A1642" t="str">
            <v>PEIPL0363</v>
          </cell>
          <cell r="X1642">
            <v>223440</v>
          </cell>
        </row>
        <row r="1643">
          <cell r="A1643" t="str">
            <v>PEPPL0670</v>
          </cell>
          <cell r="X1643">
            <v>223440</v>
          </cell>
        </row>
        <row r="1644">
          <cell r="A1644" t="str">
            <v>PEIPL0469</v>
          </cell>
          <cell r="X1644">
            <v>350000</v>
          </cell>
        </row>
        <row r="1645">
          <cell r="A1645" t="str">
            <v>PEIPL0345</v>
          </cell>
          <cell r="X1645">
            <v>237916</v>
          </cell>
        </row>
        <row r="1646">
          <cell r="A1646" t="str">
            <v>PEIPL0346</v>
          </cell>
          <cell r="X1646">
            <v>237916</v>
          </cell>
        </row>
        <row r="1647">
          <cell r="A1647" t="str">
            <v>PEIPL0376</v>
          </cell>
          <cell r="X1647">
            <v>240820</v>
          </cell>
        </row>
        <row r="1648">
          <cell r="A1648" t="str">
            <v>PSS0245</v>
          </cell>
          <cell r="X1648">
            <v>544303</v>
          </cell>
        </row>
        <row r="1649">
          <cell r="A1649" t="str">
            <v>PEIPL0360</v>
          </cell>
          <cell r="X1649">
            <v>223440</v>
          </cell>
        </row>
        <row r="1650">
          <cell r="A1650" t="str">
            <v>PSS0754</v>
          </cell>
          <cell r="X1650">
            <v>232142</v>
          </cell>
        </row>
        <row r="1651">
          <cell r="A1651" t="str">
            <v>P0283</v>
          </cell>
          <cell r="X1651">
            <v>169500</v>
          </cell>
        </row>
        <row r="1652">
          <cell r="A1652" t="str">
            <v>PEIPL0307</v>
          </cell>
          <cell r="X1652">
            <v>295750</v>
          </cell>
        </row>
        <row r="1653">
          <cell r="A1653" t="str">
            <v>P0298</v>
          </cell>
          <cell r="X1653">
            <v>172380</v>
          </cell>
        </row>
        <row r="1654">
          <cell r="A1654" t="str">
            <v>PEPPL0743</v>
          </cell>
          <cell r="X1654">
            <v>256085</v>
          </cell>
        </row>
        <row r="1655">
          <cell r="A1655" t="str">
            <v>PSS0759</v>
          </cell>
          <cell r="X1655">
            <v>245408</v>
          </cell>
        </row>
        <row r="1656">
          <cell r="A1656" t="str">
            <v>PEIPL0344</v>
          </cell>
          <cell r="X1656">
            <v>237916</v>
          </cell>
        </row>
        <row r="1657">
          <cell r="A1657" t="str">
            <v>PEIPL0220</v>
          </cell>
          <cell r="X1657">
            <v>260028</v>
          </cell>
        </row>
        <row r="1658">
          <cell r="A1658" t="str">
            <v>PEPPL0689</v>
          </cell>
          <cell r="X1658">
            <v>268215</v>
          </cell>
        </row>
        <row r="1659">
          <cell r="A1659" t="str">
            <v>PEIPL0132</v>
          </cell>
          <cell r="X1659">
            <v>260004</v>
          </cell>
        </row>
        <row r="1660">
          <cell r="A1660" t="str">
            <v>PEPPL0394</v>
          </cell>
          <cell r="X1660">
            <v>265836</v>
          </cell>
        </row>
        <row r="1661">
          <cell r="A1661" t="str">
            <v>PEIPL0453</v>
          </cell>
          <cell r="X1661">
            <v>770325</v>
          </cell>
        </row>
        <row r="1662">
          <cell r="A1662" t="str">
            <v>PEPPL0698</v>
          </cell>
          <cell r="X1662">
            <v>223440</v>
          </cell>
        </row>
        <row r="1663">
          <cell r="A1663" t="str">
            <v>PEIPL0316</v>
          </cell>
          <cell r="X1663">
            <v>360293</v>
          </cell>
        </row>
        <row r="1664">
          <cell r="A1664" t="str">
            <v>PEIPL0040</v>
          </cell>
          <cell r="X1664">
            <v>304767</v>
          </cell>
        </row>
        <row r="1665">
          <cell r="A1665" t="str">
            <v>PEIPL0111</v>
          </cell>
          <cell r="X1665">
            <v>311825</v>
          </cell>
        </row>
        <row r="1666">
          <cell r="A1666" t="str">
            <v>PEIPL0283</v>
          </cell>
          <cell r="X1666">
            <v>375725</v>
          </cell>
        </row>
        <row r="1667">
          <cell r="A1667" t="str">
            <v>PEIPL0259</v>
          </cell>
          <cell r="X1667">
            <v>261900</v>
          </cell>
        </row>
        <row r="1668">
          <cell r="A1668" t="str">
            <v>PEPPL0685</v>
          </cell>
          <cell r="X1668">
            <v>268215</v>
          </cell>
        </row>
        <row r="1669">
          <cell r="A1669" t="str">
            <v>PEPPL0597</v>
          </cell>
          <cell r="X1669">
            <v>336721</v>
          </cell>
        </row>
        <row r="1670">
          <cell r="A1670" t="str">
            <v>PSS0753</v>
          </cell>
          <cell r="X1670">
            <v>245408</v>
          </cell>
        </row>
        <row r="1671">
          <cell r="A1671" t="str">
            <v>PEIPL0181</v>
          </cell>
          <cell r="X1671">
            <v>340000</v>
          </cell>
        </row>
        <row r="1672">
          <cell r="A1672" t="str">
            <v>PEPPL0432</v>
          </cell>
          <cell r="X1672">
            <v>255238</v>
          </cell>
        </row>
        <row r="1673">
          <cell r="A1673" t="str">
            <v>P0256</v>
          </cell>
          <cell r="X1673">
            <v>261756</v>
          </cell>
        </row>
        <row r="1674">
          <cell r="A1674" t="str">
            <v>PEIPL0072</v>
          </cell>
          <cell r="X1674">
            <v>365281</v>
          </cell>
        </row>
        <row r="1675">
          <cell r="A1675" t="str">
            <v>PEIPL0328</v>
          </cell>
          <cell r="X1675">
            <v>490329</v>
          </cell>
        </row>
        <row r="1676">
          <cell r="A1676" t="str">
            <v>PEIPL0115</v>
          </cell>
          <cell r="X1676">
            <v>375725</v>
          </cell>
        </row>
        <row r="1677">
          <cell r="A1677" t="str">
            <v>PEPPL0550</v>
          </cell>
          <cell r="X1677">
            <v>414229</v>
          </cell>
        </row>
        <row r="1678">
          <cell r="A1678" t="str">
            <v>PEIPL0125</v>
          </cell>
          <cell r="X1678">
            <v>314285</v>
          </cell>
        </row>
        <row r="1679">
          <cell r="A1679" t="str">
            <v>PEPPL0228</v>
          </cell>
          <cell r="X1679">
            <v>315005</v>
          </cell>
        </row>
        <row r="1680">
          <cell r="A1680" t="str">
            <v>P0395</v>
          </cell>
          <cell r="X1680">
            <v>317870</v>
          </cell>
        </row>
        <row r="1681">
          <cell r="A1681" t="str">
            <v>PEIPL0272</v>
          </cell>
          <cell r="X1681">
            <v>525005</v>
          </cell>
        </row>
        <row r="1682">
          <cell r="A1682" t="str">
            <v>PEPPL0038</v>
          </cell>
          <cell r="X1682">
            <v>477922</v>
          </cell>
        </row>
        <row r="1683">
          <cell r="A1683" t="str">
            <v>PEIPL0438</v>
          </cell>
          <cell r="X1683">
            <v>521018</v>
          </cell>
        </row>
        <row r="1684">
          <cell r="A1684" t="str">
            <v>PEIPL0099</v>
          </cell>
          <cell r="X1684">
            <v>316001</v>
          </cell>
        </row>
        <row r="1685">
          <cell r="A1685" t="str">
            <v>PEPPL0657</v>
          </cell>
          <cell r="X1685">
            <v>474041</v>
          </cell>
        </row>
        <row r="1686">
          <cell r="A1686" t="str">
            <v>PEPPL0609</v>
          </cell>
          <cell r="X1686">
            <v>588988</v>
          </cell>
        </row>
        <row r="1687">
          <cell r="A1687" t="str">
            <v>PEIPL0105</v>
          </cell>
          <cell r="X1687">
            <v>592557</v>
          </cell>
        </row>
        <row r="1688">
          <cell r="A1688" t="str">
            <v>PEPPL0720</v>
          </cell>
          <cell r="X1688">
            <v>940000</v>
          </cell>
        </row>
        <row r="1689">
          <cell r="A1689" t="str">
            <v>PSS1194</v>
          </cell>
          <cell r="X1689">
            <v>661957</v>
          </cell>
        </row>
        <row r="1690">
          <cell r="A1690" t="str">
            <v>PEPPL0504</v>
          </cell>
          <cell r="X1690">
            <v>324000</v>
          </cell>
        </row>
        <row r="1691">
          <cell r="A1691" t="str">
            <v>PEIPL0185</v>
          </cell>
          <cell r="X1691">
            <v>720005</v>
          </cell>
        </row>
        <row r="1692">
          <cell r="A1692" t="str">
            <v>PEIPL0567</v>
          </cell>
          <cell r="X1692">
            <v>422510</v>
          </cell>
        </row>
        <row r="1693">
          <cell r="A1693" t="str">
            <v>PEIPL0243</v>
          </cell>
          <cell r="X1693">
            <v>840008</v>
          </cell>
        </row>
        <row r="1694">
          <cell r="A1694" t="str">
            <v>PEIPL0334</v>
          </cell>
          <cell r="X1694">
            <v>781805</v>
          </cell>
        </row>
        <row r="1695">
          <cell r="A1695" t="str">
            <v>PEPPL0241</v>
          </cell>
          <cell r="X1695">
            <v>419982</v>
          </cell>
        </row>
        <row r="1696">
          <cell r="A1696" t="str">
            <v>PSS1222</v>
          </cell>
          <cell r="X1696">
            <v>1430794</v>
          </cell>
        </row>
        <row r="1697">
          <cell r="A1697" t="str">
            <v>PSS0142</v>
          </cell>
          <cell r="X1697">
            <v>3000000</v>
          </cell>
        </row>
        <row r="1698">
          <cell r="A1698" t="str">
            <v>PSS1351</v>
          </cell>
          <cell r="X1698">
            <v>11</v>
          </cell>
        </row>
        <row r="1699">
          <cell r="A1699" t="str">
            <v>PEPPL0548</v>
          </cell>
          <cell r="X1699">
            <v>9650004</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Kumar (IND)" refreshedDate="45593.744129398146" createdVersion="8" refreshedVersion="8" minRefreshableVersion="3" recordCount="55" xr:uid="{1BCA1B86-9FF4-4FDB-9076-2EE4F37492E3}">
  <cacheSource type="worksheet">
    <worksheetSource ref="A3:L58" sheet="Workings"/>
  </cacheSource>
  <cacheFields count="12">
    <cacheField name="Employee Code" numFmtId="0">
      <sharedItems/>
    </cacheField>
    <cacheField name="Full name" numFmtId="0">
      <sharedItems/>
    </cacheField>
    <cacheField name="Paid days" numFmtId="2">
      <sharedItems containsSemiMixedTypes="0" containsString="0" containsNumber="1" minValue="14" maxValue="30"/>
    </cacheField>
    <cacheField name=" monthly rate" numFmtId="0">
      <sharedItems containsSemiMixedTypes="0" containsString="0" containsNumber="1" containsInteger="1" minValue="13457" maxValue="355262"/>
    </cacheField>
    <cacheField name="Gross benefits as per CTC structure" numFmtId="166">
      <sharedItems containsSemiMixedTypes="0" containsString="0" containsNumber="1" containsInteger="1" minValue="16690" maxValue="383401"/>
    </cacheField>
    <cacheField name="Diff" numFmtId="166">
      <sharedItems containsSemiMixedTypes="0" containsString="0" containsNumber="1" containsInteger="1" minValue="-47225" maxValue="15654"/>
    </cacheField>
    <cacheField name="Diff Percentage" numFmtId="9">
      <sharedItems containsSemiMixedTypes="0" containsString="0" containsNumber="1" minValue="-0.85863636363636364" maxValue="5.9826413969433265E-2"/>
    </cacheField>
    <cacheField name="Hike percentage as per CTC struc" numFmtId="0">
      <sharedItems containsMixedTypes="1" containsNumber="1" minValue="2.29E-2" maxValue="0.50860000000000005"/>
    </cacheField>
    <cacheField name="Difference in percentage" numFmtId="9">
      <sharedItems containsSemiMixedTypes="0" containsString="0" containsNumber="1" minValue="-0.47139801766083977" maxValue="5.9826413969433265E-2"/>
    </cacheField>
    <cacheField name="Excess payment removing Hike percentage and comparing with monthly rate" numFmtId="165">
      <sharedItems containsSemiMixedTypes="0" containsString="0" containsNumber="1" minValue="505.43589743589837" maxValue="25090.382473222995"/>
    </cacheField>
    <cacheField name="Sampling to check mid-term hikes" numFmtId="0">
      <sharedItems containsBlank="1"/>
    </cacheField>
    <cacheField name="Fabcity/other" numFmtId="0">
      <sharedItems count="2">
        <s v="Corporate&amp;other"/>
        <s v="Fabcit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s v="PSS0117"/>
    <s v="Kishore Kumar"/>
    <n v="30"/>
    <n v="18830"/>
    <n v="22001"/>
    <n v="-3171"/>
    <n v="-0.16840148698884758"/>
    <n v="6.4199999999999993E-2"/>
    <n v="-0.10420148698884758"/>
    <n v="1843.7455365532805"/>
    <m/>
    <x v="0"/>
  </r>
  <r>
    <s v="PSS0121"/>
    <s v="A. Deepa"/>
    <n v="30"/>
    <n v="15527"/>
    <n v="16690"/>
    <n v="-1163"/>
    <n v="-7.490178398918014E-2"/>
    <n v="2.29E-2"/>
    <n v="-5.2001783989180136E-2"/>
    <n v="789.35545996676228"/>
    <m/>
    <x v="0"/>
  </r>
  <r>
    <s v="PSS0690"/>
    <s v="Mohammad Abdul Najeebuddin"/>
    <n v="30"/>
    <n v="46524"/>
    <n v="53869"/>
    <n v="-7345"/>
    <n v="-0.15787550511563925"/>
    <n v="6.4799999999999996E-2"/>
    <n v="-9.3075505115639251E-2"/>
    <n v="4066.72126220887"/>
    <m/>
    <x v="1"/>
  </r>
  <r>
    <s v="PSS0761"/>
    <s v="Lakshmikant Mishra"/>
    <n v="30"/>
    <n v="30205"/>
    <n v="41626"/>
    <n v="-11421"/>
    <n v="-0.37811620592617118"/>
    <n v="0.2162"/>
    <n v="-0.16191620592617118"/>
    <n v="4021.2785726031943"/>
    <m/>
    <x v="1"/>
  </r>
  <r>
    <s v="PSS1160"/>
    <s v="Vineet kaur"/>
    <n v="30"/>
    <n v="36779"/>
    <n v="50616"/>
    <n v="-13837"/>
    <n v="-0.37622012561516083"/>
    <n v="0.18790000000000001"/>
    <n v="-0.18832012561516082"/>
    <n v="5830.647276706798"/>
    <s v="Sampled"/>
    <x v="0"/>
  </r>
  <r>
    <s v="PSS1237"/>
    <s v="Boddu Saikrishna Yadav"/>
    <n v="30"/>
    <n v="22659"/>
    <n v="27000"/>
    <n v="-4341"/>
    <n v="-0.19157950483251687"/>
    <n v="3.6400000000000002E-2"/>
    <n v="-0.15517950483251686"/>
    <n v="3392.7174835970654"/>
    <m/>
    <x v="0"/>
  </r>
  <r>
    <s v="PSS1294"/>
    <s v="Ravella Sreenivasa Rao"/>
    <n v="28.5"/>
    <n v="238888"/>
    <n v="272462"/>
    <n v="-33574"/>
    <n v="-0.14054284853152943"/>
    <n v="2.7E-2"/>
    <n v="-0.11354284853152943"/>
    <n v="25090.382473222995"/>
    <s v="Sampled"/>
    <x v="0"/>
  </r>
  <r>
    <s v="PSS1339"/>
    <s v="Naramshetti Ramu"/>
    <n v="22"/>
    <n v="44920"/>
    <n v="56309"/>
    <n v="-11389"/>
    <n v="-0.25353962600178093"/>
    <n v="0.1489"/>
    <n v="-0.10463962600178092"/>
    <n v="3000.2339629210564"/>
    <m/>
    <x v="0"/>
  </r>
  <r>
    <s v="PSS1344"/>
    <s v="Madiha Rubaki"/>
    <n v="30"/>
    <n v="15081"/>
    <n v="18509"/>
    <n v="-3428"/>
    <n v="-0.22730588157283999"/>
    <n v="0.1376"/>
    <n v="-8.9705881572839985E-2"/>
    <n v="1189.2180028129405"/>
    <m/>
    <x v="0"/>
  </r>
  <r>
    <s v="PSS1352"/>
    <s v="Sabbineni Vishnu Naga Sai Ram"/>
    <n v="30"/>
    <n v="40277"/>
    <n v="56309"/>
    <n v="-16032"/>
    <n v="-0.39804354842714207"/>
    <n v="0.23980000000000001"/>
    <n v="-0.15824354842714206"/>
    <n v="5140.8093240845274"/>
    <m/>
    <x v="0"/>
  </r>
  <r>
    <s v="PSS1357"/>
    <s v="Dulla Ashok"/>
    <n v="30"/>
    <n v="21729"/>
    <n v="24500"/>
    <n v="-2771"/>
    <n v="-0.1275254268489116"/>
    <n v="3.2500000000000001E-2"/>
    <n v="-9.5025426848911604E-2"/>
    <n v="1999.8135593220359"/>
    <m/>
    <x v="0"/>
  </r>
  <r>
    <s v="PSS1358"/>
    <s v="Suryaprakashreddy Devendrappagari"/>
    <n v="30"/>
    <n v="54622"/>
    <n v="63209"/>
    <n v="-8587"/>
    <n v="-0.15720771850170262"/>
    <n v="5.1200000000000002E-2"/>
    <n v="-0.10600771850170262"/>
    <n v="5508.3272450532741"/>
    <s v="Sampled"/>
    <x v="0"/>
  </r>
  <r>
    <s v="PSS1380"/>
    <s v="Pallala Karteek"/>
    <n v="30"/>
    <n v="22000"/>
    <n v="34364"/>
    <n v="-12364"/>
    <n v="-0.56200000000000006"/>
    <n v="0.50860000000000005"/>
    <n v="-5.3400000000000003E-2"/>
    <n v="778.73525122630235"/>
    <m/>
    <x v="0"/>
  </r>
  <r>
    <s v="PEPPL0001"/>
    <s v="Donta Krishnaiah"/>
    <n v="30"/>
    <n v="47743"/>
    <n v="53417"/>
    <n v="-5674"/>
    <n v="-0.21902262024241489"/>
    <s v="2.78%"/>
    <n v="-0.1912226202424149"/>
    <n v="4229.1735746254126"/>
    <m/>
    <x v="1"/>
  </r>
  <r>
    <s v="PEPPL0012"/>
    <s v="Prakash Chandra"/>
    <n v="30"/>
    <n v="126664"/>
    <n v="144794"/>
    <n v="-18130"/>
    <n v="-0.27399537547794284"/>
    <s v="2.70%"/>
    <n v="-0.24699537547794284"/>
    <n v="14323.341772151907"/>
    <s v="Sampled"/>
    <x v="1"/>
  </r>
  <r>
    <s v="PEPPL0054"/>
    <s v="Abdul Azeem Mohd"/>
    <n v="30"/>
    <n v="36184"/>
    <n v="46549"/>
    <n v="-10365"/>
    <n v="-0.52579516055394915"/>
    <s v="26.82%"/>
    <n v="-0.25759516055394915"/>
    <n v="520.77842611575761"/>
    <m/>
    <x v="0"/>
  </r>
  <r>
    <s v="PEPPL0097"/>
    <s v="Kanamoni Gopal"/>
    <n v="30"/>
    <n v="30192"/>
    <n v="35916"/>
    <n v="-5724"/>
    <n v="-0.3387984610831607"/>
    <s v="17.00%"/>
    <n v="-0.16879846108316068"/>
    <n v="505.43589743589837"/>
    <m/>
    <x v="1"/>
  </r>
  <r>
    <s v="PEPPL0126"/>
    <s v="Rahul Mishra"/>
    <n v="30"/>
    <n v="79006"/>
    <n v="90418"/>
    <n v="-11412"/>
    <n v="-0.27388580891352871"/>
    <s v="2.70%"/>
    <n v="-0.24688580891352871"/>
    <n v="9034.8958130477276"/>
    <s v="Sampled"/>
    <x v="1"/>
  </r>
  <r>
    <s v="PEPPL0139"/>
    <s v="Pritam Kumar Singh"/>
    <n v="30"/>
    <n v="57037"/>
    <n v="65430"/>
    <n v="-8393"/>
    <n v="-0.27546934488643821"/>
    <s v="2.70%"/>
    <n v="-0.24846934488643821"/>
    <n v="6672.8344693281479"/>
    <s v="Sampled"/>
    <x v="1"/>
  </r>
  <r>
    <s v="PEPPL0169"/>
    <s v="Pratik R Khobarkhede"/>
    <n v="30"/>
    <n v="20200"/>
    <n v="21954"/>
    <n v="-1754"/>
    <n v="-0.1487449118046133"/>
    <s v="5.48%"/>
    <n v="-9.3944911804613299E-2"/>
    <n v="613.42434584755392"/>
    <m/>
    <x v="1"/>
  </r>
  <r>
    <s v="PEPPL0171"/>
    <s v="Nandkishor Vasanta Thakre"/>
    <n v="30"/>
    <n v="20828"/>
    <n v="25171"/>
    <n v="-4343"/>
    <n v="-0.36191666666666666"/>
    <s v="17.00%"/>
    <n v="-0.19191666666666665"/>
    <n v="685.67521367521476"/>
    <m/>
    <x v="1"/>
  </r>
  <r>
    <s v="PEPPL0235"/>
    <s v="Masigandlu Manohar"/>
    <n v="30"/>
    <n v="20048"/>
    <n v="24142"/>
    <n v="-4094"/>
    <n v="-0.35445887445887447"/>
    <s v="17.00%"/>
    <n v="-0.18445887445887446"/>
    <n v="586.18803418803509"/>
    <m/>
    <x v="1"/>
  </r>
  <r>
    <s v="PEPPL0329"/>
    <s v="Jakkula Mahesh"/>
    <n v="30"/>
    <n v="20897"/>
    <n v="23844"/>
    <n v="-2947"/>
    <n v="-0.24482844562598655"/>
    <s v="11.00%"/>
    <n v="-0.13482844562598656"/>
    <n v="584.0810810810799"/>
    <m/>
    <x v="1"/>
  </r>
  <r>
    <s v="PEPPL0399"/>
    <s v="Basaraju Vinod"/>
    <n v="30"/>
    <n v="20672"/>
    <n v="23574"/>
    <n v="-2902"/>
    <n v="-0.243619879113499"/>
    <s v="11.00%"/>
    <n v="-0.13361987911349898"/>
    <n v="565.83783783783656"/>
    <m/>
    <x v="1"/>
  </r>
  <r>
    <s v="PEPPL0415"/>
    <s v="Srinivas Boguda"/>
    <n v="30"/>
    <n v="34304"/>
    <n v="37626"/>
    <n v="-3322"/>
    <n v="-0.17717333333333332"/>
    <s v="2.34%"/>
    <n v="-0.15377333333333332"/>
    <n v="2461.6830173929993"/>
    <m/>
    <x v="1"/>
  </r>
  <r>
    <s v="PEPPL0484"/>
    <s v="Vadunala Ramesh"/>
    <n v="30"/>
    <n v="20333"/>
    <n v="27207"/>
    <n v="-6874"/>
    <n v="-0.58681919071196853"/>
    <s v="28.76%"/>
    <n v="-0.29921919071196851"/>
    <n v="797.00931966449207"/>
    <m/>
    <x v="1"/>
  </r>
  <r>
    <s v="PEPPL0546"/>
    <s v="Mohan Preet Singh Khurana"/>
    <n v="30"/>
    <n v="193176"/>
    <n v="215058"/>
    <n v="-21882"/>
    <n v="-0.21751274838222284"/>
    <s v="11.00%"/>
    <n v="-0.10751274838222284"/>
    <n v="569.94594594591763"/>
    <m/>
    <x v="0"/>
  </r>
  <r>
    <s v="PEPPL0569"/>
    <s v="Salman Raju Kakumanu"/>
    <n v="30"/>
    <n v="46524"/>
    <n v="63127"/>
    <n v="-16603"/>
    <n v="-0.66412000000000004"/>
    <s v="34.00%"/>
    <n v="-0.32412000000000002"/>
    <n v="585.70149253730779"/>
    <m/>
    <x v="0"/>
  </r>
  <r>
    <s v="PEPPL0571"/>
    <s v="Mukesh Wankhere"/>
    <n v="30"/>
    <n v="28828"/>
    <n v="34179"/>
    <n v="-5351"/>
    <n v="-0.3356121424987456"/>
    <s v="2.63%"/>
    <n v="-0.30931214249874561"/>
    <n v="4475.1277404267748"/>
    <m/>
    <x v="1"/>
  </r>
  <r>
    <s v="PEPPL0589"/>
    <s v="Sangappa"/>
    <n v="30"/>
    <n v="36196"/>
    <n v="42786"/>
    <n v="-6590"/>
    <n v="-0.33417849898580121"/>
    <s v="2.63%"/>
    <n v="-0.30787849898580122"/>
    <n v="5493.5644548377686"/>
    <m/>
    <x v="1"/>
  </r>
  <r>
    <s v="PEPPL0594"/>
    <s v="Siva Shankar Kolluri"/>
    <n v="30"/>
    <n v="41016"/>
    <n v="56309"/>
    <n v="-15293"/>
    <n v="-0.68899801766083979"/>
    <s v="21.76%"/>
    <n v="-0.47139801766083977"/>
    <n v="5229.8935611038096"/>
    <m/>
    <x v="0"/>
  </r>
  <r>
    <s v="PEPPL0599"/>
    <s v="Sohit Patle"/>
    <n v="30"/>
    <n v="19942"/>
    <n v="23329"/>
    <n v="-3387"/>
    <n v="-0.29482938718662954"/>
    <s v="14.00%"/>
    <n v="-0.15482938718662953"/>
    <n v="522.03508771929774"/>
    <m/>
    <x v="1"/>
  </r>
  <r>
    <s v="PEPPL0606"/>
    <s v="Kishor Kamal"/>
    <n v="30"/>
    <n v="142850"/>
    <n v="186384"/>
    <n v="-43534"/>
    <n v="-0.58501646173486532"/>
    <s v="30.00%"/>
    <n v="-0.28501646173486533"/>
    <n v="522.30769230768783"/>
    <m/>
    <x v="1"/>
  </r>
  <r>
    <s v="PEPPL0612"/>
    <s v="Anil Kumar"/>
    <n v="30"/>
    <n v="19822"/>
    <n v="23174"/>
    <n v="-3352"/>
    <n v="-0.29357155368716065"/>
    <s v="14.00%"/>
    <n v="-0.15357155368716063"/>
    <n v="506.07017543859547"/>
    <m/>
    <x v="1"/>
  </r>
  <r>
    <s v="PEPPL0659"/>
    <s v="Devendra Rameshwar Verma"/>
    <n v="30"/>
    <n v="355262"/>
    <n v="383401"/>
    <n v="-28139"/>
    <n v="-0.12737247588482656"/>
    <s v="6.66%"/>
    <n v="-6.0772475884826552E-2"/>
    <n v="4198.9038064879132"/>
    <m/>
    <x v="0"/>
  </r>
  <r>
    <s v="PEPPL0660"/>
    <s v="Kesaram Subash Reddy"/>
    <n v="29.5"/>
    <n v="89889"/>
    <n v="103793"/>
    <n v="-13904"/>
    <n v="-0.29876017963428525"/>
    <s v="8.28%"/>
    <n v="-0.21596017963428527"/>
    <n v="5867.661882773059"/>
    <m/>
    <x v="1"/>
  </r>
  <r>
    <s v="PEPPL0661"/>
    <s v="Shashikanth.R"/>
    <n v="30"/>
    <n v="144041"/>
    <n v="158735"/>
    <n v="-14694"/>
    <n v="-0.19592000000000001"/>
    <s v="1.67%"/>
    <n v="-0.17922000000000002"/>
    <n v="12086.667945313267"/>
    <s v="Sampled"/>
    <x v="0"/>
  </r>
  <r>
    <s v="PEPPL0719"/>
    <s v="Bolishetti Ravindar"/>
    <n v="30"/>
    <n v="105002"/>
    <n v="152227"/>
    <n v="-47225"/>
    <n v="-0.85863636363636364"/>
    <s v="43.94%"/>
    <n v="-0.41923636363636363"/>
    <n v="755.25996943170321"/>
    <m/>
    <x v="0"/>
  </r>
  <r>
    <s v="PEIPL0666"/>
    <s v="Gummadi Venkata siva Seshagiri"/>
    <n v="30"/>
    <n v="52811"/>
    <n v="51486"/>
    <n v="1325"/>
    <n v="2.5089469996780973E-2"/>
    <s v="0.00%"/>
    <n v="2.5089469996780973E-2"/>
    <n v="1325"/>
    <m/>
    <x v="1"/>
  </r>
  <r>
    <s v="PEIPL0705"/>
    <s v="Manas Ranjan Dhir"/>
    <n v="14"/>
    <n v="261657"/>
    <n v="246003"/>
    <n v="15654"/>
    <n v="5.9826413969433265E-2"/>
    <s v="0.00%"/>
    <n v="5.9826413969433265E-2"/>
    <n v="7305.2"/>
    <s v="Sampled"/>
    <x v="1"/>
  </r>
  <r>
    <s v="PEIPL0094"/>
    <s v="Kushagra Srivastava"/>
    <n v="30"/>
    <n v="107442"/>
    <n v="123763"/>
    <n v="-16321"/>
    <n v="-0.15190521397591258"/>
    <s v="8.53%"/>
    <n v="-6.6605213975912583E-2"/>
    <n v="6593.7504837372253"/>
    <s v="Sampled"/>
    <x v="0"/>
  </r>
  <r>
    <s v="PEIPL0169"/>
    <s v="Maddiguntla Saida Rao"/>
    <n v="30"/>
    <n v="27299"/>
    <n v="31463"/>
    <n v="-4164"/>
    <n v="-0.152533059819041"/>
    <s v="8.57%"/>
    <n v="-6.6833059819041002E-2"/>
    <n v="1680.4602560559979"/>
    <m/>
    <x v="1"/>
  </r>
  <r>
    <s v="PEIPL0278"/>
    <s v="Krishna Kumar Mishra"/>
    <n v="30"/>
    <n v="73891"/>
    <n v="81532"/>
    <n v="-7641"/>
    <n v="-0.10340907553017283"/>
    <s v="2.92%"/>
    <n v="-7.4209075530172822E-2"/>
    <n v="5327.810726778087"/>
    <s v="Sampled"/>
    <x v="0"/>
  </r>
  <r>
    <s v="PEIPL0477"/>
    <s v="Bellam Dhanush Reddy"/>
    <n v="30"/>
    <n v="103376"/>
    <n v="119289"/>
    <n v="-15913"/>
    <n v="-0.15393321467265128"/>
    <s v="10.57%"/>
    <n v="-4.8233214672651278E-2"/>
    <n v="4509.5023966717999"/>
    <m/>
    <x v="1"/>
  </r>
  <r>
    <s v="PEIPL0687"/>
    <s v="Janumula Devendar"/>
    <n v="25"/>
    <n v="16798"/>
    <n v="22069"/>
    <n v="-5271"/>
    <n v="-0.31378735563757593"/>
    <s v="16.07%"/>
    <n v="-0.15308735563757592"/>
    <n v="1846.2719336032844"/>
    <m/>
    <x v="1"/>
  </r>
  <r>
    <s v="PEIPL0694"/>
    <s v="Neerudi chandra Shekhar"/>
    <n v="30"/>
    <n v="27005"/>
    <n v="32467"/>
    <n v="-5462"/>
    <n v="-0.20225884095537863"/>
    <s v="9.89%"/>
    <n v="-0.10335884095537863"/>
    <n v="2539.9995449995436"/>
    <m/>
    <x v="1"/>
  </r>
  <r>
    <s v="PEIPL0696"/>
    <s v="Akula Suman"/>
    <n v="30"/>
    <n v="39993"/>
    <n v="52555"/>
    <n v="-12562"/>
    <n v="-0.31410496836946467"/>
    <s v="16.88%"/>
    <n v="-0.14530496836946466"/>
    <n v="4971.9212867898668"/>
    <m/>
    <x v="1"/>
  </r>
  <r>
    <s v="PEIPL0710"/>
    <s v="Daitha Rajyalakshmi"/>
    <n v="30"/>
    <n v="13457"/>
    <n v="18118"/>
    <n v="-4661"/>
    <n v="-0.34636248792450025"/>
    <s v="18.42%"/>
    <n v="-0.16216248792450025"/>
    <n v="1842.7804424928233"/>
    <m/>
    <x v="1"/>
  </r>
  <r>
    <s v="PEGEPL0008"/>
    <s v="Sandrugu Prabhakar"/>
    <n v="30"/>
    <n v="20330"/>
    <n v="29850"/>
    <n v="-9520"/>
    <n v="-0.46827348745696018"/>
    <s v="30.00%"/>
    <n v="-0.16827348745696019"/>
    <n v="2631.538461538461"/>
    <m/>
    <x v="1"/>
  </r>
  <r>
    <s v="PEGEPL0012"/>
    <s v="Donkana Rajababu"/>
    <n v="30"/>
    <n v="20450"/>
    <n v="29622"/>
    <n v="-9172"/>
    <n v="-0.44850855745721269"/>
    <s v="30.00%"/>
    <n v="-0.1485085574572127"/>
    <n v="2336.1538461538439"/>
    <m/>
    <x v="1"/>
  </r>
  <r>
    <s v="PEGEPL0013"/>
    <s v="Katla Durga Prasad"/>
    <n v="30"/>
    <n v="27312"/>
    <n v="37805"/>
    <n v="-10493"/>
    <n v="-0.38419009958992384"/>
    <s v="25.00%"/>
    <n v="-0.13419009958992384"/>
    <n v="2932"/>
    <s v="Sampled"/>
    <x v="1"/>
  </r>
  <r>
    <s v="PEGEPL0018"/>
    <s v="Akula Rajini"/>
    <n v="30"/>
    <n v="20295"/>
    <n v="23692"/>
    <n v="-3397"/>
    <n v="-0.1673811283567381"/>
    <s v="8.57%"/>
    <n v="-8.1681128356738103E-2"/>
    <n v="1526.8660771852228"/>
    <m/>
    <x v="1"/>
  </r>
  <r>
    <s v="PEGEPL0019"/>
    <s v="Gopani Narsimha"/>
    <n v="30"/>
    <n v="35590"/>
    <n v="45291"/>
    <n v="-9701"/>
    <n v="-0.27257656645125034"/>
    <s v="16.07%"/>
    <n v="-0.11187656645125033"/>
    <n v="3430.4187128456979"/>
    <s v="Sampled"/>
    <x v="1"/>
  </r>
  <r>
    <s v="PEGEPL0023"/>
    <s v="Naikal Moses"/>
    <n v="30"/>
    <n v="30831"/>
    <n v="34576"/>
    <n v="-3745"/>
    <n v="-0.12146865168174889"/>
    <s v="2.78%"/>
    <n v="-9.3668651681748899E-2"/>
    <n v="2809.7861451644276"/>
    <m/>
    <x v="1"/>
  </r>
  <r>
    <s v="PEGEPL0024"/>
    <s v="Amgoth Amber Singh"/>
    <n v="30"/>
    <n v="20864"/>
    <n v="24419"/>
    <n v="-3555"/>
    <n v="-0.17038918711656442"/>
    <s v="8.57%"/>
    <n v="-8.4689187116564424E-2"/>
    <n v="1627.4801510546167"/>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BE30E7-D123-4987-8080-2C5CCCDD199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Q9" firstHeaderRow="0" firstDataRow="1" firstDataCol="1"/>
  <pivotFields count="12">
    <pivotField showAll="0"/>
    <pivotField showAll="0"/>
    <pivotField numFmtId="2" showAll="0"/>
    <pivotField showAll="0"/>
    <pivotField numFmtId="166" showAll="0"/>
    <pivotField numFmtId="166" showAll="0"/>
    <pivotField numFmtId="9" showAll="0"/>
    <pivotField showAll="0"/>
    <pivotField numFmtId="9" showAll="0"/>
    <pivotField numFmtId="165" showAll="0"/>
    <pivotField dataField="1" showAll="0"/>
    <pivotField axis="axisRow" dataField="1" showAll="0">
      <items count="3">
        <item x="0"/>
        <item x="1"/>
        <item t="default"/>
      </items>
    </pivotField>
  </pivotFields>
  <rowFields count="1">
    <field x="11"/>
  </rowFields>
  <rowItems count="3">
    <i>
      <x/>
    </i>
    <i>
      <x v="1"/>
    </i>
    <i t="grand">
      <x/>
    </i>
  </rowItems>
  <colFields count="1">
    <field x="-2"/>
  </colFields>
  <colItems count="2">
    <i>
      <x/>
    </i>
    <i i="1">
      <x v="1"/>
    </i>
  </colItems>
  <dataFields count="2">
    <dataField name="Count of Fabcity/other" fld="11" subtotal="count" baseField="0" baseItem="0"/>
    <dataField name="Count of Sampling to check mid-term hike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410F1-DA90-49A5-A93A-F9683C6AD1A3}">
  <dimension ref="A1:O22"/>
  <sheetViews>
    <sheetView workbookViewId="0"/>
  </sheetViews>
  <sheetFormatPr defaultRowHeight="14.5"/>
  <cols>
    <col min="3" max="3" width="15.453125" bestFit="1" customWidth="1"/>
    <col min="4" max="4" width="18.7265625" bestFit="1" customWidth="1"/>
    <col min="5" max="5" width="21.54296875" bestFit="1" customWidth="1"/>
    <col min="6" max="9" width="18.7265625" customWidth="1"/>
    <col min="10" max="10" width="9.54296875" bestFit="1" customWidth="1"/>
    <col min="11" max="11" width="9.54296875" customWidth="1"/>
    <col min="12" max="15" width="9.54296875" bestFit="1" customWidth="1"/>
  </cols>
  <sheetData>
    <row r="1" spans="1:15">
      <c r="A1" s="8" t="s">
        <v>0</v>
      </c>
      <c r="B1" s="8" t="s">
        <v>29</v>
      </c>
      <c r="C1" s="8" t="s">
        <v>1</v>
      </c>
      <c r="D1" s="9" t="s">
        <v>30</v>
      </c>
      <c r="E1" s="9" t="s">
        <v>31</v>
      </c>
      <c r="F1" s="8" t="s">
        <v>32</v>
      </c>
      <c r="G1" s="8" t="s">
        <v>33</v>
      </c>
      <c r="H1" s="8" t="s">
        <v>27</v>
      </c>
    </row>
    <row r="2" spans="1:15">
      <c r="A2" s="10" t="s">
        <v>34</v>
      </c>
      <c r="B2" s="10" t="s">
        <v>35</v>
      </c>
      <c r="C2" s="10" t="s">
        <v>36</v>
      </c>
      <c r="D2" s="11">
        <v>34250</v>
      </c>
      <c r="E2" s="11">
        <v>44562</v>
      </c>
      <c r="F2" s="10" t="s">
        <v>37</v>
      </c>
      <c r="G2" s="10" t="s">
        <v>38</v>
      </c>
      <c r="H2" s="10" t="s">
        <v>39</v>
      </c>
    </row>
    <row r="3" spans="1:15">
      <c r="A3" s="10" t="s">
        <v>40</v>
      </c>
      <c r="B3" s="10" t="s">
        <v>35</v>
      </c>
      <c r="C3" s="10" t="s">
        <v>41</v>
      </c>
      <c r="D3" s="11">
        <v>34137</v>
      </c>
      <c r="E3" s="11">
        <v>45400</v>
      </c>
      <c r="F3" s="10" t="s">
        <v>37</v>
      </c>
      <c r="G3" s="10" t="s">
        <v>42</v>
      </c>
      <c r="H3" s="10" t="s">
        <v>39</v>
      </c>
    </row>
    <row r="4" spans="1:15">
      <c r="A4" s="10" t="s">
        <v>43</v>
      </c>
      <c r="B4" s="10" t="s">
        <v>35</v>
      </c>
      <c r="C4" s="10" t="s">
        <v>44</v>
      </c>
      <c r="D4" s="11">
        <v>31823</v>
      </c>
      <c r="E4" s="11">
        <v>45385</v>
      </c>
      <c r="F4" s="10" t="s">
        <v>37</v>
      </c>
      <c r="G4" s="10" t="s">
        <v>38</v>
      </c>
      <c r="H4" s="10" t="s">
        <v>39</v>
      </c>
      <c r="I4" s="4"/>
      <c r="J4" s="5"/>
      <c r="K4" s="5"/>
      <c r="L4" s="5"/>
      <c r="M4" s="5"/>
      <c r="N4" s="5"/>
      <c r="O4" s="5"/>
    </row>
    <row r="5" spans="1:15">
      <c r="A5" s="10" t="s">
        <v>45</v>
      </c>
      <c r="B5" s="10" t="s">
        <v>46</v>
      </c>
      <c r="C5" s="10" t="s">
        <v>47</v>
      </c>
      <c r="D5" s="11">
        <v>27986</v>
      </c>
      <c r="E5" s="11">
        <v>45383</v>
      </c>
      <c r="F5" s="10" t="s">
        <v>37</v>
      </c>
      <c r="G5" s="10" t="s">
        <v>38</v>
      </c>
      <c r="H5" s="10" t="s">
        <v>39</v>
      </c>
      <c r="I5" s="6"/>
      <c r="J5" s="7"/>
      <c r="K5" s="7"/>
      <c r="L5" s="7"/>
      <c r="M5" s="7"/>
      <c r="N5" s="7"/>
      <c r="O5" s="7"/>
    </row>
    <row r="6" spans="1:15">
      <c r="A6" s="10" t="s">
        <v>48</v>
      </c>
      <c r="B6" s="10" t="s">
        <v>49</v>
      </c>
      <c r="C6" s="10" t="s">
        <v>50</v>
      </c>
      <c r="D6" s="11">
        <v>30111</v>
      </c>
      <c r="E6" s="11">
        <v>44166</v>
      </c>
      <c r="F6" s="10" t="s">
        <v>37</v>
      </c>
      <c r="G6" s="10" t="s">
        <v>38</v>
      </c>
      <c r="H6" s="10" t="s">
        <v>39</v>
      </c>
      <c r="I6" s="6"/>
      <c r="J6" s="7"/>
      <c r="K6" s="7"/>
      <c r="L6" s="7"/>
      <c r="M6" s="7"/>
      <c r="N6" s="7"/>
      <c r="O6" s="7"/>
    </row>
    <row r="7" spans="1:15">
      <c r="I7" s="6"/>
      <c r="J7" s="7"/>
      <c r="K7" s="7"/>
      <c r="L7" s="7"/>
      <c r="M7" s="7"/>
      <c r="N7" s="7"/>
      <c r="O7" s="7"/>
    </row>
    <row r="8" spans="1:15">
      <c r="I8" s="6"/>
      <c r="J8" s="7"/>
      <c r="K8" s="7"/>
      <c r="L8" s="7"/>
      <c r="M8" s="7"/>
      <c r="N8" s="7"/>
      <c r="O8" s="7"/>
    </row>
    <row r="9" spans="1:15">
      <c r="A9" s="8" t="s">
        <v>0</v>
      </c>
      <c r="B9" s="8" t="s">
        <v>29</v>
      </c>
      <c r="C9" s="8" t="s">
        <v>1</v>
      </c>
      <c r="D9" s="9" t="s">
        <v>30</v>
      </c>
      <c r="E9" s="9" t="s">
        <v>31</v>
      </c>
      <c r="F9" s="8" t="s">
        <v>32</v>
      </c>
      <c r="G9" s="8" t="s">
        <v>33</v>
      </c>
      <c r="H9" s="8" t="s">
        <v>27</v>
      </c>
      <c r="I9" s="6"/>
      <c r="J9" s="7"/>
      <c r="K9" s="7"/>
      <c r="L9" s="7"/>
      <c r="M9" s="7"/>
      <c r="N9" s="7"/>
      <c r="O9" s="7"/>
    </row>
    <row r="10" spans="1:15">
      <c r="A10" s="10" t="s">
        <v>34</v>
      </c>
      <c r="B10" s="10" t="s">
        <v>35</v>
      </c>
      <c r="C10" s="10" t="s">
        <v>36</v>
      </c>
      <c r="D10" s="11">
        <v>34250</v>
      </c>
      <c r="E10" s="11">
        <v>44562</v>
      </c>
      <c r="F10" s="10" t="s">
        <v>37</v>
      </c>
      <c r="G10" s="10" t="s">
        <v>38</v>
      </c>
      <c r="H10" s="10" t="s">
        <v>51</v>
      </c>
      <c r="I10" s="6"/>
      <c r="J10" s="7"/>
      <c r="K10" s="7"/>
      <c r="L10" s="7"/>
      <c r="M10" s="7"/>
      <c r="N10" s="7"/>
      <c r="O10" s="7"/>
    </row>
    <row r="11" spans="1:15">
      <c r="A11" s="10" t="s">
        <v>45</v>
      </c>
      <c r="B11" s="10" t="s">
        <v>46</v>
      </c>
      <c r="C11" s="10" t="s">
        <v>47</v>
      </c>
      <c r="D11" s="11">
        <v>27986</v>
      </c>
      <c r="E11" s="11">
        <v>45383</v>
      </c>
      <c r="F11" s="10" t="s">
        <v>37</v>
      </c>
      <c r="G11" s="10" t="s">
        <v>38</v>
      </c>
      <c r="H11" s="10" t="s">
        <v>51</v>
      </c>
    </row>
    <row r="12" spans="1:15">
      <c r="A12" s="10" t="s">
        <v>48</v>
      </c>
      <c r="B12" s="10" t="s">
        <v>49</v>
      </c>
      <c r="C12" s="10" t="s">
        <v>50</v>
      </c>
      <c r="D12" s="11">
        <v>30111</v>
      </c>
      <c r="E12" s="11">
        <v>44166</v>
      </c>
      <c r="F12" s="10" t="s">
        <v>37</v>
      </c>
      <c r="G12" s="10" t="s">
        <v>38</v>
      </c>
      <c r="H12" s="10" t="s">
        <v>51</v>
      </c>
    </row>
    <row r="13" spans="1:15">
      <c r="A13" s="10" t="s">
        <v>52</v>
      </c>
      <c r="B13" s="10" t="s">
        <v>35</v>
      </c>
      <c r="C13" s="10" t="s">
        <v>53</v>
      </c>
      <c r="D13" s="11">
        <v>34104</v>
      </c>
      <c r="E13" s="11">
        <v>45078</v>
      </c>
      <c r="F13" s="10" t="s">
        <v>37</v>
      </c>
      <c r="G13" s="10" t="s">
        <v>38</v>
      </c>
      <c r="H13" s="10" t="s">
        <v>51</v>
      </c>
    </row>
    <row r="15" spans="1:15">
      <c r="A15" s="8" t="s">
        <v>0</v>
      </c>
      <c r="B15" s="8" t="s">
        <v>29</v>
      </c>
      <c r="C15" s="8" t="s">
        <v>1</v>
      </c>
      <c r="D15" s="9" t="s">
        <v>30</v>
      </c>
      <c r="E15" s="9" t="s">
        <v>31</v>
      </c>
      <c r="F15" s="8" t="s">
        <v>32</v>
      </c>
      <c r="G15" s="8" t="s">
        <v>33</v>
      </c>
      <c r="H15" s="8" t="s">
        <v>27</v>
      </c>
    </row>
    <row r="16" spans="1:15">
      <c r="A16" s="10" t="s">
        <v>54</v>
      </c>
      <c r="B16" s="10" t="s">
        <v>35</v>
      </c>
      <c r="C16" s="10" t="s">
        <v>55</v>
      </c>
      <c r="D16" s="11">
        <v>35221</v>
      </c>
      <c r="E16" s="11">
        <v>45556</v>
      </c>
      <c r="F16" s="10" t="s">
        <v>37</v>
      </c>
      <c r="G16" s="10" t="s">
        <v>42</v>
      </c>
      <c r="H16" s="10" t="s">
        <v>56</v>
      </c>
    </row>
    <row r="17" spans="1:8">
      <c r="A17" s="10" t="s">
        <v>57</v>
      </c>
      <c r="B17" s="10" t="s">
        <v>49</v>
      </c>
      <c r="C17" s="10" t="s">
        <v>58</v>
      </c>
      <c r="D17" s="11">
        <v>32874</v>
      </c>
      <c r="E17" s="11">
        <v>41456</v>
      </c>
      <c r="F17" s="10" t="s">
        <v>37</v>
      </c>
      <c r="G17" s="10" t="s">
        <v>38</v>
      </c>
      <c r="H17" s="10" t="s">
        <v>56</v>
      </c>
    </row>
    <row r="18" spans="1:8">
      <c r="A18" s="10" t="s">
        <v>59</v>
      </c>
      <c r="B18" s="10" t="s">
        <v>35</v>
      </c>
      <c r="C18" s="10" t="s">
        <v>60</v>
      </c>
      <c r="D18" s="11">
        <v>33239</v>
      </c>
      <c r="E18" s="11">
        <v>43556</v>
      </c>
      <c r="F18" s="10" t="s">
        <v>37</v>
      </c>
      <c r="G18" s="10" t="s">
        <v>38</v>
      </c>
      <c r="H18" s="10" t="s">
        <v>56</v>
      </c>
    </row>
    <row r="19" spans="1:8">
      <c r="A19" s="10" t="s">
        <v>34</v>
      </c>
      <c r="B19" s="10" t="s">
        <v>35</v>
      </c>
      <c r="C19" s="10" t="s">
        <v>36</v>
      </c>
      <c r="D19" s="11">
        <v>34250</v>
      </c>
      <c r="E19" s="11">
        <v>44562</v>
      </c>
      <c r="F19" s="10" t="s">
        <v>37</v>
      </c>
      <c r="G19" s="10" t="s">
        <v>38</v>
      </c>
      <c r="H19" s="10" t="s">
        <v>56</v>
      </c>
    </row>
    <row r="20" spans="1:8">
      <c r="A20" s="10" t="s">
        <v>61</v>
      </c>
      <c r="B20" s="10" t="s">
        <v>49</v>
      </c>
      <c r="C20" s="10" t="s">
        <v>47</v>
      </c>
      <c r="D20" s="11">
        <v>27986</v>
      </c>
      <c r="E20" s="11">
        <v>42675</v>
      </c>
      <c r="F20" s="10" t="s">
        <v>37</v>
      </c>
      <c r="G20" s="10" t="s">
        <v>38</v>
      </c>
      <c r="H20" s="10" t="s">
        <v>56</v>
      </c>
    </row>
    <row r="21" spans="1:8">
      <c r="A21" s="10" t="s">
        <v>48</v>
      </c>
      <c r="B21" s="10" t="s">
        <v>49</v>
      </c>
      <c r="C21" s="10" t="s">
        <v>50</v>
      </c>
      <c r="D21" s="11">
        <v>30111</v>
      </c>
      <c r="E21" s="11">
        <v>44166</v>
      </c>
      <c r="F21" s="10" t="s">
        <v>37</v>
      </c>
      <c r="G21" s="10" t="s">
        <v>38</v>
      </c>
      <c r="H21" s="10" t="s">
        <v>56</v>
      </c>
    </row>
    <row r="22" spans="1:8">
      <c r="A22" s="10" t="s">
        <v>52</v>
      </c>
      <c r="B22" s="10" t="s">
        <v>35</v>
      </c>
      <c r="C22" s="10" t="s">
        <v>53</v>
      </c>
      <c r="D22" s="11">
        <v>34104</v>
      </c>
      <c r="E22" s="11">
        <v>45078</v>
      </c>
      <c r="F22" s="10" t="s">
        <v>37</v>
      </c>
      <c r="G22" s="10" t="s">
        <v>38</v>
      </c>
      <c r="H22" s="10"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62217-7B37-404A-B525-E494A753B53E}">
  <dimension ref="A3:Q58"/>
  <sheetViews>
    <sheetView topLeftCell="I1" workbookViewId="0">
      <selection activeCell="Q8" sqref="Q8"/>
    </sheetView>
  </sheetViews>
  <sheetFormatPr defaultRowHeight="14.5"/>
  <cols>
    <col min="15" max="15" width="16.26953125" bestFit="1" customWidth="1"/>
    <col min="16" max="16" width="21.453125" bestFit="1" customWidth="1"/>
    <col min="17" max="17" width="39.81640625" bestFit="1" customWidth="1"/>
  </cols>
  <sheetData>
    <row r="3" spans="1:17" ht="130.5">
      <c r="A3" s="20" t="s">
        <v>0</v>
      </c>
      <c r="B3" s="20" t="s">
        <v>1</v>
      </c>
      <c r="C3" s="21" t="s">
        <v>63</v>
      </c>
      <c r="D3" s="22" t="s">
        <v>64</v>
      </c>
      <c r="E3" s="15" t="s">
        <v>65</v>
      </c>
      <c r="F3" s="15" t="s">
        <v>66</v>
      </c>
      <c r="G3" s="15" t="s">
        <v>67</v>
      </c>
      <c r="H3" s="15" t="s">
        <v>68</v>
      </c>
      <c r="I3" s="15" t="s">
        <v>69</v>
      </c>
      <c r="J3" s="15" t="s">
        <v>70</v>
      </c>
      <c r="K3" s="39" t="s">
        <v>251</v>
      </c>
      <c r="L3" s="15" t="s">
        <v>263</v>
      </c>
    </row>
    <row r="4" spans="1:17">
      <c r="A4" s="2" t="s">
        <v>71</v>
      </c>
      <c r="B4" s="2" t="s">
        <v>72</v>
      </c>
      <c r="C4" s="3">
        <v>30</v>
      </c>
      <c r="D4" s="2">
        <v>18830</v>
      </c>
      <c r="E4" s="25">
        <v>22001</v>
      </c>
      <c r="F4" s="25">
        <v>-3171</v>
      </c>
      <c r="G4" s="17">
        <v>-0.16840148698884758</v>
      </c>
      <c r="H4" s="17">
        <v>6.4199999999999993E-2</v>
      </c>
      <c r="I4" s="17">
        <v>-0.10420148698884758</v>
      </c>
      <c r="J4" s="18">
        <v>1843.7455365532805</v>
      </c>
      <c r="K4" s="2"/>
      <c r="L4" s="2" t="s">
        <v>265</v>
      </c>
    </row>
    <row r="5" spans="1:17">
      <c r="A5" s="2" t="s">
        <v>73</v>
      </c>
      <c r="B5" s="2" t="s">
        <v>74</v>
      </c>
      <c r="C5" s="3">
        <v>30</v>
      </c>
      <c r="D5" s="2">
        <v>15527</v>
      </c>
      <c r="E5" s="25">
        <v>16690</v>
      </c>
      <c r="F5" s="25">
        <v>-1163</v>
      </c>
      <c r="G5" s="17">
        <v>-7.490178398918014E-2</v>
      </c>
      <c r="H5" s="17">
        <v>2.29E-2</v>
      </c>
      <c r="I5" s="17">
        <v>-5.2001783989180136E-2</v>
      </c>
      <c r="J5" s="18">
        <v>789.35545996676228</v>
      </c>
      <c r="K5" s="2"/>
      <c r="L5" s="2" t="s">
        <v>265</v>
      </c>
    </row>
    <row r="6" spans="1:17">
      <c r="A6" s="2" t="s">
        <v>75</v>
      </c>
      <c r="B6" s="2" t="s">
        <v>76</v>
      </c>
      <c r="C6" s="3">
        <v>30</v>
      </c>
      <c r="D6" s="2">
        <v>46524</v>
      </c>
      <c r="E6" s="25">
        <v>53869</v>
      </c>
      <c r="F6" s="25">
        <v>-7345</v>
      </c>
      <c r="G6" s="17">
        <v>-0.15787550511563925</v>
      </c>
      <c r="H6" s="17">
        <v>6.4799999999999996E-2</v>
      </c>
      <c r="I6" s="17">
        <v>-9.3075505115639251E-2</v>
      </c>
      <c r="J6" s="18">
        <v>4066.72126220887</v>
      </c>
      <c r="K6" s="2"/>
      <c r="L6" s="2" t="s">
        <v>264</v>
      </c>
      <c r="O6" s="46" t="s">
        <v>266</v>
      </c>
      <c r="P6" t="s">
        <v>268</v>
      </c>
      <c r="Q6" t="s">
        <v>269</v>
      </c>
    </row>
    <row r="7" spans="1:17">
      <c r="A7" s="2" t="s">
        <v>77</v>
      </c>
      <c r="B7" s="2" t="s">
        <v>78</v>
      </c>
      <c r="C7" s="3">
        <v>30</v>
      </c>
      <c r="D7" s="2">
        <v>30205</v>
      </c>
      <c r="E7" s="25">
        <v>41626</v>
      </c>
      <c r="F7" s="25">
        <v>-11421</v>
      </c>
      <c r="G7" s="17">
        <v>-0.37811620592617118</v>
      </c>
      <c r="H7" s="17">
        <v>0.2162</v>
      </c>
      <c r="I7" s="17">
        <v>-0.16191620592617118</v>
      </c>
      <c r="J7" s="18">
        <v>4021.2785726031943</v>
      </c>
      <c r="K7" s="2"/>
      <c r="L7" s="2" t="s">
        <v>264</v>
      </c>
      <c r="O7" s="47" t="s">
        <v>265</v>
      </c>
      <c r="P7">
        <v>20</v>
      </c>
      <c r="Q7">
        <v>6</v>
      </c>
    </row>
    <row r="8" spans="1:17">
      <c r="A8" s="2" t="s">
        <v>79</v>
      </c>
      <c r="B8" s="2" t="s">
        <v>80</v>
      </c>
      <c r="C8" s="3">
        <v>30</v>
      </c>
      <c r="D8" s="2">
        <v>36779</v>
      </c>
      <c r="E8" s="25">
        <v>50616</v>
      </c>
      <c r="F8" s="25">
        <v>-13837</v>
      </c>
      <c r="G8" s="17">
        <v>-0.37622012561516083</v>
      </c>
      <c r="H8" s="17">
        <v>0.18790000000000001</v>
      </c>
      <c r="I8" s="17">
        <v>-0.18832012561516082</v>
      </c>
      <c r="J8" s="18">
        <v>5830.647276706798</v>
      </c>
      <c r="K8" s="2" t="s">
        <v>250</v>
      </c>
      <c r="L8" s="2" t="s">
        <v>265</v>
      </c>
      <c r="O8" s="47" t="s">
        <v>264</v>
      </c>
      <c r="P8">
        <v>35</v>
      </c>
      <c r="Q8">
        <v>6</v>
      </c>
    </row>
    <row r="9" spans="1:17">
      <c r="A9" s="2" t="s">
        <v>81</v>
      </c>
      <c r="B9" s="2" t="s">
        <v>82</v>
      </c>
      <c r="C9" s="3">
        <v>30</v>
      </c>
      <c r="D9" s="2">
        <v>22659</v>
      </c>
      <c r="E9" s="25">
        <v>27000</v>
      </c>
      <c r="F9" s="25">
        <v>-4341</v>
      </c>
      <c r="G9" s="17">
        <v>-0.19157950483251687</v>
      </c>
      <c r="H9" s="17">
        <v>3.6400000000000002E-2</v>
      </c>
      <c r="I9" s="17">
        <v>-0.15517950483251686</v>
      </c>
      <c r="J9" s="18">
        <v>3392.7174835970654</v>
      </c>
      <c r="K9" s="2"/>
      <c r="L9" s="2" t="s">
        <v>265</v>
      </c>
      <c r="O9" s="47" t="s">
        <v>267</v>
      </c>
      <c r="P9">
        <v>55</v>
      </c>
      <c r="Q9">
        <v>12</v>
      </c>
    </row>
    <row r="10" spans="1:17">
      <c r="A10" s="2" t="s">
        <v>83</v>
      </c>
      <c r="B10" s="2" t="s">
        <v>84</v>
      </c>
      <c r="C10" s="3">
        <v>28.5</v>
      </c>
      <c r="D10" s="2">
        <v>238888</v>
      </c>
      <c r="E10" s="25">
        <v>272462</v>
      </c>
      <c r="F10" s="25">
        <v>-33574</v>
      </c>
      <c r="G10" s="17">
        <v>-0.14054284853152943</v>
      </c>
      <c r="H10" s="17">
        <v>2.7E-2</v>
      </c>
      <c r="I10" s="17">
        <v>-0.11354284853152943</v>
      </c>
      <c r="J10" s="18">
        <v>25090.382473222995</v>
      </c>
      <c r="K10" s="2" t="s">
        <v>250</v>
      </c>
      <c r="L10" s="2" t="s">
        <v>265</v>
      </c>
    </row>
    <row r="11" spans="1:17">
      <c r="A11" s="2" t="s">
        <v>85</v>
      </c>
      <c r="B11" s="2" t="s">
        <v>86</v>
      </c>
      <c r="C11" s="3">
        <v>22</v>
      </c>
      <c r="D11" s="2">
        <v>44920</v>
      </c>
      <c r="E11" s="25">
        <v>56309</v>
      </c>
      <c r="F11" s="25">
        <v>-11389</v>
      </c>
      <c r="G11" s="17">
        <v>-0.25353962600178093</v>
      </c>
      <c r="H11" s="17">
        <v>0.1489</v>
      </c>
      <c r="I11" s="17">
        <v>-0.10463962600178092</v>
      </c>
      <c r="J11" s="18">
        <v>3000.2339629210564</v>
      </c>
      <c r="K11" s="2"/>
      <c r="L11" s="2" t="s">
        <v>265</v>
      </c>
    </row>
    <row r="12" spans="1:17">
      <c r="A12" s="2" t="s">
        <v>87</v>
      </c>
      <c r="B12" s="2" t="s">
        <v>88</v>
      </c>
      <c r="C12" s="3">
        <v>30</v>
      </c>
      <c r="D12" s="2">
        <v>15081</v>
      </c>
      <c r="E12" s="25">
        <v>18509</v>
      </c>
      <c r="F12" s="25">
        <v>-3428</v>
      </c>
      <c r="G12" s="17">
        <v>-0.22730588157283999</v>
      </c>
      <c r="H12" s="17">
        <v>0.1376</v>
      </c>
      <c r="I12" s="17">
        <v>-8.9705881572839985E-2</v>
      </c>
      <c r="J12" s="18">
        <v>1189.2180028129405</v>
      </c>
      <c r="K12" s="2"/>
      <c r="L12" s="2" t="s">
        <v>265</v>
      </c>
    </row>
    <row r="13" spans="1:17">
      <c r="A13" s="2" t="s">
        <v>89</v>
      </c>
      <c r="B13" s="2" t="s">
        <v>90</v>
      </c>
      <c r="C13" s="3">
        <v>30</v>
      </c>
      <c r="D13" s="2">
        <v>40277</v>
      </c>
      <c r="E13" s="25">
        <v>56309</v>
      </c>
      <c r="F13" s="25">
        <v>-16032</v>
      </c>
      <c r="G13" s="17">
        <v>-0.39804354842714207</v>
      </c>
      <c r="H13" s="17">
        <v>0.23980000000000001</v>
      </c>
      <c r="I13" s="17">
        <v>-0.15824354842714206</v>
      </c>
      <c r="J13" s="18">
        <v>5140.8093240845274</v>
      </c>
      <c r="K13" s="2"/>
      <c r="L13" s="2" t="s">
        <v>265</v>
      </c>
    </row>
    <row r="14" spans="1:17">
      <c r="A14" s="2" t="s">
        <v>91</v>
      </c>
      <c r="B14" s="2" t="s">
        <v>92</v>
      </c>
      <c r="C14" s="3">
        <v>30</v>
      </c>
      <c r="D14" s="2">
        <v>21729</v>
      </c>
      <c r="E14" s="25">
        <v>24500</v>
      </c>
      <c r="F14" s="25">
        <v>-2771</v>
      </c>
      <c r="G14" s="17">
        <v>-0.1275254268489116</v>
      </c>
      <c r="H14" s="17">
        <v>3.2500000000000001E-2</v>
      </c>
      <c r="I14" s="17">
        <v>-9.5025426848911604E-2</v>
      </c>
      <c r="J14" s="18">
        <v>1999.8135593220359</v>
      </c>
      <c r="K14" s="2"/>
      <c r="L14" s="2" t="s">
        <v>265</v>
      </c>
    </row>
    <row r="15" spans="1:17">
      <c r="A15" s="2" t="s">
        <v>93</v>
      </c>
      <c r="B15" s="2" t="s">
        <v>94</v>
      </c>
      <c r="C15" s="3">
        <v>30</v>
      </c>
      <c r="D15" s="2">
        <v>54622</v>
      </c>
      <c r="E15" s="25">
        <v>63209</v>
      </c>
      <c r="F15" s="25">
        <v>-8587</v>
      </c>
      <c r="G15" s="17">
        <v>-0.15720771850170262</v>
      </c>
      <c r="H15" s="17">
        <v>5.1200000000000002E-2</v>
      </c>
      <c r="I15" s="17">
        <v>-0.10600771850170262</v>
      </c>
      <c r="J15" s="18">
        <v>5508.3272450532741</v>
      </c>
      <c r="K15" s="2" t="s">
        <v>250</v>
      </c>
      <c r="L15" s="2" t="s">
        <v>265</v>
      </c>
    </row>
    <row r="16" spans="1:17">
      <c r="A16" s="2" t="s">
        <v>95</v>
      </c>
      <c r="B16" s="2" t="s">
        <v>96</v>
      </c>
      <c r="C16" s="3">
        <v>30</v>
      </c>
      <c r="D16" s="2">
        <v>22000</v>
      </c>
      <c r="E16" s="25">
        <v>34364</v>
      </c>
      <c r="F16" s="25">
        <v>-12364</v>
      </c>
      <c r="G16" s="17">
        <v>-0.56200000000000006</v>
      </c>
      <c r="H16" s="17">
        <v>0.50860000000000005</v>
      </c>
      <c r="I16" s="17">
        <v>-5.3400000000000003E-2</v>
      </c>
      <c r="J16" s="18">
        <v>778.73525122630235</v>
      </c>
      <c r="K16" s="2"/>
      <c r="L16" s="2" t="s">
        <v>265</v>
      </c>
    </row>
    <row r="17" spans="1:12">
      <c r="A17" s="2" t="s">
        <v>98</v>
      </c>
      <c r="B17" s="2" t="s">
        <v>99</v>
      </c>
      <c r="C17" s="3">
        <v>30</v>
      </c>
      <c r="D17" s="2">
        <v>47743</v>
      </c>
      <c r="E17" s="25">
        <v>53417</v>
      </c>
      <c r="F17" s="25">
        <v>-5674</v>
      </c>
      <c r="G17" s="17">
        <v>-0.21902262024241489</v>
      </c>
      <c r="H17" s="2" t="s">
        <v>100</v>
      </c>
      <c r="I17" s="23">
        <v>-0.1912226202424149</v>
      </c>
      <c r="J17" s="18">
        <v>4229.1735746254126</v>
      </c>
      <c r="K17" s="2"/>
      <c r="L17" s="2" t="s">
        <v>264</v>
      </c>
    </row>
    <row r="18" spans="1:12">
      <c r="A18" s="2" t="s">
        <v>101</v>
      </c>
      <c r="B18" s="2" t="s">
        <v>102</v>
      </c>
      <c r="C18" s="3">
        <v>30</v>
      </c>
      <c r="D18" s="2">
        <v>126664</v>
      </c>
      <c r="E18" s="25">
        <v>144794</v>
      </c>
      <c r="F18" s="25">
        <v>-18130</v>
      </c>
      <c r="G18" s="17">
        <v>-0.27399537547794284</v>
      </c>
      <c r="H18" s="2" t="s">
        <v>103</v>
      </c>
      <c r="I18" s="23">
        <v>-0.24699537547794284</v>
      </c>
      <c r="J18" s="18">
        <v>14323.341772151907</v>
      </c>
      <c r="K18" s="2" t="s">
        <v>250</v>
      </c>
      <c r="L18" s="2" t="s">
        <v>264</v>
      </c>
    </row>
    <row r="19" spans="1:12">
      <c r="A19" s="2" t="s">
        <v>104</v>
      </c>
      <c r="B19" s="2" t="s">
        <v>105</v>
      </c>
      <c r="C19" s="3">
        <v>30</v>
      </c>
      <c r="D19" s="2">
        <v>36184</v>
      </c>
      <c r="E19" s="25">
        <v>46549</v>
      </c>
      <c r="F19" s="25">
        <v>-10365</v>
      </c>
      <c r="G19" s="17">
        <v>-0.52579516055394915</v>
      </c>
      <c r="H19" s="2" t="s">
        <v>106</v>
      </c>
      <c r="I19" s="23">
        <v>-0.25759516055394915</v>
      </c>
      <c r="J19" s="18">
        <v>520.77842611575761</v>
      </c>
      <c r="K19" s="2"/>
      <c r="L19" s="2" t="s">
        <v>265</v>
      </c>
    </row>
    <row r="20" spans="1:12">
      <c r="A20" s="2" t="s">
        <v>7</v>
      </c>
      <c r="B20" s="2" t="s">
        <v>8</v>
      </c>
      <c r="C20" s="3">
        <v>30</v>
      </c>
      <c r="D20" s="2">
        <v>30192</v>
      </c>
      <c r="E20" s="25">
        <v>35916</v>
      </c>
      <c r="F20" s="25">
        <v>-5724</v>
      </c>
      <c r="G20" s="17">
        <v>-0.3387984610831607</v>
      </c>
      <c r="H20" s="2" t="s">
        <v>107</v>
      </c>
      <c r="I20" s="23">
        <v>-0.16879846108316068</v>
      </c>
      <c r="J20" s="18">
        <v>505.43589743589837</v>
      </c>
      <c r="K20" s="2"/>
      <c r="L20" s="2" t="s">
        <v>264</v>
      </c>
    </row>
    <row r="21" spans="1:12">
      <c r="A21" s="2" t="s">
        <v>108</v>
      </c>
      <c r="B21" s="2" t="s">
        <v>109</v>
      </c>
      <c r="C21" s="3">
        <v>30</v>
      </c>
      <c r="D21" s="2">
        <v>79006</v>
      </c>
      <c r="E21" s="25">
        <v>90418</v>
      </c>
      <c r="F21" s="25">
        <v>-11412</v>
      </c>
      <c r="G21" s="17">
        <v>-0.27388580891352871</v>
      </c>
      <c r="H21" s="2" t="s">
        <v>103</v>
      </c>
      <c r="I21" s="23">
        <v>-0.24688580891352871</v>
      </c>
      <c r="J21" s="18">
        <v>9034.8958130477276</v>
      </c>
      <c r="K21" s="2" t="s">
        <v>250</v>
      </c>
      <c r="L21" s="2" t="s">
        <v>264</v>
      </c>
    </row>
    <row r="22" spans="1:12">
      <c r="A22" s="2" t="s">
        <v>110</v>
      </c>
      <c r="B22" s="2" t="s">
        <v>111</v>
      </c>
      <c r="C22" s="3">
        <v>30</v>
      </c>
      <c r="D22" s="2">
        <v>57037</v>
      </c>
      <c r="E22" s="25">
        <v>65430</v>
      </c>
      <c r="F22" s="25">
        <v>-8393</v>
      </c>
      <c r="G22" s="17">
        <v>-0.27546934488643821</v>
      </c>
      <c r="H22" s="2" t="s">
        <v>103</v>
      </c>
      <c r="I22" s="23">
        <v>-0.24846934488643821</v>
      </c>
      <c r="J22" s="18">
        <v>6672.8344693281479</v>
      </c>
      <c r="K22" s="2" t="s">
        <v>250</v>
      </c>
      <c r="L22" s="2" t="s">
        <v>264</v>
      </c>
    </row>
    <row r="23" spans="1:12">
      <c r="A23" s="2" t="s">
        <v>112</v>
      </c>
      <c r="B23" s="2" t="s">
        <v>113</v>
      </c>
      <c r="C23" s="3">
        <v>30</v>
      </c>
      <c r="D23" s="2">
        <v>20200</v>
      </c>
      <c r="E23" s="25">
        <v>21954</v>
      </c>
      <c r="F23" s="25">
        <v>-1754</v>
      </c>
      <c r="G23" s="17">
        <v>-0.1487449118046133</v>
      </c>
      <c r="H23" s="2" t="s">
        <v>114</v>
      </c>
      <c r="I23" s="23">
        <v>-9.3944911804613299E-2</v>
      </c>
      <c r="J23" s="18">
        <v>613.42434584755392</v>
      </c>
      <c r="K23" s="2"/>
      <c r="L23" s="2" t="s">
        <v>264</v>
      </c>
    </row>
    <row r="24" spans="1:12">
      <c r="A24" s="2" t="s">
        <v>25</v>
      </c>
      <c r="B24" s="2" t="s">
        <v>26</v>
      </c>
      <c r="C24" s="3">
        <v>30</v>
      </c>
      <c r="D24" s="2">
        <v>20828</v>
      </c>
      <c r="E24" s="25">
        <v>25171</v>
      </c>
      <c r="F24" s="25">
        <v>-4343</v>
      </c>
      <c r="G24" s="17">
        <v>-0.36191666666666666</v>
      </c>
      <c r="H24" s="2" t="s">
        <v>107</v>
      </c>
      <c r="I24" s="23">
        <v>-0.19191666666666665</v>
      </c>
      <c r="J24" s="18">
        <v>685.67521367521476</v>
      </c>
      <c r="K24" s="2"/>
      <c r="L24" s="2" t="s">
        <v>264</v>
      </c>
    </row>
    <row r="25" spans="1:12">
      <c r="A25" s="2" t="s">
        <v>115</v>
      </c>
      <c r="B25" s="2" t="s">
        <v>116</v>
      </c>
      <c r="C25" s="3">
        <v>30</v>
      </c>
      <c r="D25" s="2">
        <v>20048</v>
      </c>
      <c r="E25" s="25">
        <v>24142</v>
      </c>
      <c r="F25" s="25">
        <v>-4094</v>
      </c>
      <c r="G25" s="17">
        <v>-0.35445887445887447</v>
      </c>
      <c r="H25" s="2" t="s">
        <v>107</v>
      </c>
      <c r="I25" s="23">
        <v>-0.18445887445887446</v>
      </c>
      <c r="J25" s="18">
        <v>586.18803418803509</v>
      </c>
      <c r="K25" s="2"/>
      <c r="L25" s="2" t="s">
        <v>264</v>
      </c>
    </row>
    <row r="26" spans="1:12">
      <c r="A26" s="2" t="s">
        <v>19</v>
      </c>
      <c r="B26" s="2" t="s">
        <v>20</v>
      </c>
      <c r="C26" s="3">
        <v>30</v>
      </c>
      <c r="D26" s="2">
        <v>20897</v>
      </c>
      <c r="E26" s="25">
        <v>23844</v>
      </c>
      <c r="F26" s="25">
        <v>-2947</v>
      </c>
      <c r="G26" s="17">
        <v>-0.24482844562598655</v>
      </c>
      <c r="H26" s="2" t="s">
        <v>117</v>
      </c>
      <c r="I26" s="23">
        <v>-0.13482844562598656</v>
      </c>
      <c r="J26" s="18">
        <v>584.0810810810799</v>
      </c>
      <c r="K26" s="2"/>
      <c r="L26" s="2" t="s">
        <v>264</v>
      </c>
    </row>
    <row r="27" spans="1:12">
      <c r="A27" s="2" t="s">
        <v>118</v>
      </c>
      <c r="B27" s="2" t="s">
        <v>119</v>
      </c>
      <c r="C27" s="3">
        <v>30</v>
      </c>
      <c r="D27" s="2">
        <v>20672</v>
      </c>
      <c r="E27" s="25">
        <v>23574</v>
      </c>
      <c r="F27" s="25">
        <v>-2902</v>
      </c>
      <c r="G27" s="17">
        <v>-0.243619879113499</v>
      </c>
      <c r="H27" s="2" t="s">
        <v>117</v>
      </c>
      <c r="I27" s="23">
        <v>-0.13361987911349898</v>
      </c>
      <c r="J27" s="18">
        <v>565.83783783783656</v>
      </c>
      <c r="K27" s="2"/>
      <c r="L27" s="2" t="s">
        <v>264</v>
      </c>
    </row>
    <row r="28" spans="1:12">
      <c r="A28" s="2" t="s">
        <v>23</v>
      </c>
      <c r="B28" s="2" t="s">
        <v>24</v>
      </c>
      <c r="C28" s="3">
        <v>30</v>
      </c>
      <c r="D28" s="2">
        <v>34304</v>
      </c>
      <c r="E28" s="25">
        <v>37626</v>
      </c>
      <c r="F28" s="25">
        <v>-3322</v>
      </c>
      <c r="G28" s="17">
        <v>-0.17717333333333332</v>
      </c>
      <c r="H28" s="2" t="s">
        <v>120</v>
      </c>
      <c r="I28" s="23">
        <v>-0.15377333333333332</v>
      </c>
      <c r="J28" s="18">
        <v>2461.6830173929993</v>
      </c>
      <c r="K28" s="2"/>
      <c r="L28" s="2" t="s">
        <v>264</v>
      </c>
    </row>
    <row r="29" spans="1:12">
      <c r="A29" s="2" t="s">
        <v>121</v>
      </c>
      <c r="B29" s="2" t="s">
        <v>122</v>
      </c>
      <c r="C29" s="3">
        <v>30</v>
      </c>
      <c r="D29" s="2">
        <v>20333</v>
      </c>
      <c r="E29" s="25">
        <v>27207</v>
      </c>
      <c r="F29" s="25">
        <v>-6874</v>
      </c>
      <c r="G29" s="17">
        <v>-0.58681919071196853</v>
      </c>
      <c r="H29" s="2" t="s">
        <v>123</v>
      </c>
      <c r="I29" s="23">
        <v>-0.29921919071196851</v>
      </c>
      <c r="J29" s="18">
        <v>797.00931966449207</v>
      </c>
      <c r="K29" s="2"/>
      <c r="L29" s="2" t="s">
        <v>264</v>
      </c>
    </row>
    <row r="30" spans="1:12">
      <c r="A30" s="2" t="s">
        <v>124</v>
      </c>
      <c r="B30" s="2" t="s">
        <v>125</v>
      </c>
      <c r="C30" s="3">
        <v>30</v>
      </c>
      <c r="D30" s="2">
        <v>193176</v>
      </c>
      <c r="E30" s="25">
        <v>215058</v>
      </c>
      <c r="F30" s="25">
        <v>-21882</v>
      </c>
      <c r="G30" s="17">
        <v>-0.21751274838222284</v>
      </c>
      <c r="H30" s="2" t="s">
        <v>117</v>
      </c>
      <c r="I30" s="23">
        <v>-0.10751274838222284</v>
      </c>
      <c r="J30" s="18">
        <v>569.94594594591763</v>
      </c>
      <c r="K30" s="2"/>
      <c r="L30" s="2" t="s">
        <v>265</v>
      </c>
    </row>
    <row r="31" spans="1:12">
      <c r="A31" s="2" t="s">
        <v>126</v>
      </c>
      <c r="B31" s="2" t="s">
        <v>127</v>
      </c>
      <c r="C31" s="3">
        <v>30</v>
      </c>
      <c r="D31" s="2">
        <v>46524</v>
      </c>
      <c r="E31" s="25">
        <v>63127</v>
      </c>
      <c r="F31" s="25">
        <v>-16603</v>
      </c>
      <c r="G31" s="17">
        <v>-0.66412000000000004</v>
      </c>
      <c r="H31" s="2" t="s">
        <v>128</v>
      </c>
      <c r="I31" s="23">
        <v>-0.32412000000000002</v>
      </c>
      <c r="J31" s="18">
        <v>585.70149253730779</v>
      </c>
      <c r="K31" s="2"/>
      <c r="L31" s="2" t="s">
        <v>265</v>
      </c>
    </row>
    <row r="32" spans="1:12">
      <c r="A32" s="2" t="s">
        <v>129</v>
      </c>
      <c r="B32" s="2" t="s">
        <v>130</v>
      </c>
      <c r="C32" s="3">
        <v>30</v>
      </c>
      <c r="D32" s="2">
        <v>28828</v>
      </c>
      <c r="E32" s="25">
        <v>34179</v>
      </c>
      <c r="F32" s="25">
        <v>-5351</v>
      </c>
      <c r="G32" s="17">
        <v>-0.3356121424987456</v>
      </c>
      <c r="H32" s="2" t="s">
        <v>131</v>
      </c>
      <c r="I32" s="23">
        <v>-0.30931214249874561</v>
      </c>
      <c r="J32" s="18">
        <v>4475.1277404267748</v>
      </c>
      <c r="K32" s="2"/>
      <c r="L32" s="2" t="s">
        <v>264</v>
      </c>
    </row>
    <row r="33" spans="1:12">
      <c r="A33" s="2" t="s">
        <v>9</v>
      </c>
      <c r="B33" s="2" t="s">
        <v>10</v>
      </c>
      <c r="C33" s="3">
        <v>30</v>
      </c>
      <c r="D33" s="2">
        <v>36196</v>
      </c>
      <c r="E33" s="25">
        <v>42786</v>
      </c>
      <c r="F33" s="25">
        <v>-6590</v>
      </c>
      <c r="G33" s="17">
        <v>-0.33417849898580121</v>
      </c>
      <c r="H33" s="2" t="s">
        <v>131</v>
      </c>
      <c r="I33" s="23">
        <v>-0.30787849898580122</v>
      </c>
      <c r="J33" s="18">
        <v>5493.5644548377686</v>
      </c>
      <c r="K33" s="2"/>
      <c r="L33" s="2" t="s">
        <v>264</v>
      </c>
    </row>
    <row r="34" spans="1:12">
      <c r="A34" s="2" t="s">
        <v>11</v>
      </c>
      <c r="B34" s="2" t="s">
        <v>12</v>
      </c>
      <c r="C34" s="3">
        <v>30</v>
      </c>
      <c r="D34" s="2">
        <v>41016</v>
      </c>
      <c r="E34" s="25">
        <v>56309</v>
      </c>
      <c r="F34" s="25">
        <v>-15293</v>
      </c>
      <c r="G34" s="17">
        <v>-0.68899801766083979</v>
      </c>
      <c r="H34" s="2" t="s">
        <v>132</v>
      </c>
      <c r="I34" s="23">
        <v>-0.47139801766083977</v>
      </c>
      <c r="J34" s="18">
        <v>5229.8935611038096</v>
      </c>
      <c r="K34" s="2"/>
      <c r="L34" s="2" t="s">
        <v>265</v>
      </c>
    </row>
    <row r="35" spans="1:12">
      <c r="A35" s="2" t="s">
        <v>13</v>
      </c>
      <c r="B35" s="2" t="s">
        <v>14</v>
      </c>
      <c r="C35" s="3">
        <v>30</v>
      </c>
      <c r="D35" s="2">
        <v>19942</v>
      </c>
      <c r="E35" s="25">
        <v>23329</v>
      </c>
      <c r="F35" s="25">
        <v>-3387</v>
      </c>
      <c r="G35" s="17">
        <v>-0.29482938718662954</v>
      </c>
      <c r="H35" s="2" t="s">
        <v>133</v>
      </c>
      <c r="I35" s="23">
        <v>-0.15482938718662953</v>
      </c>
      <c r="J35" s="18">
        <v>522.03508771929774</v>
      </c>
      <c r="K35" s="2"/>
      <c r="L35" s="2" t="s">
        <v>264</v>
      </c>
    </row>
    <row r="36" spans="1:12">
      <c r="A36" s="2" t="s">
        <v>134</v>
      </c>
      <c r="B36" s="2" t="s">
        <v>135</v>
      </c>
      <c r="C36" s="3">
        <v>30</v>
      </c>
      <c r="D36" s="2">
        <v>142850</v>
      </c>
      <c r="E36" s="25">
        <v>186384</v>
      </c>
      <c r="F36" s="25">
        <v>-43534</v>
      </c>
      <c r="G36" s="17">
        <v>-0.58501646173486532</v>
      </c>
      <c r="H36" s="2" t="s">
        <v>136</v>
      </c>
      <c r="I36" s="23">
        <v>-0.28501646173486533</v>
      </c>
      <c r="J36" s="18">
        <v>522.30769230768783</v>
      </c>
      <c r="K36" s="2"/>
      <c r="L36" s="2" t="s">
        <v>264</v>
      </c>
    </row>
    <row r="37" spans="1:12">
      <c r="A37" s="2" t="s">
        <v>15</v>
      </c>
      <c r="B37" s="2" t="s">
        <v>16</v>
      </c>
      <c r="C37" s="3">
        <v>30</v>
      </c>
      <c r="D37" s="2">
        <v>19822</v>
      </c>
      <c r="E37" s="25">
        <v>23174</v>
      </c>
      <c r="F37" s="25">
        <v>-3352</v>
      </c>
      <c r="G37" s="17">
        <v>-0.29357155368716065</v>
      </c>
      <c r="H37" s="2" t="s">
        <v>133</v>
      </c>
      <c r="I37" s="23">
        <v>-0.15357155368716063</v>
      </c>
      <c r="J37" s="18">
        <v>506.07017543859547</v>
      </c>
      <c r="K37" s="2"/>
      <c r="L37" s="2" t="s">
        <v>264</v>
      </c>
    </row>
    <row r="38" spans="1:12">
      <c r="A38" s="2" t="s">
        <v>137</v>
      </c>
      <c r="B38" s="2" t="s">
        <v>138</v>
      </c>
      <c r="C38" s="3">
        <v>30</v>
      </c>
      <c r="D38" s="2">
        <v>355262</v>
      </c>
      <c r="E38" s="25">
        <v>383401</v>
      </c>
      <c r="F38" s="25">
        <v>-28139</v>
      </c>
      <c r="G38" s="17">
        <v>-0.12737247588482656</v>
      </c>
      <c r="H38" s="2" t="s">
        <v>139</v>
      </c>
      <c r="I38" s="23">
        <v>-6.0772475884826552E-2</v>
      </c>
      <c r="J38" s="18">
        <v>4198.9038064879132</v>
      </c>
      <c r="K38" s="2"/>
      <c r="L38" s="2" t="s">
        <v>265</v>
      </c>
    </row>
    <row r="39" spans="1:12">
      <c r="A39" s="2" t="s">
        <v>140</v>
      </c>
      <c r="B39" s="2" t="s">
        <v>141</v>
      </c>
      <c r="C39" s="3">
        <v>29.5</v>
      </c>
      <c r="D39" s="2">
        <v>89889</v>
      </c>
      <c r="E39" s="25">
        <v>103793</v>
      </c>
      <c r="F39" s="25">
        <v>-13904</v>
      </c>
      <c r="G39" s="17">
        <v>-0.29876017963428525</v>
      </c>
      <c r="H39" s="2" t="s">
        <v>142</v>
      </c>
      <c r="I39" s="23">
        <v>-0.21596017963428527</v>
      </c>
      <c r="J39" s="18">
        <v>5867.661882773059</v>
      </c>
      <c r="K39" s="2"/>
      <c r="L39" s="2" t="s">
        <v>264</v>
      </c>
    </row>
    <row r="40" spans="1:12">
      <c r="A40" s="2" t="s">
        <v>143</v>
      </c>
      <c r="B40" s="2" t="s">
        <v>144</v>
      </c>
      <c r="C40" s="3">
        <v>30</v>
      </c>
      <c r="D40" s="2">
        <v>144041</v>
      </c>
      <c r="E40" s="25">
        <v>158735</v>
      </c>
      <c r="F40" s="25">
        <v>-14694</v>
      </c>
      <c r="G40" s="17">
        <v>-0.19592000000000001</v>
      </c>
      <c r="H40" s="2" t="s">
        <v>145</v>
      </c>
      <c r="I40" s="23">
        <v>-0.17922000000000002</v>
      </c>
      <c r="J40" s="18">
        <v>12086.667945313267</v>
      </c>
      <c r="K40" s="2" t="s">
        <v>250</v>
      </c>
      <c r="L40" s="2" t="s">
        <v>265</v>
      </c>
    </row>
    <row r="41" spans="1:12">
      <c r="A41" s="2" t="s">
        <v>146</v>
      </c>
      <c r="B41" s="2" t="s">
        <v>147</v>
      </c>
      <c r="C41" s="3">
        <v>30</v>
      </c>
      <c r="D41" s="2">
        <v>105002</v>
      </c>
      <c r="E41" s="25">
        <v>152227</v>
      </c>
      <c r="F41" s="25">
        <v>-47225</v>
      </c>
      <c r="G41" s="17">
        <v>-0.85863636363636364</v>
      </c>
      <c r="H41" s="2" t="s">
        <v>148</v>
      </c>
      <c r="I41" s="23">
        <v>-0.41923636363636363</v>
      </c>
      <c r="J41" s="18">
        <v>755.25996943170321</v>
      </c>
      <c r="K41" s="2"/>
      <c r="L41" s="2" t="s">
        <v>265</v>
      </c>
    </row>
    <row r="42" spans="1:12">
      <c r="A42" s="2" t="s">
        <v>150</v>
      </c>
      <c r="B42" s="2" t="s">
        <v>151</v>
      </c>
      <c r="C42" s="3">
        <v>30</v>
      </c>
      <c r="D42" s="2">
        <v>52811</v>
      </c>
      <c r="E42" s="25">
        <v>51486</v>
      </c>
      <c r="F42" s="25">
        <v>1325</v>
      </c>
      <c r="G42" s="17">
        <v>2.5089469996780973E-2</v>
      </c>
      <c r="H42" s="2" t="s">
        <v>152</v>
      </c>
      <c r="I42" s="23">
        <v>2.5089469996780973E-2</v>
      </c>
      <c r="J42" s="18">
        <v>1325</v>
      </c>
      <c r="K42" s="2"/>
      <c r="L42" s="2" t="s">
        <v>264</v>
      </c>
    </row>
    <row r="43" spans="1:12">
      <c r="A43" s="2" t="s">
        <v>153</v>
      </c>
      <c r="B43" s="2" t="s">
        <v>154</v>
      </c>
      <c r="C43" s="3">
        <v>14</v>
      </c>
      <c r="D43" s="2">
        <v>261657</v>
      </c>
      <c r="E43" s="25">
        <v>246003</v>
      </c>
      <c r="F43" s="25">
        <v>15654</v>
      </c>
      <c r="G43" s="17">
        <v>5.9826413969433265E-2</v>
      </c>
      <c r="H43" s="2" t="s">
        <v>152</v>
      </c>
      <c r="I43" s="23">
        <v>5.9826413969433265E-2</v>
      </c>
      <c r="J43" s="18">
        <v>7305.2</v>
      </c>
      <c r="K43" s="2" t="s">
        <v>250</v>
      </c>
      <c r="L43" s="2" t="s">
        <v>264</v>
      </c>
    </row>
    <row r="44" spans="1:12">
      <c r="A44" s="2" t="s">
        <v>155</v>
      </c>
      <c r="B44" s="2" t="s">
        <v>156</v>
      </c>
      <c r="C44" s="3">
        <v>30</v>
      </c>
      <c r="D44" s="2">
        <v>107442</v>
      </c>
      <c r="E44" s="25">
        <v>123763</v>
      </c>
      <c r="F44" s="25">
        <v>-16321</v>
      </c>
      <c r="G44" s="17">
        <v>-0.15190521397591258</v>
      </c>
      <c r="H44" s="2" t="s">
        <v>157</v>
      </c>
      <c r="I44" s="23">
        <v>-6.6605213975912583E-2</v>
      </c>
      <c r="J44" s="18">
        <v>6593.7504837372253</v>
      </c>
      <c r="K44" s="2" t="s">
        <v>250</v>
      </c>
      <c r="L44" s="2" t="s">
        <v>265</v>
      </c>
    </row>
    <row r="45" spans="1:12">
      <c r="A45" s="2" t="s">
        <v>3</v>
      </c>
      <c r="B45" s="2" t="s">
        <v>4</v>
      </c>
      <c r="C45" s="3">
        <v>30</v>
      </c>
      <c r="D45" s="2">
        <v>27299</v>
      </c>
      <c r="E45" s="25">
        <v>31463</v>
      </c>
      <c r="F45" s="25">
        <v>-4164</v>
      </c>
      <c r="G45" s="17">
        <v>-0.152533059819041</v>
      </c>
      <c r="H45" s="2" t="s">
        <v>158</v>
      </c>
      <c r="I45" s="23">
        <v>-6.6833059819041002E-2</v>
      </c>
      <c r="J45" s="18">
        <v>1680.4602560559979</v>
      </c>
      <c r="K45" s="2"/>
      <c r="L45" s="2" t="s">
        <v>264</v>
      </c>
    </row>
    <row r="46" spans="1:12">
      <c r="A46" s="2" t="s">
        <v>159</v>
      </c>
      <c r="B46" s="2" t="s">
        <v>160</v>
      </c>
      <c r="C46" s="3">
        <v>30</v>
      </c>
      <c r="D46" s="2">
        <v>73891</v>
      </c>
      <c r="E46" s="25">
        <v>81532</v>
      </c>
      <c r="F46" s="25">
        <v>-7641</v>
      </c>
      <c r="G46" s="17">
        <v>-0.10340907553017283</v>
      </c>
      <c r="H46" s="2" t="s">
        <v>161</v>
      </c>
      <c r="I46" s="23">
        <v>-7.4209075530172822E-2</v>
      </c>
      <c r="J46" s="18">
        <v>5327.810726778087</v>
      </c>
      <c r="K46" s="2" t="s">
        <v>250</v>
      </c>
      <c r="L46" s="2" t="s">
        <v>265</v>
      </c>
    </row>
    <row r="47" spans="1:12">
      <c r="A47" s="2" t="s">
        <v>162</v>
      </c>
      <c r="B47" s="2" t="s">
        <v>163</v>
      </c>
      <c r="C47" s="3">
        <v>30</v>
      </c>
      <c r="D47" s="2">
        <v>103376</v>
      </c>
      <c r="E47" s="25">
        <v>119289</v>
      </c>
      <c r="F47" s="25">
        <v>-15913</v>
      </c>
      <c r="G47" s="17">
        <v>-0.15393321467265128</v>
      </c>
      <c r="H47" s="2" t="s">
        <v>164</v>
      </c>
      <c r="I47" s="23">
        <v>-4.8233214672651278E-2</v>
      </c>
      <c r="J47" s="18">
        <v>4509.5023966717999</v>
      </c>
      <c r="K47" s="2"/>
      <c r="L47" s="2" t="s">
        <v>264</v>
      </c>
    </row>
    <row r="48" spans="1:12">
      <c r="A48" s="2" t="s">
        <v>165</v>
      </c>
      <c r="B48" s="2" t="s">
        <v>166</v>
      </c>
      <c r="C48" s="3">
        <v>25</v>
      </c>
      <c r="D48" s="2">
        <v>16798</v>
      </c>
      <c r="E48" s="25">
        <v>22069</v>
      </c>
      <c r="F48" s="25">
        <v>-5271</v>
      </c>
      <c r="G48" s="17">
        <v>-0.31378735563757593</v>
      </c>
      <c r="H48" s="2" t="s">
        <v>167</v>
      </c>
      <c r="I48" s="23">
        <v>-0.15308735563757592</v>
      </c>
      <c r="J48" s="18">
        <v>1846.2719336032844</v>
      </c>
      <c r="K48" s="2"/>
      <c r="L48" s="2" t="s">
        <v>264</v>
      </c>
    </row>
    <row r="49" spans="1:12">
      <c r="A49" s="2" t="s">
        <v>168</v>
      </c>
      <c r="B49" s="2" t="s">
        <v>169</v>
      </c>
      <c r="C49" s="3">
        <v>30</v>
      </c>
      <c r="D49" s="2">
        <v>27005</v>
      </c>
      <c r="E49" s="25">
        <v>32467</v>
      </c>
      <c r="F49" s="25">
        <v>-5462</v>
      </c>
      <c r="G49" s="17">
        <v>-0.20225884095537863</v>
      </c>
      <c r="H49" s="2" t="s">
        <v>170</v>
      </c>
      <c r="I49" s="23">
        <v>-0.10335884095537863</v>
      </c>
      <c r="J49" s="18">
        <v>2539.9995449995436</v>
      </c>
      <c r="K49" s="2"/>
      <c r="L49" s="2" t="s">
        <v>264</v>
      </c>
    </row>
    <row r="50" spans="1:12">
      <c r="A50" s="2" t="s">
        <v>171</v>
      </c>
      <c r="B50" s="2" t="s">
        <v>172</v>
      </c>
      <c r="C50" s="3">
        <v>30</v>
      </c>
      <c r="D50" s="2">
        <v>39993</v>
      </c>
      <c r="E50" s="25">
        <v>52555</v>
      </c>
      <c r="F50" s="25">
        <v>-12562</v>
      </c>
      <c r="G50" s="17">
        <v>-0.31410496836946467</v>
      </c>
      <c r="H50" s="2" t="s">
        <v>173</v>
      </c>
      <c r="I50" s="23">
        <v>-0.14530496836946466</v>
      </c>
      <c r="J50" s="18">
        <v>4971.9212867898668</v>
      </c>
      <c r="K50" s="2"/>
      <c r="L50" s="2" t="s">
        <v>264</v>
      </c>
    </row>
    <row r="51" spans="1:12">
      <c r="A51" s="2" t="s">
        <v>174</v>
      </c>
      <c r="B51" s="2" t="s">
        <v>175</v>
      </c>
      <c r="C51" s="3">
        <v>30</v>
      </c>
      <c r="D51" s="2">
        <v>13457</v>
      </c>
      <c r="E51" s="25">
        <v>18118</v>
      </c>
      <c r="F51" s="25">
        <v>-4661</v>
      </c>
      <c r="G51" s="17">
        <v>-0.34636248792450025</v>
      </c>
      <c r="H51" s="2" t="s">
        <v>176</v>
      </c>
      <c r="I51" s="23">
        <v>-0.16216248792450025</v>
      </c>
      <c r="J51" s="18">
        <v>1842.7804424928233</v>
      </c>
      <c r="K51" s="2"/>
      <c r="L51" s="2" t="s">
        <v>264</v>
      </c>
    </row>
    <row r="52" spans="1:12">
      <c r="A52" s="2" t="s">
        <v>178</v>
      </c>
      <c r="B52" s="2" t="s">
        <v>179</v>
      </c>
      <c r="C52" s="3">
        <v>30</v>
      </c>
      <c r="D52" s="2">
        <v>20330</v>
      </c>
      <c r="E52" s="25">
        <v>29850</v>
      </c>
      <c r="F52" s="25">
        <v>-9520</v>
      </c>
      <c r="G52" s="17">
        <v>-0.46827348745696018</v>
      </c>
      <c r="H52" s="2" t="s">
        <v>136</v>
      </c>
      <c r="I52" s="23">
        <v>-0.16827348745696019</v>
      </c>
      <c r="J52" s="18">
        <v>2631.538461538461</v>
      </c>
      <c r="K52" s="2"/>
      <c r="L52" s="2" t="s">
        <v>264</v>
      </c>
    </row>
    <row r="53" spans="1:12">
      <c r="A53" s="2" t="s">
        <v>180</v>
      </c>
      <c r="B53" s="2" t="s">
        <v>181</v>
      </c>
      <c r="C53" s="3">
        <v>30</v>
      </c>
      <c r="D53" s="2">
        <v>20450</v>
      </c>
      <c r="E53" s="25">
        <v>29622</v>
      </c>
      <c r="F53" s="25">
        <v>-9172</v>
      </c>
      <c r="G53" s="17">
        <v>-0.44850855745721269</v>
      </c>
      <c r="H53" s="2" t="s">
        <v>136</v>
      </c>
      <c r="I53" s="23">
        <v>-0.1485085574572127</v>
      </c>
      <c r="J53" s="18">
        <v>2336.1538461538439</v>
      </c>
      <c r="K53" s="2"/>
      <c r="L53" s="2" t="s">
        <v>264</v>
      </c>
    </row>
    <row r="54" spans="1:12">
      <c r="A54" s="2" t="s">
        <v>182</v>
      </c>
      <c r="B54" s="2" t="s">
        <v>183</v>
      </c>
      <c r="C54" s="3">
        <v>30</v>
      </c>
      <c r="D54" s="2">
        <v>27312</v>
      </c>
      <c r="E54" s="25">
        <v>37805</v>
      </c>
      <c r="F54" s="25">
        <v>-10493</v>
      </c>
      <c r="G54" s="17">
        <v>-0.38419009958992384</v>
      </c>
      <c r="H54" s="2" t="s">
        <v>184</v>
      </c>
      <c r="I54" s="23">
        <v>-0.13419009958992384</v>
      </c>
      <c r="J54" s="18">
        <v>2932</v>
      </c>
      <c r="K54" s="2" t="s">
        <v>250</v>
      </c>
      <c r="L54" s="2" t="s">
        <v>264</v>
      </c>
    </row>
    <row r="55" spans="1:12">
      <c r="A55" s="2" t="s">
        <v>185</v>
      </c>
      <c r="B55" s="2" t="s">
        <v>186</v>
      </c>
      <c r="C55" s="3">
        <v>30</v>
      </c>
      <c r="D55" s="2">
        <v>20295</v>
      </c>
      <c r="E55" s="25">
        <v>23692</v>
      </c>
      <c r="F55" s="25">
        <v>-3397</v>
      </c>
      <c r="G55" s="17">
        <v>-0.1673811283567381</v>
      </c>
      <c r="H55" s="2" t="s">
        <v>158</v>
      </c>
      <c r="I55" s="23">
        <v>-8.1681128356738103E-2</v>
      </c>
      <c r="J55" s="18">
        <v>1526.8660771852228</v>
      </c>
      <c r="K55" s="2"/>
      <c r="L55" s="2" t="s">
        <v>264</v>
      </c>
    </row>
    <row r="56" spans="1:12">
      <c r="A56" s="2" t="s">
        <v>187</v>
      </c>
      <c r="B56" s="2" t="s">
        <v>188</v>
      </c>
      <c r="C56" s="3">
        <v>30</v>
      </c>
      <c r="D56" s="2">
        <v>35590</v>
      </c>
      <c r="E56" s="25">
        <v>45291</v>
      </c>
      <c r="F56" s="25">
        <v>-9701</v>
      </c>
      <c r="G56" s="17">
        <v>-0.27257656645125034</v>
      </c>
      <c r="H56" s="2" t="s">
        <v>167</v>
      </c>
      <c r="I56" s="23">
        <v>-0.11187656645125033</v>
      </c>
      <c r="J56" s="18">
        <v>3430.4187128456979</v>
      </c>
      <c r="K56" s="2" t="s">
        <v>250</v>
      </c>
      <c r="L56" s="2" t="s">
        <v>264</v>
      </c>
    </row>
    <row r="57" spans="1:12">
      <c r="A57" s="2" t="s">
        <v>189</v>
      </c>
      <c r="B57" s="2" t="s">
        <v>190</v>
      </c>
      <c r="C57" s="3">
        <v>30</v>
      </c>
      <c r="D57" s="2">
        <v>30831</v>
      </c>
      <c r="E57" s="25">
        <v>34576</v>
      </c>
      <c r="F57" s="25">
        <v>-3745</v>
      </c>
      <c r="G57" s="17">
        <v>-0.12146865168174889</v>
      </c>
      <c r="H57" s="2" t="s">
        <v>100</v>
      </c>
      <c r="I57" s="23">
        <v>-9.3668651681748899E-2</v>
      </c>
      <c r="J57" s="18">
        <v>2809.7861451644276</v>
      </c>
      <c r="K57" s="2"/>
      <c r="L57" s="2" t="s">
        <v>264</v>
      </c>
    </row>
    <row r="58" spans="1:12">
      <c r="A58" s="2" t="s">
        <v>191</v>
      </c>
      <c r="B58" s="2" t="s">
        <v>192</v>
      </c>
      <c r="C58" s="3">
        <v>30</v>
      </c>
      <c r="D58" s="2">
        <v>20864</v>
      </c>
      <c r="E58" s="25">
        <v>24419</v>
      </c>
      <c r="F58" s="25">
        <v>-3555</v>
      </c>
      <c r="G58" s="17">
        <v>-0.17038918711656442</v>
      </c>
      <c r="H58" s="2" t="s">
        <v>158</v>
      </c>
      <c r="I58" s="23">
        <v>-8.4689187116564424E-2</v>
      </c>
      <c r="J58" s="18">
        <v>1627.4801510546167</v>
      </c>
      <c r="K58" s="2"/>
      <c r="L58" s="2" t="s">
        <v>264</v>
      </c>
    </row>
  </sheetData>
  <autoFilter ref="A3:L58" xr:uid="{4B762217-7B37-404A-B525-E494A753B53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46CA1-D0FD-46DF-9A64-4462ECF054CF}">
  <dimension ref="A1:L331"/>
  <sheetViews>
    <sheetView topLeftCell="A59" workbookViewId="0">
      <selection activeCell="A65" sqref="A65"/>
    </sheetView>
  </sheetViews>
  <sheetFormatPr defaultRowHeight="14.5"/>
  <cols>
    <col min="1" max="1" width="9.7265625" bestFit="1" customWidth="1"/>
    <col min="2" max="2" width="34.26953125" bestFit="1" customWidth="1"/>
    <col min="5" max="5" width="10.26953125" bestFit="1" customWidth="1"/>
    <col min="6" max="6" width="11.54296875" bestFit="1" customWidth="1"/>
    <col min="7" max="7" width="11.26953125" bestFit="1" customWidth="1"/>
  </cols>
  <sheetData>
    <row r="1" spans="1:12">
      <c r="A1" s="13" t="s">
        <v>62</v>
      </c>
    </row>
    <row r="2" spans="1:12" ht="130.5">
      <c r="A2" s="20" t="s">
        <v>0</v>
      </c>
      <c r="B2" s="20" t="s">
        <v>1</v>
      </c>
      <c r="C2" s="21" t="s">
        <v>63</v>
      </c>
      <c r="D2" s="22" t="s">
        <v>64</v>
      </c>
      <c r="E2" s="15" t="s">
        <v>263</v>
      </c>
      <c r="F2" s="15" t="s">
        <v>65</v>
      </c>
      <c r="G2" s="15" t="s">
        <v>66</v>
      </c>
      <c r="H2" s="15" t="s">
        <v>67</v>
      </c>
      <c r="I2" s="15" t="s">
        <v>68</v>
      </c>
      <c r="J2" s="15" t="s">
        <v>69</v>
      </c>
      <c r="K2" s="15" t="s">
        <v>70</v>
      </c>
      <c r="L2" s="39" t="s">
        <v>251</v>
      </c>
    </row>
    <row r="3" spans="1:12">
      <c r="A3" s="2" t="s">
        <v>71</v>
      </c>
      <c r="B3" s="2" t="s">
        <v>72</v>
      </c>
      <c r="C3" s="3">
        <v>30</v>
      </c>
      <c r="D3" s="2">
        <v>18830</v>
      </c>
      <c r="E3" s="2" t="s">
        <v>265</v>
      </c>
      <c r="F3" s="25">
        <v>22001</v>
      </c>
      <c r="G3" s="25">
        <f>D3-F3</f>
        <v>-3171</v>
      </c>
      <c r="H3" s="17">
        <f>G3/D3</f>
        <v>-0.16840148698884758</v>
      </c>
      <c r="I3" s="17">
        <v>6.4199999999999993E-2</v>
      </c>
      <c r="J3" s="17">
        <f>H3+I3</f>
        <v>-0.10420148698884758</v>
      </c>
      <c r="K3" s="18">
        <f>((F3/(1+I3))-D3)*C3/30</f>
        <v>1843.7455365532805</v>
      </c>
      <c r="L3" s="2"/>
    </row>
    <row r="4" spans="1:12">
      <c r="A4" s="2" t="s">
        <v>73</v>
      </c>
      <c r="B4" s="2" t="s">
        <v>74</v>
      </c>
      <c r="C4" s="3">
        <v>30</v>
      </c>
      <c r="D4" s="2">
        <v>15527</v>
      </c>
      <c r="E4" s="2" t="s">
        <v>265</v>
      </c>
      <c r="F4" s="25">
        <v>16690</v>
      </c>
      <c r="G4" s="25">
        <f t="shared" ref="G4:G15" si="0">D4-F4</f>
        <v>-1163</v>
      </c>
      <c r="H4" s="17">
        <f t="shared" ref="H4:H15" si="1">G4/D4</f>
        <v>-7.490178398918014E-2</v>
      </c>
      <c r="I4" s="17">
        <v>2.29E-2</v>
      </c>
      <c r="J4" s="17">
        <f t="shared" ref="J4:J15" si="2">H4+I4</f>
        <v>-5.2001783989180136E-2</v>
      </c>
      <c r="K4" s="18">
        <f t="shared" ref="K4:K15" si="3">((F4/(1+I4))-D4)*C4/30</f>
        <v>789.35545996676228</v>
      </c>
      <c r="L4" s="2"/>
    </row>
    <row r="5" spans="1:12">
      <c r="A5" s="2" t="s">
        <v>75</v>
      </c>
      <c r="B5" s="2" t="s">
        <v>76</v>
      </c>
      <c r="C5" s="3">
        <v>30</v>
      </c>
      <c r="D5" s="2">
        <v>46524</v>
      </c>
      <c r="E5" s="2" t="s">
        <v>264</v>
      </c>
      <c r="F5" s="25">
        <v>53869</v>
      </c>
      <c r="G5" s="25">
        <f t="shared" si="0"/>
        <v>-7345</v>
      </c>
      <c r="H5" s="17">
        <f t="shared" si="1"/>
        <v>-0.15787550511563925</v>
      </c>
      <c r="I5" s="17">
        <v>6.4799999999999996E-2</v>
      </c>
      <c r="J5" s="17">
        <f t="shared" si="2"/>
        <v>-9.3075505115639251E-2</v>
      </c>
      <c r="K5" s="18">
        <f t="shared" si="3"/>
        <v>4066.72126220887</v>
      </c>
      <c r="L5" s="2"/>
    </row>
    <row r="6" spans="1:12">
      <c r="A6" s="2" t="s">
        <v>77</v>
      </c>
      <c r="B6" s="2" t="s">
        <v>78</v>
      </c>
      <c r="C6" s="3">
        <v>30</v>
      </c>
      <c r="D6" s="2">
        <v>30205</v>
      </c>
      <c r="E6" s="2" t="s">
        <v>264</v>
      </c>
      <c r="F6" s="25">
        <v>41626</v>
      </c>
      <c r="G6" s="25">
        <f t="shared" si="0"/>
        <v>-11421</v>
      </c>
      <c r="H6" s="17">
        <f t="shared" si="1"/>
        <v>-0.37811620592617118</v>
      </c>
      <c r="I6" s="17">
        <v>0.2162</v>
      </c>
      <c r="J6" s="17">
        <f t="shared" si="2"/>
        <v>-0.16191620592617118</v>
      </c>
      <c r="K6" s="18">
        <f t="shared" si="3"/>
        <v>4021.2785726031943</v>
      </c>
      <c r="L6" s="2"/>
    </row>
    <row r="7" spans="1:12">
      <c r="A7" s="2" t="s">
        <v>79</v>
      </c>
      <c r="B7" s="2" t="s">
        <v>80</v>
      </c>
      <c r="C7" s="3">
        <v>30</v>
      </c>
      <c r="D7" s="2">
        <v>36779</v>
      </c>
      <c r="E7" s="2" t="s">
        <v>265</v>
      </c>
      <c r="F7" s="25">
        <v>50616</v>
      </c>
      <c r="G7" s="25">
        <f t="shared" si="0"/>
        <v>-13837</v>
      </c>
      <c r="H7" s="17">
        <f t="shared" si="1"/>
        <v>-0.37622012561516083</v>
      </c>
      <c r="I7" s="17">
        <v>0.18790000000000001</v>
      </c>
      <c r="J7" s="17">
        <f t="shared" si="2"/>
        <v>-0.18832012561516082</v>
      </c>
      <c r="K7" s="18">
        <f t="shared" si="3"/>
        <v>5830.647276706798</v>
      </c>
      <c r="L7" s="2"/>
    </row>
    <row r="8" spans="1:12">
      <c r="A8" s="2" t="s">
        <v>81</v>
      </c>
      <c r="B8" s="2" t="s">
        <v>82</v>
      </c>
      <c r="C8" s="3">
        <v>30</v>
      </c>
      <c r="D8" s="2">
        <v>22659</v>
      </c>
      <c r="E8" s="2" t="s">
        <v>265</v>
      </c>
      <c r="F8" s="25">
        <v>27000</v>
      </c>
      <c r="G8" s="25">
        <f t="shared" si="0"/>
        <v>-4341</v>
      </c>
      <c r="H8" s="17">
        <f t="shared" si="1"/>
        <v>-0.19157950483251687</v>
      </c>
      <c r="I8" s="17">
        <v>3.6400000000000002E-2</v>
      </c>
      <c r="J8" s="17">
        <f t="shared" si="2"/>
        <v>-0.15517950483251686</v>
      </c>
      <c r="K8" s="18">
        <f t="shared" si="3"/>
        <v>3392.7174835970654</v>
      </c>
      <c r="L8" s="2"/>
    </row>
    <row r="9" spans="1:12">
      <c r="A9" s="2" t="s">
        <v>83</v>
      </c>
      <c r="B9" s="2" t="s">
        <v>84</v>
      </c>
      <c r="C9" s="3">
        <v>28.5</v>
      </c>
      <c r="D9" s="2">
        <v>238888</v>
      </c>
      <c r="E9" s="2" t="s">
        <v>265</v>
      </c>
      <c r="F9" s="25">
        <v>272462</v>
      </c>
      <c r="G9" s="25">
        <f t="shared" si="0"/>
        <v>-33574</v>
      </c>
      <c r="H9" s="17">
        <f t="shared" si="1"/>
        <v>-0.14054284853152943</v>
      </c>
      <c r="I9" s="17">
        <v>2.7E-2</v>
      </c>
      <c r="J9" s="17">
        <f t="shared" si="2"/>
        <v>-0.11354284853152943</v>
      </c>
      <c r="K9" s="18">
        <f t="shared" si="3"/>
        <v>25090.382473222995</v>
      </c>
      <c r="L9" s="2" t="s">
        <v>250</v>
      </c>
    </row>
    <row r="10" spans="1:12">
      <c r="A10" s="2" t="s">
        <v>85</v>
      </c>
      <c r="B10" s="2" t="s">
        <v>86</v>
      </c>
      <c r="C10" s="3">
        <v>22</v>
      </c>
      <c r="D10" s="2">
        <v>44920</v>
      </c>
      <c r="E10" s="2" t="s">
        <v>265</v>
      </c>
      <c r="F10" s="25">
        <v>56309</v>
      </c>
      <c r="G10" s="25">
        <f t="shared" si="0"/>
        <v>-11389</v>
      </c>
      <c r="H10" s="17">
        <f t="shared" si="1"/>
        <v>-0.25353962600178093</v>
      </c>
      <c r="I10" s="17">
        <v>0.1489</v>
      </c>
      <c r="J10" s="17">
        <f t="shared" si="2"/>
        <v>-0.10463962600178092</v>
      </c>
      <c r="K10" s="18">
        <f t="shared" si="3"/>
        <v>3000.2339629210564</v>
      </c>
      <c r="L10" s="2"/>
    </row>
    <row r="11" spans="1:12">
      <c r="A11" s="2" t="s">
        <v>87</v>
      </c>
      <c r="B11" s="2" t="s">
        <v>88</v>
      </c>
      <c r="C11" s="3">
        <v>30</v>
      </c>
      <c r="D11" s="2">
        <v>15081</v>
      </c>
      <c r="E11" s="2" t="s">
        <v>265</v>
      </c>
      <c r="F11" s="25">
        <v>18509</v>
      </c>
      <c r="G11" s="25">
        <f t="shared" si="0"/>
        <v>-3428</v>
      </c>
      <c r="H11" s="17">
        <f t="shared" si="1"/>
        <v>-0.22730588157283999</v>
      </c>
      <c r="I11" s="17">
        <v>0.1376</v>
      </c>
      <c r="J11" s="17">
        <f t="shared" si="2"/>
        <v>-8.9705881572839985E-2</v>
      </c>
      <c r="K11" s="18">
        <f t="shared" si="3"/>
        <v>1189.2180028129405</v>
      </c>
      <c r="L11" s="2"/>
    </row>
    <row r="12" spans="1:12">
      <c r="A12" s="2" t="s">
        <v>89</v>
      </c>
      <c r="B12" s="2" t="s">
        <v>90</v>
      </c>
      <c r="C12" s="3">
        <v>30</v>
      </c>
      <c r="D12" s="2">
        <v>40277</v>
      </c>
      <c r="E12" s="2" t="s">
        <v>265</v>
      </c>
      <c r="F12" s="25">
        <v>56309</v>
      </c>
      <c r="G12" s="25">
        <f t="shared" si="0"/>
        <v>-16032</v>
      </c>
      <c r="H12" s="17">
        <f t="shared" si="1"/>
        <v>-0.39804354842714207</v>
      </c>
      <c r="I12" s="17">
        <v>0.23980000000000001</v>
      </c>
      <c r="J12" s="17">
        <f t="shared" si="2"/>
        <v>-0.15824354842714206</v>
      </c>
      <c r="K12" s="18">
        <f t="shared" si="3"/>
        <v>5140.8093240845274</v>
      </c>
      <c r="L12" s="2"/>
    </row>
    <row r="13" spans="1:12">
      <c r="A13" s="2" t="s">
        <v>91</v>
      </c>
      <c r="B13" s="2" t="s">
        <v>92</v>
      </c>
      <c r="C13" s="3">
        <v>30</v>
      </c>
      <c r="D13" s="2">
        <v>21729</v>
      </c>
      <c r="E13" s="2" t="s">
        <v>265</v>
      </c>
      <c r="F13" s="25">
        <v>24500</v>
      </c>
      <c r="G13" s="25">
        <f t="shared" si="0"/>
        <v>-2771</v>
      </c>
      <c r="H13" s="17">
        <f t="shared" si="1"/>
        <v>-0.1275254268489116</v>
      </c>
      <c r="I13" s="17">
        <v>3.2500000000000001E-2</v>
      </c>
      <c r="J13" s="17">
        <f t="shared" si="2"/>
        <v>-9.5025426848911604E-2</v>
      </c>
      <c r="K13" s="18">
        <f t="shared" si="3"/>
        <v>1999.8135593220359</v>
      </c>
      <c r="L13" s="2"/>
    </row>
    <row r="14" spans="1:12">
      <c r="A14" s="2" t="s">
        <v>93</v>
      </c>
      <c r="B14" s="2" t="s">
        <v>94</v>
      </c>
      <c r="C14" s="3">
        <v>30</v>
      </c>
      <c r="D14" s="2">
        <v>54622</v>
      </c>
      <c r="E14" s="2" t="s">
        <v>265</v>
      </c>
      <c r="F14" s="25">
        <v>63209</v>
      </c>
      <c r="G14" s="25">
        <f t="shared" si="0"/>
        <v>-8587</v>
      </c>
      <c r="H14" s="17">
        <f t="shared" si="1"/>
        <v>-0.15720771850170262</v>
      </c>
      <c r="I14" s="17">
        <v>5.1200000000000002E-2</v>
      </c>
      <c r="J14" s="17">
        <f t="shared" si="2"/>
        <v>-0.10600771850170262</v>
      </c>
      <c r="K14" s="18">
        <f t="shared" si="3"/>
        <v>5508.3272450532741</v>
      </c>
      <c r="L14" s="2"/>
    </row>
    <row r="15" spans="1:12">
      <c r="A15" s="2" t="s">
        <v>95</v>
      </c>
      <c r="B15" s="2" t="s">
        <v>96</v>
      </c>
      <c r="C15" s="3">
        <v>30</v>
      </c>
      <c r="D15" s="2">
        <v>22000</v>
      </c>
      <c r="E15" s="2" t="s">
        <v>265</v>
      </c>
      <c r="F15" s="25">
        <v>34364</v>
      </c>
      <c r="G15" s="25">
        <f t="shared" si="0"/>
        <v>-12364</v>
      </c>
      <c r="H15" s="17">
        <f t="shared" si="1"/>
        <v>-0.56200000000000006</v>
      </c>
      <c r="I15" s="17">
        <v>0.50860000000000005</v>
      </c>
      <c r="J15" s="17">
        <f t="shared" si="2"/>
        <v>-5.3400000000000003E-2</v>
      </c>
      <c r="K15" s="18">
        <f t="shared" si="3"/>
        <v>778.73525122630235</v>
      </c>
      <c r="L15" s="2"/>
    </row>
    <row r="16" spans="1:12">
      <c r="A16" s="2"/>
      <c r="B16" s="2"/>
      <c r="C16" s="2"/>
      <c r="D16" s="2"/>
      <c r="E16" s="3"/>
      <c r="F16" s="2"/>
      <c r="G16" s="2"/>
      <c r="H16" s="2"/>
      <c r="I16" s="2"/>
      <c r="J16" s="2"/>
      <c r="K16" s="24">
        <f>SUM(K3:K15)</f>
        <v>62651.9854102791</v>
      </c>
      <c r="L16" s="2"/>
    </row>
    <row r="17" spans="1:12">
      <c r="A17" s="28" t="s">
        <v>97</v>
      </c>
      <c r="B17" s="2"/>
      <c r="C17" s="2"/>
      <c r="D17" s="2"/>
      <c r="E17" s="3"/>
      <c r="F17" s="2"/>
      <c r="G17" s="2"/>
      <c r="H17" s="2"/>
      <c r="I17" s="2"/>
      <c r="J17" s="2"/>
      <c r="K17" s="45"/>
      <c r="L17" s="2"/>
    </row>
    <row r="18" spans="1:12" ht="130.5">
      <c r="A18" s="20" t="s">
        <v>0</v>
      </c>
      <c r="B18" s="20" t="s">
        <v>1</v>
      </c>
      <c r="C18" s="21" t="s">
        <v>63</v>
      </c>
      <c r="D18" s="22" t="s">
        <v>64</v>
      </c>
      <c r="E18" s="15" t="s">
        <v>263</v>
      </c>
      <c r="F18" s="15" t="s">
        <v>65</v>
      </c>
      <c r="G18" s="16" t="s">
        <v>66</v>
      </c>
      <c r="H18" s="15" t="s">
        <v>67</v>
      </c>
      <c r="I18" s="15" t="s">
        <v>68</v>
      </c>
      <c r="J18" s="15" t="s">
        <v>69</v>
      </c>
      <c r="K18" s="15" t="s">
        <v>70</v>
      </c>
      <c r="L18" s="39" t="s">
        <v>251</v>
      </c>
    </row>
    <row r="19" spans="1:12">
      <c r="A19" s="2" t="s">
        <v>98</v>
      </c>
      <c r="B19" s="2" t="s">
        <v>99</v>
      </c>
      <c r="C19" s="3">
        <v>30</v>
      </c>
      <c r="D19" s="2">
        <v>47743</v>
      </c>
      <c r="E19" s="2" t="str">
        <f>_xlfn.XLOOKUP(A19,[1]Snapshot_details!$A$1:$A$2859,[1]Snapshot_details!$AB$1:$AB$2859)</f>
        <v>Fabcity</v>
      </c>
      <c r="F19" s="25">
        <v>53417</v>
      </c>
      <c r="G19" s="25">
        <v>-5674</v>
      </c>
      <c r="H19" s="17">
        <v>-0.21902262024241489</v>
      </c>
      <c r="I19" s="2" t="s">
        <v>100</v>
      </c>
      <c r="J19" s="23">
        <v>-0.1912226202424149</v>
      </c>
      <c r="K19" s="18">
        <f>((F19/(1+I19))-D19)*C19/30</f>
        <v>4229.1735746254126</v>
      </c>
      <c r="L19" s="2"/>
    </row>
    <row r="20" spans="1:12">
      <c r="A20" s="2" t="s">
        <v>101</v>
      </c>
      <c r="B20" s="2" t="s">
        <v>102</v>
      </c>
      <c r="C20" s="3">
        <v>30</v>
      </c>
      <c r="D20" s="2">
        <v>126664</v>
      </c>
      <c r="E20" s="2" t="str">
        <f>_xlfn.XLOOKUP(A20,[1]Snapshot_details!$A$1:$A$2859,[1]Snapshot_details!$AB$1:$AB$2859)</f>
        <v>Fabcity</v>
      </c>
      <c r="F20" s="25">
        <v>144794</v>
      </c>
      <c r="G20" s="25">
        <v>-18130</v>
      </c>
      <c r="H20" s="17">
        <v>-0.27399537547794284</v>
      </c>
      <c r="I20" s="2" t="s">
        <v>103</v>
      </c>
      <c r="J20" s="23">
        <v>-0.24699537547794284</v>
      </c>
      <c r="K20" s="18">
        <f t="shared" ref="K20:K43" si="4">((F20/(1+I20))-D20)*C20/30</f>
        <v>14323.341772151907</v>
      </c>
      <c r="L20" s="2" t="s">
        <v>250</v>
      </c>
    </row>
    <row r="21" spans="1:12">
      <c r="A21" s="2" t="s">
        <v>104</v>
      </c>
      <c r="B21" s="2" t="s">
        <v>105</v>
      </c>
      <c r="C21" s="3">
        <v>30</v>
      </c>
      <c r="D21" s="2">
        <v>36184</v>
      </c>
      <c r="E21" s="2" t="s">
        <v>265</v>
      </c>
      <c r="F21" s="25">
        <v>46549</v>
      </c>
      <c r="G21" s="25">
        <v>-10365</v>
      </c>
      <c r="H21" s="17">
        <v>-0.52579516055394915</v>
      </c>
      <c r="I21" s="2" t="s">
        <v>106</v>
      </c>
      <c r="J21" s="23">
        <v>-0.25759516055394915</v>
      </c>
      <c r="K21" s="18">
        <f t="shared" si="4"/>
        <v>520.77842611575761</v>
      </c>
      <c r="L21" s="2"/>
    </row>
    <row r="22" spans="1:12">
      <c r="A22" s="2" t="s">
        <v>7</v>
      </c>
      <c r="B22" s="2" t="s">
        <v>8</v>
      </c>
      <c r="C22" s="3">
        <v>30</v>
      </c>
      <c r="D22" s="2">
        <v>30192</v>
      </c>
      <c r="E22" s="2" t="str">
        <f>_xlfn.XLOOKUP(A22,[1]Snapshot_details!$A$1:$A$2859,[1]Snapshot_details!$AB$1:$AB$2859)</f>
        <v>Fabcity</v>
      </c>
      <c r="F22" s="25">
        <v>35916</v>
      </c>
      <c r="G22" s="25">
        <v>-5724</v>
      </c>
      <c r="H22" s="17">
        <v>-0.3387984610831607</v>
      </c>
      <c r="I22" s="2" t="s">
        <v>107</v>
      </c>
      <c r="J22" s="23">
        <v>-0.16879846108316068</v>
      </c>
      <c r="K22" s="18">
        <f t="shared" si="4"/>
        <v>505.43589743589837</v>
      </c>
      <c r="L22" s="2"/>
    </row>
    <row r="23" spans="1:12">
      <c r="A23" s="2" t="s">
        <v>108</v>
      </c>
      <c r="B23" s="2" t="s">
        <v>109</v>
      </c>
      <c r="C23" s="3">
        <v>30</v>
      </c>
      <c r="D23" s="2">
        <v>79006</v>
      </c>
      <c r="E23" s="2" t="str">
        <f>_xlfn.XLOOKUP(A23,[1]Snapshot_details!$A$1:$A$2859,[1]Snapshot_details!$AB$1:$AB$2859)</f>
        <v>Fabcity</v>
      </c>
      <c r="F23" s="25">
        <v>90418</v>
      </c>
      <c r="G23" s="25">
        <v>-11412</v>
      </c>
      <c r="H23" s="17">
        <v>-0.27388580891352871</v>
      </c>
      <c r="I23" s="2" t="s">
        <v>103</v>
      </c>
      <c r="J23" s="23">
        <v>-0.24688580891352871</v>
      </c>
      <c r="K23" s="18">
        <f t="shared" si="4"/>
        <v>9034.8958130477276</v>
      </c>
      <c r="L23" s="2" t="s">
        <v>250</v>
      </c>
    </row>
    <row r="24" spans="1:12">
      <c r="A24" s="2" t="s">
        <v>110</v>
      </c>
      <c r="B24" s="2" t="s">
        <v>111</v>
      </c>
      <c r="C24" s="3">
        <v>30</v>
      </c>
      <c r="D24" s="2">
        <v>57037</v>
      </c>
      <c r="E24" s="2" t="str">
        <f>_xlfn.XLOOKUP(A24,[1]Snapshot_details!$A$1:$A$2859,[1]Snapshot_details!$AB$1:$AB$2859)</f>
        <v>Fabcity</v>
      </c>
      <c r="F24" s="25">
        <v>65430</v>
      </c>
      <c r="G24" s="25">
        <v>-8393</v>
      </c>
      <c r="H24" s="17">
        <v>-0.27546934488643821</v>
      </c>
      <c r="I24" s="2" t="s">
        <v>103</v>
      </c>
      <c r="J24" s="23">
        <v>-0.24846934488643821</v>
      </c>
      <c r="K24" s="18">
        <f t="shared" si="4"/>
        <v>6672.8344693281479</v>
      </c>
      <c r="L24" s="2" t="s">
        <v>250</v>
      </c>
    </row>
    <row r="25" spans="1:12">
      <c r="A25" s="2" t="s">
        <v>112</v>
      </c>
      <c r="B25" s="2" t="s">
        <v>113</v>
      </c>
      <c r="C25" s="3">
        <v>30</v>
      </c>
      <c r="D25" s="2">
        <v>20200</v>
      </c>
      <c r="E25" s="2" t="str">
        <f>_xlfn.XLOOKUP(A25,[1]Snapshot_details!$A$1:$A$2859,[1]Snapshot_details!$AB$1:$AB$2859)</f>
        <v>Fabcity</v>
      </c>
      <c r="F25" s="25">
        <v>21954</v>
      </c>
      <c r="G25" s="25">
        <v>-1754</v>
      </c>
      <c r="H25" s="17">
        <v>-0.1487449118046133</v>
      </c>
      <c r="I25" s="2" t="s">
        <v>114</v>
      </c>
      <c r="J25" s="23">
        <v>-9.3944911804613299E-2</v>
      </c>
      <c r="K25" s="18">
        <f t="shared" si="4"/>
        <v>613.42434584755392</v>
      </c>
      <c r="L25" s="2"/>
    </row>
    <row r="26" spans="1:12">
      <c r="A26" s="2" t="s">
        <v>25</v>
      </c>
      <c r="B26" s="2" t="s">
        <v>26</v>
      </c>
      <c r="C26" s="3">
        <v>30</v>
      </c>
      <c r="D26" s="2">
        <v>20828</v>
      </c>
      <c r="E26" s="2" t="str">
        <f>_xlfn.XLOOKUP(A26,[1]Snapshot_details!$A$1:$A$2859,[1]Snapshot_details!$AB$1:$AB$2859)</f>
        <v>Fabcity</v>
      </c>
      <c r="F26" s="25">
        <v>25171</v>
      </c>
      <c r="G26" s="25">
        <v>-4343</v>
      </c>
      <c r="H26" s="17">
        <v>-0.36191666666666666</v>
      </c>
      <c r="I26" s="2" t="s">
        <v>107</v>
      </c>
      <c r="J26" s="23">
        <v>-0.19191666666666665</v>
      </c>
      <c r="K26" s="18">
        <f t="shared" si="4"/>
        <v>685.67521367521476</v>
      </c>
      <c r="L26" s="2"/>
    </row>
    <row r="27" spans="1:12">
      <c r="A27" s="2" t="s">
        <v>115</v>
      </c>
      <c r="B27" s="2" t="s">
        <v>116</v>
      </c>
      <c r="C27" s="3">
        <v>30</v>
      </c>
      <c r="D27" s="2">
        <v>20048</v>
      </c>
      <c r="E27" s="2" t="str">
        <f>_xlfn.XLOOKUP(A27,[1]Snapshot_details!$A$1:$A$2859,[1]Snapshot_details!$AB$1:$AB$2859)</f>
        <v>Fabcity</v>
      </c>
      <c r="F27" s="25">
        <v>24142</v>
      </c>
      <c r="G27" s="25">
        <v>-4094</v>
      </c>
      <c r="H27" s="17">
        <v>-0.35445887445887447</v>
      </c>
      <c r="I27" s="2" t="s">
        <v>107</v>
      </c>
      <c r="J27" s="23">
        <v>-0.18445887445887446</v>
      </c>
      <c r="K27" s="18">
        <f t="shared" si="4"/>
        <v>586.18803418803509</v>
      </c>
      <c r="L27" s="2"/>
    </row>
    <row r="28" spans="1:12">
      <c r="A28" s="2" t="s">
        <v>19</v>
      </c>
      <c r="B28" s="2" t="s">
        <v>20</v>
      </c>
      <c r="C28" s="3">
        <v>30</v>
      </c>
      <c r="D28" s="2">
        <v>20897</v>
      </c>
      <c r="E28" s="2" t="str">
        <f>_xlfn.XLOOKUP(A28,[1]Snapshot_details!$A$1:$A$2859,[1]Snapshot_details!$AB$1:$AB$2859)</f>
        <v>Fabcity</v>
      </c>
      <c r="F28" s="25">
        <v>23844</v>
      </c>
      <c r="G28" s="25">
        <v>-2947</v>
      </c>
      <c r="H28" s="17">
        <v>-0.24482844562598655</v>
      </c>
      <c r="I28" s="2" t="s">
        <v>117</v>
      </c>
      <c r="J28" s="23">
        <v>-0.13482844562598656</v>
      </c>
      <c r="K28" s="18">
        <f t="shared" si="4"/>
        <v>584.0810810810799</v>
      </c>
      <c r="L28" s="2"/>
    </row>
    <row r="29" spans="1:12">
      <c r="A29" s="2" t="s">
        <v>118</v>
      </c>
      <c r="B29" s="2" t="s">
        <v>119</v>
      </c>
      <c r="C29" s="3">
        <v>30</v>
      </c>
      <c r="D29" s="2">
        <v>20672</v>
      </c>
      <c r="E29" s="2" t="str">
        <f>_xlfn.XLOOKUP(A29,[1]Snapshot_details!$A$1:$A$2859,[1]Snapshot_details!$AB$1:$AB$2859)</f>
        <v>Fabcity</v>
      </c>
      <c r="F29" s="25">
        <v>23574</v>
      </c>
      <c r="G29" s="25">
        <v>-2902</v>
      </c>
      <c r="H29" s="17">
        <v>-0.243619879113499</v>
      </c>
      <c r="I29" s="2" t="s">
        <v>117</v>
      </c>
      <c r="J29" s="23">
        <v>-0.13361987911349898</v>
      </c>
      <c r="K29" s="18">
        <f t="shared" si="4"/>
        <v>565.83783783783656</v>
      </c>
      <c r="L29" s="2"/>
    </row>
    <row r="30" spans="1:12">
      <c r="A30" s="2" t="s">
        <v>23</v>
      </c>
      <c r="B30" s="2" t="s">
        <v>24</v>
      </c>
      <c r="C30" s="3">
        <v>30</v>
      </c>
      <c r="D30" s="2">
        <v>34304</v>
      </c>
      <c r="E30" s="2" t="str">
        <f>_xlfn.XLOOKUP(A30,[1]Snapshot_details!$A$1:$A$2859,[1]Snapshot_details!$AB$1:$AB$2859)</f>
        <v>Fabcity</v>
      </c>
      <c r="F30" s="25">
        <v>37626</v>
      </c>
      <c r="G30" s="25">
        <v>-3322</v>
      </c>
      <c r="H30" s="17">
        <v>-0.17717333333333332</v>
      </c>
      <c r="I30" s="2" t="s">
        <v>120</v>
      </c>
      <c r="J30" s="23">
        <v>-0.15377333333333332</v>
      </c>
      <c r="K30" s="18">
        <f t="shared" si="4"/>
        <v>2461.6830173929993</v>
      </c>
      <c r="L30" s="2"/>
    </row>
    <row r="31" spans="1:12">
      <c r="A31" s="2" t="s">
        <v>121</v>
      </c>
      <c r="B31" s="2" t="s">
        <v>122</v>
      </c>
      <c r="C31" s="3">
        <v>30</v>
      </c>
      <c r="D31" s="2">
        <v>20333</v>
      </c>
      <c r="E31" s="2" t="str">
        <f>_xlfn.XLOOKUP(A31,[1]Snapshot_details!$A$1:$A$2859,[1]Snapshot_details!$AB$1:$AB$2859)</f>
        <v>Fabcity</v>
      </c>
      <c r="F31" s="25">
        <v>27207</v>
      </c>
      <c r="G31" s="25">
        <v>-6874</v>
      </c>
      <c r="H31" s="17">
        <v>-0.58681919071196853</v>
      </c>
      <c r="I31" s="2" t="s">
        <v>123</v>
      </c>
      <c r="J31" s="23">
        <v>-0.29921919071196851</v>
      </c>
      <c r="K31" s="18">
        <f t="shared" si="4"/>
        <v>797.00931966449207</v>
      </c>
      <c r="L31" s="2"/>
    </row>
    <row r="32" spans="1:12">
      <c r="A32" s="2" t="s">
        <v>124</v>
      </c>
      <c r="B32" s="2" t="s">
        <v>125</v>
      </c>
      <c r="C32" s="3">
        <v>30</v>
      </c>
      <c r="D32" s="2">
        <v>193176</v>
      </c>
      <c r="E32" s="2" t="s">
        <v>265</v>
      </c>
      <c r="F32" s="25">
        <v>215058</v>
      </c>
      <c r="G32" s="25">
        <v>-21882</v>
      </c>
      <c r="H32" s="17">
        <v>-0.21751274838222284</v>
      </c>
      <c r="I32" s="2" t="s">
        <v>117</v>
      </c>
      <c r="J32" s="23">
        <v>-0.10751274838222284</v>
      </c>
      <c r="K32" s="18">
        <f t="shared" si="4"/>
        <v>569.94594594591763</v>
      </c>
      <c r="L32" s="2"/>
    </row>
    <row r="33" spans="1:12">
      <c r="A33" s="2" t="s">
        <v>126</v>
      </c>
      <c r="B33" s="2" t="s">
        <v>127</v>
      </c>
      <c r="C33" s="3">
        <v>30</v>
      </c>
      <c r="D33" s="2">
        <v>46524</v>
      </c>
      <c r="E33" s="2" t="s">
        <v>265</v>
      </c>
      <c r="F33" s="25">
        <v>63127</v>
      </c>
      <c r="G33" s="25">
        <v>-16603</v>
      </c>
      <c r="H33" s="17">
        <v>-0.66412000000000004</v>
      </c>
      <c r="I33" s="2" t="s">
        <v>128</v>
      </c>
      <c r="J33" s="23">
        <v>-0.32412000000000002</v>
      </c>
      <c r="K33" s="18">
        <f t="shared" si="4"/>
        <v>585.70149253730779</v>
      </c>
      <c r="L33" s="2"/>
    </row>
    <row r="34" spans="1:12">
      <c r="A34" s="2" t="s">
        <v>129</v>
      </c>
      <c r="B34" s="2" t="s">
        <v>130</v>
      </c>
      <c r="C34" s="3">
        <v>30</v>
      </c>
      <c r="D34" s="2">
        <v>28828</v>
      </c>
      <c r="E34" s="2" t="str">
        <f>_xlfn.XLOOKUP(A34,[1]Snapshot_details!$A$1:$A$2859,[1]Snapshot_details!$AB$1:$AB$2859)</f>
        <v>Fabcity</v>
      </c>
      <c r="F34" s="25">
        <v>34179</v>
      </c>
      <c r="G34" s="25">
        <v>-5351</v>
      </c>
      <c r="H34" s="17">
        <v>-0.3356121424987456</v>
      </c>
      <c r="I34" s="2" t="s">
        <v>131</v>
      </c>
      <c r="J34" s="23">
        <v>-0.30931214249874561</v>
      </c>
      <c r="K34" s="18">
        <f t="shared" si="4"/>
        <v>4475.1277404267748</v>
      </c>
      <c r="L34" s="2"/>
    </row>
    <row r="35" spans="1:12">
      <c r="A35" s="2" t="s">
        <v>9</v>
      </c>
      <c r="B35" s="2" t="s">
        <v>10</v>
      </c>
      <c r="C35" s="3">
        <v>30</v>
      </c>
      <c r="D35" s="2">
        <v>36196</v>
      </c>
      <c r="E35" s="2" t="str">
        <f>_xlfn.XLOOKUP(A35,[1]Snapshot_details!$A$1:$A$2859,[1]Snapshot_details!$AB$1:$AB$2859)</f>
        <v>Fabcity</v>
      </c>
      <c r="F35" s="25">
        <v>42786</v>
      </c>
      <c r="G35" s="25">
        <v>-6590</v>
      </c>
      <c r="H35" s="17">
        <v>-0.33417849898580121</v>
      </c>
      <c r="I35" s="2" t="s">
        <v>131</v>
      </c>
      <c r="J35" s="23">
        <v>-0.30787849898580122</v>
      </c>
      <c r="K35" s="18">
        <f t="shared" si="4"/>
        <v>5493.5644548377686</v>
      </c>
      <c r="L35" s="2"/>
    </row>
    <row r="36" spans="1:12">
      <c r="A36" s="2" t="s">
        <v>11</v>
      </c>
      <c r="B36" s="2" t="s">
        <v>12</v>
      </c>
      <c r="C36" s="3">
        <v>30</v>
      </c>
      <c r="D36" s="2">
        <v>41016</v>
      </c>
      <c r="E36" s="2" t="s">
        <v>265</v>
      </c>
      <c r="F36" s="25">
        <v>56309</v>
      </c>
      <c r="G36" s="25">
        <v>-15293</v>
      </c>
      <c r="H36" s="17">
        <v>-0.68899801766083979</v>
      </c>
      <c r="I36" s="2" t="s">
        <v>132</v>
      </c>
      <c r="J36" s="23">
        <v>-0.47139801766083977</v>
      </c>
      <c r="K36" s="18">
        <f t="shared" si="4"/>
        <v>5229.8935611038096</v>
      </c>
      <c r="L36" s="2"/>
    </row>
    <row r="37" spans="1:12">
      <c r="A37" s="2" t="s">
        <v>13</v>
      </c>
      <c r="B37" s="2" t="s">
        <v>14</v>
      </c>
      <c r="C37" s="3">
        <v>30</v>
      </c>
      <c r="D37" s="2">
        <v>19942</v>
      </c>
      <c r="E37" s="2" t="str">
        <f>_xlfn.XLOOKUP(A37,[1]Snapshot_details!$A$1:$A$2859,[1]Snapshot_details!$AB$1:$AB$2859)</f>
        <v>Fabcity</v>
      </c>
      <c r="F37" s="25">
        <v>23329</v>
      </c>
      <c r="G37" s="25">
        <v>-3387</v>
      </c>
      <c r="H37" s="17">
        <v>-0.29482938718662954</v>
      </c>
      <c r="I37" s="2" t="s">
        <v>133</v>
      </c>
      <c r="J37" s="23">
        <v>-0.15482938718662953</v>
      </c>
      <c r="K37" s="18">
        <f t="shared" si="4"/>
        <v>522.03508771929774</v>
      </c>
      <c r="L37" s="2"/>
    </row>
    <row r="38" spans="1:12">
      <c r="A38" s="2" t="s">
        <v>134</v>
      </c>
      <c r="B38" s="2" t="s">
        <v>135</v>
      </c>
      <c r="C38" s="3">
        <v>30</v>
      </c>
      <c r="D38" s="2">
        <v>142850</v>
      </c>
      <c r="E38" s="2" t="str">
        <f>_xlfn.XLOOKUP(A38,[1]Snapshot_details!$A$1:$A$2859,[1]Snapshot_details!$AB$1:$AB$2859)</f>
        <v>Fabcity</v>
      </c>
      <c r="F38" s="25">
        <v>186384</v>
      </c>
      <c r="G38" s="25">
        <v>-43534</v>
      </c>
      <c r="H38" s="17">
        <v>-0.58501646173486532</v>
      </c>
      <c r="I38" s="2" t="s">
        <v>136</v>
      </c>
      <c r="J38" s="23">
        <v>-0.28501646173486533</v>
      </c>
      <c r="K38" s="18">
        <f t="shared" si="4"/>
        <v>522.30769230768783</v>
      </c>
      <c r="L38" s="2"/>
    </row>
    <row r="39" spans="1:12">
      <c r="A39" s="2" t="s">
        <v>15</v>
      </c>
      <c r="B39" s="2" t="s">
        <v>16</v>
      </c>
      <c r="C39" s="3">
        <v>30</v>
      </c>
      <c r="D39" s="2">
        <v>19822</v>
      </c>
      <c r="E39" s="2" t="str">
        <f>_xlfn.XLOOKUP(A39,[1]Snapshot_details!$A$1:$A$2859,[1]Snapshot_details!$AB$1:$AB$2859)</f>
        <v>Fabcity</v>
      </c>
      <c r="F39" s="25">
        <v>23174</v>
      </c>
      <c r="G39" s="25">
        <v>-3352</v>
      </c>
      <c r="H39" s="17">
        <v>-0.29357155368716065</v>
      </c>
      <c r="I39" s="2" t="s">
        <v>133</v>
      </c>
      <c r="J39" s="23">
        <v>-0.15357155368716063</v>
      </c>
      <c r="K39" s="18">
        <f t="shared" si="4"/>
        <v>506.07017543859547</v>
      </c>
      <c r="L39" s="2"/>
    </row>
    <row r="40" spans="1:12">
      <c r="A40" s="2" t="s">
        <v>137</v>
      </c>
      <c r="B40" s="2" t="s">
        <v>138</v>
      </c>
      <c r="C40" s="3">
        <v>30</v>
      </c>
      <c r="D40" s="2">
        <v>355262</v>
      </c>
      <c r="E40" s="2" t="s">
        <v>265</v>
      </c>
      <c r="F40" s="25">
        <v>383401</v>
      </c>
      <c r="G40" s="25">
        <v>-28139</v>
      </c>
      <c r="H40" s="17">
        <v>-0.12737247588482656</v>
      </c>
      <c r="I40" s="2" t="s">
        <v>139</v>
      </c>
      <c r="J40" s="23">
        <v>-6.0772475884826552E-2</v>
      </c>
      <c r="K40" s="18">
        <f t="shared" si="4"/>
        <v>4198.9038064879132</v>
      </c>
      <c r="L40" s="2"/>
    </row>
    <row r="41" spans="1:12">
      <c r="A41" s="2" t="s">
        <v>140</v>
      </c>
      <c r="B41" s="2" t="s">
        <v>141</v>
      </c>
      <c r="C41" s="3">
        <v>29.5</v>
      </c>
      <c r="D41" s="2">
        <v>89889</v>
      </c>
      <c r="E41" s="2" t="str">
        <f>_xlfn.XLOOKUP(A41,[1]Snapshot_details!$A$1:$A$2859,[1]Snapshot_details!$AB$1:$AB$2859)</f>
        <v>Fabcity</v>
      </c>
      <c r="F41" s="25">
        <v>103793</v>
      </c>
      <c r="G41" s="25">
        <v>-13904</v>
      </c>
      <c r="H41" s="17">
        <v>-0.29876017963428525</v>
      </c>
      <c r="I41" s="2" t="s">
        <v>142</v>
      </c>
      <c r="J41" s="23">
        <v>-0.21596017963428527</v>
      </c>
      <c r="K41" s="18">
        <f t="shared" si="4"/>
        <v>5867.661882773059</v>
      </c>
      <c r="L41" s="2"/>
    </row>
    <row r="42" spans="1:12">
      <c r="A42" s="2" t="s">
        <v>143</v>
      </c>
      <c r="B42" s="2" t="s">
        <v>144</v>
      </c>
      <c r="C42" s="3">
        <v>30</v>
      </c>
      <c r="D42" s="2">
        <v>144041</v>
      </c>
      <c r="E42" s="2" t="s">
        <v>265</v>
      </c>
      <c r="F42" s="25">
        <v>158735</v>
      </c>
      <c r="G42" s="25">
        <v>-14694</v>
      </c>
      <c r="H42" s="17">
        <v>-0.19592000000000001</v>
      </c>
      <c r="I42" s="2" t="s">
        <v>145</v>
      </c>
      <c r="J42" s="23">
        <v>-0.17922000000000002</v>
      </c>
      <c r="K42" s="18">
        <f t="shared" si="4"/>
        <v>12086.667945313267</v>
      </c>
      <c r="L42" s="2" t="s">
        <v>250</v>
      </c>
    </row>
    <row r="43" spans="1:12">
      <c r="A43" s="2" t="s">
        <v>146</v>
      </c>
      <c r="B43" s="2" t="s">
        <v>147</v>
      </c>
      <c r="C43" s="3">
        <v>30</v>
      </c>
      <c r="D43" s="2">
        <v>105002</v>
      </c>
      <c r="E43" s="2" t="s">
        <v>265</v>
      </c>
      <c r="F43" s="25">
        <v>152227</v>
      </c>
      <c r="G43" s="25">
        <v>-47225</v>
      </c>
      <c r="H43" s="17">
        <v>-0.85863636363636364</v>
      </c>
      <c r="I43" s="2" t="s">
        <v>148</v>
      </c>
      <c r="J43" s="23">
        <v>-0.41923636363636363</v>
      </c>
      <c r="K43" s="18">
        <f t="shared" si="4"/>
        <v>755.25996943170321</v>
      </c>
      <c r="L43" s="2"/>
    </row>
    <row r="44" spans="1:12">
      <c r="A44" s="2"/>
      <c r="B44" s="2"/>
      <c r="C44" s="2"/>
      <c r="D44" s="2"/>
      <c r="E44" s="3"/>
      <c r="F44" s="2"/>
      <c r="G44" s="2"/>
      <c r="H44" s="2"/>
      <c r="I44" s="2"/>
      <c r="J44" s="2"/>
      <c r="K44" s="24">
        <f>SUM(K19:K43)</f>
        <v>82393.49855671516</v>
      </c>
      <c r="L44" s="2"/>
    </row>
    <row r="45" spans="1:12">
      <c r="A45" s="28" t="s">
        <v>149</v>
      </c>
      <c r="B45" s="2"/>
      <c r="C45" s="2"/>
      <c r="D45" s="2"/>
      <c r="E45" s="3"/>
      <c r="F45" s="2"/>
      <c r="G45" s="2"/>
      <c r="H45" s="2"/>
      <c r="I45" s="2"/>
      <c r="J45" s="2"/>
      <c r="K45" s="24"/>
      <c r="L45" s="2"/>
    </row>
    <row r="46" spans="1:12" ht="130.5">
      <c r="A46" s="20" t="s">
        <v>0</v>
      </c>
      <c r="B46" s="20" t="s">
        <v>1</v>
      </c>
      <c r="C46" s="21" t="s">
        <v>63</v>
      </c>
      <c r="D46" s="22" t="s">
        <v>64</v>
      </c>
      <c r="E46" s="15" t="s">
        <v>263</v>
      </c>
      <c r="F46" s="15" t="s">
        <v>65</v>
      </c>
      <c r="G46" s="16" t="s">
        <v>66</v>
      </c>
      <c r="H46" s="15" t="s">
        <v>67</v>
      </c>
      <c r="I46" s="15" t="s">
        <v>68</v>
      </c>
      <c r="J46" s="15" t="s">
        <v>69</v>
      </c>
      <c r="K46" s="15" t="s">
        <v>70</v>
      </c>
      <c r="L46" s="39" t="s">
        <v>251</v>
      </c>
    </row>
    <row r="47" spans="1:12">
      <c r="A47" s="2" t="s">
        <v>150</v>
      </c>
      <c r="B47" s="2" t="s">
        <v>151</v>
      </c>
      <c r="C47" s="3">
        <v>30</v>
      </c>
      <c r="D47" s="2">
        <v>52811</v>
      </c>
      <c r="E47" s="2" t="str">
        <f>_xlfn.XLOOKUP(A47,[1]Snapshot_details!$A$1:$A$2859,[1]Snapshot_details!$AB$1:$AB$2859)</f>
        <v>Fabcity</v>
      </c>
      <c r="F47" s="25">
        <v>51486</v>
      </c>
      <c r="G47" s="25">
        <v>1325</v>
      </c>
      <c r="H47" s="17">
        <v>2.5089469996780973E-2</v>
      </c>
      <c r="I47" s="2" t="s">
        <v>152</v>
      </c>
      <c r="J47" s="23">
        <v>2.5089469996780973E-2</v>
      </c>
      <c r="K47" s="18">
        <f>-((F47/(1+I47))-D47)*C47/30</f>
        <v>1325</v>
      </c>
      <c r="L47" s="2"/>
    </row>
    <row r="48" spans="1:12">
      <c r="A48" s="2" t="s">
        <v>153</v>
      </c>
      <c r="B48" s="2" t="s">
        <v>154</v>
      </c>
      <c r="C48" s="3">
        <v>14</v>
      </c>
      <c r="D48" s="2">
        <v>261657</v>
      </c>
      <c r="E48" s="2" t="str">
        <f>_xlfn.XLOOKUP(A48,[1]Snapshot_details!$A$1:$A$2859,[1]Snapshot_details!$AB$1:$AB$2859)</f>
        <v>Fabcity</v>
      </c>
      <c r="F48" s="25">
        <v>246003</v>
      </c>
      <c r="G48" s="25">
        <v>15654</v>
      </c>
      <c r="H48" s="17">
        <v>5.9826413969433265E-2</v>
      </c>
      <c r="I48" s="2" t="s">
        <v>152</v>
      </c>
      <c r="J48" s="23">
        <v>5.9826413969433265E-2</v>
      </c>
      <c r="K48" s="18">
        <f>-((F48/(1+I48))-D48)*C48/30</f>
        <v>7305.2</v>
      </c>
      <c r="L48" s="2" t="s">
        <v>250</v>
      </c>
    </row>
    <row r="49" spans="1:12">
      <c r="A49" s="2" t="s">
        <v>155</v>
      </c>
      <c r="B49" s="2" t="s">
        <v>156</v>
      </c>
      <c r="C49" s="3">
        <v>30</v>
      </c>
      <c r="D49" s="2">
        <v>107442</v>
      </c>
      <c r="E49" s="2" t="s">
        <v>265</v>
      </c>
      <c r="F49" s="25">
        <v>123763</v>
      </c>
      <c r="G49" s="25">
        <v>-16321</v>
      </c>
      <c r="H49" s="17">
        <v>-0.15190521397591258</v>
      </c>
      <c r="I49" s="2" t="s">
        <v>157</v>
      </c>
      <c r="J49" s="23">
        <v>-6.6605213975912583E-2</v>
      </c>
      <c r="K49" s="18">
        <f t="shared" ref="K49:K56" si="5">((F49/(1+I49))-D49)*C49/30</f>
        <v>6593.7504837372253</v>
      </c>
      <c r="L49" s="2"/>
    </row>
    <row r="50" spans="1:12">
      <c r="A50" s="2" t="s">
        <v>3</v>
      </c>
      <c r="B50" s="2" t="s">
        <v>4</v>
      </c>
      <c r="C50" s="3">
        <v>30</v>
      </c>
      <c r="D50" s="2">
        <v>27299</v>
      </c>
      <c r="E50" s="2" t="str">
        <f>_xlfn.XLOOKUP(A50,[1]Snapshot_details!$A$1:$A$2859,[1]Snapshot_details!$AB$1:$AB$2859)</f>
        <v>Fabcity</v>
      </c>
      <c r="F50" s="25">
        <v>31463</v>
      </c>
      <c r="G50" s="25">
        <v>-4164</v>
      </c>
      <c r="H50" s="17">
        <v>-0.152533059819041</v>
      </c>
      <c r="I50" s="2" t="s">
        <v>158</v>
      </c>
      <c r="J50" s="23">
        <v>-6.6833059819041002E-2</v>
      </c>
      <c r="K50" s="18">
        <f t="shared" si="5"/>
        <v>1680.4602560559979</v>
      </c>
      <c r="L50" s="2"/>
    </row>
    <row r="51" spans="1:12">
      <c r="A51" s="2" t="s">
        <v>159</v>
      </c>
      <c r="B51" s="2" t="s">
        <v>160</v>
      </c>
      <c r="C51" s="3">
        <v>30</v>
      </c>
      <c r="D51" s="2">
        <v>73891</v>
      </c>
      <c r="E51" s="2" t="s">
        <v>265</v>
      </c>
      <c r="F51" s="25">
        <v>81532</v>
      </c>
      <c r="G51" s="25">
        <v>-7641</v>
      </c>
      <c r="H51" s="17">
        <v>-0.10340907553017283</v>
      </c>
      <c r="I51" s="2" t="s">
        <v>161</v>
      </c>
      <c r="J51" s="23">
        <v>-7.4209075530172822E-2</v>
      </c>
      <c r="K51" s="18">
        <f t="shared" si="5"/>
        <v>5327.810726778087</v>
      </c>
      <c r="L51" s="2" t="s">
        <v>250</v>
      </c>
    </row>
    <row r="52" spans="1:12">
      <c r="A52" s="2" t="s">
        <v>162</v>
      </c>
      <c r="B52" s="2" t="s">
        <v>163</v>
      </c>
      <c r="C52" s="3">
        <v>30</v>
      </c>
      <c r="D52" s="2">
        <v>103376</v>
      </c>
      <c r="E52" s="2" t="str">
        <f>_xlfn.XLOOKUP(A52,[1]Snapshot_details!$A$1:$A$2859,[1]Snapshot_details!$AB$1:$AB$2859)</f>
        <v>Fabcity</v>
      </c>
      <c r="F52" s="25">
        <v>119289</v>
      </c>
      <c r="G52" s="25">
        <v>-15913</v>
      </c>
      <c r="H52" s="17">
        <v>-0.15393321467265128</v>
      </c>
      <c r="I52" s="2" t="s">
        <v>164</v>
      </c>
      <c r="J52" s="23">
        <v>-4.8233214672651278E-2</v>
      </c>
      <c r="K52" s="18">
        <f t="shared" si="5"/>
        <v>4509.5023966717999</v>
      </c>
      <c r="L52" s="2"/>
    </row>
    <row r="53" spans="1:12">
      <c r="A53" s="2" t="s">
        <v>165</v>
      </c>
      <c r="B53" s="2" t="s">
        <v>166</v>
      </c>
      <c r="C53" s="3">
        <v>25</v>
      </c>
      <c r="D53" s="2">
        <v>16798</v>
      </c>
      <c r="E53" s="2" t="str">
        <f>_xlfn.XLOOKUP(A53,[1]Snapshot_details!$A$1:$A$2859,[1]Snapshot_details!$AB$1:$AB$2859)</f>
        <v>Fabcity</v>
      </c>
      <c r="F53" s="25">
        <v>22069</v>
      </c>
      <c r="G53" s="25">
        <v>-5271</v>
      </c>
      <c r="H53" s="17">
        <v>-0.31378735563757593</v>
      </c>
      <c r="I53" s="2" t="s">
        <v>167</v>
      </c>
      <c r="J53" s="23">
        <v>-0.15308735563757592</v>
      </c>
      <c r="K53" s="18">
        <f t="shared" si="5"/>
        <v>1846.2719336032844</v>
      </c>
      <c r="L53" s="2"/>
    </row>
    <row r="54" spans="1:12">
      <c r="A54" s="2" t="s">
        <v>168</v>
      </c>
      <c r="B54" s="2" t="s">
        <v>169</v>
      </c>
      <c r="C54" s="3">
        <v>30</v>
      </c>
      <c r="D54" s="2">
        <v>27005</v>
      </c>
      <c r="E54" s="2" t="str">
        <f>_xlfn.XLOOKUP(A54,[1]Snapshot_details!$A$1:$A$2859,[1]Snapshot_details!$AB$1:$AB$2859)</f>
        <v>Fabcity</v>
      </c>
      <c r="F54" s="25">
        <v>32467</v>
      </c>
      <c r="G54" s="25">
        <v>-5462</v>
      </c>
      <c r="H54" s="17">
        <v>-0.20225884095537863</v>
      </c>
      <c r="I54" s="2" t="s">
        <v>170</v>
      </c>
      <c r="J54" s="23">
        <v>-0.10335884095537863</v>
      </c>
      <c r="K54" s="18">
        <f t="shared" si="5"/>
        <v>2539.9995449995436</v>
      </c>
      <c r="L54" s="2"/>
    </row>
    <row r="55" spans="1:12">
      <c r="A55" s="2" t="s">
        <v>171</v>
      </c>
      <c r="B55" s="2" t="s">
        <v>172</v>
      </c>
      <c r="C55" s="3">
        <v>30</v>
      </c>
      <c r="D55" s="2">
        <v>39993</v>
      </c>
      <c r="E55" s="2" t="str">
        <f>_xlfn.XLOOKUP(A55,[1]Snapshot_details!$A$1:$A$2859,[1]Snapshot_details!$AB$1:$AB$2859)</f>
        <v>Fabcity</v>
      </c>
      <c r="F55" s="25">
        <v>52555</v>
      </c>
      <c r="G55" s="25">
        <v>-12562</v>
      </c>
      <c r="H55" s="17">
        <v>-0.31410496836946467</v>
      </c>
      <c r="I55" s="2" t="s">
        <v>173</v>
      </c>
      <c r="J55" s="23">
        <v>-0.14530496836946466</v>
      </c>
      <c r="K55" s="18">
        <f t="shared" si="5"/>
        <v>4971.9212867898668</v>
      </c>
      <c r="L55" s="2"/>
    </row>
    <row r="56" spans="1:12">
      <c r="A56" s="2" t="s">
        <v>174</v>
      </c>
      <c r="B56" s="2" t="s">
        <v>175</v>
      </c>
      <c r="C56" s="3">
        <v>30</v>
      </c>
      <c r="D56" s="2">
        <v>13457</v>
      </c>
      <c r="E56" s="2" t="str">
        <f>_xlfn.XLOOKUP(A56,[1]Snapshot_details!$A$1:$A$2859,[1]Snapshot_details!$AB$1:$AB$2859)</f>
        <v>Fabcity</v>
      </c>
      <c r="F56" s="25">
        <v>18118</v>
      </c>
      <c r="G56" s="25">
        <v>-4661</v>
      </c>
      <c r="H56" s="17">
        <v>-0.34636248792450025</v>
      </c>
      <c r="I56" s="2" t="s">
        <v>176</v>
      </c>
      <c r="J56" s="23">
        <v>-0.16216248792450025</v>
      </c>
      <c r="K56" s="18">
        <f t="shared" si="5"/>
        <v>1842.7804424928233</v>
      </c>
      <c r="L56" s="2"/>
    </row>
    <row r="57" spans="1:12">
      <c r="A57" s="2"/>
      <c r="B57" s="2"/>
      <c r="C57" s="2"/>
      <c r="D57" s="2"/>
      <c r="E57" s="3"/>
      <c r="F57" s="2"/>
      <c r="G57" s="2"/>
      <c r="H57" s="2"/>
      <c r="I57" s="2"/>
      <c r="J57" s="2"/>
      <c r="K57" s="24">
        <f>SUM(K47:K56)</f>
        <v>37942.697071128634</v>
      </c>
      <c r="L57" s="2"/>
    </row>
    <row r="58" spans="1:12">
      <c r="A58" s="28" t="s">
        <v>177</v>
      </c>
      <c r="B58" s="2"/>
      <c r="C58" s="2"/>
      <c r="D58" s="2"/>
      <c r="E58" s="3"/>
      <c r="F58" s="2"/>
      <c r="G58" s="2"/>
      <c r="H58" s="2"/>
      <c r="I58" s="2"/>
      <c r="J58" s="2"/>
      <c r="K58" s="2"/>
      <c r="L58" s="2"/>
    </row>
    <row r="59" spans="1:12" ht="130.5">
      <c r="A59" s="20" t="s">
        <v>0</v>
      </c>
      <c r="B59" s="20" t="s">
        <v>1</v>
      </c>
      <c r="C59" s="21" t="s">
        <v>63</v>
      </c>
      <c r="D59" s="22" t="s">
        <v>64</v>
      </c>
      <c r="E59" s="15" t="s">
        <v>263</v>
      </c>
      <c r="F59" s="15" t="s">
        <v>65</v>
      </c>
      <c r="G59" s="16" t="s">
        <v>66</v>
      </c>
      <c r="H59" s="15" t="s">
        <v>67</v>
      </c>
      <c r="I59" s="15" t="s">
        <v>68</v>
      </c>
      <c r="J59" s="15" t="s">
        <v>69</v>
      </c>
      <c r="K59" s="15" t="s">
        <v>70</v>
      </c>
      <c r="L59" s="39" t="s">
        <v>251</v>
      </c>
    </row>
    <row r="60" spans="1:12">
      <c r="A60" s="2" t="s">
        <v>178</v>
      </c>
      <c r="B60" s="2" t="s">
        <v>179</v>
      </c>
      <c r="C60" s="3">
        <v>30</v>
      </c>
      <c r="D60" s="2">
        <v>20330</v>
      </c>
      <c r="E60" s="2" t="str">
        <f>_xlfn.XLOOKUP(A60,[1]Snapshot_details!$A$1:$A$2859,[1]Snapshot_details!$AB$1:$AB$2859)</f>
        <v>Fabcity</v>
      </c>
      <c r="F60" s="25">
        <v>29850</v>
      </c>
      <c r="G60" s="25">
        <v>-9520</v>
      </c>
      <c r="H60" s="17">
        <v>-0.46827348745696018</v>
      </c>
      <c r="I60" s="2" t="s">
        <v>136</v>
      </c>
      <c r="J60" s="23">
        <v>-0.16827348745696019</v>
      </c>
      <c r="K60" s="18">
        <v>2631.538461538461</v>
      </c>
      <c r="L60" s="2"/>
    </row>
    <row r="61" spans="1:12">
      <c r="A61" s="2" t="s">
        <v>180</v>
      </c>
      <c r="B61" s="2" t="s">
        <v>181</v>
      </c>
      <c r="C61" s="3">
        <v>30</v>
      </c>
      <c r="D61" s="2">
        <v>20450</v>
      </c>
      <c r="E61" s="2" t="str">
        <f>_xlfn.XLOOKUP(A61,[1]Snapshot_details!$A$1:$A$2859,[1]Snapshot_details!$AB$1:$AB$2859)</f>
        <v>Fabcity</v>
      </c>
      <c r="F61" s="25">
        <v>29622</v>
      </c>
      <c r="G61" s="25">
        <v>-9172</v>
      </c>
      <c r="H61" s="17">
        <v>-0.44850855745721269</v>
      </c>
      <c r="I61" s="2" t="s">
        <v>136</v>
      </c>
      <c r="J61" s="23">
        <v>-0.1485085574572127</v>
      </c>
      <c r="K61" s="18">
        <v>2336.1538461538439</v>
      </c>
      <c r="L61" s="2"/>
    </row>
    <row r="62" spans="1:12">
      <c r="A62" s="2" t="s">
        <v>182</v>
      </c>
      <c r="B62" s="2" t="s">
        <v>183</v>
      </c>
      <c r="C62" s="3">
        <v>30</v>
      </c>
      <c r="D62" s="2">
        <v>27312</v>
      </c>
      <c r="E62" s="2" t="str">
        <f>_xlfn.XLOOKUP(A62,[1]Snapshot_details!$A$1:$A$2859,[1]Snapshot_details!$AB$1:$AB$2859)</f>
        <v>Fabcity</v>
      </c>
      <c r="F62" s="25">
        <v>37805</v>
      </c>
      <c r="G62" s="25">
        <v>-10493</v>
      </c>
      <c r="H62" s="17">
        <v>-0.38419009958992384</v>
      </c>
      <c r="I62" s="2" t="s">
        <v>184</v>
      </c>
      <c r="J62" s="23">
        <v>-0.13419009958992384</v>
      </c>
      <c r="K62" s="18">
        <v>2932</v>
      </c>
      <c r="L62" s="2" t="s">
        <v>250</v>
      </c>
    </row>
    <row r="63" spans="1:12">
      <c r="A63" s="2" t="s">
        <v>185</v>
      </c>
      <c r="B63" s="2" t="s">
        <v>186</v>
      </c>
      <c r="C63" s="3">
        <v>30</v>
      </c>
      <c r="D63" s="2">
        <v>20295</v>
      </c>
      <c r="E63" s="2" t="str">
        <f>_xlfn.XLOOKUP(A63,[1]Snapshot_details!$A$1:$A$2859,[1]Snapshot_details!$AB$1:$AB$2859)</f>
        <v>Fabcity</v>
      </c>
      <c r="F63" s="25">
        <v>23692</v>
      </c>
      <c r="G63" s="25">
        <v>-3397</v>
      </c>
      <c r="H63" s="17">
        <v>-0.1673811283567381</v>
      </c>
      <c r="I63" s="2" t="s">
        <v>158</v>
      </c>
      <c r="J63" s="23">
        <v>-8.1681128356738103E-2</v>
      </c>
      <c r="K63" s="18">
        <v>1526.8660771852228</v>
      </c>
      <c r="L63" s="2"/>
    </row>
    <row r="64" spans="1:12">
      <c r="A64" s="2" t="s">
        <v>187</v>
      </c>
      <c r="B64" s="2" t="s">
        <v>188</v>
      </c>
      <c r="C64" s="3">
        <v>30</v>
      </c>
      <c r="D64" s="2">
        <v>35590</v>
      </c>
      <c r="E64" s="2" t="str">
        <f>_xlfn.XLOOKUP(A64,[1]Snapshot_details!$A$1:$A$2859,[1]Snapshot_details!$AB$1:$AB$2859)</f>
        <v>Fabcity</v>
      </c>
      <c r="F64" s="25">
        <v>45291</v>
      </c>
      <c r="G64" s="25">
        <v>-9701</v>
      </c>
      <c r="H64" s="17">
        <v>-0.27257656645125034</v>
      </c>
      <c r="I64" s="2" t="s">
        <v>167</v>
      </c>
      <c r="J64" s="23">
        <v>-0.11187656645125033</v>
      </c>
      <c r="K64" s="18">
        <v>3430.4187128456979</v>
      </c>
      <c r="L64" s="2" t="s">
        <v>250</v>
      </c>
    </row>
    <row r="65" spans="1:12">
      <c r="A65" s="2" t="s">
        <v>189</v>
      </c>
      <c r="B65" s="2" t="s">
        <v>190</v>
      </c>
      <c r="C65" s="3">
        <v>30</v>
      </c>
      <c r="D65" s="2">
        <v>30831</v>
      </c>
      <c r="E65" s="2" t="str">
        <f>_xlfn.XLOOKUP(A65,[1]Snapshot_details!$A$1:$A$2859,[1]Snapshot_details!$AB$1:$AB$2859)</f>
        <v>Fabcity</v>
      </c>
      <c r="F65" s="25">
        <v>34576</v>
      </c>
      <c r="G65" s="25">
        <v>-3745</v>
      </c>
      <c r="H65" s="17">
        <v>-0.12146865168174889</v>
      </c>
      <c r="I65" s="2" t="s">
        <v>100</v>
      </c>
      <c r="J65" s="23">
        <v>-9.3668651681748899E-2</v>
      </c>
      <c r="K65" s="18">
        <v>2809.7861451644276</v>
      </c>
      <c r="L65" s="2"/>
    </row>
    <row r="66" spans="1:12">
      <c r="A66" s="2" t="s">
        <v>191</v>
      </c>
      <c r="B66" s="2" t="s">
        <v>192</v>
      </c>
      <c r="C66" s="3">
        <v>30</v>
      </c>
      <c r="D66" s="2">
        <v>20864</v>
      </c>
      <c r="E66" s="2" t="str">
        <f>_xlfn.XLOOKUP(A66,[1]Snapshot_details!$A$1:$A$2859,[1]Snapshot_details!$AB$1:$AB$2859)</f>
        <v>Fabcity</v>
      </c>
      <c r="F66" s="25">
        <v>24419</v>
      </c>
      <c r="G66" s="25">
        <v>-3555</v>
      </c>
      <c r="H66" s="17">
        <v>-0.17038918711656442</v>
      </c>
      <c r="I66" s="2" t="s">
        <v>158</v>
      </c>
      <c r="J66" s="23">
        <v>-8.4689187116564424E-2</v>
      </c>
      <c r="K66" s="18">
        <v>1627.4801510546167</v>
      </c>
      <c r="L66" s="2"/>
    </row>
    <row r="67" spans="1:12">
      <c r="E67" s="12"/>
      <c r="K67" s="19">
        <f>SUM(K60:K66)</f>
        <v>17294.24339394227</v>
      </c>
    </row>
    <row r="68" spans="1:12">
      <c r="E68" s="12"/>
    </row>
    <row r="69" spans="1:12">
      <c r="E69" s="12"/>
      <c r="J69" s="13" t="s">
        <v>193</v>
      </c>
      <c r="K69" s="19">
        <f>K67+K57+K44+K16</f>
        <v>200282.42443206516</v>
      </c>
    </row>
    <row r="70" spans="1:12">
      <c r="E70" s="12"/>
      <c r="J70" s="6"/>
      <c r="K70" s="12"/>
    </row>
    <row r="71" spans="1:12">
      <c r="E71" s="12"/>
      <c r="J71" s="6"/>
      <c r="K71" s="12"/>
    </row>
    <row r="72" spans="1:12">
      <c r="E72" s="12"/>
      <c r="J72" s="6"/>
      <c r="K72" s="12"/>
    </row>
    <row r="73" spans="1:12">
      <c r="E73" s="12"/>
      <c r="J73" s="6"/>
      <c r="K73" s="12"/>
    </row>
    <row r="74" spans="1:12">
      <c r="E74" s="12"/>
      <c r="J74" s="6"/>
      <c r="K74" s="12"/>
    </row>
    <row r="75" spans="1:12">
      <c r="E75" s="12"/>
      <c r="J75" s="6"/>
      <c r="K75" s="12"/>
    </row>
    <row r="76" spans="1:12">
      <c r="E76" s="12"/>
      <c r="J76" s="6"/>
      <c r="K76" s="12"/>
    </row>
    <row r="77" spans="1:12">
      <c r="E77" s="12"/>
      <c r="J77" s="6"/>
      <c r="K77" s="12"/>
    </row>
    <row r="78" spans="1:12">
      <c r="E78" s="12"/>
      <c r="J78" s="6"/>
      <c r="K78" s="12"/>
    </row>
    <row r="79" spans="1:12">
      <c r="E79" s="12"/>
      <c r="J79" s="6"/>
      <c r="K79" s="12"/>
    </row>
    <row r="80" spans="1:12">
      <c r="E80" s="12"/>
      <c r="J80" s="6"/>
      <c r="K80" s="12"/>
    </row>
    <row r="81" spans="5:11">
      <c r="E81" s="12"/>
      <c r="J81" s="6"/>
      <c r="K81" s="12"/>
    </row>
    <row r="82" spans="5:11">
      <c r="E82" s="12"/>
      <c r="J82" s="6"/>
      <c r="K82" s="12"/>
    </row>
    <row r="83" spans="5:11">
      <c r="E83" s="12"/>
      <c r="J83" s="6"/>
      <c r="K83" s="12"/>
    </row>
    <row r="84" spans="5:11">
      <c r="E84" s="12"/>
      <c r="J84" s="6"/>
      <c r="K84" s="12"/>
    </row>
    <row r="85" spans="5:11">
      <c r="E85" s="12"/>
      <c r="J85" s="6"/>
      <c r="K85" s="12"/>
    </row>
    <row r="86" spans="5:11">
      <c r="E86" s="12"/>
      <c r="J86" s="6"/>
      <c r="K86" s="12"/>
    </row>
    <row r="87" spans="5:11">
      <c r="E87" s="12"/>
      <c r="J87" s="6"/>
      <c r="K87" s="12"/>
    </row>
    <row r="88" spans="5:11">
      <c r="E88" s="12"/>
      <c r="J88" s="6"/>
      <c r="K88" s="12"/>
    </row>
    <row r="89" spans="5:11">
      <c r="E89" s="12"/>
      <c r="J89" s="6"/>
      <c r="K89" s="12"/>
    </row>
    <row r="90" spans="5:11">
      <c r="E90" s="12"/>
      <c r="J90" s="6"/>
      <c r="K90" s="12"/>
    </row>
    <row r="91" spans="5:11">
      <c r="E91" s="12"/>
      <c r="J91" s="6"/>
      <c r="K91" s="12"/>
    </row>
    <row r="92" spans="5:11">
      <c r="E92" s="12"/>
      <c r="J92" s="6"/>
      <c r="K92" s="12"/>
    </row>
    <row r="93" spans="5:11">
      <c r="E93" s="12"/>
      <c r="J93" s="6"/>
      <c r="K93" s="12"/>
    </row>
    <row r="94" spans="5:11">
      <c r="E94" s="12"/>
      <c r="J94" s="6"/>
      <c r="K94" s="12"/>
    </row>
    <row r="95" spans="5:11">
      <c r="E95" s="12"/>
      <c r="J95" s="6"/>
      <c r="K95" s="12"/>
    </row>
    <row r="96" spans="5:11">
      <c r="E96" s="12"/>
      <c r="J96" s="6"/>
      <c r="K96" s="12"/>
    </row>
    <row r="97" spans="5:11">
      <c r="E97" s="12"/>
      <c r="J97" s="6"/>
      <c r="K97" s="12"/>
    </row>
    <row r="98" spans="5:11">
      <c r="E98" s="12"/>
      <c r="J98" s="6"/>
      <c r="K98" s="12"/>
    </row>
    <row r="99" spans="5:11">
      <c r="E99" s="12"/>
      <c r="J99" s="6"/>
      <c r="K99" s="12"/>
    </row>
    <row r="100" spans="5:11">
      <c r="E100" s="12"/>
      <c r="J100" s="6"/>
      <c r="K100" s="12"/>
    </row>
    <row r="101" spans="5:11">
      <c r="E101" s="12"/>
      <c r="J101" s="6"/>
      <c r="K101" s="12"/>
    </row>
    <row r="102" spans="5:11">
      <c r="E102" s="12"/>
      <c r="J102" s="6"/>
      <c r="K102" s="12"/>
    </row>
    <row r="103" spans="5:11">
      <c r="E103" s="12"/>
      <c r="J103" s="6"/>
      <c r="K103" s="12"/>
    </row>
    <row r="104" spans="5:11">
      <c r="E104" s="12"/>
      <c r="J104" s="6"/>
      <c r="K104" s="12"/>
    </row>
    <row r="105" spans="5:11">
      <c r="E105" s="12"/>
      <c r="J105" s="6"/>
      <c r="K105" s="12"/>
    </row>
    <row r="106" spans="5:11">
      <c r="E106" s="12"/>
      <c r="J106" s="6"/>
      <c r="K106" s="12"/>
    </row>
    <row r="107" spans="5:11">
      <c r="E107" s="12"/>
      <c r="J107" s="6"/>
      <c r="K107" s="12"/>
    </row>
    <row r="108" spans="5:11">
      <c r="E108" s="12"/>
      <c r="J108" s="6"/>
      <c r="K108" s="12"/>
    </row>
    <row r="109" spans="5:11">
      <c r="E109" s="12"/>
      <c r="J109" s="6"/>
      <c r="K109" s="12"/>
    </row>
    <row r="110" spans="5:11">
      <c r="E110" s="12"/>
      <c r="J110" s="6"/>
      <c r="K110" s="12"/>
    </row>
    <row r="111" spans="5:11">
      <c r="E111" s="12"/>
      <c r="J111" s="6"/>
      <c r="K111" s="12"/>
    </row>
    <row r="112" spans="5:11">
      <c r="E112" s="12"/>
      <c r="J112" s="6"/>
      <c r="K112" s="12"/>
    </row>
    <row r="113" spans="5:11">
      <c r="E113" s="12"/>
      <c r="J113" s="6"/>
      <c r="K113" s="12"/>
    </row>
    <row r="114" spans="5:11">
      <c r="E114" s="12"/>
      <c r="J114" s="6"/>
      <c r="K114" s="12"/>
    </row>
    <row r="115" spans="5:11">
      <c r="E115" s="12"/>
      <c r="J115" s="6"/>
      <c r="K115" s="12"/>
    </row>
    <row r="116" spans="5:11">
      <c r="E116" s="12"/>
      <c r="J116" s="6"/>
      <c r="K116" s="12"/>
    </row>
    <row r="117" spans="5:11">
      <c r="E117" s="12"/>
      <c r="J117" s="6"/>
      <c r="K117" s="12"/>
    </row>
    <row r="118" spans="5:11">
      <c r="E118" s="12"/>
      <c r="J118" s="6"/>
      <c r="K118" s="12"/>
    </row>
    <row r="119" spans="5:11">
      <c r="E119" s="12"/>
      <c r="J119" s="6"/>
      <c r="K119" s="12"/>
    </row>
    <row r="120" spans="5:11">
      <c r="E120" s="12"/>
      <c r="J120" s="6"/>
      <c r="K120" s="12"/>
    </row>
    <row r="121" spans="5:11">
      <c r="E121" s="12"/>
      <c r="J121" s="6"/>
      <c r="K121" s="12"/>
    </row>
    <row r="122" spans="5:11">
      <c r="E122" s="12"/>
      <c r="J122" s="6"/>
      <c r="K122" s="12"/>
    </row>
    <row r="123" spans="5:11">
      <c r="E123" s="12"/>
      <c r="J123" s="6"/>
      <c r="K123" s="12"/>
    </row>
    <row r="124" spans="5:11">
      <c r="E124" s="12"/>
      <c r="J124" s="6"/>
      <c r="K124" s="12"/>
    </row>
    <row r="125" spans="5:11">
      <c r="E125" s="12"/>
      <c r="J125" s="6"/>
      <c r="K125" s="12"/>
    </row>
    <row r="126" spans="5:11">
      <c r="E126" s="12"/>
      <c r="J126" s="6"/>
      <c r="K126" s="12"/>
    </row>
    <row r="127" spans="5:11">
      <c r="E127" s="12"/>
      <c r="J127" s="6"/>
      <c r="K127" s="12"/>
    </row>
    <row r="128" spans="5:11">
      <c r="E128" s="12"/>
      <c r="J128" s="6"/>
      <c r="K128" s="12"/>
    </row>
    <row r="129" spans="5:11">
      <c r="E129" s="12"/>
      <c r="J129" s="6"/>
      <c r="K129" s="12"/>
    </row>
    <row r="130" spans="5:11">
      <c r="E130" s="12"/>
      <c r="J130" s="6"/>
      <c r="K130" s="12"/>
    </row>
    <row r="131" spans="5:11">
      <c r="E131" s="12"/>
      <c r="J131" s="6"/>
      <c r="K131" s="12"/>
    </row>
    <row r="132" spans="5:11">
      <c r="E132" s="12"/>
      <c r="J132" s="6"/>
      <c r="K132" s="12"/>
    </row>
    <row r="133" spans="5:11">
      <c r="E133" s="12"/>
      <c r="J133" s="6"/>
      <c r="K133" s="12"/>
    </row>
    <row r="134" spans="5:11">
      <c r="E134" s="12"/>
      <c r="J134" s="6"/>
      <c r="K134" s="12"/>
    </row>
    <row r="135" spans="5:11">
      <c r="E135" s="12"/>
      <c r="J135" s="6"/>
      <c r="K135" s="12"/>
    </row>
    <row r="136" spans="5:11">
      <c r="E136" s="12"/>
      <c r="J136" s="6"/>
      <c r="K136" s="12"/>
    </row>
    <row r="137" spans="5:11">
      <c r="E137" s="12"/>
      <c r="J137" s="6"/>
      <c r="K137" s="12"/>
    </row>
    <row r="138" spans="5:11">
      <c r="E138" s="12"/>
      <c r="J138" s="6"/>
      <c r="K138" s="12"/>
    </row>
    <row r="139" spans="5:11">
      <c r="E139" s="12"/>
      <c r="J139" s="6"/>
      <c r="K139" s="12"/>
    </row>
    <row r="140" spans="5:11">
      <c r="E140" s="12"/>
      <c r="J140" s="6"/>
      <c r="K140" s="12"/>
    </row>
    <row r="141" spans="5:11">
      <c r="E141" s="12"/>
      <c r="J141" s="6"/>
      <c r="K141" s="12"/>
    </row>
    <row r="142" spans="5:11">
      <c r="E142" s="12"/>
      <c r="J142" s="6"/>
      <c r="K142" s="12"/>
    </row>
    <row r="143" spans="5:11">
      <c r="E143" s="12"/>
      <c r="J143" s="6"/>
      <c r="K143" s="12"/>
    </row>
    <row r="144" spans="5:11">
      <c r="E144" s="12"/>
      <c r="J144" s="6"/>
      <c r="K144" s="12"/>
    </row>
    <row r="145" spans="5:11">
      <c r="E145" s="12"/>
      <c r="J145" s="6"/>
      <c r="K145" s="12"/>
    </row>
    <row r="146" spans="5:11">
      <c r="E146" s="12"/>
      <c r="J146" s="6"/>
      <c r="K146" s="12"/>
    </row>
    <row r="147" spans="5:11">
      <c r="E147" s="12"/>
      <c r="J147" s="6"/>
      <c r="K147" s="12"/>
    </row>
    <row r="148" spans="5:11">
      <c r="E148" s="12"/>
      <c r="J148" s="6"/>
      <c r="K148" s="12"/>
    </row>
    <row r="149" spans="5:11">
      <c r="E149" s="12"/>
      <c r="J149" s="6"/>
      <c r="K149" s="12"/>
    </row>
    <row r="150" spans="5:11">
      <c r="E150" s="12"/>
      <c r="J150" s="6"/>
      <c r="K150" s="12"/>
    </row>
    <row r="151" spans="5:11">
      <c r="E151" s="12"/>
      <c r="J151" s="6"/>
      <c r="K151" s="12"/>
    </row>
    <row r="152" spans="5:11">
      <c r="E152" s="12"/>
      <c r="J152" s="6"/>
      <c r="K152" s="12"/>
    </row>
    <row r="153" spans="5:11">
      <c r="E153" s="12"/>
      <c r="J153" s="6"/>
      <c r="K153" s="12"/>
    </row>
    <row r="154" spans="5:11">
      <c r="E154" s="12"/>
      <c r="J154" s="6"/>
      <c r="K154" s="12"/>
    </row>
    <row r="155" spans="5:11">
      <c r="E155" s="12"/>
      <c r="J155" s="6"/>
      <c r="K155" s="12"/>
    </row>
    <row r="156" spans="5:11">
      <c r="E156" s="12"/>
      <c r="J156" s="6"/>
      <c r="K156" s="12"/>
    </row>
    <row r="157" spans="5:11">
      <c r="E157" s="12"/>
      <c r="J157" s="6"/>
      <c r="K157" s="12"/>
    </row>
    <row r="158" spans="5:11">
      <c r="E158" s="12"/>
      <c r="J158" s="6"/>
      <c r="K158" s="12"/>
    </row>
    <row r="159" spans="5:11">
      <c r="E159" s="12"/>
      <c r="J159" s="6"/>
      <c r="K159" s="12"/>
    </row>
    <row r="160" spans="5:11">
      <c r="E160" s="12"/>
      <c r="J160" s="6"/>
      <c r="K160" s="12"/>
    </row>
    <row r="161" spans="5:11">
      <c r="E161" s="12"/>
      <c r="J161" s="6"/>
      <c r="K161" s="12"/>
    </row>
    <row r="162" spans="5:11">
      <c r="E162" s="12"/>
      <c r="J162" s="6"/>
      <c r="K162" s="12"/>
    </row>
    <row r="163" spans="5:11">
      <c r="E163" s="12"/>
      <c r="J163" s="6"/>
      <c r="K163" s="12"/>
    </row>
    <row r="164" spans="5:11">
      <c r="E164" s="12"/>
      <c r="J164" s="6"/>
      <c r="K164" s="12"/>
    </row>
    <row r="165" spans="5:11">
      <c r="E165" s="12"/>
      <c r="J165" s="6"/>
      <c r="K165" s="12"/>
    </row>
    <row r="166" spans="5:11">
      <c r="E166" s="12"/>
      <c r="J166" s="6"/>
      <c r="K166" s="12"/>
    </row>
    <row r="167" spans="5:11">
      <c r="E167" s="12"/>
      <c r="J167" s="6"/>
      <c r="K167" s="12"/>
    </row>
    <row r="168" spans="5:11">
      <c r="E168" s="12"/>
      <c r="J168" s="6"/>
      <c r="K168" s="12"/>
    </row>
    <row r="169" spans="5:11">
      <c r="E169" s="12"/>
      <c r="J169" s="6"/>
      <c r="K169" s="12"/>
    </row>
    <row r="170" spans="5:11">
      <c r="E170" s="12"/>
      <c r="J170" s="6"/>
      <c r="K170" s="12"/>
    </row>
    <row r="171" spans="5:11">
      <c r="E171" s="12"/>
      <c r="J171" s="6"/>
      <c r="K171" s="12"/>
    </row>
    <row r="172" spans="5:11">
      <c r="E172" s="12"/>
      <c r="J172" s="6"/>
      <c r="K172" s="12"/>
    </row>
    <row r="173" spans="5:11">
      <c r="E173" s="12"/>
      <c r="J173" s="6"/>
      <c r="K173" s="12"/>
    </row>
    <row r="174" spans="5:11">
      <c r="E174" s="12"/>
      <c r="J174" s="6"/>
      <c r="K174" s="12"/>
    </row>
    <row r="175" spans="5:11">
      <c r="E175" s="12"/>
      <c r="J175" s="6"/>
      <c r="K175" s="12"/>
    </row>
    <row r="176" spans="5:11">
      <c r="E176" s="12"/>
      <c r="J176" s="6"/>
      <c r="K176" s="12"/>
    </row>
    <row r="177" spans="5:11">
      <c r="E177" s="12"/>
      <c r="J177" s="6"/>
      <c r="K177" s="12"/>
    </row>
    <row r="178" spans="5:11">
      <c r="E178" s="12"/>
      <c r="J178" s="6"/>
      <c r="K178" s="12"/>
    </row>
    <row r="179" spans="5:11">
      <c r="E179" s="12"/>
      <c r="J179" s="6"/>
      <c r="K179" s="12"/>
    </row>
    <row r="180" spans="5:11">
      <c r="E180" s="12"/>
      <c r="J180" s="6"/>
      <c r="K180" s="12"/>
    </row>
    <row r="181" spans="5:11">
      <c r="E181" s="12"/>
      <c r="J181" s="6"/>
      <c r="K181" s="12"/>
    </row>
    <row r="182" spans="5:11">
      <c r="E182" s="12"/>
      <c r="J182" s="6"/>
      <c r="K182" s="12"/>
    </row>
    <row r="183" spans="5:11">
      <c r="E183" s="12"/>
      <c r="J183" s="6"/>
      <c r="K183" s="12"/>
    </row>
    <row r="184" spans="5:11">
      <c r="E184" s="12"/>
      <c r="J184" s="6"/>
      <c r="K184" s="12"/>
    </row>
    <row r="185" spans="5:11">
      <c r="E185" s="12"/>
      <c r="J185" s="6"/>
      <c r="K185" s="12"/>
    </row>
    <row r="186" spans="5:11">
      <c r="E186" s="12"/>
      <c r="J186" s="6"/>
      <c r="K186" s="12"/>
    </row>
    <row r="187" spans="5:11">
      <c r="E187" s="12"/>
      <c r="J187" s="6"/>
      <c r="K187" s="12"/>
    </row>
    <row r="188" spans="5:11">
      <c r="E188" s="12"/>
      <c r="J188" s="6"/>
      <c r="K188" s="12"/>
    </row>
    <row r="189" spans="5:11">
      <c r="E189" s="12"/>
      <c r="J189" s="6"/>
      <c r="K189" s="12"/>
    </row>
    <row r="190" spans="5:11">
      <c r="E190" s="12"/>
      <c r="J190" s="6"/>
      <c r="K190" s="12"/>
    </row>
    <row r="191" spans="5:11">
      <c r="E191" s="12"/>
      <c r="J191" s="6"/>
      <c r="K191" s="12"/>
    </row>
    <row r="192" spans="5:11">
      <c r="E192" s="12"/>
      <c r="J192" s="6"/>
      <c r="K192" s="12"/>
    </row>
    <row r="193" spans="5:11">
      <c r="E193" s="12"/>
      <c r="J193" s="6"/>
      <c r="K193" s="12"/>
    </row>
    <row r="194" spans="5:11">
      <c r="E194" s="12"/>
      <c r="J194" s="6"/>
      <c r="K194" s="12"/>
    </row>
    <row r="195" spans="5:11">
      <c r="E195" s="12"/>
      <c r="J195" s="6"/>
      <c r="K195" s="12"/>
    </row>
    <row r="196" spans="5:11">
      <c r="E196" s="12"/>
      <c r="J196" s="6"/>
      <c r="K196" s="12"/>
    </row>
    <row r="197" spans="5:11">
      <c r="E197" s="12"/>
      <c r="J197" s="6"/>
      <c r="K197" s="12"/>
    </row>
    <row r="198" spans="5:11">
      <c r="E198" s="12"/>
      <c r="J198" s="6"/>
      <c r="K198" s="12"/>
    </row>
    <row r="199" spans="5:11">
      <c r="E199" s="12"/>
      <c r="J199" s="6"/>
      <c r="K199" s="12"/>
    </row>
    <row r="200" spans="5:11">
      <c r="E200" s="12"/>
      <c r="J200" s="6"/>
      <c r="K200" s="12"/>
    </row>
    <row r="201" spans="5:11">
      <c r="E201" s="12"/>
      <c r="J201" s="6"/>
      <c r="K201" s="12"/>
    </row>
    <row r="202" spans="5:11">
      <c r="E202" s="12"/>
      <c r="J202" s="6"/>
      <c r="K202" s="12"/>
    </row>
    <row r="203" spans="5:11">
      <c r="E203" s="12"/>
      <c r="J203" s="6"/>
      <c r="K203" s="12"/>
    </row>
    <row r="204" spans="5:11">
      <c r="E204" s="12"/>
      <c r="J204" s="6"/>
      <c r="K204" s="12"/>
    </row>
    <row r="205" spans="5:11">
      <c r="E205" s="12"/>
      <c r="J205" s="6"/>
      <c r="K205" s="12"/>
    </row>
    <row r="206" spans="5:11">
      <c r="E206" s="12"/>
      <c r="J206" s="6"/>
      <c r="K206" s="12"/>
    </row>
    <row r="207" spans="5:11">
      <c r="E207" s="12"/>
      <c r="J207" s="6"/>
      <c r="K207" s="12"/>
    </row>
    <row r="208" spans="5:11">
      <c r="E208" s="12"/>
      <c r="J208" s="6"/>
      <c r="K208" s="12"/>
    </row>
    <row r="209" spans="5:11">
      <c r="E209" s="12"/>
      <c r="J209" s="6"/>
      <c r="K209" s="12"/>
    </row>
    <row r="210" spans="5:11">
      <c r="E210" s="12"/>
      <c r="J210" s="6"/>
      <c r="K210" s="12"/>
    </row>
    <row r="211" spans="5:11">
      <c r="E211" s="12"/>
      <c r="J211" s="6"/>
      <c r="K211" s="12"/>
    </row>
    <row r="212" spans="5:11">
      <c r="E212" s="12"/>
      <c r="J212" s="6"/>
      <c r="K212" s="12"/>
    </row>
    <row r="213" spans="5:11">
      <c r="E213" s="12"/>
      <c r="J213" s="6"/>
      <c r="K213" s="12"/>
    </row>
    <row r="214" spans="5:11">
      <c r="E214" s="12"/>
      <c r="J214" s="6"/>
      <c r="K214" s="12"/>
    </row>
    <row r="215" spans="5:11">
      <c r="E215" s="12"/>
      <c r="J215" s="6"/>
      <c r="K215" s="12"/>
    </row>
    <row r="216" spans="5:11">
      <c r="E216" s="12"/>
      <c r="J216" s="6"/>
      <c r="K216" s="12"/>
    </row>
    <row r="217" spans="5:11">
      <c r="E217" s="12"/>
      <c r="J217" s="6"/>
      <c r="K217" s="12"/>
    </row>
    <row r="218" spans="5:11">
      <c r="E218" s="12"/>
      <c r="J218" s="6"/>
      <c r="K218" s="12"/>
    </row>
    <row r="219" spans="5:11">
      <c r="E219" s="12"/>
      <c r="J219" s="6"/>
      <c r="K219" s="12"/>
    </row>
    <row r="220" spans="5:11">
      <c r="E220" s="12"/>
      <c r="J220" s="6"/>
      <c r="K220" s="12"/>
    </row>
    <row r="221" spans="5:11">
      <c r="E221" s="12"/>
      <c r="J221" s="6"/>
      <c r="K221" s="12"/>
    </row>
    <row r="222" spans="5:11">
      <c r="E222" s="12"/>
      <c r="J222" s="6"/>
      <c r="K222" s="12"/>
    </row>
    <row r="223" spans="5:11">
      <c r="E223" s="12"/>
      <c r="J223" s="6"/>
      <c r="K223" s="12"/>
    </row>
    <row r="224" spans="5:11">
      <c r="E224" s="12"/>
      <c r="J224" s="6"/>
      <c r="K224" s="12"/>
    </row>
    <row r="225" spans="5:11">
      <c r="E225" s="12"/>
      <c r="J225" s="6"/>
      <c r="K225" s="12"/>
    </row>
    <row r="226" spans="5:11">
      <c r="E226" s="12"/>
      <c r="J226" s="6"/>
      <c r="K226" s="12"/>
    </row>
    <row r="227" spans="5:11">
      <c r="E227" s="12"/>
      <c r="J227" s="6"/>
      <c r="K227" s="12"/>
    </row>
    <row r="228" spans="5:11">
      <c r="E228" s="12"/>
      <c r="J228" s="6"/>
      <c r="K228" s="12"/>
    </row>
    <row r="229" spans="5:11">
      <c r="E229" s="12"/>
      <c r="J229" s="6"/>
      <c r="K229" s="12"/>
    </row>
    <row r="230" spans="5:11">
      <c r="E230" s="12"/>
      <c r="J230" s="6"/>
      <c r="K230" s="12"/>
    </row>
    <row r="231" spans="5:11">
      <c r="E231" s="12"/>
      <c r="J231" s="6"/>
      <c r="K231" s="12"/>
    </row>
    <row r="232" spans="5:11">
      <c r="E232" s="12"/>
      <c r="J232" s="6"/>
      <c r="K232" s="12"/>
    </row>
    <row r="233" spans="5:11">
      <c r="E233" s="12"/>
      <c r="J233" s="6"/>
      <c r="K233" s="12"/>
    </row>
    <row r="234" spans="5:11">
      <c r="E234" s="12"/>
      <c r="J234" s="6"/>
      <c r="K234" s="12"/>
    </row>
    <row r="235" spans="5:11">
      <c r="E235" s="12"/>
      <c r="J235" s="6"/>
      <c r="K235" s="12"/>
    </row>
    <row r="236" spans="5:11">
      <c r="E236" s="12"/>
      <c r="J236" s="6"/>
      <c r="K236" s="12"/>
    </row>
    <row r="237" spans="5:11">
      <c r="E237" s="12"/>
      <c r="J237" s="6"/>
      <c r="K237" s="12"/>
    </row>
    <row r="238" spans="5:11">
      <c r="E238" s="12"/>
      <c r="J238" s="6"/>
      <c r="K238" s="12"/>
    </row>
    <row r="239" spans="5:11">
      <c r="E239" s="12"/>
      <c r="J239" s="6"/>
      <c r="K239" s="12"/>
    </row>
    <row r="240" spans="5:11">
      <c r="E240" s="12"/>
      <c r="J240" s="6"/>
      <c r="K240" s="12"/>
    </row>
    <row r="241" spans="5:11">
      <c r="E241" s="12"/>
      <c r="J241" s="6"/>
      <c r="K241" s="12"/>
    </row>
    <row r="242" spans="5:11">
      <c r="E242" s="12"/>
      <c r="J242" s="6"/>
      <c r="K242" s="12"/>
    </row>
    <row r="243" spans="5:11">
      <c r="E243" s="12"/>
      <c r="J243" s="6"/>
      <c r="K243" s="12"/>
    </row>
    <row r="244" spans="5:11">
      <c r="E244" s="12"/>
      <c r="J244" s="6"/>
      <c r="K244" s="12"/>
    </row>
    <row r="245" spans="5:11">
      <c r="E245" s="12"/>
      <c r="J245" s="6"/>
      <c r="K245" s="12"/>
    </row>
    <row r="246" spans="5:11">
      <c r="E246" s="12"/>
      <c r="J246" s="6"/>
      <c r="K246" s="12"/>
    </row>
    <row r="247" spans="5:11">
      <c r="E247" s="12"/>
      <c r="J247" s="6"/>
      <c r="K247" s="12"/>
    </row>
    <row r="248" spans="5:11">
      <c r="E248" s="12"/>
      <c r="J248" s="6"/>
      <c r="K248" s="12"/>
    </row>
    <row r="249" spans="5:11">
      <c r="E249" s="12"/>
      <c r="J249" s="6"/>
      <c r="K249" s="12"/>
    </row>
    <row r="250" spans="5:11">
      <c r="E250" s="12"/>
      <c r="J250" s="6"/>
      <c r="K250" s="12"/>
    </row>
    <row r="251" spans="5:11">
      <c r="E251" s="12"/>
      <c r="J251" s="6"/>
      <c r="K251" s="12"/>
    </row>
    <row r="252" spans="5:11">
      <c r="E252" s="12"/>
      <c r="J252" s="6"/>
      <c r="K252" s="12"/>
    </row>
    <row r="253" spans="5:11">
      <c r="E253" s="12"/>
      <c r="J253" s="6"/>
      <c r="K253" s="12"/>
    </row>
    <row r="254" spans="5:11">
      <c r="E254" s="12"/>
      <c r="J254" s="6"/>
      <c r="K254" s="12"/>
    </row>
    <row r="255" spans="5:11">
      <c r="E255" s="12"/>
      <c r="J255" s="6"/>
      <c r="K255" s="12"/>
    </row>
    <row r="256" spans="5:11">
      <c r="E256" s="12"/>
      <c r="J256" s="6"/>
      <c r="K256" s="12"/>
    </row>
    <row r="257" spans="5:11">
      <c r="E257" s="12"/>
      <c r="J257" s="6"/>
      <c r="K257" s="12"/>
    </row>
    <row r="258" spans="5:11">
      <c r="E258" s="12"/>
      <c r="J258" s="6"/>
      <c r="K258" s="12"/>
    </row>
    <row r="259" spans="5:11">
      <c r="E259" s="12"/>
      <c r="J259" s="6"/>
      <c r="K259" s="12"/>
    </row>
    <row r="260" spans="5:11">
      <c r="E260" s="12"/>
      <c r="J260" s="6"/>
      <c r="K260" s="12"/>
    </row>
    <row r="261" spans="5:11">
      <c r="E261" s="12"/>
      <c r="J261" s="6"/>
      <c r="K261" s="12"/>
    </row>
    <row r="262" spans="5:11">
      <c r="E262" s="12"/>
      <c r="J262" s="6"/>
      <c r="K262" s="12"/>
    </row>
    <row r="263" spans="5:11">
      <c r="E263" s="12"/>
      <c r="J263" s="6"/>
      <c r="K263" s="12"/>
    </row>
    <row r="264" spans="5:11">
      <c r="E264" s="12"/>
      <c r="J264" s="6"/>
      <c r="K264" s="12"/>
    </row>
    <row r="265" spans="5:11">
      <c r="E265" s="12"/>
      <c r="J265" s="6"/>
      <c r="K265" s="12"/>
    </row>
    <row r="266" spans="5:11">
      <c r="E266" s="12"/>
      <c r="J266" s="6"/>
      <c r="K266" s="12"/>
    </row>
    <row r="267" spans="5:11">
      <c r="E267" s="12"/>
      <c r="J267" s="6"/>
      <c r="K267" s="12"/>
    </row>
    <row r="268" spans="5:11">
      <c r="E268" s="12"/>
      <c r="J268" s="6"/>
      <c r="K268" s="12"/>
    </row>
    <row r="269" spans="5:11">
      <c r="E269" s="12"/>
      <c r="J269" s="6"/>
      <c r="K269" s="12"/>
    </row>
    <row r="270" spans="5:11">
      <c r="E270" s="12"/>
      <c r="J270" s="6"/>
      <c r="K270" s="12"/>
    </row>
    <row r="271" spans="5:11">
      <c r="E271" s="12"/>
      <c r="J271" s="6"/>
      <c r="K271" s="12"/>
    </row>
    <row r="272" spans="5:11">
      <c r="E272" s="12"/>
      <c r="J272" s="6"/>
      <c r="K272" s="12"/>
    </row>
    <row r="273" spans="5:11">
      <c r="E273" s="12"/>
      <c r="J273" s="6"/>
      <c r="K273" s="12"/>
    </row>
    <row r="274" spans="5:11">
      <c r="E274" s="12"/>
      <c r="J274" s="6"/>
      <c r="K274" s="12"/>
    </row>
    <row r="275" spans="5:11">
      <c r="E275" s="12"/>
      <c r="J275" s="6"/>
      <c r="K275" s="12"/>
    </row>
    <row r="276" spans="5:11">
      <c r="E276" s="12"/>
      <c r="J276" s="6"/>
      <c r="K276" s="12"/>
    </row>
    <row r="277" spans="5:11">
      <c r="E277" s="12"/>
      <c r="J277" s="6"/>
      <c r="K277" s="12"/>
    </row>
    <row r="278" spans="5:11">
      <c r="E278" s="12"/>
      <c r="J278" s="6"/>
      <c r="K278" s="12"/>
    </row>
    <row r="279" spans="5:11">
      <c r="E279" s="12"/>
      <c r="J279" s="6"/>
      <c r="K279" s="12"/>
    </row>
    <row r="280" spans="5:11">
      <c r="E280" s="12"/>
      <c r="J280" s="6"/>
      <c r="K280" s="12"/>
    </row>
    <row r="281" spans="5:11">
      <c r="E281" s="12"/>
      <c r="J281" s="6"/>
      <c r="K281" s="12"/>
    </row>
    <row r="282" spans="5:11">
      <c r="E282" s="12"/>
      <c r="J282" s="6"/>
      <c r="K282" s="12"/>
    </row>
    <row r="283" spans="5:11">
      <c r="E283" s="12"/>
      <c r="J283" s="6"/>
      <c r="K283" s="12"/>
    </row>
    <row r="284" spans="5:11">
      <c r="E284" s="12"/>
      <c r="J284" s="6"/>
      <c r="K284" s="12"/>
    </row>
    <row r="285" spans="5:11">
      <c r="E285" s="12"/>
      <c r="J285" s="6"/>
      <c r="K285" s="12"/>
    </row>
    <row r="286" spans="5:11">
      <c r="E286" s="12"/>
      <c r="J286" s="6"/>
      <c r="K286" s="12"/>
    </row>
    <row r="287" spans="5:11">
      <c r="E287" s="12"/>
      <c r="J287" s="6"/>
      <c r="K287" s="12"/>
    </row>
    <row r="288" spans="5:11">
      <c r="E288" s="12"/>
      <c r="J288" s="6"/>
      <c r="K288" s="12"/>
    </row>
    <row r="289" spans="5:11">
      <c r="E289" s="12"/>
      <c r="J289" s="6"/>
      <c r="K289" s="12"/>
    </row>
    <row r="290" spans="5:11">
      <c r="E290" s="12"/>
      <c r="J290" s="6"/>
      <c r="K290" s="12"/>
    </row>
    <row r="291" spans="5:11">
      <c r="E291" s="12"/>
      <c r="J291" s="6"/>
      <c r="K291" s="12"/>
    </row>
    <row r="292" spans="5:11">
      <c r="E292" s="12"/>
      <c r="J292" s="6"/>
      <c r="K292" s="12"/>
    </row>
    <row r="293" spans="5:11">
      <c r="E293" s="12"/>
      <c r="J293" s="6"/>
      <c r="K293" s="12"/>
    </row>
    <row r="294" spans="5:11">
      <c r="E294" s="12"/>
      <c r="J294" s="6"/>
      <c r="K294" s="12"/>
    </row>
    <row r="295" spans="5:11">
      <c r="E295" s="12"/>
      <c r="J295" s="6"/>
      <c r="K295" s="12"/>
    </row>
    <row r="296" spans="5:11">
      <c r="E296" s="12"/>
      <c r="J296" s="6"/>
      <c r="K296" s="12"/>
    </row>
    <row r="297" spans="5:11">
      <c r="E297" s="12"/>
      <c r="J297" s="6"/>
      <c r="K297" s="12"/>
    </row>
    <row r="298" spans="5:11">
      <c r="E298" s="12"/>
      <c r="J298" s="6"/>
      <c r="K298" s="12"/>
    </row>
    <row r="299" spans="5:11">
      <c r="E299" s="12"/>
      <c r="J299" s="6"/>
      <c r="K299" s="12"/>
    </row>
    <row r="300" spans="5:11">
      <c r="E300" s="12"/>
      <c r="J300" s="6"/>
      <c r="K300" s="12"/>
    </row>
    <row r="301" spans="5:11">
      <c r="E301" s="12"/>
      <c r="J301" s="6"/>
      <c r="K301" s="12"/>
    </row>
    <row r="302" spans="5:11">
      <c r="E302" s="12"/>
      <c r="J302" s="6"/>
      <c r="K302" s="12"/>
    </row>
    <row r="303" spans="5:11">
      <c r="E303" s="12"/>
      <c r="J303" s="6"/>
      <c r="K303" s="12"/>
    </row>
    <row r="304" spans="5:11">
      <c r="E304" s="12"/>
      <c r="J304" s="6"/>
      <c r="K304" s="12"/>
    </row>
    <row r="305" spans="5:11">
      <c r="E305" s="12"/>
      <c r="J305" s="6"/>
      <c r="K305" s="12"/>
    </row>
    <row r="306" spans="5:11">
      <c r="E306" s="12"/>
      <c r="J306" s="6"/>
      <c r="K306" s="12"/>
    </row>
    <row r="307" spans="5:11">
      <c r="E307" s="12"/>
      <c r="J307" s="6"/>
      <c r="K307" s="12"/>
    </row>
    <row r="308" spans="5:11">
      <c r="E308" s="12"/>
      <c r="J308" s="6"/>
      <c r="K308" s="12"/>
    </row>
    <row r="309" spans="5:11">
      <c r="E309" s="12"/>
      <c r="J309" s="6"/>
      <c r="K309" s="12"/>
    </row>
    <row r="310" spans="5:11">
      <c r="E310" s="12"/>
      <c r="J310" s="6"/>
      <c r="K310" s="12"/>
    </row>
    <row r="311" spans="5:11">
      <c r="E311" s="12"/>
      <c r="J311" s="6"/>
      <c r="K311" s="12"/>
    </row>
    <row r="312" spans="5:11">
      <c r="E312" s="12"/>
      <c r="J312" s="6"/>
      <c r="K312" s="12"/>
    </row>
    <row r="313" spans="5:11">
      <c r="E313" s="12"/>
      <c r="J313" s="6"/>
      <c r="K313" s="12"/>
    </row>
    <row r="314" spans="5:11">
      <c r="E314" s="12"/>
      <c r="J314" s="6"/>
      <c r="K314" s="12"/>
    </row>
    <row r="315" spans="5:11">
      <c r="E315" s="12"/>
      <c r="J315" s="6"/>
      <c r="K315" s="12"/>
    </row>
    <row r="316" spans="5:11">
      <c r="E316" s="12"/>
      <c r="J316" s="6"/>
      <c r="K316" s="12"/>
    </row>
    <row r="317" spans="5:11">
      <c r="E317" s="12"/>
      <c r="J317" s="6"/>
      <c r="K317" s="12"/>
    </row>
    <row r="318" spans="5:11">
      <c r="E318" s="12"/>
      <c r="J318" s="6"/>
      <c r="K318" s="12"/>
    </row>
    <row r="319" spans="5:11">
      <c r="E319" s="12"/>
      <c r="J319" s="6"/>
      <c r="K319" s="12"/>
    </row>
    <row r="320" spans="5:11">
      <c r="E320" s="12"/>
      <c r="J320" s="6"/>
      <c r="K320" s="12"/>
    </row>
    <row r="321" spans="5:11">
      <c r="E321" s="12"/>
      <c r="J321" s="6"/>
      <c r="K321" s="12"/>
    </row>
    <row r="322" spans="5:11">
      <c r="E322" s="12"/>
      <c r="J322" s="6"/>
      <c r="K322" s="12"/>
    </row>
    <row r="323" spans="5:11">
      <c r="E323" s="12"/>
      <c r="J323" s="6"/>
      <c r="K323" s="12"/>
    </row>
    <row r="324" spans="5:11">
      <c r="E324" s="12"/>
      <c r="J324" s="6"/>
      <c r="K324" s="12"/>
    </row>
    <row r="325" spans="5:11">
      <c r="E325" s="12"/>
      <c r="J325" s="6"/>
      <c r="K325" s="12"/>
    </row>
    <row r="326" spans="5:11">
      <c r="E326" s="12"/>
      <c r="J326" s="6"/>
      <c r="K326" s="12"/>
    </row>
    <row r="327" spans="5:11">
      <c r="E327" s="12"/>
      <c r="J327" s="6"/>
      <c r="K327" s="12"/>
    </row>
    <row r="328" spans="5:11">
      <c r="E328" s="12"/>
      <c r="J328" s="6"/>
      <c r="K328" s="12"/>
    </row>
    <row r="329" spans="5:11">
      <c r="E329" s="12"/>
      <c r="J329" s="6"/>
      <c r="K329" s="12"/>
    </row>
    <row r="330" spans="5:11">
      <c r="E330" s="12"/>
      <c r="J330" s="6"/>
      <c r="K330" s="12"/>
    </row>
    <row r="331" spans="5:11">
      <c r="E331" s="12"/>
      <c r="J331" s="6"/>
      <c r="K331" s="12"/>
    </row>
  </sheetData>
  <autoFilter ref="A2:L67" xr:uid="{42646CA1-D0FD-46DF-9A64-4462ECF054CF}"/>
  <conditionalFormatting sqref="D329">
    <cfRule type="duplicateValues" dxfId="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E2EBC-57BB-49A0-8B6B-A9ECC1B8D5C9}">
  <dimension ref="A2:F15"/>
  <sheetViews>
    <sheetView workbookViewId="0">
      <selection activeCell="G4" sqref="G4"/>
    </sheetView>
  </sheetViews>
  <sheetFormatPr defaultRowHeight="14.5"/>
  <cols>
    <col min="1" max="1" width="15.1796875" bestFit="1" customWidth="1"/>
    <col min="2" max="2" width="38.54296875" bestFit="1" customWidth="1"/>
    <col min="3" max="3" width="9.81640625" bestFit="1" customWidth="1"/>
    <col min="4" max="4" width="12.26953125" bestFit="1" customWidth="1"/>
    <col min="5" max="5" width="14.7265625" bestFit="1" customWidth="1"/>
    <col min="6" max="6" width="11.453125" bestFit="1" customWidth="1"/>
  </cols>
  <sheetData>
    <row r="2" spans="1:6">
      <c r="A2" s="14" t="s">
        <v>195</v>
      </c>
      <c r="B2" s="14" t="s">
        <v>1</v>
      </c>
      <c r="C2" s="1" t="s">
        <v>63</v>
      </c>
      <c r="D2" s="14" t="s">
        <v>196</v>
      </c>
      <c r="E2" s="14" t="s">
        <v>197</v>
      </c>
      <c r="F2" s="14" t="s">
        <v>198</v>
      </c>
    </row>
    <row r="3" spans="1:6">
      <c r="A3" s="2" t="s">
        <v>199</v>
      </c>
      <c r="B3" s="2" t="s">
        <v>200</v>
      </c>
      <c r="C3" s="27">
        <v>30</v>
      </c>
      <c r="D3" s="25">
        <v>31924</v>
      </c>
      <c r="E3" s="25">
        <v>36103</v>
      </c>
      <c r="F3" s="26">
        <f>_xlfn.XLOOKUP(A3,[2]Snapshot_details!$A$1:$A$2859,[2]Snapshot_details!$Q$1:$Q$2859)</f>
        <v>45524</v>
      </c>
    </row>
    <row r="4" spans="1:6">
      <c r="A4" s="2" t="s">
        <v>201</v>
      </c>
      <c r="B4" s="2" t="s">
        <v>202</v>
      </c>
      <c r="C4" s="27">
        <v>0</v>
      </c>
      <c r="D4" s="25">
        <v>32331</v>
      </c>
      <c r="E4" s="25">
        <v>3455</v>
      </c>
      <c r="F4" s="26">
        <f>_xlfn.XLOOKUP(A4,[2]Snapshot_details!$A$1:$A$2859,[2]Snapshot_details!$Q$1:$Q$2859)</f>
        <v>45541</v>
      </c>
    </row>
    <row r="5" spans="1:6">
      <c r="A5" s="2" t="s">
        <v>203</v>
      </c>
      <c r="B5" s="2" t="s">
        <v>204</v>
      </c>
      <c r="C5" s="27">
        <v>12</v>
      </c>
      <c r="D5" s="25">
        <v>56309</v>
      </c>
      <c r="E5" s="25">
        <v>23889</v>
      </c>
      <c r="F5" s="26">
        <f>_xlfn.XLOOKUP(A5,[2]Snapshot_details!$A$1:$A$2859,[2]Snapshot_details!$Q$1:$Q$2859)</f>
        <v>45554</v>
      </c>
    </row>
    <row r="6" spans="1:6">
      <c r="A6" s="2" t="s">
        <v>205</v>
      </c>
      <c r="B6" s="2" t="s">
        <v>206</v>
      </c>
      <c r="C6" s="27">
        <v>8.5</v>
      </c>
      <c r="D6" s="25">
        <v>42385</v>
      </c>
      <c r="E6" s="25">
        <v>14219</v>
      </c>
      <c r="F6" s="26">
        <f>_xlfn.XLOOKUP(A6,[2]Snapshot_details!$A$1:$A$2859,[2]Snapshot_details!$Q$1:$Q$2859)</f>
        <v>45554</v>
      </c>
    </row>
    <row r="7" spans="1:6">
      <c r="A7" s="2" t="s">
        <v>207</v>
      </c>
      <c r="B7" s="2" t="s">
        <v>208</v>
      </c>
      <c r="C7" s="27">
        <v>0</v>
      </c>
      <c r="D7" s="25">
        <v>30948</v>
      </c>
      <c r="E7" s="25">
        <v>3477</v>
      </c>
      <c r="F7" s="26">
        <f>_xlfn.XLOOKUP(A7,[2]Snapshot_details!$A$1:$A$2859,[2]Snapshot_details!$Q$1:$Q$2859)</f>
        <v>45554</v>
      </c>
    </row>
    <row r="8" spans="1:6">
      <c r="A8" s="2" t="s">
        <v>209</v>
      </c>
      <c r="B8" s="2" t="s">
        <v>210</v>
      </c>
      <c r="C8" s="27">
        <v>6</v>
      </c>
      <c r="D8" s="25">
        <v>57936</v>
      </c>
      <c r="E8" s="25">
        <v>10661</v>
      </c>
      <c r="F8" s="26">
        <f>_xlfn.XLOOKUP(A8,[2]Snapshot_details!$A$1:$A$2859,[2]Snapshot_details!$Q$1:$Q$2859)</f>
        <v>45560</v>
      </c>
    </row>
    <row r="9" spans="1:6">
      <c r="A9" s="2" t="s">
        <v>211</v>
      </c>
      <c r="B9" s="2" t="s">
        <v>212</v>
      </c>
      <c r="C9" s="27">
        <v>8</v>
      </c>
      <c r="D9" s="25">
        <v>26232</v>
      </c>
      <c r="E9" s="25">
        <v>6405</v>
      </c>
      <c r="F9" s="26">
        <f>_xlfn.XLOOKUP(A9,[2]Snapshot_details!$A$1:$A$2859,[2]Snapshot_details!$Q$1:$Q$2859)</f>
        <v>45558</v>
      </c>
    </row>
    <row r="10" spans="1:6">
      <c r="A10" s="2" t="s">
        <v>213</v>
      </c>
      <c r="B10" s="2" t="s">
        <v>214</v>
      </c>
      <c r="C10" s="27">
        <v>19</v>
      </c>
      <c r="D10" s="25">
        <v>71826</v>
      </c>
      <c r="E10" s="25">
        <v>43490</v>
      </c>
      <c r="F10" s="26">
        <f>_xlfn.XLOOKUP(A10,[2]Snapshot_details!$A$1:$A$2859,[2]Snapshot_details!$Q$1:$Q$2859)</f>
        <v>45547</v>
      </c>
    </row>
    <row r="11" spans="1:6">
      <c r="A11" s="2" t="s">
        <v>215</v>
      </c>
      <c r="B11" s="2" t="s">
        <v>216</v>
      </c>
      <c r="C11" s="27">
        <v>11.5</v>
      </c>
      <c r="D11" s="25">
        <v>75001</v>
      </c>
      <c r="E11" s="25">
        <v>26748</v>
      </c>
      <c r="F11" s="26">
        <f>_xlfn.XLOOKUP(A11,[2]Snapshot_details!$A$1:$A$2859,[2]Snapshot_details!$Q$1:$Q$2859)</f>
        <v>45551</v>
      </c>
    </row>
    <row r="12" spans="1:6">
      <c r="A12" s="2" t="s">
        <v>217</v>
      </c>
      <c r="B12" s="2" t="s">
        <v>218</v>
      </c>
      <c r="C12" s="27">
        <v>0</v>
      </c>
      <c r="D12" s="25">
        <v>27288</v>
      </c>
      <c r="E12" s="25">
        <v>3432</v>
      </c>
      <c r="F12" s="26">
        <f>_xlfn.XLOOKUP(A12,[2]Snapshot_details!$A$1:$A$2859,[2]Snapshot_details!$Q$1:$Q$2859)</f>
        <v>45555</v>
      </c>
    </row>
    <row r="13" spans="1:6">
      <c r="A13" s="2" t="s">
        <v>219</v>
      </c>
      <c r="B13" s="2" t="s">
        <v>220</v>
      </c>
      <c r="C13" s="27">
        <v>27</v>
      </c>
      <c r="D13" s="25">
        <v>63509</v>
      </c>
      <c r="E13" s="25">
        <v>55158</v>
      </c>
      <c r="F13" s="26">
        <f>_xlfn.XLOOKUP(A13,[2]Snapshot_details!$A$1:$A$2859,[2]Snapshot_details!$Q$1:$Q$2859)</f>
        <v>45537</v>
      </c>
    </row>
    <row r="14" spans="1:6">
      <c r="A14" s="2" t="s">
        <v>221</v>
      </c>
      <c r="B14" s="2" t="s">
        <v>222</v>
      </c>
      <c r="C14" s="27">
        <v>7</v>
      </c>
      <c r="D14" s="25">
        <v>32087</v>
      </c>
      <c r="E14" s="25">
        <v>6842</v>
      </c>
      <c r="F14" s="26">
        <f>_xlfn.XLOOKUP(A14,[2]Snapshot_details!$A$1:$A$2859,[2]Snapshot_details!$Q$1:$Q$2859)</f>
        <v>45559</v>
      </c>
    </row>
    <row r="15" spans="1:6">
      <c r="A15" s="27" t="s">
        <v>223</v>
      </c>
      <c r="B15" s="27" t="s">
        <v>224</v>
      </c>
      <c r="C15" s="27">
        <v>14</v>
      </c>
      <c r="D15" s="25">
        <v>58286</v>
      </c>
      <c r="E15" s="25">
        <v>25200</v>
      </c>
      <c r="F15" s="26">
        <f>_xlfn.XLOOKUP(A15,[2]Snapshot_details!$A$1:$A$2859,[2]Snapshot_details!$Q$1:$Q$2859)</f>
        <v>45552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5CBE-9501-41D8-BF03-EC19D8FDE616}">
  <dimension ref="A2:F6"/>
  <sheetViews>
    <sheetView workbookViewId="0">
      <selection activeCell="G4" sqref="G1:G1048576"/>
    </sheetView>
  </sheetViews>
  <sheetFormatPr defaultRowHeight="14.5"/>
  <cols>
    <col min="1" max="1" width="14.81640625" bestFit="1" customWidth="1"/>
    <col min="2" max="3" width="11.54296875" bestFit="1" customWidth="1"/>
    <col min="4" max="4" width="10.54296875" bestFit="1" customWidth="1"/>
    <col min="5" max="5" width="9.26953125" bestFit="1" customWidth="1"/>
    <col min="6" max="6" width="7" bestFit="1" customWidth="1"/>
  </cols>
  <sheetData>
    <row r="2" spans="1:6" ht="72.5">
      <c r="A2" s="28" t="s">
        <v>225</v>
      </c>
      <c r="B2" s="28" t="s">
        <v>226</v>
      </c>
      <c r="C2" s="30" t="s">
        <v>227</v>
      </c>
      <c r="D2" s="28" t="s">
        <v>2</v>
      </c>
      <c r="E2" s="28" t="s">
        <v>28</v>
      </c>
      <c r="F2" s="28" t="s">
        <v>27</v>
      </c>
    </row>
    <row r="3" spans="1:6">
      <c r="A3" s="2" t="s">
        <v>228</v>
      </c>
      <c r="B3" s="25">
        <v>17595658</v>
      </c>
      <c r="C3" s="25">
        <v>17127218</v>
      </c>
      <c r="D3" s="25">
        <f>B3-C3</f>
        <v>468440</v>
      </c>
      <c r="E3" s="2" t="s">
        <v>229</v>
      </c>
      <c r="F3" s="2" t="s">
        <v>56</v>
      </c>
    </row>
    <row r="4" spans="1:6">
      <c r="A4" s="2" t="s">
        <v>230</v>
      </c>
      <c r="B4" s="25">
        <v>15117466</v>
      </c>
      <c r="C4" s="25">
        <v>12424696</v>
      </c>
      <c r="D4" s="25">
        <f>B4-C4</f>
        <v>2692770</v>
      </c>
      <c r="E4" s="2" t="s">
        <v>231</v>
      </c>
      <c r="F4" s="2" t="s">
        <v>56</v>
      </c>
    </row>
    <row r="5" spans="1:6">
      <c r="A5" s="2" t="s">
        <v>230</v>
      </c>
      <c r="B5" s="25">
        <v>15152978</v>
      </c>
      <c r="C5" s="25">
        <v>15100331</v>
      </c>
      <c r="D5" s="25">
        <f>B5-C5</f>
        <v>52647</v>
      </c>
      <c r="E5" s="2" t="s">
        <v>229</v>
      </c>
      <c r="F5" s="2" t="s">
        <v>39</v>
      </c>
    </row>
    <row r="6" spans="1:6">
      <c r="A6" s="2"/>
      <c r="B6" s="25"/>
      <c r="C6" s="25"/>
      <c r="D6" s="29">
        <f>SUM(D3:D5)</f>
        <v>3213857</v>
      </c>
      <c r="E6" s="2"/>
      <c r="F6"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C392-47B5-440C-81B0-4BB97FEBD65C}">
  <sheetPr filterMode="1"/>
  <dimension ref="A1:J27"/>
  <sheetViews>
    <sheetView workbookViewId="0">
      <selection activeCell="H11" sqref="H11"/>
    </sheetView>
  </sheetViews>
  <sheetFormatPr defaultRowHeight="14.5"/>
  <cols>
    <col min="1" max="1" width="15.453125" bestFit="1" customWidth="1"/>
    <col min="2" max="2" width="29.1796875" bestFit="1" customWidth="1"/>
    <col min="3" max="3" width="16.26953125" bestFit="1" customWidth="1"/>
    <col min="4" max="4" width="36.7265625" bestFit="1" customWidth="1"/>
    <col min="5" max="6" width="10.54296875" hidden="1" customWidth="1"/>
    <col min="7" max="7" width="11.453125" customWidth="1"/>
    <col min="8" max="8" width="28.26953125" bestFit="1" customWidth="1"/>
  </cols>
  <sheetData>
    <row r="1" spans="1:10">
      <c r="A1" s="13" t="s">
        <v>310</v>
      </c>
    </row>
    <row r="3" spans="1:10" ht="32.25" customHeight="1">
      <c r="A3" s="50" t="s">
        <v>0</v>
      </c>
      <c r="B3" s="50" t="s">
        <v>1</v>
      </c>
      <c r="C3" s="50" t="s">
        <v>279</v>
      </c>
      <c r="D3" s="50" t="s">
        <v>305</v>
      </c>
      <c r="E3" s="51" t="s">
        <v>306</v>
      </c>
      <c r="F3" s="50" t="s">
        <v>307</v>
      </c>
      <c r="G3" s="51" t="s">
        <v>309</v>
      </c>
      <c r="H3" s="50" t="s">
        <v>280</v>
      </c>
    </row>
    <row r="4" spans="1:10">
      <c r="A4" s="2" t="s">
        <v>281</v>
      </c>
      <c r="B4" s="2" t="s">
        <v>282</v>
      </c>
      <c r="C4" s="2" t="s">
        <v>264</v>
      </c>
      <c r="D4" s="2" t="str">
        <f>_xlfn.XLOOKUP(A4,[3]Snapshot_details!$A$1:$A$2859,[3]Snapshot_details!$Y$1:$Y$2859)</f>
        <v>Senior Technician</v>
      </c>
      <c r="E4" s="25">
        <v>231830</v>
      </c>
      <c r="F4" s="25">
        <f>_xlfn.XLOOKUP(A4,[4]Monthly!$A$1:$A$1699,[4]Monthly!$X$1:$X$1699)</f>
        <v>250376</v>
      </c>
      <c r="G4" s="17">
        <f>(F4-E4)/E4</f>
        <v>7.9998274597765609E-2</v>
      </c>
      <c r="H4" s="2" t="s">
        <v>308</v>
      </c>
      <c r="I4" s="52"/>
      <c r="J4" s="53"/>
    </row>
    <row r="5" spans="1:10">
      <c r="A5" s="2" t="s">
        <v>284</v>
      </c>
      <c r="B5" s="2" t="s">
        <v>285</v>
      </c>
      <c r="C5" s="2" t="s">
        <v>264</v>
      </c>
      <c r="D5" s="2" t="str">
        <f>_xlfn.XLOOKUP(A5,[3]Snapshot_details!$A$1:$A$2859,[3]Snapshot_details!$Y$1:$Y$2859)</f>
        <v>Senior Technician</v>
      </c>
      <c r="E5" s="25">
        <v>231822</v>
      </c>
      <c r="F5" s="25">
        <f>_xlfn.XLOOKUP(A5,[4]Monthly!$A$1:$A$1699,[4]Monthly!$X$1:$X$1699)</f>
        <v>250368</v>
      </c>
      <c r="G5" s="17">
        <f>(F5-E5)/E5</f>
        <v>8.0001035277066021E-2</v>
      </c>
      <c r="H5" s="2" t="s">
        <v>308</v>
      </c>
      <c r="I5" s="52"/>
      <c r="J5" s="53"/>
    </row>
    <row r="6" spans="1:10">
      <c r="A6" s="2" t="s">
        <v>286</v>
      </c>
      <c r="B6" s="2" t="s">
        <v>287</v>
      </c>
      <c r="C6" s="2" t="s">
        <v>264</v>
      </c>
      <c r="D6" s="2" t="str">
        <f>_xlfn.XLOOKUP(A6,[3]Snapshot_details!$A$1:$A$2859,[3]Snapshot_details!$Y$1:$Y$2859)</f>
        <v>Deputy Manager</v>
      </c>
      <c r="E6" s="25">
        <v>1400000</v>
      </c>
      <c r="F6" s="25">
        <f>_xlfn.XLOOKUP(A6,[4]Monthly!$A$1:$A$1699,[4]Monthly!$X$1:$X$1699)</f>
        <v>1720000</v>
      </c>
      <c r="G6" s="17">
        <f>(F6-E6)/E6</f>
        <v>0.22857142857142856</v>
      </c>
      <c r="H6" s="2" t="s">
        <v>288</v>
      </c>
    </row>
    <row r="7" spans="1:10">
      <c r="A7" s="2" t="s">
        <v>89</v>
      </c>
      <c r="B7" s="2" t="s">
        <v>90</v>
      </c>
      <c r="C7" s="2" t="s">
        <v>289</v>
      </c>
      <c r="D7" s="2" t="str">
        <f>_xlfn.XLOOKUP(A7,[3]Snapshot_details!$A$1:$A$2859,[3]Snapshot_details!$Y$1:$Y$2859)</f>
        <v>Senior Executive - Accounts</v>
      </c>
      <c r="E7" s="25">
        <v>580744.23</v>
      </c>
      <c r="F7" s="25">
        <f>_xlfn.XLOOKUP(A7,[4]Monthly!$A$1:$A$1699,[4]Monthly!$X$1:$X$1699)</f>
        <v>720000</v>
      </c>
      <c r="G7" s="17">
        <f t="shared" ref="G7:G27" si="0">(F7-E7)/E7</f>
        <v>0.23978846935767234</v>
      </c>
      <c r="H7" s="2" t="s">
        <v>290</v>
      </c>
    </row>
    <row r="8" spans="1:10">
      <c r="A8" s="2" t="s">
        <v>11</v>
      </c>
      <c r="B8" s="2" t="s">
        <v>12</v>
      </c>
      <c r="C8" s="2" t="s">
        <v>291</v>
      </c>
      <c r="D8" s="2" t="str">
        <f>_xlfn.XLOOKUP(A8,[3]Snapshot_details!$A$1:$A$2859,[3]Snapshot_details!$Y$1:$Y$2859)</f>
        <v>Senior Executive - Finance &amp; Accounts</v>
      </c>
      <c r="E8" s="25">
        <v>591312.54</v>
      </c>
      <c r="F8" s="25">
        <f>_xlfn.XLOOKUP(A8,[4]Monthly!$A$1:$A$1699,[4]Monthly!$X$1:$X$1699)</f>
        <v>720000</v>
      </c>
      <c r="G8" s="17">
        <f t="shared" si="0"/>
        <v>0.21763018927350999</v>
      </c>
      <c r="H8" s="2" t="s">
        <v>290</v>
      </c>
    </row>
    <row r="9" spans="1:10">
      <c r="A9" s="2" t="s">
        <v>292</v>
      </c>
      <c r="B9" s="2" t="s">
        <v>293</v>
      </c>
      <c r="C9" s="2" t="s">
        <v>264</v>
      </c>
      <c r="D9" s="2" t="str">
        <f>_xlfn.XLOOKUP(A9,[3]Snapshot_details!$A$1:$A$2859,[3]Snapshot_details!$Y$1:$Y$2859)</f>
        <v>Senior Engineer - Maintenance</v>
      </c>
      <c r="E9" s="25">
        <v>800920</v>
      </c>
      <c r="F9" s="25">
        <f>_xlfn.XLOOKUP(A9,[4]Monthly!$A$1:$A$1699,[4]Monthly!$X$1:$X$1699)</f>
        <v>910000</v>
      </c>
      <c r="G9" s="17">
        <f t="shared" si="0"/>
        <v>0.13619337761574191</v>
      </c>
      <c r="H9" s="2" t="s">
        <v>288</v>
      </c>
    </row>
    <row r="10" spans="1:10">
      <c r="A10" s="2" t="s">
        <v>85</v>
      </c>
      <c r="B10" s="2" t="s">
        <v>86</v>
      </c>
      <c r="C10" s="2" t="s">
        <v>289</v>
      </c>
      <c r="D10" s="2" t="str">
        <f>_xlfn.XLOOKUP(A10,[3]Snapshot_details!$A$1:$A$2859,[3]Snapshot_details!$Y$1:$Y$2859)</f>
        <v>Senior Executive - Accounts</v>
      </c>
      <c r="E10" s="25">
        <v>626690.52</v>
      </c>
      <c r="F10" s="25">
        <f>_xlfn.XLOOKUP(A10,[4]Monthly!$A$1:$A$1699,[4]Monthly!$X$1:$X$1699)</f>
        <v>720000</v>
      </c>
      <c r="G10" s="17">
        <f t="shared" si="0"/>
        <v>0.14889243896652526</v>
      </c>
      <c r="H10" s="2" t="s">
        <v>290</v>
      </c>
    </row>
    <row r="11" spans="1:10">
      <c r="A11" s="2" t="s">
        <v>294</v>
      </c>
      <c r="B11" s="2" t="s">
        <v>295</v>
      </c>
      <c r="C11" s="2" t="s">
        <v>296</v>
      </c>
      <c r="D11" s="2" t="str">
        <f>_xlfn.XLOOKUP(A11,[3]Snapshot_details!$A$1:$A$2859,[3]Snapshot_details!$Y$1:$Y$2859)</f>
        <v>Fork Lift Driver</v>
      </c>
      <c r="E11" s="25">
        <v>279684</v>
      </c>
      <c r="F11" s="25">
        <f>_xlfn.XLOOKUP(A11,[4]Monthly!$A$1:$A$1699,[4]Monthly!$X$1:$X$1699)</f>
        <v>318840</v>
      </c>
      <c r="G11" s="17">
        <f t="shared" si="0"/>
        <v>0.14000085811129703</v>
      </c>
      <c r="H11" s="2" t="s">
        <v>283</v>
      </c>
    </row>
    <row r="12" spans="1:10">
      <c r="A12" s="2" t="s">
        <v>297</v>
      </c>
      <c r="B12" s="2" t="s">
        <v>298</v>
      </c>
      <c r="C12" s="2" t="s">
        <v>264</v>
      </c>
      <c r="D12" s="2" t="str">
        <f>_xlfn.XLOOKUP(A12,[3]Snapshot_details!$A$1:$A$2859,[3]Snapshot_details!$Y$1:$Y$2859)</f>
        <v>Executive</v>
      </c>
      <c r="E12" s="25">
        <v>440092.66115068493</v>
      </c>
      <c r="F12" s="25">
        <f>_xlfn.XLOOKUP(A12,[4]Monthly!$A$1:$A$1699,[4]Monthly!$X$1:$X$1699)</f>
        <v>475001</v>
      </c>
      <c r="G12" s="17">
        <f t="shared" si="0"/>
        <v>7.9320429379672569E-2</v>
      </c>
      <c r="H12" s="2" t="s">
        <v>299</v>
      </c>
    </row>
    <row r="13" spans="1:10">
      <c r="A13" s="2" t="s">
        <v>83</v>
      </c>
      <c r="B13" s="2" t="s">
        <v>84</v>
      </c>
      <c r="C13" s="2" t="s">
        <v>265</v>
      </c>
      <c r="D13" s="2" t="str">
        <f>_xlfn.XLOOKUP(A13,[3]Snapshot_details!$A$1:$A$2859,[3]Snapshot_details!$Y$1:$Y$2859)</f>
        <v>Vice President - CS, Legal &amp; Compliance</v>
      </c>
      <c r="E13" s="25">
        <v>3296727.75</v>
      </c>
      <c r="F13" s="25">
        <f>_xlfn.XLOOKUP(A13,[4]Monthly!$A$1:$A$1699,[4]Monthly!$X$1:$X$1699)</f>
        <v>3385829</v>
      </c>
      <c r="G13" s="17">
        <f t="shared" si="0"/>
        <v>2.7027178692568713E-2</v>
      </c>
      <c r="H13" s="2" t="s">
        <v>283</v>
      </c>
    </row>
    <row r="14" spans="1:10">
      <c r="A14" s="2" t="s">
        <v>108</v>
      </c>
      <c r="B14" s="2" t="s">
        <v>109</v>
      </c>
      <c r="C14" s="2" t="s">
        <v>264</v>
      </c>
      <c r="D14" s="2" t="str">
        <f>_xlfn.XLOOKUP(A14,[3]Snapshot_details!$A$1:$A$2859,[3]Snapshot_details!$Y$1:$Y$2859)</f>
        <v>Deputy Manager - Technical</v>
      </c>
      <c r="E14" s="25">
        <v>1110005.55</v>
      </c>
      <c r="F14" s="25">
        <f>_xlfn.XLOOKUP(A14,[4]Monthly!$A$1:$A$1699,[4]Monthly!$X$1:$X$1699)</f>
        <v>1140006</v>
      </c>
      <c r="G14" s="17">
        <f t="shared" si="0"/>
        <v>2.7027297295945909E-2</v>
      </c>
      <c r="H14" s="2" t="s">
        <v>300</v>
      </c>
    </row>
    <row r="15" spans="1:10">
      <c r="A15" s="2" t="s">
        <v>182</v>
      </c>
      <c r="B15" s="2" t="s">
        <v>183</v>
      </c>
      <c r="C15" s="2" t="s">
        <v>264</v>
      </c>
      <c r="D15" s="2" t="str">
        <f>_xlfn.XLOOKUP(A15,[3]Snapshot_details!$A$1:$A$2859,[3]Snapshot_details!$Y$1:$Y$2859)</f>
        <v>Supervisor</v>
      </c>
      <c r="E15" s="25">
        <v>398105.28</v>
      </c>
      <c r="F15" s="25">
        <f>_xlfn.XLOOKUP(A15,[4]Monthly!$A$1:$A$1699,[4]Monthly!$X$1:$X$1699)</f>
        <v>497632</v>
      </c>
      <c r="G15" s="17">
        <f t="shared" si="0"/>
        <v>0.25000100475934395</v>
      </c>
      <c r="H15" s="2" t="s">
        <v>301</v>
      </c>
    </row>
    <row r="16" spans="1:10">
      <c r="A16" s="2" t="s">
        <v>187</v>
      </c>
      <c r="B16" s="2" t="s">
        <v>188</v>
      </c>
      <c r="C16" s="2" t="s">
        <v>264</v>
      </c>
      <c r="D16" s="2" t="str">
        <f>_xlfn.XLOOKUP(A16,[3]Snapshot_details!$A$1:$A$2859,[3]Snapshot_details!$Y$1:$Y$2859)</f>
        <v>Assistant Manager</v>
      </c>
      <c r="E16" s="25">
        <v>508032</v>
      </c>
      <c r="F16" s="25">
        <f>_xlfn.XLOOKUP(A16,[4]Monthly!$A$1:$A$1699,[4]Monthly!$X$1:$X$1699)</f>
        <v>589680</v>
      </c>
      <c r="G16" s="17">
        <f t="shared" si="0"/>
        <v>0.16071428571428573</v>
      </c>
      <c r="H16" s="2" t="s">
        <v>301</v>
      </c>
    </row>
    <row r="17" spans="1:8">
      <c r="A17" s="10" t="s">
        <v>178</v>
      </c>
      <c r="B17" s="2" t="s">
        <v>179</v>
      </c>
      <c r="C17" s="2" t="s">
        <v>264</v>
      </c>
      <c r="D17" s="2" t="str">
        <f>_xlfn.XLOOKUP(A17,[3]Snapshot_details!$A$1:$A$2859,[3]Snapshot_details!$Y$1:$Y$2859)</f>
        <v>Driver</v>
      </c>
      <c r="E17" s="25">
        <v>303588</v>
      </c>
      <c r="F17" s="25">
        <f>_xlfn.XLOOKUP(A17,[4]Monthly!$A$1:$A$1699,[4]Monthly!$X$1:$X$1699)</f>
        <v>394664</v>
      </c>
      <c r="G17" s="17">
        <f t="shared" si="0"/>
        <v>0.29999868242486527</v>
      </c>
      <c r="H17" s="2" t="s">
        <v>301</v>
      </c>
    </row>
    <row r="18" spans="1:8">
      <c r="A18" s="10" t="s">
        <v>171</v>
      </c>
      <c r="B18" s="2" t="s">
        <v>302</v>
      </c>
      <c r="C18" s="2" t="s">
        <v>264</v>
      </c>
      <c r="D18" s="2" t="str">
        <f>_xlfn.XLOOKUP(A18,[3]Snapshot_details!$A$1:$A$2859,[3]Snapshot_details!$Y$1:$Y$2859)</f>
        <v>Assistant Manager - Stores</v>
      </c>
      <c r="E18" s="25">
        <v>576520.68000000005</v>
      </c>
      <c r="F18" s="25">
        <f>_xlfn.XLOOKUP(A18,[4]Monthly!$A$1:$A$1699,[4]Monthly!$X$1:$X$1699)</f>
        <v>673852</v>
      </c>
      <c r="G18" s="17">
        <f t="shared" si="0"/>
        <v>0.16882537500649575</v>
      </c>
      <c r="H18" s="2" t="s">
        <v>301</v>
      </c>
    </row>
    <row r="19" spans="1:8">
      <c r="A19" s="10" t="s">
        <v>174</v>
      </c>
      <c r="B19" s="10" t="s">
        <v>175</v>
      </c>
      <c r="C19" s="2" t="s">
        <v>264</v>
      </c>
      <c r="D19" s="2" t="str">
        <f>_xlfn.XLOOKUP(A19,[3]Snapshot_details!$A$1:$A$2859,[3]Snapshot_details!$Y$1:$Y$2859)</f>
        <v>Senior Technician</v>
      </c>
      <c r="E19" s="25">
        <v>211383.36000000002</v>
      </c>
      <c r="F19" s="25">
        <f>_xlfn.XLOOKUP(A19,[4]Monthly!$A$1:$A$1699,[4]Monthly!$X$1:$X$1699)</f>
        <v>250316</v>
      </c>
      <c r="G19" s="17">
        <f t="shared" si="0"/>
        <v>0.18418024957120552</v>
      </c>
      <c r="H19" s="2" t="s">
        <v>301</v>
      </c>
    </row>
    <row r="20" spans="1:8">
      <c r="A20" s="10" t="s">
        <v>168</v>
      </c>
      <c r="B20" s="2" t="s">
        <v>303</v>
      </c>
      <c r="C20" s="2" t="s">
        <v>264</v>
      </c>
      <c r="D20" s="2" t="str">
        <f>_xlfn.XLOOKUP(A20,[3]Snapshot_details!$A$1:$A$2859,[3]Snapshot_details!$Y$1:$Y$2859)</f>
        <v>Senior Technician</v>
      </c>
      <c r="E20" s="25">
        <v>388262.16</v>
      </c>
      <c r="F20" s="25">
        <f>_xlfn.XLOOKUP(A20,[4]Monthly!$A$1:$A$1699,[4]Monthly!$X$1:$X$1699)</f>
        <v>426676</v>
      </c>
      <c r="G20" s="17">
        <f t="shared" si="0"/>
        <v>9.8937892891751353E-2</v>
      </c>
      <c r="H20" s="2" t="s">
        <v>301</v>
      </c>
    </row>
    <row r="21" spans="1:8" hidden="1">
      <c r="A21" s="2" t="s">
        <v>155</v>
      </c>
      <c r="B21" s="2" t="s">
        <v>156</v>
      </c>
      <c r="C21" s="2" t="s">
        <v>289</v>
      </c>
      <c r="D21" s="2" t="str">
        <f>_xlfn.XLOOKUP(A21,[3]Snapshot_details!$A$1:$A$2859,[3]Snapshot_details!$Y$1:$Y$2859)</f>
        <v>Manager - Sales &amp; Operations</v>
      </c>
      <c r="E21" s="25">
        <v>1428189.0410958903</v>
      </c>
      <c r="F21" s="25">
        <f>_xlfn.XLOOKUP(A21,[4]Monthly!$A$1:$A$1699,[4]Monthly!$X$1:$X$1699)</f>
        <v>1550000</v>
      </c>
      <c r="G21" s="17">
        <f t="shared" si="0"/>
        <v>8.5290501046444547E-2</v>
      </c>
      <c r="H21" s="2" t="s">
        <v>304</v>
      </c>
    </row>
    <row r="22" spans="1:8" hidden="1">
      <c r="A22" s="2" t="s">
        <v>79</v>
      </c>
      <c r="B22" s="2" t="s">
        <v>80</v>
      </c>
      <c r="C22" s="2" t="s">
        <v>289</v>
      </c>
      <c r="D22" s="2" t="str">
        <f>_xlfn.XLOOKUP(A22,[3]Snapshot_details!$A$1:$A$2859,[3]Snapshot_details!$Y$1:$Y$2859)</f>
        <v>Senior Executive - MD's Office</v>
      </c>
      <c r="E22" s="25">
        <v>532800</v>
      </c>
      <c r="F22" s="25">
        <f>_xlfn.XLOOKUP(A22,[4]Monthly!$A$1:$A$1699,[4]Monthly!$X$1:$X$1699)</f>
        <v>650000</v>
      </c>
      <c r="G22" s="17">
        <f t="shared" si="0"/>
        <v>0.21996996996996998</v>
      </c>
      <c r="H22" s="2" t="s">
        <v>304</v>
      </c>
    </row>
    <row r="23" spans="1:8" hidden="1">
      <c r="A23" s="2" t="s">
        <v>93</v>
      </c>
      <c r="B23" s="2" t="s">
        <v>94</v>
      </c>
      <c r="C23" s="2" t="s">
        <v>289</v>
      </c>
      <c r="D23" s="2" t="str">
        <f>_xlfn.XLOOKUP(A23,[3]Snapshot_details!$A$1:$A$2859,[3]Snapshot_details!$Y$1:$Y$2859)</f>
        <v>Assistant Manager - Sales &amp; Business Development</v>
      </c>
      <c r="E23" s="25">
        <v>765824.64821917808</v>
      </c>
      <c r="F23" s="25">
        <f>_xlfn.XLOOKUP(A23,[4]Monthly!$A$1:$A$1699,[4]Monthly!$X$1:$X$1699)</f>
        <v>805006</v>
      </c>
      <c r="G23" s="17">
        <f t="shared" si="0"/>
        <v>5.1162301803595468E-2</v>
      </c>
      <c r="H23" s="2" t="s">
        <v>304</v>
      </c>
    </row>
    <row r="24" spans="1:8" hidden="1">
      <c r="A24" s="2" t="s">
        <v>101</v>
      </c>
      <c r="B24" s="2" t="s">
        <v>102</v>
      </c>
      <c r="C24" s="2" t="s">
        <v>264</v>
      </c>
      <c r="D24" s="2" t="str">
        <f>_xlfn.XLOOKUP(A24,[3]Snapshot_details!$A$1:$A$2859,[3]Snapshot_details!$Y$1:$Y$2859)</f>
        <v>Senior Manager</v>
      </c>
      <c r="E24" s="25">
        <v>1762729.95</v>
      </c>
      <c r="F24" s="25">
        <f>_xlfn.XLOOKUP(A24,[4]Monthly!$A$1:$A$1699,[4]Monthly!$X$1:$X$1699)</f>
        <v>1810371</v>
      </c>
      <c r="G24" s="17">
        <f t="shared" si="0"/>
        <v>2.7026856836465534E-2</v>
      </c>
      <c r="H24" s="2" t="s">
        <v>304</v>
      </c>
    </row>
    <row r="25" spans="1:8" hidden="1">
      <c r="A25" s="2" t="s">
        <v>110</v>
      </c>
      <c r="B25" s="2" t="s">
        <v>111</v>
      </c>
      <c r="C25" s="2" t="s">
        <v>264</v>
      </c>
      <c r="D25" s="2" t="str">
        <f>_xlfn.XLOOKUP(A25,[3]Snapshot_details!$A$1:$A$2859,[3]Snapshot_details!$Y$1:$Y$2859)</f>
        <v>Deputy Manager -  Stores</v>
      </c>
      <c r="E25" s="25">
        <v>811673.07000000007</v>
      </c>
      <c r="F25" s="25">
        <f>_xlfn.XLOOKUP(A25,[4]Monthly!$A$1:$A$1699,[4]Monthly!$X$1:$X$1699)</f>
        <v>833610</v>
      </c>
      <c r="G25" s="17">
        <f t="shared" si="0"/>
        <v>2.7026805262862712E-2</v>
      </c>
      <c r="H25" s="2" t="s">
        <v>304</v>
      </c>
    </row>
    <row r="26" spans="1:8" hidden="1">
      <c r="A26" s="2" t="s">
        <v>143</v>
      </c>
      <c r="B26" s="2" t="s">
        <v>144</v>
      </c>
      <c r="C26" s="2" t="s">
        <v>265</v>
      </c>
      <c r="D26" s="2" t="str">
        <f>_xlfn.XLOOKUP(A26,[3]Snapshot_details!$A$1:$A$2859,[3]Snapshot_details!$Y$1:$Y$2859)</f>
        <v>Senior Manager - International Sales</v>
      </c>
      <c r="E26" s="25">
        <v>1947560.4226849314</v>
      </c>
      <c r="F26" s="25">
        <f>_xlfn.XLOOKUP(A26,[4]Monthly!$A$1:$A$1699,[4]Monthly!$X$1:$X$1699)</f>
        <v>1980010</v>
      </c>
      <c r="G26" s="17">
        <f t="shared" si="0"/>
        <v>1.666165369613189E-2</v>
      </c>
      <c r="H26" s="2" t="s">
        <v>304</v>
      </c>
    </row>
    <row r="27" spans="1:8" hidden="1">
      <c r="A27" s="2" t="s">
        <v>159</v>
      </c>
      <c r="B27" s="2" t="s">
        <v>160</v>
      </c>
      <c r="C27" s="2" t="s">
        <v>265</v>
      </c>
      <c r="D27" s="2" t="str">
        <f>_xlfn.XLOOKUP(A27,[3]Snapshot_details!$A$1:$A$2859,[3]Snapshot_details!$Y$1:$Y$2859)</f>
        <v>Deputy Manager - Business Development</v>
      </c>
      <c r="E27" s="25">
        <v>1001106.7052054794</v>
      </c>
      <c r="F27" s="25">
        <f>_xlfn.XLOOKUP(A27,[4]Monthly!$A$1:$A$1699,[4]Monthly!$X$1:$X$1699)</f>
        <v>1030310</v>
      </c>
      <c r="G27" s="17">
        <f t="shared" si="0"/>
        <v>2.9171011084704056E-2</v>
      </c>
      <c r="H27" s="2" t="s">
        <v>304</v>
      </c>
    </row>
  </sheetData>
  <autoFilter ref="A3:H27" xr:uid="{E933C392-47B5-440C-81B0-4BB97FEBD65C}">
    <filterColumn colId="7">
      <filters>
        <filter val="CFO"/>
        <filter val="CPO"/>
        <filter val="CPO and COO"/>
        <filter val="DN Rao Sr.VP (TO)"/>
        <filter val="DN Rao Sr.VP (TO) and VP (HR)"/>
        <filter val="VP HR"/>
        <filter val="VP HR(Not in PMS file)"/>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E2800-BA7E-4B60-944F-EFA8A00DE2FB}">
  <sheetPr filterMode="1"/>
  <dimension ref="A2:I12"/>
  <sheetViews>
    <sheetView topLeftCell="C7" workbookViewId="0">
      <selection activeCell="I11" sqref="I11"/>
    </sheetView>
  </sheetViews>
  <sheetFormatPr defaultRowHeight="14.5"/>
  <cols>
    <col min="1" max="1" width="17.81640625" bestFit="1" customWidth="1"/>
    <col min="2" max="2" width="25.26953125" bestFit="1" customWidth="1"/>
    <col min="3" max="3" width="10.54296875" bestFit="1" customWidth="1"/>
    <col min="4" max="4" width="18.81640625" bestFit="1" customWidth="1"/>
    <col min="5" max="5" width="6.81640625" bestFit="1" customWidth="1"/>
    <col min="6" max="6" width="68" customWidth="1"/>
    <col min="7" max="7" width="26.1796875" customWidth="1"/>
    <col min="9" max="9" width="16" customWidth="1"/>
  </cols>
  <sheetData>
    <row r="2" spans="1:9">
      <c r="A2" s="40" t="s">
        <v>232</v>
      </c>
      <c r="B2" s="40" t="s">
        <v>233</v>
      </c>
      <c r="C2" s="41" t="s">
        <v>234</v>
      </c>
      <c r="D2" s="42" t="s">
        <v>235</v>
      </c>
      <c r="E2" s="42" t="s">
        <v>27</v>
      </c>
      <c r="F2" s="42" t="s">
        <v>194</v>
      </c>
      <c r="G2" s="48" t="s">
        <v>277</v>
      </c>
      <c r="H2" s="42" t="s">
        <v>272</v>
      </c>
      <c r="I2" s="42" t="s">
        <v>311</v>
      </c>
    </row>
    <row r="3" spans="1:9" ht="29" hidden="1">
      <c r="A3" s="2" t="s">
        <v>236</v>
      </c>
      <c r="B3" s="2" t="s">
        <v>237</v>
      </c>
      <c r="C3" s="25">
        <v>384495</v>
      </c>
      <c r="D3" s="31">
        <v>20063760719</v>
      </c>
      <c r="E3" s="2" t="s">
        <v>56</v>
      </c>
      <c r="F3" s="38" t="s">
        <v>252</v>
      </c>
      <c r="G3" s="49" t="s">
        <v>271</v>
      </c>
      <c r="H3" s="2" t="s">
        <v>273</v>
      </c>
    </row>
    <row r="4" spans="1:9" ht="43.5">
      <c r="A4" s="2" t="s">
        <v>238</v>
      </c>
      <c r="B4" s="2" t="s">
        <v>239</v>
      </c>
      <c r="C4" s="25">
        <v>3459</v>
      </c>
      <c r="D4" s="31">
        <v>2945268774</v>
      </c>
      <c r="E4" s="2" t="s">
        <v>56</v>
      </c>
      <c r="F4" s="38" t="s">
        <v>253</v>
      </c>
      <c r="G4" s="2" t="s">
        <v>278</v>
      </c>
      <c r="H4" s="2" t="s">
        <v>276</v>
      </c>
      <c r="I4" s="38" t="s">
        <v>316</v>
      </c>
    </row>
    <row r="5" spans="1:9" ht="106.5" customHeight="1">
      <c r="A5" s="2" t="s">
        <v>240</v>
      </c>
      <c r="B5" s="2" t="s">
        <v>241</v>
      </c>
      <c r="C5" s="25">
        <v>68877</v>
      </c>
      <c r="D5" s="32">
        <v>180201505773</v>
      </c>
      <c r="E5" s="2" t="s">
        <v>56</v>
      </c>
      <c r="F5" s="38" t="s">
        <v>254</v>
      </c>
      <c r="G5" s="49" t="s">
        <v>274</v>
      </c>
      <c r="H5" s="2" t="s">
        <v>276</v>
      </c>
      <c r="I5" s="38" t="s">
        <v>312</v>
      </c>
    </row>
    <row r="6" spans="1:9" ht="58">
      <c r="A6" s="10" t="s">
        <v>242</v>
      </c>
      <c r="B6" s="2" t="s">
        <v>243</v>
      </c>
      <c r="C6" s="33">
        <v>198351</v>
      </c>
      <c r="D6" s="34">
        <v>33183450490</v>
      </c>
      <c r="E6" s="35" t="s">
        <v>39</v>
      </c>
      <c r="F6" s="38" t="s">
        <v>255</v>
      </c>
      <c r="G6" s="49" t="s">
        <v>270</v>
      </c>
      <c r="H6" s="2" t="s">
        <v>276</v>
      </c>
      <c r="I6" s="38" t="s">
        <v>313</v>
      </c>
    </row>
    <row r="7" spans="1:9" ht="58">
      <c r="A7" s="10" t="s">
        <v>5</v>
      </c>
      <c r="B7" s="2" t="s">
        <v>6</v>
      </c>
      <c r="C7" s="25">
        <v>18301</v>
      </c>
      <c r="D7" s="31">
        <v>50100298293912</v>
      </c>
      <c r="E7" s="35" t="s">
        <v>39</v>
      </c>
      <c r="F7" s="38" t="s">
        <v>256</v>
      </c>
      <c r="G7" s="49" t="s">
        <v>275</v>
      </c>
      <c r="H7" s="2" t="s">
        <v>276</v>
      </c>
      <c r="I7" s="38" t="s">
        <v>316</v>
      </c>
    </row>
    <row r="8" spans="1:9" ht="58">
      <c r="A8" s="10" t="s">
        <v>17</v>
      </c>
      <c r="B8" s="2" t="s">
        <v>18</v>
      </c>
      <c r="C8" s="25">
        <v>16940</v>
      </c>
      <c r="D8" s="31">
        <v>888104000098397</v>
      </c>
      <c r="E8" s="35" t="s">
        <v>39</v>
      </c>
      <c r="F8" s="38" t="s">
        <v>256</v>
      </c>
      <c r="G8" s="49" t="s">
        <v>270</v>
      </c>
      <c r="H8" s="2" t="s">
        <v>276</v>
      </c>
      <c r="I8" s="38" t="s">
        <v>316</v>
      </c>
    </row>
    <row r="9" spans="1:9" ht="58">
      <c r="A9" s="10" t="s">
        <v>21</v>
      </c>
      <c r="B9" s="2" t="s">
        <v>22</v>
      </c>
      <c r="C9" s="25">
        <v>17014</v>
      </c>
      <c r="D9" s="31">
        <v>897000100087264</v>
      </c>
      <c r="E9" s="35" t="s">
        <v>39</v>
      </c>
      <c r="F9" s="38" t="s">
        <v>257</v>
      </c>
      <c r="G9" s="49" t="s">
        <v>270</v>
      </c>
      <c r="H9" s="2" t="s">
        <v>276</v>
      </c>
      <c r="I9" s="38" t="s">
        <v>316</v>
      </c>
    </row>
    <row r="10" spans="1:9" ht="29">
      <c r="A10" s="2" t="s">
        <v>244</v>
      </c>
      <c r="B10" s="2" t="s">
        <v>245</v>
      </c>
      <c r="C10" s="25">
        <v>18264</v>
      </c>
      <c r="D10" s="32">
        <v>145412010000892</v>
      </c>
      <c r="E10" s="35" t="s">
        <v>39</v>
      </c>
      <c r="F10" s="38" t="s">
        <v>258</v>
      </c>
      <c r="G10" s="2" t="s">
        <v>278</v>
      </c>
      <c r="H10" s="2" t="s">
        <v>276</v>
      </c>
      <c r="I10" s="38" t="s">
        <v>317</v>
      </c>
    </row>
    <row r="11" spans="1:9" ht="58">
      <c r="A11" s="2" t="s">
        <v>244</v>
      </c>
      <c r="B11" s="2" t="s">
        <v>244</v>
      </c>
      <c r="C11" s="36">
        <v>148530</v>
      </c>
      <c r="D11" s="31">
        <v>922010042597610</v>
      </c>
      <c r="E11" s="35" t="s">
        <v>51</v>
      </c>
      <c r="F11" s="38" t="s">
        <v>258</v>
      </c>
      <c r="G11" s="2" t="s">
        <v>278</v>
      </c>
      <c r="H11" s="2" t="s">
        <v>276</v>
      </c>
      <c r="I11" s="38" t="s">
        <v>314</v>
      </c>
    </row>
    <row r="12" spans="1:9">
      <c r="A12" s="2"/>
      <c r="B12" s="2"/>
      <c r="C12" s="37">
        <f>SUBTOTAL(9,C3:C11)</f>
        <v>489736</v>
      </c>
      <c r="D12" s="2"/>
      <c r="E12" s="2"/>
      <c r="F12" s="2"/>
      <c r="G12" s="2"/>
      <c r="H12" s="2"/>
      <c r="I12" s="2"/>
    </row>
  </sheetData>
  <autoFilter ref="A2:H11" xr:uid="{114E2800-BA7E-4B60-944F-EFA8A00DE2FB}">
    <filterColumn colId="7">
      <filters>
        <filter val="Not clear"/>
      </filters>
    </filterColumn>
  </autoFilter>
  <conditionalFormatting sqref="A3:A5 C4:C5">
    <cfRule type="expression" dxfId="3" priority="4" stopIfTrue="1">
      <formula>AND(COUNTIF($C$554:$C$555, A3)+COUNTIF($A$532:$A$532, A3)+COUNTIF($A$553:$A$555, A3)&gt;1,NOT(ISBLANK(A3)))</formula>
    </cfRule>
  </conditionalFormatting>
  <conditionalFormatting sqref="B7">
    <cfRule type="duplicateValues" dxfId="2" priority="3"/>
  </conditionalFormatting>
  <conditionalFormatting sqref="B8">
    <cfRule type="duplicateValues" dxfId="1" priority="2"/>
  </conditionalFormatting>
  <conditionalFormatting sqref="B9:B10">
    <cfRule type="duplicateValues" dxfId="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1B884-BF8D-439B-97A9-8595102B4627}">
  <dimension ref="A1:E4"/>
  <sheetViews>
    <sheetView tabSelected="1" workbookViewId="0">
      <selection activeCell="E3" sqref="E3"/>
    </sheetView>
  </sheetViews>
  <sheetFormatPr defaultRowHeight="14.5"/>
  <cols>
    <col min="2" max="2" width="89.1796875" customWidth="1"/>
    <col min="3" max="3" width="10.54296875" customWidth="1"/>
    <col min="4" max="4" width="52.7265625" customWidth="1"/>
  </cols>
  <sheetData>
    <row r="1" spans="1:5" ht="43.5">
      <c r="A1" s="28" t="s">
        <v>247</v>
      </c>
      <c r="B1" s="28" t="s">
        <v>248</v>
      </c>
      <c r="C1" s="30" t="s">
        <v>262</v>
      </c>
      <c r="D1" s="28" t="s">
        <v>259</v>
      </c>
      <c r="E1" s="55" t="s">
        <v>315</v>
      </c>
    </row>
    <row r="2" spans="1:5" ht="116">
      <c r="A2" s="2">
        <v>1</v>
      </c>
      <c r="B2" s="38" t="s">
        <v>246</v>
      </c>
      <c r="C2" s="43">
        <f>-494780+277161</f>
        <v>-217619</v>
      </c>
      <c r="D2" s="38" t="s">
        <v>261</v>
      </c>
      <c r="E2" s="54" t="s">
        <v>314</v>
      </c>
    </row>
    <row r="3" spans="1:5" ht="29">
      <c r="A3" s="2">
        <v>2</v>
      </c>
      <c r="B3" s="38" t="s">
        <v>249</v>
      </c>
      <c r="C3" s="43">
        <v>8745</v>
      </c>
      <c r="D3" s="38" t="s">
        <v>260</v>
      </c>
    </row>
    <row r="4" spans="1:5">
      <c r="A4" s="2"/>
      <c r="B4" s="2"/>
      <c r="C4" s="44">
        <f>SUM(C2:C3)</f>
        <v>-208874</v>
      </c>
      <c r="D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A.Annexure</vt:lpstr>
      <vt:lpstr>Workings</vt:lpstr>
      <vt:lpstr>C.Anx</vt:lpstr>
      <vt:lpstr>E. Annexur</vt:lpstr>
      <vt:lpstr>E.Annex</vt:lpstr>
      <vt:lpstr>C.Annexure</vt:lpstr>
      <vt:lpstr>E.Annexure</vt:lpstr>
      <vt:lpstr>F.Annexure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Nagaraju Pusunuru (IND)</dc:creator>
  <cp:lastModifiedBy>Borra Prasanna (IND)</cp:lastModifiedBy>
  <dcterms:created xsi:type="dcterms:W3CDTF">2024-01-20T07:26:52Z</dcterms:created>
  <dcterms:modified xsi:type="dcterms:W3CDTF">2025-11-25T06:32:05Z</dcterms:modified>
</cp:coreProperties>
</file>