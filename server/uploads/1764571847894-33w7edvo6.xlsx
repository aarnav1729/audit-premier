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xr:revisionPtr revIDLastSave="0" documentId="8_{28886F8C-4C3E-4A0E-B54E-B6CFEF260D44}" xr6:coauthVersionLast="47" xr6:coauthVersionMax="47" xr10:uidLastSave="{00000000-0000-0000-0000-000000000000}"/>
  <bookViews>
    <workbookView xWindow="1020" yWindow="0" windowWidth="19420" windowHeight="10300" xr2:uid="{B60C29D3-D2CA-4668-8FA7-A1A81CAB1525}"/>
  </bookViews>
  <sheets>
    <sheet name="Offer approval" sheetId="4" r:id="rId1"/>
    <sheet name="Offer letter" sheetId="2" r:id="rId2"/>
    <sheet name="Appointment letter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11" i="3"/>
  <c r="F10" i="3"/>
  <c r="F9" i="3"/>
  <c r="F8" i="3"/>
  <c r="F7" i="3"/>
  <c r="F6" i="3"/>
  <c r="F5" i="3"/>
  <c r="F4" i="3"/>
  <c r="F3" i="3"/>
  <c r="G8" i="2"/>
  <c r="G7" i="2"/>
  <c r="G6" i="2"/>
  <c r="G5" i="2"/>
  <c r="G4" i="2"/>
  <c r="E16" i="4"/>
  <c r="E15" i="4"/>
  <c r="E14" i="4"/>
  <c r="E13" i="4"/>
  <c r="E12" i="4"/>
  <c r="E11" i="4"/>
  <c r="E10" i="4"/>
  <c r="E9" i="4"/>
  <c r="E8" i="4"/>
  <c r="E7" i="4"/>
</calcChain>
</file>

<file path=xl/sharedStrings.xml><?xml version="1.0" encoding="utf-8"?>
<sst xmlns="http://schemas.openxmlformats.org/spreadsheetml/2006/main" count="147" uniqueCount="92">
  <si>
    <t>Employee Code</t>
  </si>
  <si>
    <t>Full name</t>
  </si>
  <si>
    <t>Designation</t>
  </si>
  <si>
    <t>Assistant Manager - Maintenance</t>
  </si>
  <si>
    <t>Prefix</t>
  </si>
  <si>
    <t>PEGEPL0087</t>
  </si>
  <si>
    <t>Mr.</t>
  </si>
  <si>
    <t>Prawez Alam</t>
  </si>
  <si>
    <t>PEGEPL0109</t>
  </si>
  <si>
    <t>Vikas Dwivedi</t>
  </si>
  <si>
    <t>PEGEPL0122</t>
  </si>
  <si>
    <t>Sumit Sourabh Choudhary</t>
  </si>
  <si>
    <t>PEGEPL0131</t>
  </si>
  <si>
    <t>Sujeet Kumar Singh</t>
  </si>
  <si>
    <t>P0503</t>
  </si>
  <si>
    <t>Shashikiran S H</t>
  </si>
  <si>
    <t>Offerletter(Signed)</t>
  </si>
  <si>
    <t>Yes</t>
  </si>
  <si>
    <t>Offer letter date</t>
  </si>
  <si>
    <t>Signature date</t>
  </si>
  <si>
    <t>Delay</t>
  </si>
  <si>
    <t>Gap between offer letter date and signature date</t>
  </si>
  <si>
    <t>PEPPL0814</t>
  </si>
  <si>
    <t>Sivabala Subramanian</t>
  </si>
  <si>
    <t>PEIPL0712</t>
  </si>
  <si>
    <t>Subham Kumar Nayak</t>
  </si>
  <si>
    <t>PEGEPL0059</t>
  </si>
  <si>
    <t>Mukesh Kumar</t>
  </si>
  <si>
    <t>PEGEPL0073</t>
  </si>
  <si>
    <t>Sriharsha Jagannath Dash</t>
  </si>
  <si>
    <t>PEGEPL0117</t>
  </si>
  <si>
    <t>Govada Siva Babu</t>
  </si>
  <si>
    <t>PEGEPL0119</t>
  </si>
  <si>
    <t>Mrs.</t>
  </si>
  <si>
    <t>Singu Narayanamma</t>
  </si>
  <si>
    <t>Appointment letter date</t>
  </si>
  <si>
    <t>PSS1410</t>
  </si>
  <si>
    <t>Ms.</t>
  </si>
  <si>
    <t>Mathrey Kalpana</t>
  </si>
  <si>
    <t>PSS1431</t>
  </si>
  <si>
    <t>Tangirala Ramesh</t>
  </si>
  <si>
    <t>PEPPL0829</t>
  </si>
  <si>
    <t>Shivesh Mishra Shivam</t>
  </si>
  <si>
    <t>PEPPL0846</t>
  </si>
  <si>
    <t>Kapil Joshi</t>
  </si>
  <si>
    <t>PEIPL0778</t>
  </si>
  <si>
    <t>Suneel Kumar Satapathi</t>
  </si>
  <si>
    <t>PEIPL0797</t>
  </si>
  <si>
    <t>Paidichetti Chanti</t>
  </si>
  <si>
    <t>PEGEPL0100</t>
  </si>
  <si>
    <t>Goru Sekhar</t>
  </si>
  <si>
    <t>PEGEPL0120</t>
  </si>
  <si>
    <t>Subhasish Pattanaik</t>
  </si>
  <si>
    <t>Offer approval as per DOA</t>
  </si>
  <si>
    <t>Yes(by AGM(HR) instead of CXO)</t>
  </si>
  <si>
    <t>Yes(by AGM(HR) but CXO approval is needed)</t>
  </si>
  <si>
    <t>Yes(by Plant head instead of CXO)</t>
  </si>
  <si>
    <t>Yes (by AGM instead of CXO)</t>
  </si>
  <si>
    <t>Yes(Approved by AGM instead of CXO)</t>
  </si>
  <si>
    <t>Assistant Manager - Finance &amp; Accounts</t>
  </si>
  <si>
    <t>General Manager - Systems &amp; Infrastructure</t>
  </si>
  <si>
    <t>Manager - Business Development</t>
  </si>
  <si>
    <t>Deputy Manager</t>
  </si>
  <si>
    <t>Assistant Manager - Sales &amp; Operations</t>
  </si>
  <si>
    <t>Deputy Manager - Finance &amp; Accounts</t>
  </si>
  <si>
    <t>Deputy Manager - Sales &amp; Operations</t>
  </si>
  <si>
    <t>DOA reference</t>
  </si>
  <si>
    <t>Point 2 of page 9 of DOA, GM and above position MD approval is required</t>
  </si>
  <si>
    <t>Point 2 of page 9 of DOA, AM and above position CXO approval is required</t>
  </si>
  <si>
    <t>Location</t>
  </si>
  <si>
    <t>Count of Employee Code</t>
  </si>
  <si>
    <t>Provided</t>
  </si>
  <si>
    <t>Not provided</t>
  </si>
  <si>
    <t>Not as per DOA</t>
  </si>
  <si>
    <t>Corporate &amp; Other</t>
  </si>
  <si>
    <t>Fabcity</t>
  </si>
  <si>
    <t>Particulars</t>
  </si>
  <si>
    <t>Yes(by VP HR instead of MD)</t>
  </si>
  <si>
    <t>PEPPL0876</t>
  </si>
  <si>
    <t>Bollu Venkata Narendra</t>
  </si>
  <si>
    <t>Yes (Approved by plant head (Sr.VP TO) instead of CXO)</t>
  </si>
  <si>
    <t>PSS1405</t>
  </si>
  <si>
    <t>Mohit Mahesh Chawla</t>
  </si>
  <si>
    <t>Senior Manager - Global Marketing &amp; Communication</t>
  </si>
  <si>
    <t>PSS1424</t>
  </si>
  <si>
    <t>Pinal Kumar Rana</t>
  </si>
  <si>
    <t>Assistant Manager - Data Analysis</t>
  </si>
  <si>
    <t>Corporate Office</t>
  </si>
  <si>
    <t>PEPPL0882</t>
  </si>
  <si>
    <t>Vikash Kumar Jha</t>
  </si>
  <si>
    <t>Area Manager - Channel Sales</t>
  </si>
  <si>
    <t>New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</si>
</sst>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/>
    <xf numFmtId="0" fontId="0" fillId="0" borderId="2" xfId="0" applyBorder="1" applyAlignment="1">
      <alignment horizontal="left" vertical="top" wrapText="1"/>
    </xf>
    <xf numFmtId="0" fontId="1" fillId="0" borderId="1" xfId="0" pivotButton="1" applyFont="1" applyBorder="1"/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tivitimf-my.sharepoint.com/personal/sai_sowmya_protivitiglobal_in/Documents/Premier%202024-25/Payrol/IA/Addition%20and%20exit%20review/Addition%20and%20exit%20review-WP-1.xlsx" TargetMode="External"/><Relationship Id="rId1" Type="http://schemas.openxmlformats.org/officeDocument/2006/relationships/externalLinkPath" Target="https://protivitimf-my.sharepoint.com/personal/sai_sowmya_protivitiglobal_in/Documents/Premier%202024-25/Payrol/IA/Addition%20and%20exit%20review/Addition%20and%20exit%20review-WP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s"/>
      <sheetName val="Documents required for sample"/>
      <sheetName val="Exits"/>
      <sheetName val="Additions"/>
      <sheetName val="Confirmation"/>
      <sheetName val="Company stat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Employee Code</v>
          </cell>
          <cell r="AB1" t="str">
            <v>Sub branch</v>
          </cell>
        </row>
        <row r="2">
          <cell r="A2" t="str">
            <v>PSS1405</v>
          </cell>
          <cell r="AB2" t="str">
            <v>Corporate Office</v>
          </cell>
        </row>
        <row r="3">
          <cell r="A3" t="str">
            <v>PSS1410</v>
          </cell>
          <cell r="AB3" t="str">
            <v>Corporate Office</v>
          </cell>
        </row>
        <row r="4">
          <cell r="A4" t="str">
            <v>PSS1420</v>
          </cell>
          <cell r="AB4" t="str">
            <v>Corporate Office</v>
          </cell>
        </row>
        <row r="5">
          <cell r="A5" t="str">
            <v>PSS1424</v>
          </cell>
          <cell r="AB5" t="str">
            <v>Corporate Office</v>
          </cell>
        </row>
        <row r="6">
          <cell r="A6" t="str">
            <v>PSS1429</v>
          </cell>
          <cell r="AB6" t="str">
            <v>Corporate Office</v>
          </cell>
        </row>
        <row r="7">
          <cell r="A7" t="str">
            <v>PSS1431</v>
          </cell>
          <cell r="AB7" t="str">
            <v>Corporate Office</v>
          </cell>
        </row>
        <row r="9">
          <cell r="A9" t="str">
            <v>Employee Code</v>
          </cell>
          <cell r="AB9" t="str">
            <v>Sub branch</v>
          </cell>
        </row>
        <row r="10">
          <cell r="A10" t="str">
            <v>PEPPL0814</v>
          </cell>
          <cell r="AB10" t="str">
            <v>Fabcity</v>
          </cell>
        </row>
        <row r="11">
          <cell r="A11" t="str">
            <v>PEPPL0815</v>
          </cell>
          <cell r="AB11" t="str">
            <v>Corporate Office</v>
          </cell>
        </row>
        <row r="12">
          <cell r="A12" t="str">
            <v>PEPPL0824</v>
          </cell>
          <cell r="AB12" t="str">
            <v>Corporate Office</v>
          </cell>
        </row>
        <row r="13">
          <cell r="A13" t="str">
            <v>PEPPL0829</v>
          </cell>
          <cell r="AB13" t="str">
            <v>New Delhi</v>
          </cell>
        </row>
        <row r="14">
          <cell r="A14" t="str">
            <v>PEPPL0831</v>
          </cell>
          <cell r="AB14" t="str">
            <v>Fabcity</v>
          </cell>
        </row>
        <row r="15">
          <cell r="A15" t="str">
            <v>PEPPL0846</v>
          </cell>
          <cell r="AB15" t="str">
            <v>Lucknow</v>
          </cell>
        </row>
        <row r="16">
          <cell r="A16" t="str">
            <v>PEPPL0870</v>
          </cell>
          <cell r="AB16" t="str">
            <v>Fabcity</v>
          </cell>
        </row>
        <row r="17">
          <cell r="A17" t="str">
            <v>PEPPL0871</v>
          </cell>
          <cell r="AB17" t="str">
            <v>Kolkata</v>
          </cell>
        </row>
        <row r="18">
          <cell r="A18" t="str">
            <v>PEPPL0876</v>
          </cell>
          <cell r="AB18" t="str">
            <v>Corporate Office</v>
          </cell>
        </row>
        <row r="19">
          <cell r="A19" t="str">
            <v>PEPPL0882</v>
          </cell>
          <cell r="AB19" t="str">
            <v>New Delhi</v>
          </cell>
        </row>
        <row r="20">
          <cell r="A20" t="str">
            <v>PEPPL0885</v>
          </cell>
          <cell r="AB20" t="str">
            <v>Corporate Office</v>
          </cell>
        </row>
        <row r="22">
          <cell r="A22" t="str">
            <v>Employee Code</v>
          </cell>
          <cell r="AB22" t="str">
            <v>Sub branch</v>
          </cell>
        </row>
        <row r="23">
          <cell r="A23" t="str">
            <v>PEIPL0705</v>
          </cell>
          <cell r="AB23" t="str">
            <v>Fabcity</v>
          </cell>
        </row>
        <row r="24">
          <cell r="A24" t="str">
            <v>PEIPL0707</v>
          </cell>
          <cell r="AB24" t="str">
            <v>Fabcity</v>
          </cell>
        </row>
        <row r="25">
          <cell r="A25" t="str">
            <v>PEIPL0712</v>
          </cell>
          <cell r="AB25" t="str">
            <v>Corporate Office</v>
          </cell>
        </row>
        <row r="26">
          <cell r="A26" t="str">
            <v>PEIPL0732</v>
          </cell>
          <cell r="AB26" t="str">
            <v>City Office</v>
          </cell>
        </row>
        <row r="27">
          <cell r="A27" t="str">
            <v>PEIPL0739</v>
          </cell>
          <cell r="AB27" t="str">
            <v>City Office</v>
          </cell>
        </row>
        <row r="28">
          <cell r="A28" t="str">
            <v>PEIPL0752</v>
          </cell>
          <cell r="AB28" t="str">
            <v>Fabcity</v>
          </cell>
        </row>
        <row r="29">
          <cell r="A29" t="str">
            <v>PEIPL0778</v>
          </cell>
          <cell r="AB29" t="str">
            <v>Corporate Office</v>
          </cell>
        </row>
        <row r="30">
          <cell r="A30" t="str">
            <v>PEIPL0797</v>
          </cell>
          <cell r="AB30" t="str">
            <v>Corporate Office</v>
          </cell>
        </row>
        <row r="32">
          <cell r="A32" t="str">
            <v>Employee Code</v>
          </cell>
          <cell r="AB32" t="str">
            <v>Sub branch</v>
          </cell>
        </row>
        <row r="33">
          <cell r="A33" t="str">
            <v>PEGEPL0059</v>
          </cell>
          <cell r="AB33" t="str">
            <v>Fabcity</v>
          </cell>
        </row>
        <row r="34">
          <cell r="A34" t="str">
            <v>PEGEPL0073</v>
          </cell>
          <cell r="AB34" t="str">
            <v>Fabcity</v>
          </cell>
        </row>
        <row r="35">
          <cell r="A35" t="str">
            <v>PEGEPL0087</v>
          </cell>
          <cell r="AB35" t="str">
            <v>Fabcity</v>
          </cell>
        </row>
        <row r="36">
          <cell r="A36" t="str">
            <v>PEGEPL0092</v>
          </cell>
          <cell r="AB36" t="str">
            <v>City Office</v>
          </cell>
        </row>
        <row r="37">
          <cell r="A37" t="str">
            <v>PEGEPL0096</v>
          </cell>
          <cell r="AB37" t="str">
            <v>Fabcity</v>
          </cell>
        </row>
        <row r="38">
          <cell r="A38" t="str">
            <v>PEGEPL0100</v>
          </cell>
          <cell r="AB38" t="str">
            <v>Corporate Office</v>
          </cell>
        </row>
        <row r="39">
          <cell r="A39" t="str">
            <v>PEGEPL0109</v>
          </cell>
          <cell r="AB39" t="str">
            <v>Fabcity</v>
          </cell>
        </row>
        <row r="40">
          <cell r="A40" t="str">
            <v>PEGEPL0116</v>
          </cell>
          <cell r="AB40" t="str">
            <v>Fabcity</v>
          </cell>
        </row>
        <row r="41">
          <cell r="A41" t="str">
            <v>PEGEPL0117</v>
          </cell>
          <cell r="AB41" t="str">
            <v>Fabcity</v>
          </cell>
        </row>
        <row r="42">
          <cell r="A42" t="str">
            <v>PEGEPL0119</v>
          </cell>
          <cell r="AB42" t="str">
            <v>Fabcity</v>
          </cell>
        </row>
        <row r="43">
          <cell r="A43" t="str">
            <v>PEGEPL0120</v>
          </cell>
          <cell r="AB43" t="str">
            <v>Fabcity</v>
          </cell>
        </row>
        <row r="44">
          <cell r="A44" t="str">
            <v>PEGEPL0122</v>
          </cell>
          <cell r="AB44" t="str">
            <v>Fabcity</v>
          </cell>
        </row>
        <row r="45">
          <cell r="A45" t="str">
            <v>PEGEPL0131</v>
          </cell>
          <cell r="AB45" t="str">
            <v>Fabcity</v>
          </cell>
        </row>
        <row r="46">
          <cell r="A46" t="str">
            <v>PEGEPL0134</v>
          </cell>
          <cell r="AB46" t="str">
            <v>Corporate Office</v>
          </cell>
        </row>
        <row r="48">
          <cell r="A48" t="str">
            <v>Employee Code</v>
          </cell>
          <cell r="AB48" t="str">
            <v>Sub branch</v>
          </cell>
        </row>
        <row r="49">
          <cell r="A49" t="str">
            <v>P0501</v>
          </cell>
          <cell r="AB49" t="str">
            <v>Corporate Office</v>
          </cell>
        </row>
        <row r="50">
          <cell r="A50" t="str">
            <v>P0503</v>
          </cell>
          <cell r="AB50" t="str">
            <v>Karnataka</v>
          </cell>
        </row>
        <row r="51">
          <cell r="A51" t="str">
            <v>P0504</v>
          </cell>
          <cell r="AB51" t="str">
            <v>Fabcity</v>
          </cell>
        </row>
        <row r="52">
          <cell r="A52" t="str">
            <v>P0507</v>
          </cell>
          <cell r="AB52" t="str">
            <v>Jamnagar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BFC7-CFBA-4201-92A7-E5CF6AA3CD50}">
  <dimension ref="A1:G19"/>
  <sheetViews>
    <sheetView tabSelected="1" topLeftCell="A4" workbookViewId="0">
      <selection activeCell="F13" sqref="F13"/>
    </sheetView>
  </sheetViews>
  <sheetFormatPr defaultRowHeight="14.5" x14ac:dyDescent="0.35"/>
  <cols>
    <col min="1" max="1" width="15.453125" bestFit="1" customWidth="1"/>
    <col min="2" max="2" width="6.453125" bestFit="1" customWidth="1"/>
    <col min="3" max="3" width="22.453125" bestFit="1" customWidth="1"/>
    <col min="4" max="4" width="39.81640625" bestFit="1" customWidth="1"/>
    <col min="5" max="5" width="24.7265625" customWidth="1"/>
    <col min="6" max="6" width="41.26953125" bestFit="1" customWidth="1"/>
    <col min="7" max="7" width="21.453125" customWidth="1"/>
  </cols>
  <sheetData>
    <row r="1" spans="1:7" hidden="1" x14ac:dyDescent="0.35">
      <c r="C1" s="7" t="s">
        <v>76</v>
      </c>
      <c r="D1" s="5" t="s">
        <v>70</v>
      </c>
      <c r="E1" s="5" t="s">
        <v>71</v>
      </c>
      <c r="F1" s="5" t="s">
        <v>72</v>
      </c>
      <c r="G1" s="5" t="s">
        <v>73</v>
      </c>
    </row>
    <row r="2" spans="1:7" hidden="1" x14ac:dyDescent="0.35">
      <c r="C2" s="1" t="s">
        <v>74</v>
      </c>
      <c r="D2" s="2">
        <v>25</v>
      </c>
      <c r="E2" s="2">
        <v>16</v>
      </c>
      <c r="F2" s="2">
        <v>9</v>
      </c>
      <c r="G2" s="2">
        <v>8</v>
      </c>
    </row>
    <row r="3" spans="1:7" hidden="1" x14ac:dyDescent="0.35">
      <c r="C3" s="1" t="s">
        <v>75</v>
      </c>
      <c r="D3" s="2">
        <v>18</v>
      </c>
      <c r="E3" s="2">
        <v>9</v>
      </c>
      <c r="F3" s="2">
        <v>9</v>
      </c>
      <c r="G3" s="2">
        <v>2</v>
      </c>
    </row>
    <row r="6" spans="1:7" x14ac:dyDescent="0.35">
      <c r="A6" s="3" t="s">
        <v>0</v>
      </c>
      <c r="B6" s="3" t="s">
        <v>4</v>
      </c>
      <c r="C6" s="3" t="s">
        <v>1</v>
      </c>
      <c r="D6" s="3" t="s">
        <v>2</v>
      </c>
      <c r="E6" s="3" t="s">
        <v>69</v>
      </c>
      <c r="F6" s="3" t="s">
        <v>53</v>
      </c>
      <c r="G6" s="3" t="s">
        <v>66</v>
      </c>
    </row>
    <row r="7" spans="1:7" ht="43.5" x14ac:dyDescent="0.35">
      <c r="A7" s="1" t="s">
        <v>39</v>
      </c>
      <c r="B7" s="1" t="s">
        <v>6</v>
      </c>
      <c r="C7" s="1" t="s">
        <v>40</v>
      </c>
      <c r="D7" s="1" t="s">
        <v>60</v>
      </c>
      <c r="E7" s="1" t="str">
        <f>_xlfn.XLOOKUP(A7,[1]Additions!$A$1:$A$52,[1]Additions!$AB$1:$AB$52)</f>
        <v>Corporate Office</v>
      </c>
      <c r="F7" s="2" t="s">
        <v>77</v>
      </c>
      <c r="G7" s="6" t="s">
        <v>67</v>
      </c>
    </row>
    <row r="8" spans="1:7" ht="15" customHeight="1" x14ac:dyDescent="0.35">
      <c r="A8" s="1" t="s">
        <v>36</v>
      </c>
      <c r="B8" s="1" t="s">
        <v>37</v>
      </c>
      <c r="C8" s="1" t="s">
        <v>38</v>
      </c>
      <c r="D8" s="1" t="s">
        <v>59</v>
      </c>
      <c r="E8" s="1" t="str">
        <f>_xlfn.XLOOKUP(A8,[1]Additions!$A$1:$A$52,[1]Additions!$AB$1:$AB$52)</f>
        <v>Corporate Office</v>
      </c>
      <c r="F8" s="2" t="s">
        <v>54</v>
      </c>
      <c r="G8" s="8" t="s">
        <v>68</v>
      </c>
    </row>
    <row r="9" spans="1:7" x14ac:dyDescent="0.35">
      <c r="A9" s="1" t="s">
        <v>41</v>
      </c>
      <c r="B9" s="1" t="s">
        <v>6</v>
      </c>
      <c r="C9" s="1" t="s">
        <v>42</v>
      </c>
      <c r="D9" s="1" t="s">
        <v>61</v>
      </c>
      <c r="E9" s="1" t="str">
        <f>_xlfn.XLOOKUP(A9,[1]Additions!$A$1:$A$52,[1]Additions!$AB$1:$AB$52)</f>
        <v>New Delhi</v>
      </c>
      <c r="F9" s="2" t="s">
        <v>55</v>
      </c>
      <c r="G9" s="9"/>
    </row>
    <row r="10" spans="1:7" x14ac:dyDescent="0.35">
      <c r="A10" s="1" t="s">
        <v>43</v>
      </c>
      <c r="B10" s="1" t="s">
        <v>6</v>
      </c>
      <c r="C10" s="1" t="s">
        <v>44</v>
      </c>
      <c r="D10" s="1" t="s">
        <v>62</v>
      </c>
      <c r="E10" s="1" t="str">
        <f>_xlfn.XLOOKUP(A10,[1]Additions!$A$1:$A$52,[1]Additions!$AB$1:$AB$52)</f>
        <v>Lucknow</v>
      </c>
      <c r="F10" s="2" t="s">
        <v>56</v>
      </c>
      <c r="G10" s="9"/>
    </row>
    <row r="11" spans="1:7" x14ac:dyDescent="0.35">
      <c r="A11" s="1" t="s">
        <v>24</v>
      </c>
      <c r="B11" s="1" t="s">
        <v>6</v>
      </c>
      <c r="C11" s="1" t="s">
        <v>25</v>
      </c>
      <c r="D11" s="1" t="s">
        <v>63</v>
      </c>
      <c r="E11" s="1" t="str">
        <f>_xlfn.XLOOKUP(A11,[1]Additions!$A$1:$A$52,[1]Additions!$AB$1:$AB$52)</f>
        <v>Corporate Office</v>
      </c>
      <c r="F11" s="2" t="s">
        <v>57</v>
      </c>
      <c r="G11" s="9"/>
    </row>
    <row r="12" spans="1:7" x14ac:dyDescent="0.35">
      <c r="A12" s="1" t="s">
        <v>45</v>
      </c>
      <c r="B12" s="1" t="s">
        <v>6</v>
      </c>
      <c r="C12" s="1" t="s">
        <v>46</v>
      </c>
      <c r="D12" s="1" t="s">
        <v>64</v>
      </c>
      <c r="E12" s="1" t="str">
        <f>_xlfn.XLOOKUP(A12,[1]Additions!$A$1:$A$52,[1]Additions!$AB$1:$AB$52)</f>
        <v>Corporate Office</v>
      </c>
      <c r="F12" s="2" t="s">
        <v>57</v>
      </c>
      <c r="G12" s="9"/>
    </row>
    <row r="13" spans="1:7" x14ac:dyDescent="0.35">
      <c r="A13" s="1" t="s">
        <v>47</v>
      </c>
      <c r="B13" s="1" t="s">
        <v>6</v>
      </c>
      <c r="C13" s="1" t="s">
        <v>48</v>
      </c>
      <c r="D13" s="1" t="s">
        <v>64</v>
      </c>
      <c r="E13" s="1" t="str">
        <f>_xlfn.XLOOKUP(A13,[1]Additions!$A$1:$A$52,[1]Additions!$AB$1:$AB$52)</f>
        <v>Corporate Office</v>
      </c>
      <c r="F13" s="2" t="s">
        <v>57</v>
      </c>
      <c r="G13" s="9"/>
    </row>
    <row r="14" spans="1:7" x14ac:dyDescent="0.35">
      <c r="A14" s="1" t="s">
        <v>49</v>
      </c>
      <c r="B14" s="1" t="s">
        <v>6</v>
      </c>
      <c r="C14" s="1" t="s">
        <v>50</v>
      </c>
      <c r="D14" s="1" t="s">
        <v>64</v>
      </c>
      <c r="E14" s="1" t="str">
        <f>_xlfn.XLOOKUP(A14,[1]Additions!$A$1:$A$52,[1]Additions!$AB$1:$AB$52)</f>
        <v>Corporate Office</v>
      </c>
      <c r="F14" s="2" t="s">
        <v>58</v>
      </c>
      <c r="G14" s="9"/>
    </row>
    <row r="15" spans="1:7" x14ac:dyDescent="0.35">
      <c r="A15" s="1" t="s">
        <v>51</v>
      </c>
      <c r="B15" s="1" t="s">
        <v>6</v>
      </c>
      <c r="C15" s="1" t="s">
        <v>52</v>
      </c>
      <c r="D15" s="1" t="s">
        <v>65</v>
      </c>
      <c r="E15" s="1" t="str">
        <f>_xlfn.XLOOKUP(A15,[1]Additions!$A$1:$A$52,[1]Additions!$AB$1:$AB$52)</f>
        <v>Fabcity</v>
      </c>
      <c r="F15" s="2" t="s">
        <v>58</v>
      </c>
      <c r="G15" s="9"/>
    </row>
    <row r="16" spans="1:7" x14ac:dyDescent="0.35">
      <c r="A16" s="1" t="s">
        <v>12</v>
      </c>
      <c r="B16" s="1" t="s">
        <v>6</v>
      </c>
      <c r="C16" s="1" t="s">
        <v>13</v>
      </c>
      <c r="D16" s="1" t="s">
        <v>3</v>
      </c>
      <c r="E16" s="1" t="str">
        <f>_xlfn.XLOOKUP(A16,[1]Additions!$A$1:$A$52,[1]Additions!$AB$1:$AB$52)</f>
        <v>Fabcity</v>
      </c>
      <c r="F16" s="2" t="s">
        <v>80</v>
      </c>
      <c r="G16" s="9"/>
    </row>
    <row r="17" spans="1:7" x14ac:dyDescent="0.35">
      <c r="A17" s="1" t="s">
        <v>81</v>
      </c>
      <c r="B17" s="1" t="s">
        <v>6</v>
      </c>
      <c r="C17" s="1" t="s">
        <v>82</v>
      </c>
      <c r="D17" s="1" t="s">
        <v>83</v>
      </c>
      <c r="E17" s="1" t="s">
        <v>74</v>
      </c>
      <c r="F17" s="2" t="s">
        <v>54</v>
      </c>
      <c r="G17" s="9"/>
    </row>
    <row r="18" spans="1:7" x14ac:dyDescent="0.35">
      <c r="A18" s="1" t="s">
        <v>84</v>
      </c>
      <c r="B18" s="1" t="s">
        <v>6</v>
      </c>
      <c r="C18" s="1" t="s">
        <v>85</v>
      </c>
      <c r="D18" s="1" t="s">
        <v>86</v>
      </c>
      <c r="E18" s="1" t="s">
        <v>87</v>
      </c>
      <c r="F18" s="2" t="s">
        <v>54</v>
      </c>
      <c r="G18" s="9"/>
    </row>
    <row r="19" spans="1:7" x14ac:dyDescent="0.35">
      <c r="A19" s="1" t="s">
        <v>88</v>
      </c>
      <c r="B19" s="1" t="s">
        <v>6</v>
      </c>
      <c r="C19" s="1" t="s">
        <v>89</v>
      </c>
      <c r="D19" s="1" t="s">
        <v>90</v>
      </c>
      <c r="E19" s="1" t="s">
        <v>91</v>
      </c>
      <c r="F19" s="2" t="s">
        <v>55</v>
      </c>
      <c r="G19" s="10"/>
    </row>
  </sheetData>
  <mergeCells count="1">
    <mergeCell ref="G8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96FF-B51E-473A-8725-21A6BDCD90B2}">
  <dimension ref="A3:G8"/>
  <sheetViews>
    <sheetView workbookViewId="0">
      <selection activeCell="C9" sqref="C9"/>
    </sheetView>
  </sheetViews>
  <sheetFormatPr defaultRowHeight="14.5" x14ac:dyDescent="0.35"/>
  <cols>
    <col min="1" max="1" width="15.453125" bestFit="1" customWidth="1"/>
    <col min="2" max="2" width="6.453125" bestFit="1" customWidth="1"/>
    <col min="3" max="3" width="24.26953125" bestFit="1" customWidth="1"/>
    <col min="5" max="6" width="9.453125" bestFit="1" customWidth="1"/>
  </cols>
  <sheetData>
    <row r="3" spans="1:7" x14ac:dyDescent="0.35">
      <c r="A3" s="3" t="s">
        <v>0</v>
      </c>
      <c r="B3" s="3" t="s">
        <v>4</v>
      </c>
      <c r="C3" s="3" t="s">
        <v>1</v>
      </c>
      <c r="D3" s="5" t="s">
        <v>16</v>
      </c>
      <c r="E3" s="5" t="s">
        <v>18</v>
      </c>
      <c r="F3" s="5" t="s">
        <v>19</v>
      </c>
      <c r="G3" s="5" t="s">
        <v>21</v>
      </c>
    </row>
    <row r="4" spans="1:7" x14ac:dyDescent="0.35">
      <c r="A4" s="1" t="s">
        <v>5</v>
      </c>
      <c r="B4" s="1" t="s">
        <v>6</v>
      </c>
      <c r="C4" s="1" t="s">
        <v>7</v>
      </c>
      <c r="D4" s="2" t="s">
        <v>17</v>
      </c>
      <c r="E4" s="4">
        <v>45443</v>
      </c>
      <c r="F4" s="4">
        <v>45477</v>
      </c>
      <c r="G4" s="2">
        <f>F4-E4</f>
        <v>34</v>
      </c>
    </row>
    <row r="5" spans="1:7" x14ac:dyDescent="0.35">
      <c r="A5" s="1" t="s">
        <v>8</v>
      </c>
      <c r="B5" s="1" t="s">
        <v>6</v>
      </c>
      <c r="C5" s="1" t="s">
        <v>9</v>
      </c>
      <c r="D5" s="2" t="s">
        <v>17</v>
      </c>
      <c r="E5" s="4">
        <v>45465</v>
      </c>
      <c r="F5" s="4">
        <v>45507</v>
      </c>
      <c r="G5" s="2">
        <f t="shared" ref="G5:G8" si="0">F5-E5</f>
        <v>42</v>
      </c>
    </row>
    <row r="6" spans="1:7" x14ac:dyDescent="0.35">
      <c r="A6" s="1" t="s">
        <v>10</v>
      </c>
      <c r="B6" s="1" t="s">
        <v>6</v>
      </c>
      <c r="C6" s="1" t="s">
        <v>11</v>
      </c>
      <c r="D6" s="2" t="s">
        <v>17</v>
      </c>
      <c r="E6" s="4">
        <v>45492</v>
      </c>
      <c r="F6" s="4">
        <v>45526</v>
      </c>
      <c r="G6" s="2">
        <f t="shared" si="0"/>
        <v>34</v>
      </c>
    </row>
    <row r="7" spans="1:7" x14ac:dyDescent="0.35">
      <c r="A7" s="1" t="s">
        <v>12</v>
      </c>
      <c r="B7" s="1" t="s">
        <v>6</v>
      </c>
      <c r="C7" s="1" t="s">
        <v>13</v>
      </c>
      <c r="D7" s="2" t="s">
        <v>17</v>
      </c>
      <c r="E7" s="4">
        <v>45512</v>
      </c>
      <c r="F7" s="4">
        <v>45554</v>
      </c>
      <c r="G7" s="2">
        <f t="shared" si="0"/>
        <v>42</v>
      </c>
    </row>
    <row r="8" spans="1:7" x14ac:dyDescent="0.35">
      <c r="A8" s="1" t="s">
        <v>14</v>
      </c>
      <c r="B8" s="1" t="s">
        <v>6</v>
      </c>
      <c r="C8" s="1" t="s">
        <v>15</v>
      </c>
      <c r="D8" s="2" t="s">
        <v>17</v>
      </c>
      <c r="E8" s="4">
        <v>45423</v>
      </c>
      <c r="F8" s="4">
        <v>45444</v>
      </c>
      <c r="G8" s="2">
        <f t="shared" si="0"/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AF23-5E46-43F3-BE33-FF08BEDB3BBC}">
  <dimension ref="A2:F12"/>
  <sheetViews>
    <sheetView workbookViewId="0">
      <selection activeCell="E12" sqref="E3:E12"/>
    </sheetView>
  </sheetViews>
  <sheetFormatPr defaultRowHeight="14.5" x14ac:dyDescent="0.35"/>
  <cols>
    <col min="1" max="1" width="15.453125" bestFit="1" customWidth="1"/>
    <col min="2" max="2" width="6.453125" bestFit="1" customWidth="1"/>
    <col min="3" max="3" width="24.54296875" bestFit="1" customWidth="1"/>
    <col min="4" max="4" width="22.81640625" bestFit="1" customWidth="1"/>
    <col min="5" max="5" width="14.54296875" bestFit="1" customWidth="1"/>
    <col min="6" max="6" width="6.1796875" bestFit="1" customWidth="1"/>
  </cols>
  <sheetData>
    <row r="2" spans="1:6" x14ac:dyDescent="0.35">
      <c r="A2" s="3" t="s">
        <v>0</v>
      </c>
      <c r="B2" s="3" t="s">
        <v>4</v>
      </c>
      <c r="C2" s="3" t="s">
        <v>1</v>
      </c>
      <c r="D2" s="3" t="s">
        <v>35</v>
      </c>
      <c r="E2" s="3" t="s">
        <v>19</v>
      </c>
      <c r="F2" s="3" t="s">
        <v>20</v>
      </c>
    </row>
    <row r="3" spans="1:6" x14ac:dyDescent="0.35">
      <c r="A3" s="1" t="s">
        <v>22</v>
      </c>
      <c r="B3" s="1" t="s">
        <v>6</v>
      </c>
      <c r="C3" s="1" t="s">
        <v>23</v>
      </c>
      <c r="D3" s="4">
        <v>45419</v>
      </c>
      <c r="E3" s="4">
        <v>45476</v>
      </c>
      <c r="F3" s="2">
        <f t="shared" ref="F3:F12" si="0">E3-D3</f>
        <v>57</v>
      </c>
    </row>
    <row r="4" spans="1:6" x14ac:dyDescent="0.35">
      <c r="A4" s="1" t="s">
        <v>26</v>
      </c>
      <c r="B4" s="1" t="s">
        <v>6</v>
      </c>
      <c r="C4" s="1" t="s">
        <v>27</v>
      </c>
      <c r="D4" s="4">
        <v>45458</v>
      </c>
      <c r="E4" s="4">
        <v>45476</v>
      </c>
      <c r="F4" s="2">
        <f t="shared" si="0"/>
        <v>18</v>
      </c>
    </row>
    <row r="5" spans="1:6" x14ac:dyDescent="0.35">
      <c r="A5" s="1" t="s">
        <v>28</v>
      </c>
      <c r="B5" s="1" t="s">
        <v>6</v>
      </c>
      <c r="C5" s="1" t="s">
        <v>29</v>
      </c>
      <c r="D5" s="4">
        <v>45465</v>
      </c>
      <c r="E5" s="4">
        <v>45476</v>
      </c>
      <c r="F5" s="2">
        <f t="shared" si="0"/>
        <v>11</v>
      </c>
    </row>
    <row r="6" spans="1:6" x14ac:dyDescent="0.35">
      <c r="A6" s="1" t="s">
        <v>8</v>
      </c>
      <c r="B6" s="1" t="s">
        <v>6</v>
      </c>
      <c r="C6" s="1" t="s">
        <v>9</v>
      </c>
      <c r="D6" s="4">
        <v>45511</v>
      </c>
      <c r="E6" s="4">
        <v>45566</v>
      </c>
      <c r="F6" s="2">
        <f t="shared" si="0"/>
        <v>55</v>
      </c>
    </row>
    <row r="7" spans="1:6" x14ac:dyDescent="0.35">
      <c r="A7" s="1" t="s">
        <v>30</v>
      </c>
      <c r="B7" s="1" t="s">
        <v>6</v>
      </c>
      <c r="C7" s="1" t="s">
        <v>31</v>
      </c>
      <c r="D7" s="4">
        <v>45533</v>
      </c>
      <c r="E7" s="4">
        <v>45566</v>
      </c>
      <c r="F7" s="2">
        <f t="shared" si="0"/>
        <v>33</v>
      </c>
    </row>
    <row r="8" spans="1:6" x14ac:dyDescent="0.35">
      <c r="A8" s="1" t="s">
        <v>32</v>
      </c>
      <c r="B8" s="1" t="s">
        <v>33</v>
      </c>
      <c r="C8" s="1" t="s">
        <v>34</v>
      </c>
      <c r="D8" s="4">
        <v>45533</v>
      </c>
      <c r="E8" s="4">
        <v>45553</v>
      </c>
      <c r="F8" s="2">
        <f t="shared" si="0"/>
        <v>20</v>
      </c>
    </row>
    <row r="9" spans="1:6" x14ac:dyDescent="0.35">
      <c r="A9" s="1" t="s">
        <v>10</v>
      </c>
      <c r="B9" s="1" t="s">
        <v>6</v>
      </c>
      <c r="C9" s="1" t="s">
        <v>11</v>
      </c>
      <c r="D9" s="4">
        <v>45533</v>
      </c>
      <c r="E9" s="4">
        <v>45552</v>
      </c>
      <c r="F9" s="2">
        <f t="shared" si="0"/>
        <v>19</v>
      </c>
    </row>
    <row r="10" spans="1:6" x14ac:dyDescent="0.35">
      <c r="A10" s="1" t="s">
        <v>5</v>
      </c>
      <c r="B10" s="1" t="s">
        <v>6</v>
      </c>
      <c r="C10" s="1" t="s">
        <v>7</v>
      </c>
      <c r="D10" s="4">
        <v>45481</v>
      </c>
      <c r="E10" s="4">
        <v>45566</v>
      </c>
      <c r="F10" s="2">
        <f t="shared" si="0"/>
        <v>85</v>
      </c>
    </row>
    <row r="11" spans="1:6" x14ac:dyDescent="0.35">
      <c r="A11" s="1" t="s">
        <v>78</v>
      </c>
      <c r="B11" s="1" t="s">
        <v>6</v>
      </c>
      <c r="C11" s="1" t="s">
        <v>79</v>
      </c>
      <c r="D11" s="4">
        <v>45523</v>
      </c>
      <c r="E11" s="4">
        <v>45593</v>
      </c>
      <c r="F11" s="2">
        <f t="shared" si="0"/>
        <v>70</v>
      </c>
    </row>
    <row r="12" spans="1:6" x14ac:dyDescent="0.35">
      <c r="A12" s="1" t="s">
        <v>45</v>
      </c>
      <c r="B12" s="1" t="s">
        <v>6</v>
      </c>
      <c r="C12" s="1" t="s">
        <v>46</v>
      </c>
      <c r="D12" s="4">
        <v>45523</v>
      </c>
      <c r="E12" s="4">
        <v>45538</v>
      </c>
      <c r="F12" s="2">
        <f t="shared" si="0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Offer approval</vt:lpstr>
      <vt:lpstr>Offer letter</vt:lpstr>
      <vt:lpstr>Appointment letter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 Pusunuru (IND)</dc:creator>
  <cp:lastModifiedBy>Borra Prasanna (IND)</cp:lastModifiedBy>
  <dcterms:created xsi:type="dcterms:W3CDTF">2024-02-07T15:55:48Z</dcterms:created>
  <dcterms:modified xsi:type="dcterms:W3CDTF">2025-11-25T06:58:51Z</dcterms:modified>
</cp:coreProperties>
</file>