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8_{EA17A31B-E599-4027-BCE8-A082C2CB4BD7}" xr6:coauthVersionLast="47" xr6:coauthVersionMax="47" xr10:uidLastSave="{00000000-0000-0000-0000-000000000000}"/>
  <bookViews>
    <workbookView xWindow="870" yWindow="0" windowWidth="19420" windowHeight="10300" xr2:uid="{B60C29D3-D2CA-4668-8FA7-A1A81CAB1525}"/>
  </bookViews>
  <sheets>
    <sheet name="Excess salary offered for grade" sheetId="5" r:id="rId1"/>
    <sheet name="Offer approval" sheetId="4" state="hidden" r:id="rId2"/>
  </sheets>
  <definedNames>
    <definedName name="_xlnm._FilterDatabase" localSheetId="0" hidden="1">'Excess salary offered for grade'!$A$2:$CZ$43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Y43" i="5" l="1"/>
</calcChain>
</file>

<file path=xl/sharedStrings.xml><?xml version="1.0" encoding="utf-8"?>
<sst xmlns="http://schemas.openxmlformats.org/spreadsheetml/2006/main" count="1427" uniqueCount="606">
  <si>
    <t>Employee Code</t>
  </si>
  <si>
    <t>Full name</t>
  </si>
  <si>
    <t>Designation</t>
  </si>
  <si>
    <t>Assistant Manager - Maintenance</t>
  </si>
  <si>
    <t>Prefix</t>
  </si>
  <si>
    <t>Mr.</t>
  </si>
  <si>
    <t>PEGEPL0131</t>
  </si>
  <si>
    <t>Sujeet Kumar Singh</t>
  </si>
  <si>
    <t>PEIPL0712</t>
  </si>
  <si>
    <t>Subham Kumar Nayak</t>
  </si>
  <si>
    <t>PSS1410</t>
  </si>
  <si>
    <t>Ms.</t>
  </si>
  <si>
    <t>Mathrey Kalpana</t>
  </si>
  <si>
    <t>PSS1431</t>
  </si>
  <si>
    <t>Tangirala Ramesh</t>
  </si>
  <si>
    <t>PEPPL0829</t>
  </si>
  <si>
    <t>Shivesh Mishra Shivam</t>
  </si>
  <si>
    <t>PEPPL0846</t>
  </si>
  <si>
    <t>Kapil Joshi</t>
  </si>
  <si>
    <t>PEIPL0778</t>
  </si>
  <si>
    <t>Suneel Kumar Satapathi</t>
  </si>
  <si>
    <t>PEIPL0797</t>
  </si>
  <si>
    <t>Paidichetti Chanti</t>
  </si>
  <si>
    <t>PEGEPL0100</t>
  </si>
  <si>
    <t>Goru Sekhar</t>
  </si>
  <si>
    <t>PEGEPL0120</t>
  </si>
  <si>
    <t>Subhasish Pattanaik</t>
  </si>
  <si>
    <t>Offer approval as per DOA</t>
  </si>
  <si>
    <t>Yes(by AGM(HR) instead of CXO)</t>
  </si>
  <si>
    <t>Yes(by CHRO instead of MD)</t>
  </si>
  <si>
    <t>Yes(by AGM(HR) but CXO approval is needed)</t>
  </si>
  <si>
    <t>Yes(by Plant head instead of CXO)</t>
  </si>
  <si>
    <t>Yes (by AGM instead of CXO)</t>
  </si>
  <si>
    <t>Yes(Approved by AGM instead of CXO)</t>
  </si>
  <si>
    <t>Yes (Approved by plant head instead of CXO)</t>
  </si>
  <si>
    <t>Assistant Manager - Finance &amp; Accounts</t>
  </si>
  <si>
    <t>General Manager - Systems &amp; Infrastructure</t>
  </si>
  <si>
    <t>Manager - Business Development</t>
  </si>
  <si>
    <t>Deputy Manager</t>
  </si>
  <si>
    <t>Assistant Manager - Sales &amp; Operations</t>
  </si>
  <si>
    <t>Deputy Manager - Finance &amp; Accounts</t>
  </si>
  <si>
    <t>Deputy Manager - Sales &amp; Operations</t>
  </si>
  <si>
    <t>DOA reference</t>
  </si>
  <si>
    <t>Point 2 of page 9 of DOA, GM and above position MD approval is required</t>
  </si>
  <si>
    <t>Point 2 of page 9 of DOA, AM and above position CXO approval is required</t>
  </si>
  <si>
    <t>First name</t>
  </si>
  <si>
    <t>Last name</t>
  </si>
  <si>
    <t>Employment type</t>
  </si>
  <si>
    <t>Employment status</t>
  </si>
  <si>
    <t>Days worked</t>
  </si>
  <si>
    <t>Mobile number</t>
  </si>
  <si>
    <t>Work email</t>
  </si>
  <si>
    <t>Company</t>
  </si>
  <si>
    <t>Business Unit</t>
  </si>
  <si>
    <t>Department</t>
  </si>
  <si>
    <t>Branch</t>
  </si>
  <si>
    <t>Sub branch</t>
  </si>
  <si>
    <t>Grade</t>
  </si>
  <si>
    <t>Level</t>
  </si>
  <si>
    <t>Region</t>
  </si>
  <si>
    <t>Date of joining</t>
  </si>
  <si>
    <t>Salary revision month</t>
  </si>
  <si>
    <t>Pay group</t>
  </si>
  <si>
    <t>Yearly ctc</t>
  </si>
  <si>
    <t>Monthly ctc</t>
  </si>
  <si>
    <t>Total Fixed Benefits</t>
  </si>
  <si>
    <t>Total Variable Benefits</t>
  </si>
  <si>
    <t>Total experience</t>
  </si>
  <si>
    <t>Pan</t>
  </si>
  <si>
    <t>Employer PF</t>
  </si>
  <si>
    <t>Employer ESI</t>
  </si>
  <si>
    <t>Employer NPS</t>
  </si>
  <si>
    <t>Gratuity</t>
  </si>
  <si>
    <t>Basic | A0002</t>
  </si>
  <si>
    <t>HRA | A0004</t>
  </si>
  <si>
    <t>Washing Allowance | A00005</t>
  </si>
  <si>
    <t>Books and Periodicals | A00025</t>
  </si>
  <si>
    <t>Driver Reimbursement | A00026</t>
  </si>
  <si>
    <t>Conveyances | A00014</t>
  </si>
  <si>
    <t>Food Allowance | A00024</t>
  </si>
  <si>
    <t>Car Lease Allowance | A00032</t>
  </si>
  <si>
    <t>Telephone and Internet Expenses | A00028</t>
  </si>
  <si>
    <t>LTA | A00029</t>
  </si>
  <si>
    <t>Medical Expences | A00030</t>
  </si>
  <si>
    <t>Fuel Reimbursement | A00027</t>
  </si>
  <si>
    <t>Statutory Bonus | A00031</t>
  </si>
  <si>
    <t>Special Allowance | A0014</t>
  </si>
  <si>
    <t>Corporate Health Insurance | A00008</t>
  </si>
  <si>
    <t>Bonus | A00013</t>
  </si>
  <si>
    <t>Variable | A00015</t>
  </si>
  <si>
    <t>Loan | D0011</t>
  </si>
  <si>
    <t>Notice recovery | D0013</t>
  </si>
  <si>
    <t>NPS | A0018</t>
  </si>
  <si>
    <t>Salary Advance | D00003</t>
  </si>
  <si>
    <t>Other Deductions | D00004</t>
  </si>
  <si>
    <t>Canteen | D00005</t>
  </si>
  <si>
    <t>Advance | D00006</t>
  </si>
  <si>
    <t>Loans | D00007</t>
  </si>
  <si>
    <t>Prof Tax | D00015</t>
  </si>
  <si>
    <t>Car Lease Deduction | D00014</t>
  </si>
  <si>
    <t>Clearance | D00009</t>
  </si>
  <si>
    <t>Food Card | D00011</t>
  </si>
  <si>
    <t>Voluntary ProvidentFund | D00010</t>
  </si>
  <si>
    <t>Employee PF</t>
  </si>
  <si>
    <t>Employee ESI</t>
  </si>
  <si>
    <t>Employee LWF</t>
  </si>
  <si>
    <t>Employee VPF</t>
  </si>
  <si>
    <t>Employer lwf</t>
  </si>
  <si>
    <t>Other Benefits Total</t>
  </si>
  <si>
    <t>Total contributions</t>
  </si>
  <si>
    <t>Total deductions</t>
  </si>
  <si>
    <t>Old ctc</t>
  </si>
  <si>
    <t>Salary revision percentage</t>
  </si>
  <si>
    <t>Gross Benefits Total</t>
  </si>
  <si>
    <t>Date of Leaving</t>
  </si>
  <si>
    <t>Date Of Birth</t>
  </si>
  <si>
    <t>Gender</t>
  </si>
  <si>
    <t>Date of Resignation</t>
  </si>
  <si>
    <t>Fathers Name</t>
  </si>
  <si>
    <t>Skill Type</t>
  </si>
  <si>
    <t>PF Applicability</t>
  </si>
  <si>
    <t>NA</t>
  </si>
  <si>
    <t>Cost Center</t>
  </si>
  <si>
    <t>Qualification</t>
  </si>
  <si>
    <t>Grade variation check</t>
  </si>
  <si>
    <t>Average of new joins</t>
  </si>
  <si>
    <t>Average of Total</t>
  </si>
  <si>
    <t>Variation(Based on new join)</t>
  </si>
  <si>
    <t>Variation(Based on Total)</t>
  </si>
  <si>
    <t>Variation(Based on new join)%</t>
  </si>
  <si>
    <t>Variation(Based on Total)%</t>
  </si>
  <si>
    <t>No of employee (total)</t>
  </si>
  <si>
    <t>No of new joinee (total)</t>
  </si>
  <si>
    <t>Based on position</t>
  </si>
  <si>
    <t>Based on experience</t>
  </si>
  <si>
    <t>Based on department</t>
  </si>
  <si>
    <t>Avg ifs</t>
  </si>
  <si>
    <t>% variation</t>
  </si>
  <si>
    <t>Observation</t>
  </si>
  <si>
    <t>Analysis of lower grade getting higher pay than higher grade</t>
  </si>
  <si>
    <t>Maximum As per grade structure</t>
  </si>
  <si>
    <t>Permanent</t>
  </si>
  <si>
    <t>Probation</t>
  </si>
  <si>
    <t>9618954678</t>
  </si>
  <si>
    <t>ramesh.t@premierenergies.com</t>
  </si>
  <si>
    <t>Premier Energies Limited</t>
  </si>
  <si>
    <t>IT</t>
  </si>
  <si>
    <t>Telangana</t>
  </si>
  <si>
    <t>Corporate Office</t>
  </si>
  <si>
    <t>E1</t>
  </si>
  <si>
    <t>General Manager</t>
  </si>
  <si>
    <t>South</t>
  </si>
  <si>
    <t>General</t>
  </si>
  <si>
    <t>21 years 0 months</t>
  </si>
  <si>
    <t>ADRPT3944Q</t>
  </si>
  <si>
    <t>0.00%</t>
  </si>
  <si>
    <t>25/05/1980</t>
  </si>
  <si>
    <t>Male</t>
  </si>
  <si>
    <t>T Rammohan Rao</t>
  </si>
  <si>
    <t>Skilled</t>
  </si>
  <si>
    <t>Applicable</t>
  </si>
  <si>
    <t>Selected</t>
  </si>
  <si>
    <t>M.Tech</t>
  </si>
  <si>
    <t>High variation</t>
  </si>
  <si>
    <t>GM position so not considered for reporting</t>
  </si>
  <si>
    <t>PEIPL0705</t>
  </si>
  <si>
    <t>Manas Ranjan Dhir</t>
  </si>
  <si>
    <t>Manas</t>
  </si>
  <si>
    <t>Dhir</t>
  </si>
  <si>
    <t>7069085030</t>
  </si>
  <si>
    <t>manas.dhir@premierenergies.com</t>
  </si>
  <si>
    <t>Premier Energies International Private Limited</t>
  </si>
  <si>
    <t>Stores</t>
  </si>
  <si>
    <t>General Manager - Stores &amp; Logistics</t>
  </si>
  <si>
    <t>Fabcity</t>
  </si>
  <si>
    <t>1 years 3 months</t>
  </si>
  <si>
    <t>AMSPD3029N</t>
  </si>
  <si>
    <t>10/02/1978</t>
  </si>
  <si>
    <t>Purushottam Dhir</t>
  </si>
  <si>
    <t>MBA</t>
  </si>
  <si>
    <t>PEIPL0707</t>
  </si>
  <si>
    <t>Sandip Rameshrao Gorle</t>
  </si>
  <si>
    <t>Sandip</t>
  </si>
  <si>
    <t>Gorle</t>
  </si>
  <si>
    <t>9398880760</t>
  </si>
  <si>
    <t>sandip.gorle@premierenergies.com</t>
  </si>
  <si>
    <t>PPC</t>
  </si>
  <si>
    <t>Deputy General Manager - PPC</t>
  </si>
  <si>
    <t>D4</t>
  </si>
  <si>
    <t>Deputy General Manager</t>
  </si>
  <si>
    <t>0 years 5 months</t>
  </si>
  <si>
    <t>ARQPG8065L</t>
  </si>
  <si>
    <t>02/07/1980</t>
  </si>
  <si>
    <t>Ramesh Gorle</t>
  </si>
  <si>
    <t>PEIPL Factory Office</t>
  </si>
  <si>
    <t>Not much variation %</t>
  </si>
  <si>
    <t>PSS1407</t>
  </si>
  <si>
    <t>Meghana Nandu Kanade</t>
  </si>
  <si>
    <t>9096274757</t>
  </si>
  <si>
    <t>meghana.kanade@premierenergies.com</t>
  </si>
  <si>
    <t>MDs Office</t>
  </si>
  <si>
    <t>Senior Manager - Business Analytics</t>
  </si>
  <si>
    <t>D2</t>
  </si>
  <si>
    <t>Senior Manager</t>
  </si>
  <si>
    <t>4 years 1 months</t>
  </si>
  <si>
    <t>EQMPK5127C</t>
  </si>
  <si>
    <t>10/07/1996</t>
  </si>
  <si>
    <t>Female</t>
  </si>
  <si>
    <t>Nandu Kanade</t>
  </si>
  <si>
    <t>Average checked from Co pilot , around 25 lakhs for 5-9 yr experience</t>
  </si>
  <si>
    <t>PSS1409</t>
  </si>
  <si>
    <t>Nilesh Bharat Gaidhane</t>
  </si>
  <si>
    <t>9589219314</t>
  </si>
  <si>
    <t>nilesh.gaidhane@premierenergies.com</t>
  </si>
  <si>
    <t>3 years 11 months</t>
  </si>
  <si>
    <t>BXIPG5892G</t>
  </si>
  <si>
    <t>26/02/1997</t>
  </si>
  <si>
    <t>Bharat Gaidhane</t>
  </si>
  <si>
    <t>PSS1411</t>
  </si>
  <si>
    <t>Akanksha</t>
  </si>
  <si>
    <t>8135037642</t>
  </si>
  <si>
    <t>akanksha@premierenergies.com</t>
  </si>
  <si>
    <t>2 years 10 months</t>
  </si>
  <si>
    <t>CSAPA9870J</t>
  </si>
  <si>
    <t>14/12/1996</t>
  </si>
  <si>
    <t>Ashok Kumar Sinha</t>
  </si>
  <si>
    <t>PSS1415</t>
  </si>
  <si>
    <t>Madhur Rajendra Kakade</t>
  </si>
  <si>
    <t>7218927367</t>
  </si>
  <si>
    <t>madhur.kakade@premierenergies.com</t>
  </si>
  <si>
    <t>2 years 5 months</t>
  </si>
  <si>
    <t>IOBPK5440F</t>
  </si>
  <si>
    <t>05/02/1998</t>
  </si>
  <si>
    <t>Rajendra Kakade</t>
  </si>
  <si>
    <t>PSS1412</t>
  </si>
  <si>
    <t>Vanka Sai Sathvika</t>
  </si>
  <si>
    <t>9848056030</t>
  </si>
  <si>
    <t>saisathvika.v@premierenergies.com</t>
  </si>
  <si>
    <t>3 years 4 months</t>
  </si>
  <si>
    <t>BNZPV6850J</t>
  </si>
  <si>
    <t>15/05/1997</t>
  </si>
  <si>
    <t>Venkat Srinivas V</t>
  </si>
  <si>
    <t>PSS1417</t>
  </si>
  <si>
    <t>Ashwin Lakra</t>
  </si>
  <si>
    <t>8093770844</t>
  </si>
  <si>
    <t>ashwin.lakra@premierenergies.com</t>
  </si>
  <si>
    <t>0 years 3 months</t>
  </si>
  <si>
    <t>PANNOTAVBL</t>
  </si>
  <si>
    <t>20/08/1995</t>
  </si>
  <si>
    <t>William Lakra</t>
  </si>
  <si>
    <t>7827390934</t>
  </si>
  <si>
    <t>Shiveshmishra.s@premierenergies.com</t>
  </si>
  <si>
    <t>Premier Energies Photovoltaic Private Limited</t>
  </si>
  <si>
    <t>Business Development</t>
  </si>
  <si>
    <t>New Delhi</t>
  </si>
  <si>
    <t>C4</t>
  </si>
  <si>
    <t>Manager</t>
  </si>
  <si>
    <t>North</t>
  </si>
  <si>
    <t>10 years 8 months</t>
  </si>
  <si>
    <t>DLSPS0524R</t>
  </si>
  <si>
    <t>10/02/1993</t>
  </si>
  <si>
    <t>Shrawan Kumar Mishra</t>
  </si>
  <si>
    <t>Only two managers in BD one has 18 L package and current one has 20L</t>
  </si>
  <si>
    <t>PSS1405</t>
  </si>
  <si>
    <t>Mohit Mahesh Chawla</t>
  </si>
  <si>
    <t>7016392138</t>
  </si>
  <si>
    <t>mohit.chawla@premierenergies.com</t>
  </si>
  <si>
    <t>Marketing &amp; Communication</t>
  </si>
  <si>
    <t>Senior Manager - Global Marketing &amp; Communication</t>
  </si>
  <si>
    <t>D1</t>
  </si>
  <si>
    <t>3 years 7 months</t>
  </si>
  <si>
    <t>BOPPC2007D</t>
  </si>
  <si>
    <t>03/10/1994</t>
  </si>
  <si>
    <t>Mahesh Chawla</t>
  </si>
  <si>
    <t>PSS1429</t>
  </si>
  <si>
    <t>S Priyanka</t>
  </si>
  <si>
    <t>9866566429</t>
  </si>
  <si>
    <t>priyanka.s@premierenergies.com</t>
  </si>
  <si>
    <t>Finance &amp; Accounts</t>
  </si>
  <si>
    <t>C2</t>
  </si>
  <si>
    <t>2 years 0 months</t>
  </si>
  <si>
    <t>LLVPS4312J</t>
  </si>
  <si>
    <t>29/05/1999</t>
  </si>
  <si>
    <t>Siramma Venkata Ramana Reddy</t>
  </si>
  <si>
    <t>ICAI</t>
  </si>
  <si>
    <t>Checked</t>
  </si>
  <si>
    <t>Average for DM-F&amp;A is 12 CTC but offered 17</t>
  </si>
  <si>
    <t>Reported</t>
  </si>
  <si>
    <t>PSS1432</t>
  </si>
  <si>
    <t>Vasi Sree Mahalakshmi</t>
  </si>
  <si>
    <t>7090429700</t>
  </si>
  <si>
    <t>mahalakshmi.v@premierenergies.com</t>
  </si>
  <si>
    <t>3 years 2 months</t>
  </si>
  <si>
    <t>GGVPM5176C</t>
  </si>
  <si>
    <t>10/08/1997</t>
  </si>
  <si>
    <t>Vasi Raja Obula Munaiah</t>
  </si>
  <si>
    <t>PEGEPL0092</t>
  </si>
  <si>
    <t>Doddigarla Ravikumar</t>
  </si>
  <si>
    <t>9000374675</t>
  </si>
  <si>
    <t>ravi.d@premierenergies.com</t>
  </si>
  <si>
    <t>Premier Energies Global Environment Private Limited</t>
  </si>
  <si>
    <t>Projects</t>
  </si>
  <si>
    <t>Senior Manager - MEP</t>
  </si>
  <si>
    <t>City Office</t>
  </si>
  <si>
    <t>12 years 7 months</t>
  </si>
  <si>
    <t>BBUPD5786N</t>
  </si>
  <si>
    <t>04/07/1990</t>
  </si>
  <si>
    <t>Nageswara Rao</t>
  </si>
  <si>
    <t>B.Tech</t>
  </si>
  <si>
    <t>9000738358</t>
  </si>
  <si>
    <t>sekhar.g@premierenergies.com</t>
  </si>
  <si>
    <t>30/06/1998</t>
  </si>
  <si>
    <t>GORU CHANDRA RAO</t>
  </si>
  <si>
    <t>ICMAI</t>
  </si>
  <si>
    <t>Not reported</t>
  </si>
  <si>
    <t>PSS1406</t>
  </si>
  <si>
    <t>Guguloth Vivek</t>
  </si>
  <si>
    <t>Guguloth</t>
  </si>
  <si>
    <t>8790856042</t>
  </si>
  <si>
    <t>vivek.g@premierenergies.com</t>
  </si>
  <si>
    <t>Assistant Manager - Data Analysis</t>
  </si>
  <si>
    <t>C1</t>
  </si>
  <si>
    <t>Assistant Manager</t>
  </si>
  <si>
    <t>CFPPG5471R</t>
  </si>
  <si>
    <t>17/04/1999</t>
  </si>
  <si>
    <t>Guguloth Ravindar</t>
  </si>
  <si>
    <t>4 person in department, 3 with 12 L and one with 7.5</t>
  </si>
  <si>
    <t>PEPPL0806</t>
  </si>
  <si>
    <t>Vaishali Chauhan</t>
  </si>
  <si>
    <t>Vaishali</t>
  </si>
  <si>
    <t>Chauhan</t>
  </si>
  <si>
    <t>9653177741</t>
  </si>
  <si>
    <t>vaishali.chauhan@premierenergies.com</t>
  </si>
  <si>
    <t>R&amp;D</t>
  </si>
  <si>
    <t>BEUPC4454H</t>
  </si>
  <si>
    <t>22/12/1993</t>
  </si>
  <si>
    <t>Ishwar Chauhan</t>
  </si>
  <si>
    <t>PEPPL Cell</t>
  </si>
  <si>
    <t>Higher than average of 7.5, only 1 person in R&amp;D</t>
  </si>
  <si>
    <t>PSS1418</t>
  </si>
  <si>
    <t>Syed Ansari S</t>
  </si>
  <si>
    <t>Syed</t>
  </si>
  <si>
    <t>S</t>
  </si>
  <si>
    <t>9597153826</t>
  </si>
  <si>
    <t>syed.ansari@premierenergies.com</t>
  </si>
  <si>
    <t>Analytics</t>
  </si>
  <si>
    <t>EECPS5305Q</t>
  </si>
  <si>
    <t>28/07/1994</t>
  </si>
  <si>
    <t>Sulthan</t>
  </si>
  <si>
    <t>PG</t>
  </si>
  <si>
    <t>PSS1423</t>
  </si>
  <si>
    <t>Yakkanti Yamini Saraswathi</t>
  </si>
  <si>
    <t>Yakkanti</t>
  </si>
  <si>
    <t>Saraswathi</t>
  </si>
  <si>
    <t>6302445627</t>
  </si>
  <si>
    <t>yamini.y@premierenergies.com</t>
  </si>
  <si>
    <t>Data Analyst</t>
  </si>
  <si>
    <t>0 years 2 months</t>
  </si>
  <si>
    <t>BKKPY6638R</t>
  </si>
  <si>
    <t>27/06/1999</t>
  </si>
  <si>
    <t>Yakkanti Venkata Ramana Reddy</t>
  </si>
  <si>
    <t>Average around 12 laksh for data analyst</t>
  </si>
  <si>
    <t>PSS1424</t>
  </si>
  <si>
    <t>Pinal Kumar Rana</t>
  </si>
  <si>
    <t>Pinal</t>
  </si>
  <si>
    <t>Rana</t>
  </si>
  <si>
    <t>9662411693</t>
  </si>
  <si>
    <t>pinal.rana@premierenergies.com</t>
  </si>
  <si>
    <t>CEPPR6786D</t>
  </si>
  <si>
    <t>01/08/1995</t>
  </si>
  <si>
    <t>Gopalbhai Mohanlal Rana</t>
  </si>
  <si>
    <t>Other Qualifications</t>
  </si>
  <si>
    <t>9826224331</t>
  </si>
  <si>
    <t>subhasish.p@premierenergies.com</t>
  </si>
  <si>
    <t>Sales &amp; Operations</t>
  </si>
  <si>
    <t>1 years 7 months</t>
  </si>
  <si>
    <t>BQYPP9537L</t>
  </si>
  <si>
    <t>10/07/1986</t>
  </si>
  <si>
    <t>Suresh Chandra Pattanaik</t>
  </si>
  <si>
    <t>PEPPL0824</t>
  </si>
  <si>
    <t>Vurranki Gopimanikanta</t>
  </si>
  <si>
    <t>Settled</t>
  </si>
  <si>
    <t>6281017456</t>
  </si>
  <si>
    <t>gopimanikanta.v@premierenergies.com</t>
  </si>
  <si>
    <t>BKYPV2219P</t>
  </si>
  <si>
    <t>27/08/2024</t>
  </si>
  <si>
    <t>12/12/1997</t>
  </si>
  <si>
    <t>22/07/2024</t>
  </si>
  <si>
    <t>Vurranki Srinivas Rao</t>
  </si>
  <si>
    <t xml:space="preserve">Average 7.8 lakhs for AM F&amp;A </t>
  </si>
  <si>
    <t>PEIPL0755</t>
  </si>
  <si>
    <t>Nishchal Vashishtha</t>
  </si>
  <si>
    <t>Nishchal</t>
  </si>
  <si>
    <t>Vashishtha</t>
  </si>
  <si>
    <t>7795836990</t>
  </si>
  <si>
    <t>nishchal193@gmail.com</t>
  </si>
  <si>
    <t>Production</t>
  </si>
  <si>
    <t>Senior Engineer</t>
  </si>
  <si>
    <t>B5</t>
  </si>
  <si>
    <t>2 years 3 months</t>
  </si>
  <si>
    <t>AOQPV1244P</t>
  </si>
  <si>
    <t>04/10/1993</t>
  </si>
  <si>
    <t>ATUL KUMAR SHARMA</t>
  </si>
  <si>
    <t>PEIPL Cell</t>
  </si>
  <si>
    <t>High variation even considering department</t>
  </si>
  <si>
    <t>PSS1414</t>
  </si>
  <si>
    <t>Gurjot Singh Saini</t>
  </si>
  <si>
    <t>Gurjot</t>
  </si>
  <si>
    <t>Saini</t>
  </si>
  <si>
    <t>8888751925</t>
  </si>
  <si>
    <t>gurjot.singh@premierenergies.com</t>
  </si>
  <si>
    <t>Company Secretary</t>
  </si>
  <si>
    <t>Assistant Company Secretary</t>
  </si>
  <si>
    <t>Senior Executive</t>
  </si>
  <si>
    <t>0 years 4 months</t>
  </si>
  <si>
    <t>MBRPS7992H</t>
  </si>
  <si>
    <t>25/08/1997</t>
  </si>
  <si>
    <t>Only 2 persons in comp secre with 5.85 and this with 6</t>
  </si>
  <si>
    <t>PEPPL0822</t>
  </si>
  <si>
    <t>Maddela Upender</t>
  </si>
  <si>
    <t>Maddela</t>
  </si>
  <si>
    <t>9949918400</t>
  </si>
  <si>
    <t>upendermaddela0@gmail.com</t>
  </si>
  <si>
    <t>Quality</t>
  </si>
  <si>
    <t>2 years 6 months</t>
  </si>
  <si>
    <t>BNSPM2644G</t>
  </si>
  <si>
    <t>18/02/1977</t>
  </si>
  <si>
    <t>Ramanarasaiah</t>
  </si>
  <si>
    <t>PEPPL Module</t>
  </si>
  <si>
    <t>B.com</t>
  </si>
  <si>
    <t>PSS1413</t>
  </si>
  <si>
    <t>Peerikatla Dharma Rao</t>
  </si>
  <si>
    <t>9553793783</t>
  </si>
  <si>
    <t>dharmarao.p@premierenergies.com</t>
  </si>
  <si>
    <t>Senior Executive - Finance &amp; Accounts</t>
  </si>
  <si>
    <t>1 years 1 months</t>
  </si>
  <si>
    <t>DIUPP0134B</t>
  </si>
  <si>
    <t>27/09/1996</t>
  </si>
  <si>
    <t>Peerikatla Venkata Durga Prasad</t>
  </si>
  <si>
    <t>PEPPL0816</t>
  </si>
  <si>
    <t>Mothukuru Muneendrar</t>
  </si>
  <si>
    <t>Mothukuru</t>
  </si>
  <si>
    <t>Muneendrar</t>
  </si>
  <si>
    <t>7731050611</t>
  </si>
  <si>
    <t>CLIPM5300A</t>
  </si>
  <si>
    <t>20/08/1993</t>
  </si>
  <si>
    <t>Motukuri Muniswami</t>
  </si>
  <si>
    <t>PEPPL0874</t>
  </si>
  <si>
    <t>Aarnav Singh</t>
  </si>
  <si>
    <t>Consultant</t>
  </si>
  <si>
    <t>Confirmed</t>
  </si>
  <si>
    <t>8143025550</t>
  </si>
  <si>
    <t>aarnav.singh@premierenergies.com</t>
  </si>
  <si>
    <t>0 years 1 months</t>
  </si>
  <si>
    <t>CDSPC1506N</t>
  </si>
  <si>
    <t>03/01/2002</t>
  </si>
  <si>
    <t>Not Applicable</t>
  </si>
  <si>
    <t>PSS1425</t>
  </si>
  <si>
    <t>Mansa Maheshwari</t>
  </si>
  <si>
    <t>9959419367</t>
  </si>
  <si>
    <t>mansa.m@premierenergies.com</t>
  </si>
  <si>
    <t>Executive - Business Analytics</t>
  </si>
  <si>
    <t>B4</t>
  </si>
  <si>
    <t>Executive</t>
  </si>
  <si>
    <t>GUNPM8692F</t>
  </si>
  <si>
    <t>17/07/2003</t>
  </si>
  <si>
    <t>Punish Maheshwari</t>
  </si>
  <si>
    <t>BBA</t>
  </si>
  <si>
    <t>Only 1 executive in BA</t>
  </si>
  <si>
    <t>PEIPL0741</t>
  </si>
  <si>
    <t>Rakesh singh Panwar</t>
  </si>
  <si>
    <t>Rakesh</t>
  </si>
  <si>
    <t>Panwar</t>
  </si>
  <si>
    <t>9983716033</t>
  </si>
  <si>
    <t>rakeshpanwarbhim@gmail.com</t>
  </si>
  <si>
    <t>Maintenance</t>
  </si>
  <si>
    <t>DXOPP2008H</t>
  </si>
  <si>
    <t>20/12/1995</t>
  </si>
  <si>
    <t>Bhaira Singh Panwar</t>
  </si>
  <si>
    <t>PEIPL Module</t>
  </si>
  <si>
    <t>PEPPL0851</t>
  </si>
  <si>
    <t>Vipparthi Uttej</t>
  </si>
  <si>
    <t>Vipparthi</t>
  </si>
  <si>
    <t>Uttej</t>
  </si>
  <si>
    <t>8555872633</t>
  </si>
  <si>
    <t>uttej.vipparthi@premierenergies.com</t>
  </si>
  <si>
    <t>Safety</t>
  </si>
  <si>
    <t>Senior Safety Officer</t>
  </si>
  <si>
    <t>1 years 5 months</t>
  </si>
  <si>
    <t>BQQPV0259M</t>
  </si>
  <si>
    <t>03/07/1996</t>
  </si>
  <si>
    <t>Vipparthi Kondalarao</t>
  </si>
  <si>
    <t>PEPPL Factory Office</t>
  </si>
  <si>
    <t>PEIPL0786</t>
  </si>
  <si>
    <t>Banothu Mahesh</t>
  </si>
  <si>
    <t>9032015243</t>
  </si>
  <si>
    <t>banothumahesh@gmail.com</t>
  </si>
  <si>
    <t>0 years 0 months</t>
  </si>
  <si>
    <t>BBKPB3336A</t>
  </si>
  <si>
    <t>08/04/1991</t>
  </si>
  <si>
    <t>Ramulu</t>
  </si>
  <si>
    <t>PEGEPL0097</t>
  </si>
  <si>
    <t>Subhankar Mandal</t>
  </si>
  <si>
    <t>Subhankar</t>
  </si>
  <si>
    <t>8509160168</t>
  </si>
  <si>
    <t>subhaetce@gmail.com</t>
  </si>
  <si>
    <t>DDWPM1737C</t>
  </si>
  <si>
    <t>02/02/1997</t>
  </si>
  <si>
    <t>Samarendra Mandal</t>
  </si>
  <si>
    <t>PEGEPL Module</t>
  </si>
  <si>
    <t>PEIPL0734</t>
  </si>
  <si>
    <t>Deepu Kumar Sharma</t>
  </si>
  <si>
    <t>Deepu</t>
  </si>
  <si>
    <t>Sharma</t>
  </si>
  <si>
    <t>9781867328</t>
  </si>
  <si>
    <t>deepukumarsharma921@gmail.com</t>
  </si>
  <si>
    <t>Utility</t>
  </si>
  <si>
    <t>Engineer</t>
  </si>
  <si>
    <t>MDWPS2480K</t>
  </si>
  <si>
    <t>10/05/1997</t>
  </si>
  <si>
    <t>Vishwanath Sharma</t>
  </si>
  <si>
    <t>Avg 4.6L based on department</t>
  </si>
  <si>
    <t>PEPPL0825</t>
  </si>
  <si>
    <t>Deepak Kumar</t>
  </si>
  <si>
    <t>Deepak</t>
  </si>
  <si>
    <t>Kumar</t>
  </si>
  <si>
    <t>8800168374</t>
  </si>
  <si>
    <t>dksonaksh101@gmail.com</t>
  </si>
  <si>
    <t>Senior Technician</t>
  </si>
  <si>
    <t>A4</t>
  </si>
  <si>
    <t>3 years 6 months</t>
  </si>
  <si>
    <t>EOFPK6752A</t>
  </si>
  <si>
    <t>12/06/1995</t>
  </si>
  <si>
    <t>Prabhunath Singh</t>
  </si>
  <si>
    <t>ITI</t>
  </si>
  <si>
    <t>Avg 4.12 L in utility</t>
  </si>
  <si>
    <t>PEIPL0765</t>
  </si>
  <si>
    <t>Santlal Dwivedi</t>
  </si>
  <si>
    <t>Santlal</t>
  </si>
  <si>
    <t>Dwivedi</t>
  </si>
  <si>
    <t>8251923963</t>
  </si>
  <si>
    <t>santlaldwivedi@gmail.com</t>
  </si>
  <si>
    <t>Facility</t>
  </si>
  <si>
    <t>A3</t>
  </si>
  <si>
    <t>14 years 4 months</t>
  </si>
  <si>
    <t>ELYPD7372B</t>
  </si>
  <si>
    <t>12/12/1989</t>
  </si>
  <si>
    <t>Late Amritlal Dwivedi</t>
  </si>
  <si>
    <t>BSc</t>
  </si>
  <si>
    <t>Avg 4.23 in facility</t>
  </si>
  <si>
    <t>PEGEPL0050</t>
  </si>
  <si>
    <t>Dileep Kumar V</t>
  </si>
  <si>
    <t>Dileep</t>
  </si>
  <si>
    <t>V</t>
  </si>
  <si>
    <t>9741066499</t>
  </si>
  <si>
    <t>dileepkumarv243@gmail.com</t>
  </si>
  <si>
    <t>EXKPD9499F</t>
  </si>
  <si>
    <t>15/04/1997</t>
  </si>
  <si>
    <t>Virupakshappa</t>
  </si>
  <si>
    <t>Avg3.44L in production</t>
  </si>
  <si>
    <t>PEIPL0777</t>
  </si>
  <si>
    <t>Nupur Pandit</t>
  </si>
  <si>
    <t>Relieved</t>
  </si>
  <si>
    <t>7425804699</t>
  </si>
  <si>
    <t>sonupandit0522@gmail.com</t>
  </si>
  <si>
    <t>Deputy Engineer</t>
  </si>
  <si>
    <t>DBNPP8098A</t>
  </si>
  <si>
    <t>10/09/2024</t>
  </si>
  <si>
    <t>03/02/1995</t>
  </si>
  <si>
    <t>Manik Pandit</t>
  </si>
  <si>
    <t>PEPPL0820</t>
  </si>
  <si>
    <t>Perumalla Srikanth</t>
  </si>
  <si>
    <t>Perumalla</t>
  </si>
  <si>
    <t>Srikanth</t>
  </si>
  <si>
    <t>Contractual</t>
  </si>
  <si>
    <t>9121260219</t>
  </si>
  <si>
    <t>srikanthperumalla533@gmail.com</t>
  </si>
  <si>
    <t>Junior Engineer</t>
  </si>
  <si>
    <t>B1</t>
  </si>
  <si>
    <t>5 years 9 months</t>
  </si>
  <si>
    <t>MADPS7741F</t>
  </si>
  <si>
    <t>30/12/1995</t>
  </si>
  <si>
    <t>Shanthaiah</t>
  </si>
  <si>
    <t>Only 2 in facility</t>
  </si>
  <si>
    <t>PEPPL0803</t>
  </si>
  <si>
    <t>Sushanta Kumar Biswal</t>
  </si>
  <si>
    <t>Sushanta Kumar</t>
  </si>
  <si>
    <t>Biswal</t>
  </si>
  <si>
    <t>8249961443</t>
  </si>
  <si>
    <t>2 years 11 months</t>
  </si>
  <si>
    <t>CPWPB2670E</t>
  </si>
  <si>
    <t>22/05/1993</t>
  </si>
  <si>
    <t>Basanta Kumar Biswal</t>
  </si>
  <si>
    <t>Diploma</t>
  </si>
  <si>
    <t>Dept average around 3.7 L</t>
  </si>
  <si>
    <t>Difference</t>
  </si>
  <si>
    <t>Sample?</t>
  </si>
  <si>
    <t>Approval</t>
  </si>
  <si>
    <t>Plant head</t>
  </si>
  <si>
    <t>Not provided</t>
  </si>
  <si>
    <t>AGM(HR)</t>
  </si>
  <si>
    <t>CFO</t>
  </si>
  <si>
    <t>CMD</t>
  </si>
  <si>
    <t>Fabcity/other</t>
  </si>
  <si>
    <t>Corporate &amp; Other</t>
  </si>
  <si>
    <t>VP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</si>
</sst>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14" fontId="0" fillId="0" borderId="1" xfId="0" applyNumberFormat="1" applyBorder="1"/>
    <xf numFmtId="0" fontId="2" fillId="2" borderId="2" xfId="0" applyFont="1" applyFill="1" applyBorder="1" applyAlignment="1">
      <alignment horizontal="center"/>
    </xf>
    <xf numFmtId="0" fontId="0" fillId="0" borderId="2" xfId="0" applyBorder="1" applyAlignment="1">
      <alignment horizontal="left" vertical="top" wrapText="1"/>
    </xf>
    <xf numFmtId="2" fontId="0" fillId="0" borderId="1" xfId="0" applyNumberFormat="1" applyBorder="1"/>
    <xf numFmtId="165" fontId="0" fillId="0" borderId="1" xfId="1" applyNumberFormat="1" applyFont="1" applyBorder="1"/>
    <xf numFmtId="9" fontId="0" fillId="0" borderId="1" xfId="2" applyFont="1" applyBorder="1"/>
    <xf numFmtId="0" fontId="0" fillId="3" borderId="1" xfId="0" applyFill="1" applyBorder="1"/>
    <xf numFmtId="2" fontId="0" fillId="3" borderId="1" xfId="0" applyNumberFormat="1" applyFill="1" applyBorder="1"/>
    <xf numFmtId="165" fontId="0" fillId="3" borderId="1" xfId="1" applyNumberFormat="1" applyFont="1" applyFill="1" applyBorder="1"/>
    <xf numFmtId="9" fontId="0" fillId="3" borderId="1" xfId="2" applyFont="1" applyFill="1" applyBorder="1"/>
    <xf numFmtId="0" fontId="2" fillId="0" borderId="1" xfId="0" applyFont="1" applyBorder="1"/>
    <xf numFmtId="14" fontId="2" fillId="0" borderId="1" xfId="0" applyNumberFormat="1" applyFont="1" applyBorder="1"/>
    <xf numFmtId="2" fontId="2" fillId="0" borderId="1" xfId="0" applyNumberFormat="1" applyFont="1" applyBorder="1"/>
    <xf numFmtId="165" fontId="0" fillId="0" borderId="1" xfId="1" applyNumberFormat="1" applyFont="1" applyFill="1" applyBorder="1"/>
    <xf numFmtId="2" fontId="1" fillId="0" borderId="1" xfId="0" applyNumberFormat="1" applyFont="1" applyBorder="1"/>
    <xf numFmtId="165" fontId="1" fillId="0" borderId="1" xfId="0" applyNumberFormat="1" applyFont="1" applyBorder="1"/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left" vertical="top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2683F-F36E-484F-8D5A-E94940126CC6}">
  <sheetPr filterMode="1"/>
  <dimension ref="A2:CZ43"/>
  <sheetViews>
    <sheetView tabSelected="1" workbookViewId="0">
      <selection activeCell="A2" sqref="A2:CZ36"/>
    </sheetView>
  </sheetViews>
  <sheetFormatPr defaultRowHeight="14.5" x14ac:dyDescent="0.35"/>
  <cols>
    <col min="2" max="2" width="26" bestFit="1" customWidth="1"/>
    <col min="3" max="12" width="0" hidden="1" customWidth="1"/>
    <col min="13" max="13" width="48.90625" bestFit="1" customWidth="1"/>
    <col min="14" max="21" width="0" hidden="1" customWidth="1"/>
    <col min="22" max="22" width="13.36328125" bestFit="1" customWidth="1"/>
    <col min="23" max="81" width="0" hidden="1" customWidth="1"/>
    <col min="84" max="101" width="0" hidden="1" customWidth="1"/>
    <col min="102" max="102" width="13.36328125" bestFit="1" customWidth="1"/>
    <col min="103" max="103" width="12" bestFit="1" customWidth="1"/>
    <col min="104" max="104" width="11.08984375" bestFit="1" customWidth="1"/>
  </cols>
  <sheetData>
    <row r="2" spans="1:104" ht="39.5" x14ac:dyDescent="0.35">
      <c r="A2" s="14" t="s">
        <v>0</v>
      </c>
      <c r="B2" s="14" t="s">
        <v>1</v>
      </c>
      <c r="C2" s="14" t="s">
        <v>45</v>
      </c>
      <c r="D2" s="14" t="s">
        <v>46</v>
      </c>
      <c r="E2" s="14" t="s">
        <v>47</v>
      </c>
      <c r="F2" s="14" t="s">
        <v>48</v>
      </c>
      <c r="G2" s="14" t="s">
        <v>49</v>
      </c>
      <c r="H2" s="14" t="s">
        <v>50</v>
      </c>
      <c r="I2" s="14" t="s">
        <v>51</v>
      </c>
      <c r="J2" s="14" t="s">
        <v>52</v>
      </c>
      <c r="K2" s="14" t="s">
        <v>53</v>
      </c>
      <c r="L2" s="14" t="s">
        <v>54</v>
      </c>
      <c r="M2" s="14" t="s">
        <v>2</v>
      </c>
      <c r="N2" s="14" t="s">
        <v>55</v>
      </c>
      <c r="O2" s="14" t="s">
        <v>56</v>
      </c>
      <c r="P2" s="14" t="s">
        <v>57</v>
      </c>
      <c r="Q2" s="14" t="s">
        <v>58</v>
      </c>
      <c r="R2" s="14" t="s">
        <v>59</v>
      </c>
      <c r="S2" s="15" t="s">
        <v>60</v>
      </c>
      <c r="T2" s="15" t="s">
        <v>61</v>
      </c>
      <c r="U2" s="14" t="s">
        <v>62</v>
      </c>
      <c r="V2" s="16" t="s">
        <v>63</v>
      </c>
      <c r="W2" s="16" t="s">
        <v>64</v>
      </c>
      <c r="X2" s="16" t="s">
        <v>65</v>
      </c>
      <c r="Y2" s="16" t="s">
        <v>66</v>
      </c>
      <c r="Z2" s="14" t="s">
        <v>67</v>
      </c>
      <c r="AA2" s="14" t="s">
        <v>68</v>
      </c>
      <c r="AB2" s="16" t="s">
        <v>69</v>
      </c>
      <c r="AC2" s="16" t="s">
        <v>70</v>
      </c>
      <c r="AD2" s="16" t="s">
        <v>71</v>
      </c>
      <c r="AE2" s="16" t="s">
        <v>72</v>
      </c>
      <c r="AF2" s="16" t="s">
        <v>73</v>
      </c>
      <c r="AG2" s="16" t="s">
        <v>74</v>
      </c>
      <c r="AH2" s="16" t="s">
        <v>75</v>
      </c>
      <c r="AI2" s="16" t="s">
        <v>76</v>
      </c>
      <c r="AJ2" s="16" t="s">
        <v>77</v>
      </c>
      <c r="AK2" s="16" t="s">
        <v>78</v>
      </c>
      <c r="AL2" s="16" t="s">
        <v>79</v>
      </c>
      <c r="AM2" s="16" t="s">
        <v>80</v>
      </c>
      <c r="AN2" s="16" t="s">
        <v>81</v>
      </c>
      <c r="AO2" s="16" t="s">
        <v>82</v>
      </c>
      <c r="AP2" s="16" t="s">
        <v>83</v>
      </c>
      <c r="AQ2" s="16" t="s">
        <v>84</v>
      </c>
      <c r="AR2" s="16" t="s">
        <v>85</v>
      </c>
      <c r="AS2" s="16" t="s">
        <v>86</v>
      </c>
      <c r="AT2" s="16" t="s">
        <v>87</v>
      </c>
      <c r="AU2" s="16" t="s">
        <v>88</v>
      </c>
      <c r="AV2" s="16" t="s">
        <v>89</v>
      </c>
      <c r="AW2" s="16" t="s">
        <v>90</v>
      </c>
      <c r="AX2" s="16" t="s">
        <v>91</v>
      </c>
      <c r="AY2" s="16" t="s">
        <v>92</v>
      </c>
      <c r="AZ2" s="16" t="s">
        <v>93</v>
      </c>
      <c r="BA2" s="16" t="s">
        <v>94</v>
      </c>
      <c r="BB2" s="16" t="s">
        <v>95</v>
      </c>
      <c r="BC2" s="16" t="s">
        <v>96</v>
      </c>
      <c r="BD2" s="16" t="s">
        <v>97</v>
      </c>
      <c r="BE2" s="16" t="s">
        <v>98</v>
      </c>
      <c r="BF2" s="16" t="s">
        <v>99</v>
      </c>
      <c r="BG2" s="16" t="s">
        <v>100</v>
      </c>
      <c r="BH2" s="16" t="s">
        <v>101</v>
      </c>
      <c r="BI2" s="16" t="s">
        <v>102</v>
      </c>
      <c r="BJ2" s="16" t="s">
        <v>103</v>
      </c>
      <c r="BK2" s="16" t="s">
        <v>104</v>
      </c>
      <c r="BL2" s="16" t="s">
        <v>105</v>
      </c>
      <c r="BM2" s="16" t="s">
        <v>106</v>
      </c>
      <c r="BN2" s="16" t="s">
        <v>107</v>
      </c>
      <c r="BO2" s="16" t="s">
        <v>108</v>
      </c>
      <c r="BP2" s="16" t="s">
        <v>109</v>
      </c>
      <c r="BQ2" s="16" t="s">
        <v>110</v>
      </c>
      <c r="BR2" s="16" t="s">
        <v>111</v>
      </c>
      <c r="BS2" s="14" t="s">
        <v>112</v>
      </c>
      <c r="BT2" s="16" t="s">
        <v>113</v>
      </c>
      <c r="BU2" s="14" t="s">
        <v>114</v>
      </c>
      <c r="BV2" s="14" t="s">
        <v>115</v>
      </c>
      <c r="BW2" s="14" t="s">
        <v>116</v>
      </c>
      <c r="BX2" s="14" t="s">
        <v>117</v>
      </c>
      <c r="BY2" s="14" t="s">
        <v>118</v>
      </c>
      <c r="BZ2" s="14" t="s">
        <v>119</v>
      </c>
      <c r="CA2" s="14" t="s">
        <v>120</v>
      </c>
      <c r="CB2" s="14" t="s">
        <v>121</v>
      </c>
      <c r="CC2" s="14" t="s">
        <v>122</v>
      </c>
      <c r="CD2" s="14" t="s">
        <v>603</v>
      </c>
      <c r="CE2" s="14" t="s">
        <v>596</v>
      </c>
      <c r="CF2" s="14" t="s">
        <v>123</v>
      </c>
      <c r="CG2" s="14" t="s">
        <v>67</v>
      </c>
      <c r="CH2" s="14" t="s">
        <v>124</v>
      </c>
      <c r="CI2" s="14" t="s">
        <v>125</v>
      </c>
      <c r="CJ2" s="14" t="s">
        <v>126</v>
      </c>
      <c r="CK2" s="14" t="s">
        <v>127</v>
      </c>
      <c r="CL2" s="14" t="s">
        <v>128</v>
      </c>
      <c r="CM2" s="14" t="s">
        <v>129</v>
      </c>
      <c r="CN2" s="14" t="s">
        <v>130</v>
      </c>
      <c r="CO2" s="14" t="s">
        <v>131</v>
      </c>
      <c r="CP2" s="14" t="s">
        <v>132</v>
      </c>
      <c r="CQ2" s="14" t="s">
        <v>133</v>
      </c>
      <c r="CR2" s="14" t="s">
        <v>134</v>
      </c>
      <c r="CS2" s="14" t="s">
        <v>135</v>
      </c>
      <c r="CT2" s="14" t="s">
        <v>136</v>
      </c>
      <c r="CU2" s="14" t="s">
        <v>137</v>
      </c>
      <c r="CV2" s="14" t="s">
        <v>138</v>
      </c>
      <c r="CW2" s="14" t="s">
        <v>139</v>
      </c>
      <c r="CX2" s="20" t="s">
        <v>140</v>
      </c>
      <c r="CY2" s="18" t="s">
        <v>595</v>
      </c>
      <c r="CZ2" s="20" t="s">
        <v>597</v>
      </c>
    </row>
    <row r="3" spans="1:104" x14ac:dyDescent="0.35">
      <c r="A3" s="2" t="s">
        <v>13</v>
      </c>
      <c r="B3" s="2" t="s">
        <v>14</v>
      </c>
      <c r="C3" s="2" t="s">
        <v>14</v>
      </c>
      <c r="D3" s="2"/>
      <c r="E3" s="2" t="s">
        <v>141</v>
      </c>
      <c r="F3" s="2" t="s">
        <v>142</v>
      </c>
      <c r="G3" s="2"/>
      <c r="H3" s="2" t="s">
        <v>143</v>
      </c>
      <c r="I3" s="2" t="s">
        <v>144</v>
      </c>
      <c r="J3" s="2" t="s">
        <v>145</v>
      </c>
      <c r="K3" s="2" t="s">
        <v>145</v>
      </c>
      <c r="L3" s="2" t="s">
        <v>146</v>
      </c>
      <c r="M3" s="2" t="s">
        <v>36</v>
      </c>
      <c r="N3" s="2" t="s">
        <v>147</v>
      </c>
      <c r="O3" s="2" t="s">
        <v>148</v>
      </c>
      <c r="P3" s="2" t="s">
        <v>149</v>
      </c>
      <c r="Q3" s="2" t="s">
        <v>150</v>
      </c>
      <c r="R3" s="2" t="s">
        <v>151</v>
      </c>
      <c r="S3" s="4">
        <v>45541</v>
      </c>
      <c r="T3" s="4">
        <v>45536</v>
      </c>
      <c r="U3" s="2" t="s">
        <v>152</v>
      </c>
      <c r="V3" s="8">
        <v>4000000</v>
      </c>
      <c r="W3" s="7">
        <v>333333</v>
      </c>
      <c r="X3" s="7">
        <v>323366</v>
      </c>
      <c r="Y3" s="7">
        <v>0</v>
      </c>
      <c r="Z3" s="2" t="s">
        <v>153</v>
      </c>
      <c r="AA3" s="2" t="s">
        <v>154</v>
      </c>
      <c r="AB3" s="7">
        <v>1950</v>
      </c>
      <c r="AC3" s="7">
        <v>0</v>
      </c>
      <c r="AD3" s="7">
        <v>0</v>
      </c>
      <c r="AE3" s="7">
        <v>8017</v>
      </c>
      <c r="AF3" s="7">
        <v>166667</v>
      </c>
      <c r="AG3" s="7">
        <v>66667</v>
      </c>
      <c r="AH3" s="7">
        <v>0</v>
      </c>
      <c r="AI3" s="7">
        <v>1000</v>
      </c>
      <c r="AJ3" s="7">
        <v>21000</v>
      </c>
      <c r="AK3" s="7">
        <v>0</v>
      </c>
      <c r="AL3" s="7">
        <v>2500</v>
      </c>
      <c r="AM3" s="7">
        <v>0</v>
      </c>
      <c r="AN3" s="7">
        <v>1000</v>
      </c>
      <c r="AO3" s="7">
        <v>13889</v>
      </c>
      <c r="AP3" s="7">
        <v>1250</v>
      </c>
      <c r="AQ3" s="7">
        <v>21000</v>
      </c>
      <c r="AR3" s="7">
        <v>0</v>
      </c>
      <c r="AS3" s="7">
        <v>27901</v>
      </c>
      <c r="AT3" s="7">
        <v>492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1800</v>
      </c>
      <c r="BK3" s="7">
        <v>0</v>
      </c>
      <c r="BL3" s="7">
        <v>0</v>
      </c>
      <c r="BM3" s="7">
        <v>0</v>
      </c>
      <c r="BN3" s="7">
        <v>0</v>
      </c>
      <c r="BO3" s="7">
        <v>492</v>
      </c>
      <c r="BP3" s="7">
        <v>9967</v>
      </c>
      <c r="BQ3" s="7">
        <v>1800</v>
      </c>
      <c r="BR3" s="7">
        <v>0</v>
      </c>
      <c r="BS3" s="2" t="s">
        <v>155</v>
      </c>
      <c r="BT3" s="7">
        <v>322874</v>
      </c>
      <c r="BU3" s="2"/>
      <c r="BV3" s="2" t="s">
        <v>156</v>
      </c>
      <c r="BW3" s="2" t="s">
        <v>157</v>
      </c>
      <c r="BX3" s="2"/>
      <c r="BY3" s="2" t="s">
        <v>158</v>
      </c>
      <c r="BZ3" s="2" t="s">
        <v>159</v>
      </c>
      <c r="CA3" s="2" t="s">
        <v>160</v>
      </c>
      <c r="CB3" s="2"/>
      <c r="CC3" s="2"/>
      <c r="CD3" s="2" t="s">
        <v>604</v>
      </c>
      <c r="CE3" s="2" t="s">
        <v>161</v>
      </c>
      <c r="CF3" s="2" t="s">
        <v>162</v>
      </c>
      <c r="CG3" s="2" t="s">
        <v>153</v>
      </c>
      <c r="CH3" s="2" t="s">
        <v>163</v>
      </c>
      <c r="CI3" s="2">
        <v>3625000</v>
      </c>
      <c r="CJ3" s="2">
        <v>2754043.75</v>
      </c>
      <c r="CK3" s="8">
        <v>375000</v>
      </c>
      <c r="CL3" s="8">
        <v>1245956.25</v>
      </c>
      <c r="CM3" s="9">
        <v>0.10344827586206896</v>
      </c>
      <c r="CN3" s="9">
        <v>0.45240975202372874</v>
      </c>
      <c r="CO3" s="2">
        <v>8</v>
      </c>
      <c r="CP3" s="2">
        <v>2</v>
      </c>
      <c r="CQ3" s="2" t="s">
        <v>164</v>
      </c>
      <c r="CR3" s="2"/>
      <c r="CS3" s="2"/>
      <c r="CT3" s="2"/>
      <c r="CU3" s="2"/>
      <c r="CV3" s="2"/>
      <c r="CW3" s="7">
        <v>0</v>
      </c>
      <c r="CX3" s="8">
        <v>2700000</v>
      </c>
      <c r="CY3" s="8">
        <v>1300000</v>
      </c>
      <c r="CZ3" s="2" t="s">
        <v>605</v>
      </c>
    </row>
    <row r="4" spans="1:104" x14ac:dyDescent="0.35">
      <c r="A4" s="2" t="s">
        <v>165</v>
      </c>
      <c r="B4" s="2" t="s">
        <v>166</v>
      </c>
      <c r="C4" s="2" t="s">
        <v>167</v>
      </c>
      <c r="D4" s="2" t="s">
        <v>168</v>
      </c>
      <c r="E4" s="2" t="s">
        <v>141</v>
      </c>
      <c r="F4" s="2" t="s">
        <v>142</v>
      </c>
      <c r="G4" s="2"/>
      <c r="H4" s="2" t="s">
        <v>169</v>
      </c>
      <c r="I4" s="2" t="s">
        <v>170</v>
      </c>
      <c r="J4" s="2" t="s">
        <v>171</v>
      </c>
      <c r="K4" s="2" t="s">
        <v>171</v>
      </c>
      <c r="L4" s="2" t="s">
        <v>172</v>
      </c>
      <c r="M4" s="2" t="s">
        <v>173</v>
      </c>
      <c r="N4" s="2" t="s">
        <v>147</v>
      </c>
      <c r="O4" s="2" t="s">
        <v>174</v>
      </c>
      <c r="P4" s="2" t="s">
        <v>149</v>
      </c>
      <c r="Q4" s="2" t="s">
        <v>150</v>
      </c>
      <c r="R4" s="2" t="s">
        <v>151</v>
      </c>
      <c r="S4" s="4">
        <v>45399</v>
      </c>
      <c r="T4" s="4">
        <v>45413</v>
      </c>
      <c r="U4" s="2" t="s">
        <v>152</v>
      </c>
      <c r="V4" s="8">
        <v>3250000</v>
      </c>
      <c r="W4" s="7">
        <v>270833</v>
      </c>
      <c r="X4" s="7">
        <v>246715</v>
      </c>
      <c r="Y4" s="7">
        <v>0</v>
      </c>
      <c r="Z4" s="2" t="s">
        <v>175</v>
      </c>
      <c r="AA4" s="2" t="s">
        <v>176</v>
      </c>
      <c r="AB4" s="7">
        <v>17604</v>
      </c>
      <c r="AC4" s="7">
        <v>0</v>
      </c>
      <c r="AD4" s="7">
        <v>0</v>
      </c>
      <c r="AE4" s="7">
        <v>6514</v>
      </c>
      <c r="AF4" s="7">
        <v>135417</v>
      </c>
      <c r="AG4" s="7">
        <v>54167</v>
      </c>
      <c r="AH4" s="7">
        <v>0</v>
      </c>
      <c r="AI4" s="7">
        <v>0</v>
      </c>
      <c r="AJ4" s="7">
        <v>21000</v>
      </c>
      <c r="AK4" s="7">
        <v>0</v>
      </c>
      <c r="AL4" s="7">
        <v>0</v>
      </c>
      <c r="AM4" s="7">
        <v>0</v>
      </c>
      <c r="AN4" s="7">
        <v>1000</v>
      </c>
      <c r="AO4" s="7">
        <v>11285</v>
      </c>
      <c r="AP4" s="7">
        <v>1250</v>
      </c>
      <c r="AQ4" s="7">
        <v>21000</v>
      </c>
      <c r="AR4" s="7">
        <v>0</v>
      </c>
      <c r="AS4" s="7">
        <v>884</v>
      </c>
      <c r="AT4" s="7">
        <v>712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16250</v>
      </c>
      <c r="BK4" s="7">
        <v>0</v>
      </c>
      <c r="BL4" s="7">
        <v>0</v>
      </c>
      <c r="BM4" s="7">
        <v>0</v>
      </c>
      <c r="BN4" s="7">
        <v>0</v>
      </c>
      <c r="BO4" s="7">
        <v>712</v>
      </c>
      <c r="BP4" s="7">
        <v>24118</v>
      </c>
      <c r="BQ4" s="7">
        <v>16250</v>
      </c>
      <c r="BR4" s="7">
        <v>270833.33</v>
      </c>
      <c r="BS4" s="2" t="s">
        <v>155</v>
      </c>
      <c r="BT4" s="7">
        <v>246003</v>
      </c>
      <c r="BU4" s="2"/>
      <c r="BV4" s="2" t="s">
        <v>177</v>
      </c>
      <c r="BW4" s="2" t="s">
        <v>157</v>
      </c>
      <c r="BX4" s="2"/>
      <c r="BY4" s="2" t="s">
        <v>178</v>
      </c>
      <c r="BZ4" s="2" t="s">
        <v>159</v>
      </c>
      <c r="CA4" s="2" t="s">
        <v>160</v>
      </c>
      <c r="CB4" s="2"/>
      <c r="CC4" s="2"/>
      <c r="CD4" s="2" t="s">
        <v>174</v>
      </c>
      <c r="CE4" s="2" t="s">
        <v>161</v>
      </c>
      <c r="CF4" s="2" t="s">
        <v>179</v>
      </c>
      <c r="CG4" s="2" t="s">
        <v>175</v>
      </c>
      <c r="CH4" s="2" t="s">
        <v>163</v>
      </c>
      <c r="CI4" s="2">
        <v>3625000</v>
      </c>
      <c r="CJ4" s="2">
        <v>2754043.75</v>
      </c>
      <c r="CK4" s="8">
        <v>-375000</v>
      </c>
      <c r="CL4" s="8">
        <v>495956.25</v>
      </c>
      <c r="CM4" s="9">
        <v>-0.10344827586206896</v>
      </c>
      <c r="CN4" s="9">
        <v>0.1800829235192796</v>
      </c>
      <c r="CO4" s="2">
        <v>8</v>
      </c>
      <c r="CP4" s="2">
        <v>2</v>
      </c>
      <c r="CQ4" s="2" t="s">
        <v>164</v>
      </c>
      <c r="CR4" s="2"/>
      <c r="CS4" s="2"/>
      <c r="CT4" s="2"/>
      <c r="CU4" s="2"/>
      <c r="CV4" s="2"/>
      <c r="CW4" s="7">
        <v>0</v>
      </c>
      <c r="CX4" s="8">
        <v>2700000</v>
      </c>
      <c r="CY4" s="8">
        <v>550000</v>
      </c>
      <c r="CZ4" s="2" t="s">
        <v>602</v>
      </c>
    </row>
    <row r="5" spans="1:104" x14ac:dyDescent="0.35">
      <c r="A5" s="2" t="s">
        <v>180</v>
      </c>
      <c r="B5" s="2" t="s">
        <v>181</v>
      </c>
      <c r="C5" s="2" t="s">
        <v>182</v>
      </c>
      <c r="D5" s="2" t="s">
        <v>183</v>
      </c>
      <c r="E5" s="2" t="s">
        <v>141</v>
      </c>
      <c r="F5" s="2" t="s">
        <v>142</v>
      </c>
      <c r="G5" s="2"/>
      <c r="H5" s="2" t="s">
        <v>184</v>
      </c>
      <c r="I5" s="2" t="s">
        <v>185</v>
      </c>
      <c r="J5" s="2" t="s">
        <v>171</v>
      </c>
      <c r="K5" s="2" t="s">
        <v>171</v>
      </c>
      <c r="L5" s="2" t="s">
        <v>186</v>
      </c>
      <c r="M5" s="2" t="s">
        <v>187</v>
      </c>
      <c r="N5" s="2" t="s">
        <v>147</v>
      </c>
      <c r="O5" s="2" t="s">
        <v>174</v>
      </c>
      <c r="P5" s="2" t="s">
        <v>188</v>
      </c>
      <c r="Q5" s="2" t="s">
        <v>189</v>
      </c>
      <c r="R5" s="2" t="s">
        <v>151</v>
      </c>
      <c r="S5" s="4">
        <v>45404</v>
      </c>
      <c r="T5" s="4">
        <v>45383</v>
      </c>
      <c r="U5" s="2" t="s">
        <v>152</v>
      </c>
      <c r="V5" s="8">
        <v>2800005</v>
      </c>
      <c r="W5" s="7">
        <v>233334</v>
      </c>
      <c r="X5" s="7">
        <v>225772</v>
      </c>
      <c r="Y5" s="7">
        <v>0</v>
      </c>
      <c r="Z5" s="2" t="s">
        <v>190</v>
      </c>
      <c r="AA5" s="2" t="s">
        <v>191</v>
      </c>
      <c r="AB5" s="7">
        <v>1950</v>
      </c>
      <c r="AC5" s="7">
        <v>0</v>
      </c>
      <c r="AD5" s="7">
        <v>0</v>
      </c>
      <c r="AE5" s="7">
        <v>5612</v>
      </c>
      <c r="AF5" s="7">
        <v>116667</v>
      </c>
      <c r="AG5" s="7">
        <v>46667</v>
      </c>
      <c r="AH5" s="7">
        <v>0</v>
      </c>
      <c r="AI5" s="7">
        <v>1000</v>
      </c>
      <c r="AJ5" s="7">
        <v>16000</v>
      </c>
      <c r="AK5" s="7">
        <v>0</v>
      </c>
      <c r="AL5" s="7">
        <v>0</v>
      </c>
      <c r="AM5" s="7">
        <v>0</v>
      </c>
      <c r="AN5" s="7">
        <v>1000</v>
      </c>
      <c r="AO5" s="7">
        <v>9722</v>
      </c>
      <c r="AP5" s="7">
        <v>1250</v>
      </c>
      <c r="AQ5" s="7">
        <v>16000</v>
      </c>
      <c r="AR5" s="7">
        <v>0</v>
      </c>
      <c r="AS5" s="7">
        <v>17105</v>
      </c>
      <c r="AT5" s="7">
        <v>361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1800</v>
      </c>
      <c r="BK5" s="7">
        <v>0</v>
      </c>
      <c r="BL5" s="7">
        <v>0</v>
      </c>
      <c r="BM5" s="7">
        <v>0</v>
      </c>
      <c r="BN5" s="7">
        <v>0</v>
      </c>
      <c r="BO5" s="7">
        <v>361</v>
      </c>
      <c r="BP5" s="7">
        <v>7562</v>
      </c>
      <c r="BQ5" s="7">
        <v>1800</v>
      </c>
      <c r="BR5" s="7">
        <v>0</v>
      </c>
      <c r="BS5" s="2" t="s">
        <v>155</v>
      </c>
      <c r="BT5" s="7">
        <v>225411</v>
      </c>
      <c r="BU5" s="2"/>
      <c r="BV5" s="2" t="s">
        <v>192</v>
      </c>
      <c r="BW5" s="2" t="s">
        <v>157</v>
      </c>
      <c r="BX5" s="2"/>
      <c r="BY5" s="2" t="s">
        <v>193</v>
      </c>
      <c r="BZ5" s="2" t="s">
        <v>159</v>
      </c>
      <c r="CA5" s="2" t="s">
        <v>160</v>
      </c>
      <c r="CB5" s="2"/>
      <c r="CC5" s="2" t="s">
        <v>194</v>
      </c>
      <c r="CD5" s="2" t="s">
        <v>174</v>
      </c>
      <c r="CE5" s="2" t="s">
        <v>161</v>
      </c>
      <c r="CF5" s="2">
        <v>0</v>
      </c>
      <c r="CG5" s="2" t="s">
        <v>190</v>
      </c>
      <c r="CH5" s="2" t="s">
        <v>195</v>
      </c>
      <c r="CI5" s="2">
        <v>2800005</v>
      </c>
      <c r="CJ5" s="2">
        <v>2432356.75</v>
      </c>
      <c r="CK5" s="8">
        <v>0</v>
      </c>
      <c r="CL5" s="8">
        <v>367648.25</v>
      </c>
      <c r="CM5" s="9">
        <v>0</v>
      </c>
      <c r="CN5" s="9">
        <v>0.15114898338823038</v>
      </c>
      <c r="CO5" s="2">
        <v>4</v>
      </c>
      <c r="CP5" s="2">
        <v>1</v>
      </c>
      <c r="CQ5" s="2"/>
      <c r="CR5" s="2"/>
      <c r="CS5" s="2"/>
      <c r="CT5" s="2"/>
      <c r="CU5" s="2"/>
      <c r="CV5" s="2"/>
      <c r="CW5" s="7">
        <v>0</v>
      </c>
      <c r="CX5" s="8">
        <v>2300000</v>
      </c>
      <c r="CY5" s="8">
        <v>500005</v>
      </c>
      <c r="CZ5" s="2" t="s">
        <v>602</v>
      </c>
    </row>
    <row r="6" spans="1:104" hidden="1" x14ac:dyDescent="0.35">
      <c r="A6" s="2" t="s">
        <v>196</v>
      </c>
      <c r="B6" s="2" t="s">
        <v>197</v>
      </c>
      <c r="C6" s="2" t="s">
        <v>197</v>
      </c>
      <c r="D6" s="2"/>
      <c r="E6" s="2" t="s">
        <v>141</v>
      </c>
      <c r="F6" s="2" t="s">
        <v>142</v>
      </c>
      <c r="G6" s="2"/>
      <c r="H6" s="2" t="s">
        <v>198</v>
      </c>
      <c r="I6" s="2" t="s">
        <v>199</v>
      </c>
      <c r="J6" s="2" t="s">
        <v>145</v>
      </c>
      <c r="K6" s="2" t="s">
        <v>145</v>
      </c>
      <c r="L6" s="2" t="s">
        <v>200</v>
      </c>
      <c r="M6" s="2" t="s">
        <v>201</v>
      </c>
      <c r="N6" s="2" t="s">
        <v>147</v>
      </c>
      <c r="O6" s="2" t="s">
        <v>148</v>
      </c>
      <c r="P6" s="2" t="s">
        <v>202</v>
      </c>
      <c r="Q6" s="2" t="s">
        <v>203</v>
      </c>
      <c r="R6" s="2" t="s">
        <v>151</v>
      </c>
      <c r="S6" s="4">
        <v>45406</v>
      </c>
      <c r="T6" s="4">
        <v>45383</v>
      </c>
      <c r="U6" s="2" t="s">
        <v>152</v>
      </c>
      <c r="V6" s="8">
        <v>2700000</v>
      </c>
      <c r="W6" s="7">
        <v>225000</v>
      </c>
      <c r="X6" s="7">
        <v>217639</v>
      </c>
      <c r="Y6" s="7">
        <v>0</v>
      </c>
      <c r="Z6" s="2" t="s">
        <v>204</v>
      </c>
      <c r="AA6" s="2" t="s">
        <v>205</v>
      </c>
      <c r="AB6" s="7">
        <v>1950</v>
      </c>
      <c r="AC6" s="7">
        <v>0</v>
      </c>
      <c r="AD6" s="7">
        <v>0</v>
      </c>
      <c r="AE6" s="7">
        <v>5411</v>
      </c>
      <c r="AF6" s="7">
        <v>112500</v>
      </c>
      <c r="AG6" s="7">
        <v>45000</v>
      </c>
      <c r="AH6" s="7">
        <v>0</v>
      </c>
      <c r="AI6" s="7">
        <v>1000</v>
      </c>
      <c r="AJ6" s="7">
        <v>16000</v>
      </c>
      <c r="AK6" s="7">
        <v>0</v>
      </c>
      <c r="AL6" s="7">
        <v>2500</v>
      </c>
      <c r="AM6" s="7">
        <v>0</v>
      </c>
      <c r="AN6" s="7">
        <v>1000</v>
      </c>
      <c r="AO6" s="7">
        <v>9375</v>
      </c>
      <c r="AP6" s="7">
        <v>1250</v>
      </c>
      <c r="AQ6" s="7">
        <v>16000</v>
      </c>
      <c r="AR6" s="7">
        <v>0</v>
      </c>
      <c r="AS6" s="7">
        <v>12653</v>
      </c>
      <c r="AT6" s="7">
        <v>361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1800</v>
      </c>
      <c r="BK6" s="7">
        <v>0</v>
      </c>
      <c r="BL6" s="7">
        <v>0</v>
      </c>
      <c r="BM6" s="7">
        <v>0</v>
      </c>
      <c r="BN6" s="7">
        <v>0</v>
      </c>
      <c r="BO6" s="7">
        <v>361</v>
      </c>
      <c r="BP6" s="7">
        <v>7361</v>
      </c>
      <c r="BQ6" s="7">
        <v>1800</v>
      </c>
      <c r="BR6" s="7">
        <v>0</v>
      </c>
      <c r="BS6" s="2" t="s">
        <v>155</v>
      </c>
      <c r="BT6" s="7">
        <v>217278</v>
      </c>
      <c r="BU6" s="2"/>
      <c r="BV6" s="2" t="s">
        <v>206</v>
      </c>
      <c r="BW6" s="2" t="s">
        <v>207</v>
      </c>
      <c r="BX6" s="2"/>
      <c r="BY6" s="2" t="s">
        <v>208</v>
      </c>
      <c r="BZ6" s="2" t="s">
        <v>159</v>
      </c>
      <c r="CA6" s="2" t="s">
        <v>160</v>
      </c>
      <c r="CB6" s="2"/>
      <c r="CC6" s="2"/>
      <c r="CD6" s="2" t="s">
        <v>604</v>
      </c>
      <c r="CE6" s="2">
        <v>0</v>
      </c>
      <c r="CF6" s="2" t="s">
        <v>179</v>
      </c>
      <c r="CG6" s="2" t="s">
        <v>204</v>
      </c>
      <c r="CH6" s="2" t="s">
        <v>163</v>
      </c>
      <c r="CI6" s="2">
        <v>2275555.5555555555</v>
      </c>
      <c r="CJ6" s="2">
        <v>1806472.6956521738</v>
      </c>
      <c r="CK6" s="8">
        <v>424444.4444444445</v>
      </c>
      <c r="CL6" s="8">
        <v>893527.30434782617</v>
      </c>
      <c r="CM6" s="9">
        <v>0.18652343750000003</v>
      </c>
      <c r="CN6" s="9">
        <v>0.49462541365743945</v>
      </c>
      <c r="CO6" s="2">
        <v>23</v>
      </c>
      <c r="CP6" s="2">
        <v>9</v>
      </c>
      <c r="CQ6" s="2" t="s">
        <v>209</v>
      </c>
      <c r="CR6" s="2"/>
      <c r="CS6" s="2"/>
      <c r="CT6" s="2"/>
      <c r="CU6" s="2"/>
      <c r="CV6" s="2"/>
      <c r="CW6" s="7">
        <v>0</v>
      </c>
      <c r="CX6" s="8">
        <v>1800000</v>
      </c>
      <c r="CY6" s="8">
        <v>900000</v>
      </c>
    </row>
    <row r="7" spans="1:104" hidden="1" x14ac:dyDescent="0.35">
      <c r="A7" s="2" t="s">
        <v>210</v>
      </c>
      <c r="B7" s="2" t="s">
        <v>211</v>
      </c>
      <c r="C7" s="2" t="s">
        <v>211</v>
      </c>
      <c r="D7" s="2"/>
      <c r="E7" s="2" t="s">
        <v>141</v>
      </c>
      <c r="F7" s="2" t="s">
        <v>142</v>
      </c>
      <c r="G7" s="2"/>
      <c r="H7" s="2" t="s">
        <v>212</v>
      </c>
      <c r="I7" s="2" t="s">
        <v>213</v>
      </c>
      <c r="J7" s="2" t="s">
        <v>145</v>
      </c>
      <c r="K7" s="2" t="s">
        <v>145</v>
      </c>
      <c r="L7" s="2" t="s">
        <v>200</v>
      </c>
      <c r="M7" s="2" t="s">
        <v>201</v>
      </c>
      <c r="N7" s="2" t="s">
        <v>147</v>
      </c>
      <c r="O7" s="2" t="s">
        <v>148</v>
      </c>
      <c r="P7" s="2" t="s">
        <v>202</v>
      </c>
      <c r="Q7" s="2" t="s">
        <v>203</v>
      </c>
      <c r="R7" s="2" t="s">
        <v>151</v>
      </c>
      <c r="S7" s="4">
        <v>45426</v>
      </c>
      <c r="T7" s="4">
        <v>45413</v>
      </c>
      <c r="U7" s="2" t="s">
        <v>152</v>
      </c>
      <c r="V7" s="8">
        <v>2700000</v>
      </c>
      <c r="W7" s="7">
        <v>225000</v>
      </c>
      <c r="X7" s="7">
        <v>217639</v>
      </c>
      <c r="Y7" s="7">
        <v>0</v>
      </c>
      <c r="Z7" s="2" t="s">
        <v>214</v>
      </c>
      <c r="AA7" s="2" t="s">
        <v>215</v>
      </c>
      <c r="AB7" s="7">
        <v>1950</v>
      </c>
      <c r="AC7" s="7">
        <v>0</v>
      </c>
      <c r="AD7" s="7">
        <v>0</v>
      </c>
      <c r="AE7" s="7">
        <v>5411</v>
      </c>
      <c r="AF7" s="7">
        <v>112500</v>
      </c>
      <c r="AG7" s="7">
        <v>45000</v>
      </c>
      <c r="AH7" s="7">
        <v>0</v>
      </c>
      <c r="AI7" s="7">
        <v>1000</v>
      </c>
      <c r="AJ7" s="7">
        <v>16000</v>
      </c>
      <c r="AK7" s="7">
        <v>0</v>
      </c>
      <c r="AL7" s="7">
        <v>2500</v>
      </c>
      <c r="AM7" s="7">
        <v>0</v>
      </c>
      <c r="AN7" s="7">
        <v>1000</v>
      </c>
      <c r="AO7" s="7">
        <v>9375</v>
      </c>
      <c r="AP7" s="7">
        <v>1250</v>
      </c>
      <c r="AQ7" s="7">
        <v>16000</v>
      </c>
      <c r="AR7" s="7">
        <v>0</v>
      </c>
      <c r="AS7" s="7">
        <v>12653</v>
      </c>
      <c r="AT7" s="7">
        <v>361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1800</v>
      </c>
      <c r="BK7" s="7">
        <v>0</v>
      </c>
      <c r="BL7" s="7">
        <v>0</v>
      </c>
      <c r="BM7" s="7">
        <v>0</v>
      </c>
      <c r="BN7" s="7">
        <v>0</v>
      </c>
      <c r="BO7" s="7">
        <v>361</v>
      </c>
      <c r="BP7" s="7">
        <v>7361</v>
      </c>
      <c r="BQ7" s="7">
        <v>1800</v>
      </c>
      <c r="BR7" s="7">
        <v>0</v>
      </c>
      <c r="BS7" s="2" t="s">
        <v>155</v>
      </c>
      <c r="BT7" s="7">
        <v>217278</v>
      </c>
      <c r="BU7" s="2"/>
      <c r="BV7" s="2" t="s">
        <v>216</v>
      </c>
      <c r="BW7" s="2" t="s">
        <v>157</v>
      </c>
      <c r="BX7" s="2"/>
      <c r="BY7" s="2" t="s">
        <v>217</v>
      </c>
      <c r="BZ7" s="2" t="s">
        <v>159</v>
      </c>
      <c r="CA7" s="2" t="s">
        <v>160</v>
      </c>
      <c r="CB7" s="2"/>
      <c r="CC7" s="2"/>
      <c r="CD7" s="2" t="s">
        <v>604</v>
      </c>
      <c r="CE7" s="2">
        <v>0</v>
      </c>
      <c r="CF7" s="2" t="s">
        <v>179</v>
      </c>
      <c r="CG7" s="2" t="s">
        <v>214</v>
      </c>
      <c r="CH7" s="2" t="s">
        <v>163</v>
      </c>
      <c r="CI7" s="2">
        <v>2275555.5555555555</v>
      </c>
      <c r="CJ7" s="2">
        <v>1806472.6956521738</v>
      </c>
      <c r="CK7" s="8">
        <v>424444.4444444445</v>
      </c>
      <c r="CL7" s="8">
        <v>893527.30434782617</v>
      </c>
      <c r="CM7" s="9">
        <v>0.18652343750000003</v>
      </c>
      <c r="CN7" s="9">
        <v>0.49462541365743945</v>
      </c>
      <c r="CO7" s="2">
        <v>23</v>
      </c>
      <c r="CP7" s="2">
        <v>9</v>
      </c>
      <c r="CQ7" s="2" t="s">
        <v>209</v>
      </c>
      <c r="CR7" s="2"/>
      <c r="CS7" s="2"/>
      <c r="CT7" s="2"/>
      <c r="CU7" s="2"/>
      <c r="CV7" s="2"/>
      <c r="CW7" s="7">
        <v>0</v>
      </c>
      <c r="CX7" s="8">
        <v>1800000</v>
      </c>
      <c r="CY7" s="8">
        <v>900000</v>
      </c>
    </row>
    <row r="8" spans="1:104" hidden="1" x14ac:dyDescent="0.35">
      <c r="A8" s="2" t="s">
        <v>218</v>
      </c>
      <c r="B8" s="2" t="s">
        <v>219</v>
      </c>
      <c r="C8" s="2" t="s">
        <v>219</v>
      </c>
      <c r="D8" s="2"/>
      <c r="E8" s="2" t="s">
        <v>141</v>
      </c>
      <c r="F8" s="2" t="s">
        <v>142</v>
      </c>
      <c r="G8" s="2"/>
      <c r="H8" s="2" t="s">
        <v>220</v>
      </c>
      <c r="I8" s="2" t="s">
        <v>221</v>
      </c>
      <c r="J8" s="2" t="s">
        <v>145</v>
      </c>
      <c r="K8" s="2" t="s">
        <v>145</v>
      </c>
      <c r="L8" s="2" t="s">
        <v>200</v>
      </c>
      <c r="M8" s="2" t="s">
        <v>201</v>
      </c>
      <c r="N8" s="2" t="s">
        <v>147</v>
      </c>
      <c r="O8" s="2" t="s">
        <v>148</v>
      </c>
      <c r="P8" s="2" t="s">
        <v>202</v>
      </c>
      <c r="Q8" s="2" t="s">
        <v>203</v>
      </c>
      <c r="R8" s="2" t="s">
        <v>151</v>
      </c>
      <c r="S8" s="4">
        <v>45432</v>
      </c>
      <c r="T8" s="4">
        <v>45413</v>
      </c>
      <c r="U8" s="2" t="s">
        <v>152</v>
      </c>
      <c r="V8" s="8">
        <v>2600000</v>
      </c>
      <c r="W8" s="7">
        <v>216667</v>
      </c>
      <c r="X8" s="7">
        <v>209506</v>
      </c>
      <c r="Y8" s="7">
        <v>0</v>
      </c>
      <c r="Z8" s="2" t="s">
        <v>222</v>
      </c>
      <c r="AA8" s="2" t="s">
        <v>223</v>
      </c>
      <c r="AB8" s="7">
        <v>1950</v>
      </c>
      <c r="AC8" s="7">
        <v>0</v>
      </c>
      <c r="AD8" s="7">
        <v>0</v>
      </c>
      <c r="AE8" s="7">
        <v>5211</v>
      </c>
      <c r="AF8" s="7">
        <v>108333</v>
      </c>
      <c r="AG8" s="7">
        <v>43333</v>
      </c>
      <c r="AH8" s="7">
        <v>0</v>
      </c>
      <c r="AI8" s="7">
        <v>1000</v>
      </c>
      <c r="AJ8" s="7">
        <v>16000</v>
      </c>
      <c r="AK8" s="7">
        <v>0</v>
      </c>
      <c r="AL8" s="7">
        <v>2500</v>
      </c>
      <c r="AM8" s="7">
        <v>0</v>
      </c>
      <c r="AN8" s="7">
        <v>1000</v>
      </c>
      <c r="AO8" s="7">
        <v>9028</v>
      </c>
      <c r="AP8" s="7">
        <v>1250</v>
      </c>
      <c r="AQ8" s="7">
        <v>16000</v>
      </c>
      <c r="AR8" s="7">
        <v>0</v>
      </c>
      <c r="AS8" s="7">
        <v>10660</v>
      </c>
      <c r="AT8" s="7">
        <v>402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1800</v>
      </c>
      <c r="BK8" s="7">
        <v>0</v>
      </c>
      <c r="BL8" s="7">
        <v>0</v>
      </c>
      <c r="BM8" s="7">
        <v>0</v>
      </c>
      <c r="BN8" s="7">
        <v>0</v>
      </c>
      <c r="BO8" s="7">
        <v>402</v>
      </c>
      <c r="BP8" s="7">
        <v>7161</v>
      </c>
      <c r="BQ8" s="7">
        <v>1800</v>
      </c>
      <c r="BR8" s="7">
        <v>0</v>
      </c>
      <c r="BS8" s="2" t="s">
        <v>155</v>
      </c>
      <c r="BT8" s="7">
        <v>209104</v>
      </c>
      <c r="BU8" s="2"/>
      <c r="BV8" s="2" t="s">
        <v>224</v>
      </c>
      <c r="BW8" s="2" t="s">
        <v>207</v>
      </c>
      <c r="BX8" s="2"/>
      <c r="BY8" s="2" t="s">
        <v>225</v>
      </c>
      <c r="BZ8" s="2" t="s">
        <v>159</v>
      </c>
      <c r="CA8" s="2" t="s">
        <v>160</v>
      </c>
      <c r="CB8" s="2"/>
      <c r="CC8" s="2"/>
      <c r="CD8" s="2" t="s">
        <v>604</v>
      </c>
      <c r="CE8" s="2">
        <v>0</v>
      </c>
      <c r="CF8" s="2" t="s">
        <v>179</v>
      </c>
      <c r="CG8" s="2" t="s">
        <v>222</v>
      </c>
      <c r="CH8" s="2" t="s">
        <v>163</v>
      </c>
      <c r="CI8" s="2">
        <v>2275555.5555555555</v>
      </c>
      <c r="CJ8" s="2">
        <v>1806472.6956521738</v>
      </c>
      <c r="CK8" s="8">
        <v>324444.4444444445</v>
      </c>
      <c r="CL8" s="8">
        <v>793527.30434782617</v>
      </c>
      <c r="CM8" s="9">
        <v>0.14257812500000003</v>
      </c>
      <c r="CN8" s="9">
        <v>0.43926891685531205</v>
      </c>
      <c r="CO8" s="2">
        <v>23</v>
      </c>
      <c r="CP8" s="2">
        <v>9</v>
      </c>
      <c r="CQ8" s="2" t="s">
        <v>209</v>
      </c>
      <c r="CR8" s="2"/>
      <c r="CS8" s="2"/>
      <c r="CT8" s="2"/>
      <c r="CU8" s="2"/>
      <c r="CV8" s="2"/>
      <c r="CW8" s="7">
        <v>0</v>
      </c>
      <c r="CX8" s="8">
        <v>1800000</v>
      </c>
      <c r="CY8" s="8">
        <v>800000</v>
      </c>
    </row>
    <row r="9" spans="1:104" hidden="1" x14ac:dyDescent="0.35">
      <c r="A9" s="2" t="s">
        <v>226</v>
      </c>
      <c r="B9" s="2" t="s">
        <v>227</v>
      </c>
      <c r="C9" s="2" t="s">
        <v>227</v>
      </c>
      <c r="D9" s="2"/>
      <c r="E9" s="2" t="s">
        <v>141</v>
      </c>
      <c r="F9" s="2" t="s">
        <v>142</v>
      </c>
      <c r="G9" s="2"/>
      <c r="H9" s="2" t="s">
        <v>228</v>
      </c>
      <c r="I9" s="2" t="s">
        <v>229</v>
      </c>
      <c r="J9" s="2" t="s">
        <v>145</v>
      </c>
      <c r="K9" s="2" t="s">
        <v>145</v>
      </c>
      <c r="L9" s="2" t="s">
        <v>200</v>
      </c>
      <c r="M9" s="2" t="s">
        <v>201</v>
      </c>
      <c r="N9" s="2" t="s">
        <v>147</v>
      </c>
      <c r="O9" s="2" t="s">
        <v>148</v>
      </c>
      <c r="P9" s="2" t="s">
        <v>202</v>
      </c>
      <c r="Q9" s="2" t="s">
        <v>203</v>
      </c>
      <c r="R9" s="2" t="s">
        <v>151</v>
      </c>
      <c r="S9" s="4">
        <v>45442</v>
      </c>
      <c r="T9" s="4">
        <v>45444</v>
      </c>
      <c r="U9" s="2" t="s">
        <v>152</v>
      </c>
      <c r="V9" s="8">
        <v>2600000</v>
      </c>
      <c r="W9" s="7">
        <v>216667</v>
      </c>
      <c r="X9" s="7">
        <v>209506</v>
      </c>
      <c r="Y9" s="7">
        <v>0</v>
      </c>
      <c r="Z9" s="2" t="s">
        <v>230</v>
      </c>
      <c r="AA9" s="2" t="s">
        <v>231</v>
      </c>
      <c r="AB9" s="7">
        <v>1950</v>
      </c>
      <c r="AC9" s="7">
        <v>0</v>
      </c>
      <c r="AD9" s="7">
        <v>0</v>
      </c>
      <c r="AE9" s="7">
        <v>5211</v>
      </c>
      <c r="AF9" s="7">
        <v>108333</v>
      </c>
      <c r="AG9" s="7">
        <v>43333</v>
      </c>
      <c r="AH9" s="7">
        <v>0</v>
      </c>
      <c r="AI9" s="7">
        <v>1000</v>
      </c>
      <c r="AJ9" s="7">
        <v>16000</v>
      </c>
      <c r="AK9" s="7">
        <v>0</v>
      </c>
      <c r="AL9" s="7">
        <v>2500</v>
      </c>
      <c r="AM9" s="7">
        <v>0</v>
      </c>
      <c r="AN9" s="7">
        <v>1000</v>
      </c>
      <c r="AO9" s="7">
        <v>9028</v>
      </c>
      <c r="AP9" s="7">
        <v>1250</v>
      </c>
      <c r="AQ9" s="7">
        <v>16000</v>
      </c>
      <c r="AR9" s="7">
        <v>0</v>
      </c>
      <c r="AS9" s="7">
        <v>10701</v>
      </c>
      <c r="AT9" s="7">
        <v>361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1800</v>
      </c>
      <c r="BK9" s="7">
        <v>0</v>
      </c>
      <c r="BL9" s="7">
        <v>0</v>
      </c>
      <c r="BM9" s="7">
        <v>0</v>
      </c>
      <c r="BN9" s="7">
        <v>0</v>
      </c>
      <c r="BO9" s="7">
        <v>361</v>
      </c>
      <c r="BP9" s="7">
        <v>7161</v>
      </c>
      <c r="BQ9" s="7">
        <v>1800</v>
      </c>
      <c r="BR9" s="7">
        <v>0</v>
      </c>
      <c r="BS9" s="2" t="s">
        <v>155</v>
      </c>
      <c r="BT9" s="7">
        <v>209145</v>
      </c>
      <c r="BU9" s="2"/>
      <c r="BV9" s="2" t="s">
        <v>232</v>
      </c>
      <c r="BW9" s="2" t="s">
        <v>157</v>
      </c>
      <c r="BX9" s="2"/>
      <c r="BY9" s="2" t="s">
        <v>233</v>
      </c>
      <c r="BZ9" s="2" t="s">
        <v>159</v>
      </c>
      <c r="CA9" s="2" t="s">
        <v>160</v>
      </c>
      <c r="CB9" s="2"/>
      <c r="CC9" s="2"/>
      <c r="CD9" s="2" t="s">
        <v>604</v>
      </c>
      <c r="CE9" s="2">
        <v>0</v>
      </c>
      <c r="CF9" s="2" t="s">
        <v>179</v>
      </c>
      <c r="CG9" s="2" t="s">
        <v>230</v>
      </c>
      <c r="CH9" s="2" t="s">
        <v>163</v>
      </c>
      <c r="CI9" s="2">
        <v>2275555.5555555555</v>
      </c>
      <c r="CJ9" s="2">
        <v>1806472.6956521738</v>
      </c>
      <c r="CK9" s="8">
        <v>324444.4444444445</v>
      </c>
      <c r="CL9" s="8">
        <v>793527.30434782617</v>
      </c>
      <c r="CM9" s="9">
        <v>0.14257812500000003</v>
      </c>
      <c r="CN9" s="9">
        <v>0.43926891685531205</v>
      </c>
      <c r="CO9" s="2">
        <v>23</v>
      </c>
      <c r="CP9" s="2">
        <v>9</v>
      </c>
      <c r="CQ9" s="2" t="s">
        <v>209</v>
      </c>
      <c r="CR9" s="2"/>
      <c r="CS9" s="2"/>
      <c r="CT9" s="2"/>
      <c r="CU9" s="2"/>
      <c r="CV9" s="2"/>
      <c r="CW9" s="7">
        <v>0</v>
      </c>
      <c r="CX9" s="8">
        <v>1800000</v>
      </c>
      <c r="CY9" s="8">
        <v>800000</v>
      </c>
    </row>
    <row r="10" spans="1:104" hidden="1" x14ac:dyDescent="0.35">
      <c r="A10" s="2" t="s">
        <v>234</v>
      </c>
      <c r="B10" s="2" t="s">
        <v>235</v>
      </c>
      <c r="C10" s="2" t="s">
        <v>235</v>
      </c>
      <c r="D10" s="2"/>
      <c r="E10" s="2" t="s">
        <v>141</v>
      </c>
      <c r="F10" s="2" t="s">
        <v>142</v>
      </c>
      <c r="G10" s="2"/>
      <c r="H10" s="2" t="s">
        <v>236</v>
      </c>
      <c r="I10" s="2" t="s">
        <v>237</v>
      </c>
      <c r="J10" s="2" t="s">
        <v>145</v>
      </c>
      <c r="K10" s="2" t="s">
        <v>145</v>
      </c>
      <c r="L10" s="2" t="s">
        <v>200</v>
      </c>
      <c r="M10" s="2" t="s">
        <v>201</v>
      </c>
      <c r="N10" s="2" t="s">
        <v>147</v>
      </c>
      <c r="O10" s="2" t="s">
        <v>148</v>
      </c>
      <c r="P10" s="2" t="s">
        <v>202</v>
      </c>
      <c r="Q10" s="2" t="s">
        <v>203</v>
      </c>
      <c r="R10" s="2" t="s">
        <v>151</v>
      </c>
      <c r="S10" s="4">
        <v>45432</v>
      </c>
      <c r="T10" s="4">
        <v>45413</v>
      </c>
      <c r="U10" s="2" t="s">
        <v>152</v>
      </c>
      <c r="V10" s="8">
        <v>2300000</v>
      </c>
      <c r="W10" s="7">
        <v>191667</v>
      </c>
      <c r="X10" s="7">
        <v>185107</v>
      </c>
      <c r="Y10" s="7">
        <v>0</v>
      </c>
      <c r="Z10" s="2" t="s">
        <v>238</v>
      </c>
      <c r="AA10" s="2" t="s">
        <v>239</v>
      </c>
      <c r="AB10" s="7">
        <v>1950</v>
      </c>
      <c r="AC10" s="7">
        <v>0</v>
      </c>
      <c r="AD10" s="7">
        <v>0</v>
      </c>
      <c r="AE10" s="7">
        <v>4610</v>
      </c>
      <c r="AF10" s="7">
        <v>95833</v>
      </c>
      <c r="AG10" s="7">
        <v>38333</v>
      </c>
      <c r="AH10" s="7">
        <v>0</v>
      </c>
      <c r="AI10" s="7">
        <v>1000</v>
      </c>
      <c r="AJ10" s="7">
        <v>16000</v>
      </c>
      <c r="AK10" s="7">
        <v>0</v>
      </c>
      <c r="AL10" s="7">
        <v>2500</v>
      </c>
      <c r="AM10" s="7">
        <v>0</v>
      </c>
      <c r="AN10" s="7">
        <v>1000</v>
      </c>
      <c r="AO10" s="7">
        <v>7986</v>
      </c>
      <c r="AP10" s="7">
        <v>1250</v>
      </c>
      <c r="AQ10" s="7">
        <v>16000</v>
      </c>
      <c r="AR10" s="7">
        <v>0</v>
      </c>
      <c r="AS10" s="7">
        <v>4844</v>
      </c>
      <c r="AT10" s="7">
        <v>361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1800</v>
      </c>
      <c r="BK10" s="7">
        <v>0</v>
      </c>
      <c r="BL10" s="7">
        <v>0</v>
      </c>
      <c r="BM10" s="7">
        <v>0</v>
      </c>
      <c r="BN10" s="7">
        <v>0</v>
      </c>
      <c r="BO10" s="7">
        <v>361</v>
      </c>
      <c r="BP10" s="7">
        <v>6560</v>
      </c>
      <c r="BQ10" s="7">
        <v>1800</v>
      </c>
      <c r="BR10" s="7">
        <v>0</v>
      </c>
      <c r="BS10" s="2" t="s">
        <v>155</v>
      </c>
      <c r="BT10" s="7">
        <v>184746</v>
      </c>
      <c r="BU10" s="2"/>
      <c r="BV10" s="2" t="s">
        <v>240</v>
      </c>
      <c r="BW10" s="2" t="s">
        <v>207</v>
      </c>
      <c r="BX10" s="2"/>
      <c r="BY10" s="2" t="s">
        <v>241</v>
      </c>
      <c r="BZ10" s="2" t="s">
        <v>159</v>
      </c>
      <c r="CA10" s="2" t="s">
        <v>160</v>
      </c>
      <c r="CB10" s="2"/>
      <c r="CC10" s="2"/>
      <c r="CD10" s="2" t="s">
        <v>604</v>
      </c>
      <c r="CE10" s="2">
        <v>0</v>
      </c>
      <c r="CF10" s="2" t="s">
        <v>179</v>
      </c>
      <c r="CG10" s="2" t="s">
        <v>238</v>
      </c>
      <c r="CH10" s="2" t="s">
        <v>163</v>
      </c>
      <c r="CI10" s="2">
        <v>2275555.5555555555</v>
      </c>
      <c r="CJ10" s="2">
        <v>1806472.6956521738</v>
      </c>
      <c r="CK10" s="8">
        <v>24444.444444444496</v>
      </c>
      <c r="CL10" s="8">
        <v>493527.30434782617</v>
      </c>
      <c r="CM10" s="9">
        <v>1.0742187500000023E-2</v>
      </c>
      <c r="CN10" s="9">
        <v>0.27319942644892986</v>
      </c>
      <c r="CO10" s="2">
        <v>23</v>
      </c>
      <c r="CP10" s="2">
        <v>9</v>
      </c>
      <c r="CQ10" s="2" t="s">
        <v>209</v>
      </c>
      <c r="CR10" s="2"/>
      <c r="CS10" s="2"/>
      <c r="CT10" s="2"/>
      <c r="CU10" s="2"/>
      <c r="CV10" s="2"/>
      <c r="CW10" s="7">
        <v>0</v>
      </c>
      <c r="CX10" s="8">
        <v>1800000</v>
      </c>
      <c r="CY10" s="8">
        <v>500000</v>
      </c>
    </row>
    <row r="11" spans="1:104" hidden="1" x14ac:dyDescent="0.35">
      <c r="A11" s="2" t="s">
        <v>242</v>
      </c>
      <c r="B11" s="2" t="s">
        <v>243</v>
      </c>
      <c r="C11" s="2" t="s">
        <v>243</v>
      </c>
      <c r="D11" s="2"/>
      <c r="E11" s="2" t="s">
        <v>141</v>
      </c>
      <c r="F11" s="2" t="s">
        <v>142</v>
      </c>
      <c r="G11" s="2"/>
      <c r="H11" s="2" t="s">
        <v>244</v>
      </c>
      <c r="I11" s="2" t="s">
        <v>245</v>
      </c>
      <c r="J11" s="2" t="s">
        <v>145</v>
      </c>
      <c r="K11" s="2" t="s">
        <v>145</v>
      </c>
      <c r="L11" s="2" t="s">
        <v>200</v>
      </c>
      <c r="M11" s="2" t="s">
        <v>201</v>
      </c>
      <c r="N11" s="2" t="s">
        <v>147</v>
      </c>
      <c r="O11" s="2" t="s">
        <v>148</v>
      </c>
      <c r="P11" s="2" t="s">
        <v>202</v>
      </c>
      <c r="Q11" s="2" t="s">
        <v>203</v>
      </c>
      <c r="R11" s="2" t="s">
        <v>151</v>
      </c>
      <c r="S11" s="4">
        <v>45446</v>
      </c>
      <c r="T11" s="4">
        <v>45444</v>
      </c>
      <c r="U11" s="2" t="s">
        <v>152</v>
      </c>
      <c r="V11" s="8">
        <v>2300000</v>
      </c>
      <c r="W11" s="7">
        <v>191667</v>
      </c>
      <c r="X11" s="7">
        <v>185107</v>
      </c>
      <c r="Y11" s="7">
        <v>0</v>
      </c>
      <c r="Z11" s="2" t="s">
        <v>246</v>
      </c>
      <c r="AA11" s="2" t="s">
        <v>247</v>
      </c>
      <c r="AB11" s="7">
        <v>1950</v>
      </c>
      <c r="AC11" s="7">
        <v>0</v>
      </c>
      <c r="AD11" s="7">
        <v>0</v>
      </c>
      <c r="AE11" s="7">
        <v>4610</v>
      </c>
      <c r="AF11" s="7">
        <v>95833</v>
      </c>
      <c r="AG11" s="7">
        <v>38333</v>
      </c>
      <c r="AH11" s="7">
        <v>0</v>
      </c>
      <c r="AI11" s="7">
        <v>1000</v>
      </c>
      <c r="AJ11" s="7">
        <v>16000</v>
      </c>
      <c r="AK11" s="7">
        <v>0</v>
      </c>
      <c r="AL11" s="7">
        <v>2500</v>
      </c>
      <c r="AM11" s="7">
        <v>0</v>
      </c>
      <c r="AN11" s="7">
        <v>1000</v>
      </c>
      <c r="AO11" s="7">
        <v>7986</v>
      </c>
      <c r="AP11" s="7">
        <v>1250</v>
      </c>
      <c r="AQ11" s="7">
        <v>16000</v>
      </c>
      <c r="AR11" s="7">
        <v>0</v>
      </c>
      <c r="AS11" s="7">
        <v>4844</v>
      </c>
      <c r="AT11" s="7">
        <v>361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1800</v>
      </c>
      <c r="BK11" s="7">
        <v>0</v>
      </c>
      <c r="BL11" s="7">
        <v>0</v>
      </c>
      <c r="BM11" s="7">
        <v>0</v>
      </c>
      <c r="BN11" s="7">
        <v>0</v>
      </c>
      <c r="BO11" s="7">
        <v>361</v>
      </c>
      <c r="BP11" s="7">
        <v>6560</v>
      </c>
      <c r="BQ11" s="7">
        <v>1800</v>
      </c>
      <c r="BR11" s="7">
        <v>0</v>
      </c>
      <c r="BS11" s="2" t="s">
        <v>155</v>
      </c>
      <c r="BT11" s="7">
        <v>184746</v>
      </c>
      <c r="BU11" s="2"/>
      <c r="BV11" s="2" t="s">
        <v>248</v>
      </c>
      <c r="BW11" s="2" t="s">
        <v>157</v>
      </c>
      <c r="BX11" s="2"/>
      <c r="BY11" s="2" t="s">
        <v>249</v>
      </c>
      <c r="BZ11" s="2" t="s">
        <v>159</v>
      </c>
      <c r="CA11" s="2" t="s">
        <v>160</v>
      </c>
      <c r="CB11" s="2"/>
      <c r="CC11" s="2"/>
      <c r="CD11" s="2" t="s">
        <v>604</v>
      </c>
      <c r="CE11" s="2">
        <v>0</v>
      </c>
      <c r="CF11" s="2">
        <v>0</v>
      </c>
      <c r="CG11" s="2" t="s">
        <v>246</v>
      </c>
      <c r="CH11" s="2" t="s">
        <v>163</v>
      </c>
      <c r="CI11" s="2">
        <v>2275555.5555555555</v>
      </c>
      <c r="CJ11" s="2">
        <v>1806472.6956521738</v>
      </c>
      <c r="CK11" s="8">
        <v>24444.444444444496</v>
      </c>
      <c r="CL11" s="8">
        <v>493527.30434782617</v>
      </c>
      <c r="CM11" s="9">
        <v>1.0742187500000023E-2</v>
      </c>
      <c r="CN11" s="9">
        <v>0.27319942644892986</v>
      </c>
      <c r="CO11" s="2">
        <v>23</v>
      </c>
      <c r="CP11" s="2">
        <v>9</v>
      </c>
      <c r="CQ11" s="2" t="s">
        <v>209</v>
      </c>
      <c r="CR11" s="2"/>
      <c r="CS11" s="2"/>
      <c r="CT11" s="2"/>
      <c r="CU11" s="2"/>
      <c r="CV11" s="2"/>
      <c r="CW11" s="7">
        <v>0</v>
      </c>
      <c r="CX11" s="8">
        <v>1800000</v>
      </c>
      <c r="CY11" s="8">
        <v>500000</v>
      </c>
    </row>
    <row r="12" spans="1:104" x14ac:dyDescent="0.35">
      <c r="A12" s="2" t="s">
        <v>15</v>
      </c>
      <c r="B12" s="2" t="s">
        <v>16</v>
      </c>
      <c r="C12" s="2" t="s">
        <v>16</v>
      </c>
      <c r="D12" s="2"/>
      <c r="E12" s="2" t="s">
        <v>141</v>
      </c>
      <c r="F12" s="2" t="s">
        <v>142</v>
      </c>
      <c r="G12" s="2"/>
      <c r="H12" s="2" t="s">
        <v>250</v>
      </c>
      <c r="I12" s="2" t="s">
        <v>251</v>
      </c>
      <c r="J12" s="2" t="s">
        <v>252</v>
      </c>
      <c r="K12" s="2" t="s">
        <v>252</v>
      </c>
      <c r="L12" s="2" t="s">
        <v>253</v>
      </c>
      <c r="M12" s="2" t="s">
        <v>37</v>
      </c>
      <c r="N12" s="2" t="s">
        <v>254</v>
      </c>
      <c r="O12" s="2" t="s">
        <v>254</v>
      </c>
      <c r="P12" s="2" t="s">
        <v>255</v>
      </c>
      <c r="Q12" s="2" t="s">
        <v>256</v>
      </c>
      <c r="R12" s="2" t="s">
        <v>257</v>
      </c>
      <c r="S12" s="4">
        <v>45444</v>
      </c>
      <c r="T12" s="4">
        <v>45444</v>
      </c>
      <c r="U12" s="2" t="s">
        <v>152</v>
      </c>
      <c r="V12" s="8">
        <v>2040000</v>
      </c>
      <c r="W12" s="7">
        <v>170000</v>
      </c>
      <c r="X12" s="7">
        <v>163961</v>
      </c>
      <c r="Y12" s="7">
        <v>0</v>
      </c>
      <c r="Z12" s="2" t="s">
        <v>258</v>
      </c>
      <c r="AA12" s="2" t="s">
        <v>259</v>
      </c>
      <c r="AB12" s="7">
        <v>1950</v>
      </c>
      <c r="AC12" s="7">
        <v>0</v>
      </c>
      <c r="AD12" s="7">
        <v>0</v>
      </c>
      <c r="AE12" s="7">
        <v>4089</v>
      </c>
      <c r="AF12" s="7">
        <v>85000</v>
      </c>
      <c r="AG12" s="7">
        <v>34000</v>
      </c>
      <c r="AH12" s="7">
        <v>0</v>
      </c>
      <c r="AI12" s="7">
        <v>1000</v>
      </c>
      <c r="AJ12" s="7">
        <v>15000</v>
      </c>
      <c r="AK12" s="7">
        <v>0</v>
      </c>
      <c r="AL12" s="7">
        <v>2500</v>
      </c>
      <c r="AM12" s="7">
        <v>0</v>
      </c>
      <c r="AN12" s="7">
        <v>1000</v>
      </c>
      <c r="AO12" s="7">
        <v>7083</v>
      </c>
      <c r="AP12" s="7">
        <v>1250</v>
      </c>
      <c r="AQ12" s="7">
        <v>15000</v>
      </c>
      <c r="AR12" s="7">
        <v>0</v>
      </c>
      <c r="AS12" s="7">
        <v>1780</v>
      </c>
      <c r="AT12" s="7">
        <v>348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1800</v>
      </c>
      <c r="BK12" s="7">
        <v>0</v>
      </c>
      <c r="BL12" s="7">
        <v>0</v>
      </c>
      <c r="BM12" s="7">
        <v>0</v>
      </c>
      <c r="BN12" s="7">
        <v>0</v>
      </c>
      <c r="BO12" s="7">
        <v>348</v>
      </c>
      <c r="BP12" s="7">
        <v>6039</v>
      </c>
      <c r="BQ12" s="7">
        <v>1800</v>
      </c>
      <c r="BR12" s="7">
        <v>0</v>
      </c>
      <c r="BS12" s="2" t="s">
        <v>155</v>
      </c>
      <c r="BT12" s="7">
        <v>163613</v>
      </c>
      <c r="BU12" s="2"/>
      <c r="BV12" s="2" t="s">
        <v>260</v>
      </c>
      <c r="BW12" s="2" t="s">
        <v>157</v>
      </c>
      <c r="BX12" s="2"/>
      <c r="BY12" s="2" t="s">
        <v>261</v>
      </c>
      <c r="BZ12" s="2" t="s">
        <v>159</v>
      </c>
      <c r="CA12" s="2" t="s">
        <v>160</v>
      </c>
      <c r="CB12" s="2"/>
      <c r="CC12" s="2"/>
      <c r="CD12" s="2" t="s">
        <v>604</v>
      </c>
      <c r="CE12" s="2" t="s">
        <v>161</v>
      </c>
      <c r="CF12" s="2" t="s">
        <v>179</v>
      </c>
      <c r="CG12" s="2" t="s">
        <v>258</v>
      </c>
      <c r="CH12" s="2" t="s">
        <v>163</v>
      </c>
      <c r="CI12" s="2">
        <v>1520002.5</v>
      </c>
      <c r="CJ12" s="2">
        <v>1325163.4444444445</v>
      </c>
      <c r="CK12" s="8">
        <v>519997.5</v>
      </c>
      <c r="CL12" s="8">
        <v>714836.5555555555</v>
      </c>
      <c r="CM12" s="9">
        <v>0.34210305575155303</v>
      </c>
      <c r="CN12" s="9">
        <v>0.53943274586422085</v>
      </c>
      <c r="CO12" s="2">
        <v>27</v>
      </c>
      <c r="CP12" s="2">
        <v>2</v>
      </c>
      <c r="CQ12" s="2"/>
      <c r="CR12" s="2"/>
      <c r="CS12" s="2" t="s">
        <v>262</v>
      </c>
      <c r="CT12" s="2"/>
      <c r="CU12" s="2"/>
      <c r="CV12" s="2"/>
      <c r="CW12" s="7">
        <v>0</v>
      </c>
      <c r="CX12" s="8">
        <v>1400000</v>
      </c>
      <c r="CY12" s="8">
        <v>640000</v>
      </c>
      <c r="CZ12" s="2" t="s">
        <v>600</v>
      </c>
    </row>
    <row r="13" spans="1:104" x14ac:dyDescent="0.35">
      <c r="A13" s="2" t="s">
        <v>263</v>
      </c>
      <c r="B13" s="2" t="s">
        <v>264</v>
      </c>
      <c r="C13" s="2" t="s">
        <v>264</v>
      </c>
      <c r="D13" s="2"/>
      <c r="E13" s="2" t="s">
        <v>141</v>
      </c>
      <c r="F13" s="2" t="s">
        <v>142</v>
      </c>
      <c r="G13" s="2"/>
      <c r="H13" s="2" t="s">
        <v>265</v>
      </c>
      <c r="I13" s="2" t="s">
        <v>266</v>
      </c>
      <c r="J13" s="2" t="s">
        <v>145</v>
      </c>
      <c r="K13" s="2" t="s">
        <v>145</v>
      </c>
      <c r="L13" s="2" t="s">
        <v>267</v>
      </c>
      <c r="M13" s="2" t="s">
        <v>268</v>
      </c>
      <c r="N13" s="2" t="s">
        <v>147</v>
      </c>
      <c r="O13" s="2" t="s">
        <v>148</v>
      </c>
      <c r="P13" s="2" t="s">
        <v>269</v>
      </c>
      <c r="Q13" s="2" t="s">
        <v>203</v>
      </c>
      <c r="R13" s="2" t="s">
        <v>151</v>
      </c>
      <c r="S13" s="4">
        <v>45390</v>
      </c>
      <c r="T13" s="4">
        <v>45383</v>
      </c>
      <c r="U13" s="2" t="s">
        <v>152</v>
      </c>
      <c r="V13" s="8">
        <v>1950000</v>
      </c>
      <c r="W13" s="7">
        <v>162500</v>
      </c>
      <c r="X13" s="7">
        <v>156642</v>
      </c>
      <c r="Y13" s="7">
        <v>0</v>
      </c>
      <c r="Z13" s="2" t="s">
        <v>270</v>
      </c>
      <c r="AA13" s="2" t="s">
        <v>271</v>
      </c>
      <c r="AB13" s="7">
        <v>1950</v>
      </c>
      <c r="AC13" s="7">
        <v>0</v>
      </c>
      <c r="AD13" s="7">
        <v>0</v>
      </c>
      <c r="AE13" s="7">
        <v>3908</v>
      </c>
      <c r="AF13" s="7">
        <v>81250</v>
      </c>
      <c r="AG13" s="7">
        <v>32500</v>
      </c>
      <c r="AH13" s="7">
        <v>0</v>
      </c>
      <c r="AI13" s="7">
        <v>1000</v>
      </c>
      <c r="AJ13" s="7">
        <v>10000</v>
      </c>
      <c r="AK13" s="7">
        <v>0</v>
      </c>
      <c r="AL13" s="7">
        <v>2500</v>
      </c>
      <c r="AM13" s="7">
        <v>0</v>
      </c>
      <c r="AN13" s="7">
        <v>1000</v>
      </c>
      <c r="AO13" s="7">
        <v>6771</v>
      </c>
      <c r="AP13" s="7">
        <v>1250</v>
      </c>
      <c r="AQ13" s="7">
        <v>10000</v>
      </c>
      <c r="AR13" s="7">
        <v>0</v>
      </c>
      <c r="AS13" s="7">
        <v>9969</v>
      </c>
      <c r="AT13" s="7">
        <v>402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1800</v>
      </c>
      <c r="BK13" s="7">
        <v>0</v>
      </c>
      <c r="BL13" s="7">
        <v>0</v>
      </c>
      <c r="BM13" s="7">
        <v>0</v>
      </c>
      <c r="BN13" s="7">
        <v>0</v>
      </c>
      <c r="BO13" s="7">
        <v>402</v>
      </c>
      <c r="BP13" s="7">
        <v>5858</v>
      </c>
      <c r="BQ13" s="7">
        <v>1800</v>
      </c>
      <c r="BR13" s="7">
        <v>0</v>
      </c>
      <c r="BS13" s="2" t="s">
        <v>155</v>
      </c>
      <c r="BT13" s="7">
        <v>156240</v>
      </c>
      <c r="BU13" s="2"/>
      <c r="BV13" s="2" t="s">
        <v>272</v>
      </c>
      <c r="BW13" s="2" t="s">
        <v>157</v>
      </c>
      <c r="BX13" s="2"/>
      <c r="BY13" s="2" t="s">
        <v>273</v>
      </c>
      <c r="BZ13" s="2" t="s">
        <v>159</v>
      </c>
      <c r="CA13" s="2" t="s">
        <v>160</v>
      </c>
      <c r="CB13" s="2"/>
      <c r="CC13" s="2"/>
      <c r="CD13" s="2" t="s">
        <v>604</v>
      </c>
      <c r="CE13" s="2" t="s">
        <v>161</v>
      </c>
      <c r="CF13" s="2" t="s">
        <v>179</v>
      </c>
      <c r="CG13" s="2" t="s">
        <v>270</v>
      </c>
      <c r="CH13" s="2" t="s">
        <v>195</v>
      </c>
      <c r="CI13" s="2">
        <v>2275555.5555555555</v>
      </c>
      <c r="CJ13" s="2">
        <v>1806472.6956521738</v>
      </c>
      <c r="CK13" s="8">
        <v>-325555.5555555555</v>
      </c>
      <c r="CL13" s="8">
        <v>143527.30434782617</v>
      </c>
      <c r="CM13" s="9">
        <v>-0.14306640624999997</v>
      </c>
      <c r="CN13" s="9">
        <v>7.945168764148404E-2</v>
      </c>
      <c r="CO13" s="2">
        <v>23</v>
      </c>
      <c r="CP13" s="2">
        <v>9</v>
      </c>
      <c r="CQ13" s="2"/>
      <c r="CR13" s="2"/>
      <c r="CS13" s="2"/>
      <c r="CT13" s="2"/>
      <c r="CU13" s="2"/>
      <c r="CV13" s="2"/>
      <c r="CW13" s="7">
        <v>0</v>
      </c>
      <c r="CX13" s="8">
        <v>1550000</v>
      </c>
      <c r="CY13" s="8">
        <v>400000</v>
      </c>
      <c r="CZ13" s="2" t="s">
        <v>599</v>
      </c>
    </row>
    <row r="14" spans="1:104" x14ac:dyDescent="0.35">
      <c r="A14" s="2" t="s">
        <v>274</v>
      </c>
      <c r="B14" s="2" t="s">
        <v>275</v>
      </c>
      <c r="C14" s="2" t="s">
        <v>275</v>
      </c>
      <c r="D14" s="2"/>
      <c r="E14" s="2" t="s">
        <v>141</v>
      </c>
      <c r="F14" s="2" t="s">
        <v>142</v>
      </c>
      <c r="G14" s="2"/>
      <c r="H14" s="2" t="s">
        <v>276</v>
      </c>
      <c r="I14" s="2" t="s">
        <v>277</v>
      </c>
      <c r="J14" s="2" t="s">
        <v>145</v>
      </c>
      <c r="K14" s="2" t="s">
        <v>145</v>
      </c>
      <c r="L14" s="2" t="s">
        <v>278</v>
      </c>
      <c r="M14" s="2" t="s">
        <v>40</v>
      </c>
      <c r="N14" s="2" t="s">
        <v>147</v>
      </c>
      <c r="O14" s="2" t="s">
        <v>148</v>
      </c>
      <c r="P14" s="2" t="s">
        <v>279</v>
      </c>
      <c r="Q14" s="2" t="s">
        <v>38</v>
      </c>
      <c r="R14" s="2" t="s">
        <v>151</v>
      </c>
      <c r="S14" s="4">
        <v>45509</v>
      </c>
      <c r="T14" s="4">
        <v>45505</v>
      </c>
      <c r="U14" s="2" t="s">
        <v>152</v>
      </c>
      <c r="V14" s="8">
        <v>1750000</v>
      </c>
      <c r="W14" s="7">
        <v>145833</v>
      </c>
      <c r="X14" s="7">
        <v>140376</v>
      </c>
      <c r="Y14" s="7">
        <v>0</v>
      </c>
      <c r="Z14" s="2" t="s">
        <v>280</v>
      </c>
      <c r="AA14" s="2" t="s">
        <v>281</v>
      </c>
      <c r="AB14" s="7">
        <v>1950</v>
      </c>
      <c r="AC14" s="7">
        <v>0</v>
      </c>
      <c r="AD14" s="7">
        <v>0</v>
      </c>
      <c r="AE14" s="7">
        <v>3507</v>
      </c>
      <c r="AF14" s="7">
        <v>72917</v>
      </c>
      <c r="AG14" s="7">
        <v>29167</v>
      </c>
      <c r="AH14" s="7">
        <v>0</v>
      </c>
      <c r="AI14" s="7">
        <v>1000</v>
      </c>
      <c r="AJ14" s="7">
        <v>10000</v>
      </c>
      <c r="AK14" s="7">
        <v>0</v>
      </c>
      <c r="AL14" s="7">
        <v>2500</v>
      </c>
      <c r="AM14" s="7">
        <v>0</v>
      </c>
      <c r="AN14" s="7">
        <v>1000</v>
      </c>
      <c r="AO14" s="7">
        <v>6076</v>
      </c>
      <c r="AP14" s="7">
        <v>1250</v>
      </c>
      <c r="AQ14" s="7">
        <v>10000</v>
      </c>
      <c r="AR14" s="7">
        <v>0</v>
      </c>
      <c r="AS14" s="7">
        <v>6118</v>
      </c>
      <c r="AT14" s="7">
        <v>348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1800</v>
      </c>
      <c r="BK14" s="7">
        <v>0</v>
      </c>
      <c r="BL14" s="7">
        <v>0</v>
      </c>
      <c r="BM14" s="7">
        <v>0</v>
      </c>
      <c r="BN14" s="7">
        <v>0</v>
      </c>
      <c r="BO14" s="7">
        <v>348</v>
      </c>
      <c r="BP14" s="7">
        <v>5457</v>
      </c>
      <c r="BQ14" s="7">
        <v>1800</v>
      </c>
      <c r="BR14" s="7">
        <v>0</v>
      </c>
      <c r="BS14" s="2" t="s">
        <v>155</v>
      </c>
      <c r="BT14" s="7">
        <v>140028</v>
      </c>
      <c r="BU14" s="2"/>
      <c r="BV14" s="2" t="s">
        <v>282</v>
      </c>
      <c r="BW14" s="2" t="s">
        <v>207</v>
      </c>
      <c r="BX14" s="2"/>
      <c r="BY14" s="2" t="s">
        <v>283</v>
      </c>
      <c r="BZ14" s="2" t="s">
        <v>159</v>
      </c>
      <c r="CA14" s="2" t="s">
        <v>160</v>
      </c>
      <c r="CB14" s="2"/>
      <c r="CC14" s="2"/>
      <c r="CD14" s="2" t="s">
        <v>604</v>
      </c>
      <c r="CE14" s="2" t="s">
        <v>161</v>
      </c>
      <c r="CF14" s="2" t="s">
        <v>284</v>
      </c>
      <c r="CG14" s="2" t="s">
        <v>280</v>
      </c>
      <c r="CH14" s="2" t="s">
        <v>163</v>
      </c>
      <c r="CI14" s="2">
        <v>1070029.7777777778</v>
      </c>
      <c r="CJ14" s="2">
        <v>1038351.2142857143</v>
      </c>
      <c r="CK14" s="8">
        <v>679970.22222222225</v>
      </c>
      <c r="CL14" s="8">
        <v>711648.78571428568</v>
      </c>
      <c r="CM14" s="9">
        <v>0.63546850409562849</v>
      </c>
      <c r="CN14" s="9">
        <v>0.68536423507130151</v>
      </c>
      <c r="CO14" s="2">
        <v>56</v>
      </c>
      <c r="CP14" s="2">
        <v>9</v>
      </c>
      <c r="CQ14" s="2" t="s">
        <v>285</v>
      </c>
      <c r="CR14" s="2" t="s">
        <v>285</v>
      </c>
      <c r="CS14" s="2" t="s">
        <v>286</v>
      </c>
      <c r="CT14" s="2">
        <v>1250882.3</v>
      </c>
      <c r="CU14" s="9">
        <v>0.39901252100217577</v>
      </c>
      <c r="CV14" s="2" t="s">
        <v>287</v>
      </c>
      <c r="CW14" s="7">
        <v>0</v>
      </c>
      <c r="CX14" s="8">
        <v>1000000</v>
      </c>
      <c r="CY14" s="8">
        <v>750000</v>
      </c>
      <c r="CZ14" s="2" t="s">
        <v>601</v>
      </c>
    </row>
    <row r="15" spans="1:104" hidden="1" x14ac:dyDescent="0.35">
      <c r="A15" s="2" t="s">
        <v>288</v>
      </c>
      <c r="B15" s="2" t="s">
        <v>289</v>
      </c>
      <c r="C15" s="2" t="s">
        <v>289</v>
      </c>
      <c r="D15" s="2"/>
      <c r="E15" s="2" t="s">
        <v>141</v>
      </c>
      <c r="F15" s="2" t="s">
        <v>142</v>
      </c>
      <c r="G15" s="2"/>
      <c r="H15" s="2" t="s">
        <v>290</v>
      </c>
      <c r="I15" s="2" t="s">
        <v>291</v>
      </c>
      <c r="J15" s="2" t="s">
        <v>145</v>
      </c>
      <c r="K15" s="2" t="s">
        <v>145</v>
      </c>
      <c r="L15" s="2" t="s">
        <v>278</v>
      </c>
      <c r="M15" s="2" t="s">
        <v>40</v>
      </c>
      <c r="N15" s="2" t="s">
        <v>147</v>
      </c>
      <c r="O15" s="2" t="s">
        <v>148</v>
      </c>
      <c r="P15" s="2" t="s">
        <v>279</v>
      </c>
      <c r="Q15" s="2" t="s">
        <v>38</v>
      </c>
      <c r="R15" s="2" t="s">
        <v>151</v>
      </c>
      <c r="S15" s="4">
        <v>45547</v>
      </c>
      <c r="T15" s="4">
        <v>45536</v>
      </c>
      <c r="U15" s="2" t="s">
        <v>152</v>
      </c>
      <c r="V15" s="8">
        <v>1650000</v>
      </c>
      <c r="W15" s="7">
        <v>137500</v>
      </c>
      <c r="X15" s="7">
        <v>132243</v>
      </c>
      <c r="Y15" s="7">
        <v>0</v>
      </c>
      <c r="Z15" s="2" t="s">
        <v>292</v>
      </c>
      <c r="AA15" s="2" t="s">
        <v>293</v>
      </c>
      <c r="AB15" s="7">
        <v>1950</v>
      </c>
      <c r="AC15" s="7">
        <v>0</v>
      </c>
      <c r="AD15" s="7">
        <v>0</v>
      </c>
      <c r="AE15" s="7">
        <v>3307</v>
      </c>
      <c r="AF15" s="7">
        <v>68750</v>
      </c>
      <c r="AG15" s="7">
        <v>27500</v>
      </c>
      <c r="AH15" s="7">
        <v>0</v>
      </c>
      <c r="AI15" s="7">
        <v>1000</v>
      </c>
      <c r="AJ15" s="7">
        <v>10000</v>
      </c>
      <c r="AK15" s="7">
        <v>0</v>
      </c>
      <c r="AL15" s="7">
        <v>2500</v>
      </c>
      <c r="AM15" s="7">
        <v>0</v>
      </c>
      <c r="AN15" s="7">
        <v>1000</v>
      </c>
      <c r="AO15" s="7">
        <v>5729</v>
      </c>
      <c r="AP15" s="7">
        <v>1250</v>
      </c>
      <c r="AQ15" s="7">
        <v>10000</v>
      </c>
      <c r="AR15" s="7">
        <v>0</v>
      </c>
      <c r="AS15" s="7">
        <v>4166</v>
      </c>
      <c r="AT15" s="7">
        <v>348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1800</v>
      </c>
      <c r="BK15" s="7">
        <v>0</v>
      </c>
      <c r="BL15" s="7">
        <v>0</v>
      </c>
      <c r="BM15" s="7">
        <v>0</v>
      </c>
      <c r="BN15" s="7">
        <v>0</v>
      </c>
      <c r="BO15" s="7">
        <v>348</v>
      </c>
      <c r="BP15" s="7">
        <v>5257</v>
      </c>
      <c r="BQ15" s="7">
        <v>1800</v>
      </c>
      <c r="BR15" s="7">
        <v>0</v>
      </c>
      <c r="BS15" s="2" t="s">
        <v>155</v>
      </c>
      <c r="BT15" s="7">
        <v>131895</v>
      </c>
      <c r="BU15" s="2"/>
      <c r="BV15" s="2" t="s">
        <v>294</v>
      </c>
      <c r="BW15" s="2" t="s">
        <v>207</v>
      </c>
      <c r="BX15" s="2"/>
      <c r="BY15" s="2" t="s">
        <v>295</v>
      </c>
      <c r="BZ15" s="2" t="s">
        <v>159</v>
      </c>
      <c r="CA15" s="2" t="s">
        <v>160</v>
      </c>
      <c r="CB15" s="2"/>
      <c r="CC15" s="2"/>
      <c r="CD15" s="2" t="s">
        <v>604</v>
      </c>
      <c r="CE15" s="2">
        <v>0</v>
      </c>
      <c r="CF15" s="2" t="s">
        <v>284</v>
      </c>
      <c r="CG15" s="2" t="s">
        <v>292</v>
      </c>
      <c r="CH15" s="2" t="s">
        <v>163</v>
      </c>
      <c r="CI15" s="2">
        <v>1070029.7777777778</v>
      </c>
      <c r="CJ15" s="2">
        <v>1038351.2142857143</v>
      </c>
      <c r="CK15" s="8">
        <v>579970.22222222225</v>
      </c>
      <c r="CL15" s="8">
        <v>611648.78571428568</v>
      </c>
      <c r="CM15" s="9">
        <v>0.54201316100444974</v>
      </c>
      <c r="CN15" s="9">
        <v>0.58905770735294138</v>
      </c>
      <c r="CO15" s="2">
        <v>56</v>
      </c>
      <c r="CP15" s="2">
        <v>9</v>
      </c>
      <c r="CQ15" s="2" t="s">
        <v>285</v>
      </c>
      <c r="CR15" s="2" t="s">
        <v>285</v>
      </c>
      <c r="CS15" s="2" t="s">
        <v>286</v>
      </c>
      <c r="CT15" s="2">
        <v>1250882.3</v>
      </c>
      <c r="CU15" s="9">
        <v>0.31906894837347999</v>
      </c>
      <c r="CV15" s="2" t="s">
        <v>287</v>
      </c>
      <c r="CW15" s="7">
        <v>0</v>
      </c>
      <c r="CX15" s="8">
        <v>1000000</v>
      </c>
      <c r="CY15" s="8">
        <v>650000</v>
      </c>
    </row>
    <row r="16" spans="1:104" x14ac:dyDescent="0.35">
      <c r="A16" s="2" t="s">
        <v>296</v>
      </c>
      <c r="B16" s="2" t="s">
        <v>297</v>
      </c>
      <c r="C16" s="2" t="s">
        <v>297</v>
      </c>
      <c r="D16" s="2"/>
      <c r="E16" s="2" t="s">
        <v>141</v>
      </c>
      <c r="F16" s="2" t="s">
        <v>142</v>
      </c>
      <c r="G16" s="2"/>
      <c r="H16" s="2" t="s">
        <v>298</v>
      </c>
      <c r="I16" s="2" t="s">
        <v>299</v>
      </c>
      <c r="J16" s="2" t="s">
        <v>300</v>
      </c>
      <c r="K16" s="2" t="s">
        <v>300</v>
      </c>
      <c r="L16" s="2" t="s">
        <v>301</v>
      </c>
      <c r="M16" s="2" t="s">
        <v>302</v>
      </c>
      <c r="N16" s="2" t="s">
        <v>147</v>
      </c>
      <c r="O16" s="2" t="s">
        <v>303</v>
      </c>
      <c r="P16" s="2" t="s">
        <v>269</v>
      </c>
      <c r="Q16" s="2" t="s">
        <v>203</v>
      </c>
      <c r="R16" s="2" t="s">
        <v>151</v>
      </c>
      <c r="S16" s="4">
        <v>45483</v>
      </c>
      <c r="T16" s="4">
        <v>45474</v>
      </c>
      <c r="U16" s="2" t="s">
        <v>152</v>
      </c>
      <c r="V16" s="8">
        <v>1630000</v>
      </c>
      <c r="W16" s="7">
        <v>135833</v>
      </c>
      <c r="X16" s="7">
        <v>130616</v>
      </c>
      <c r="Y16" s="7">
        <v>0</v>
      </c>
      <c r="Z16" s="2" t="s">
        <v>304</v>
      </c>
      <c r="AA16" s="2" t="s">
        <v>305</v>
      </c>
      <c r="AB16" s="7">
        <v>1950</v>
      </c>
      <c r="AC16" s="7">
        <v>0</v>
      </c>
      <c r="AD16" s="7">
        <v>0</v>
      </c>
      <c r="AE16" s="7">
        <v>3267</v>
      </c>
      <c r="AF16" s="7">
        <v>67917</v>
      </c>
      <c r="AG16" s="7">
        <v>27167</v>
      </c>
      <c r="AH16" s="7">
        <v>0</v>
      </c>
      <c r="AI16" s="7">
        <v>1000</v>
      </c>
      <c r="AJ16" s="7">
        <v>0</v>
      </c>
      <c r="AK16" s="7">
        <v>0</v>
      </c>
      <c r="AL16" s="7">
        <v>2500</v>
      </c>
      <c r="AM16" s="7">
        <v>0</v>
      </c>
      <c r="AN16" s="7">
        <v>1000</v>
      </c>
      <c r="AO16" s="7">
        <v>5660</v>
      </c>
      <c r="AP16" s="7">
        <v>1250</v>
      </c>
      <c r="AQ16" s="7">
        <v>0</v>
      </c>
      <c r="AR16" s="7">
        <v>0</v>
      </c>
      <c r="AS16" s="7">
        <v>23630</v>
      </c>
      <c r="AT16" s="7">
        <v>492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1800</v>
      </c>
      <c r="BK16" s="7">
        <v>0</v>
      </c>
      <c r="BL16" s="7">
        <v>0</v>
      </c>
      <c r="BM16" s="7">
        <v>0</v>
      </c>
      <c r="BN16" s="7">
        <v>0</v>
      </c>
      <c r="BO16" s="7">
        <v>492</v>
      </c>
      <c r="BP16" s="7">
        <v>5217</v>
      </c>
      <c r="BQ16" s="7">
        <v>1800</v>
      </c>
      <c r="BR16" s="7">
        <v>0</v>
      </c>
      <c r="BS16" s="2" t="s">
        <v>155</v>
      </c>
      <c r="BT16" s="7">
        <v>130124</v>
      </c>
      <c r="BU16" s="2"/>
      <c r="BV16" s="2" t="s">
        <v>306</v>
      </c>
      <c r="BW16" s="2" t="s">
        <v>157</v>
      </c>
      <c r="BX16" s="2"/>
      <c r="BY16" s="2" t="s">
        <v>307</v>
      </c>
      <c r="BZ16" s="2" t="s">
        <v>159</v>
      </c>
      <c r="CA16" s="2" t="s">
        <v>160</v>
      </c>
      <c r="CB16" s="2"/>
      <c r="CC16" s="2"/>
      <c r="CD16" s="2" t="s">
        <v>604</v>
      </c>
      <c r="CE16" s="2" t="s">
        <v>161</v>
      </c>
      <c r="CF16" s="2" t="s">
        <v>308</v>
      </c>
      <c r="CG16" s="2" t="s">
        <v>304</v>
      </c>
      <c r="CH16" s="2" t="s">
        <v>195</v>
      </c>
      <c r="CI16" s="2">
        <v>2275555.5555555555</v>
      </c>
      <c r="CJ16" s="2">
        <v>1806472.6956521738</v>
      </c>
      <c r="CK16" s="8">
        <v>-645555.5555555555</v>
      </c>
      <c r="CL16" s="8">
        <v>-176472.69565217383</v>
      </c>
      <c r="CM16" s="9">
        <v>-0.28369140625</v>
      </c>
      <c r="CN16" s="9">
        <v>-9.7689102125323599E-2</v>
      </c>
      <c r="CO16" s="2">
        <v>23</v>
      </c>
      <c r="CP16" s="2">
        <v>9</v>
      </c>
      <c r="CQ16" s="2"/>
      <c r="CR16" s="2"/>
      <c r="CS16" s="2"/>
      <c r="CT16" s="2"/>
      <c r="CU16" s="2"/>
      <c r="CV16" s="2"/>
      <c r="CW16" s="7">
        <v>0</v>
      </c>
      <c r="CX16" s="8">
        <v>1550000</v>
      </c>
      <c r="CY16" s="8">
        <v>80000</v>
      </c>
      <c r="CZ16" s="2" t="s">
        <v>599</v>
      </c>
    </row>
    <row r="17" spans="1:104" x14ac:dyDescent="0.35">
      <c r="A17" s="2" t="s">
        <v>23</v>
      </c>
      <c r="B17" s="2" t="s">
        <v>24</v>
      </c>
      <c r="C17" s="2" t="s">
        <v>24</v>
      </c>
      <c r="D17" s="2"/>
      <c r="E17" s="2" t="s">
        <v>141</v>
      </c>
      <c r="F17" s="2" t="s">
        <v>142</v>
      </c>
      <c r="G17" s="2"/>
      <c r="H17" s="2" t="s">
        <v>309</v>
      </c>
      <c r="I17" s="2" t="s">
        <v>310</v>
      </c>
      <c r="J17" s="2" t="s">
        <v>300</v>
      </c>
      <c r="K17" s="2" t="s">
        <v>300</v>
      </c>
      <c r="L17" s="2" t="s">
        <v>278</v>
      </c>
      <c r="M17" s="2" t="s">
        <v>40</v>
      </c>
      <c r="N17" s="2" t="s">
        <v>147</v>
      </c>
      <c r="O17" s="2" t="s">
        <v>148</v>
      </c>
      <c r="P17" s="2" t="s">
        <v>279</v>
      </c>
      <c r="Q17" s="2" t="s">
        <v>38</v>
      </c>
      <c r="R17" s="2" t="s">
        <v>151</v>
      </c>
      <c r="S17" s="4">
        <v>45496</v>
      </c>
      <c r="T17" s="4">
        <v>45474</v>
      </c>
      <c r="U17" s="2" t="s">
        <v>152</v>
      </c>
      <c r="V17" s="8">
        <v>1245000</v>
      </c>
      <c r="W17" s="7">
        <v>103750</v>
      </c>
      <c r="X17" s="7">
        <v>99305</v>
      </c>
      <c r="Y17" s="7">
        <v>0</v>
      </c>
      <c r="Z17" s="2" t="s">
        <v>292</v>
      </c>
      <c r="AA17" s="2" t="s">
        <v>247</v>
      </c>
      <c r="AB17" s="7">
        <v>1950</v>
      </c>
      <c r="AC17" s="7">
        <v>0</v>
      </c>
      <c r="AD17" s="7">
        <v>0</v>
      </c>
      <c r="AE17" s="7">
        <v>2495</v>
      </c>
      <c r="AF17" s="7">
        <v>51875</v>
      </c>
      <c r="AG17" s="7">
        <v>20750</v>
      </c>
      <c r="AH17" s="7">
        <v>1000</v>
      </c>
      <c r="AI17" s="7">
        <v>3000</v>
      </c>
      <c r="AJ17" s="7">
        <v>0</v>
      </c>
      <c r="AK17" s="7">
        <v>2500</v>
      </c>
      <c r="AL17" s="7">
        <v>2500</v>
      </c>
      <c r="AM17" s="7">
        <v>0</v>
      </c>
      <c r="AN17" s="7">
        <v>1000</v>
      </c>
      <c r="AO17" s="7">
        <v>2161</v>
      </c>
      <c r="AP17" s="7">
        <v>1250</v>
      </c>
      <c r="AQ17" s="7">
        <v>0</v>
      </c>
      <c r="AR17" s="7">
        <v>0</v>
      </c>
      <c r="AS17" s="7">
        <v>12921</v>
      </c>
      <c r="AT17" s="7">
        <v>348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1800</v>
      </c>
      <c r="BK17" s="7">
        <v>0</v>
      </c>
      <c r="BL17" s="7">
        <v>0</v>
      </c>
      <c r="BM17" s="7">
        <v>0</v>
      </c>
      <c r="BN17" s="7">
        <v>0</v>
      </c>
      <c r="BO17" s="7">
        <v>348</v>
      </c>
      <c r="BP17" s="7">
        <v>4445</v>
      </c>
      <c r="BQ17" s="7">
        <v>1800</v>
      </c>
      <c r="BR17" s="7">
        <v>0</v>
      </c>
      <c r="BS17" s="2" t="s">
        <v>155</v>
      </c>
      <c r="BT17" s="7">
        <v>98957</v>
      </c>
      <c r="BU17" s="2"/>
      <c r="BV17" s="2" t="s">
        <v>311</v>
      </c>
      <c r="BW17" s="2" t="s">
        <v>157</v>
      </c>
      <c r="BX17" s="2"/>
      <c r="BY17" s="2" t="s">
        <v>312</v>
      </c>
      <c r="BZ17" s="2" t="s">
        <v>159</v>
      </c>
      <c r="CA17" s="2" t="s">
        <v>160</v>
      </c>
      <c r="CB17" s="2"/>
      <c r="CC17" s="2"/>
      <c r="CD17" s="2" t="s">
        <v>604</v>
      </c>
      <c r="CE17" s="2" t="s">
        <v>161</v>
      </c>
      <c r="CF17" s="2" t="s">
        <v>313</v>
      </c>
      <c r="CG17" s="2" t="s">
        <v>292</v>
      </c>
      <c r="CH17" s="2" t="s">
        <v>163</v>
      </c>
      <c r="CI17" s="2">
        <v>1070029.7777777778</v>
      </c>
      <c r="CJ17" s="2">
        <v>1038351.2142857143</v>
      </c>
      <c r="CK17" s="8">
        <v>174970.22222222225</v>
      </c>
      <c r="CL17" s="8">
        <v>206648.78571428568</v>
      </c>
      <c r="CM17" s="9">
        <v>0.16351902148517572</v>
      </c>
      <c r="CN17" s="9">
        <v>0.19901627009358308</v>
      </c>
      <c r="CO17" s="2">
        <v>56</v>
      </c>
      <c r="CP17" s="2">
        <v>9</v>
      </c>
      <c r="CQ17" s="2" t="s">
        <v>285</v>
      </c>
      <c r="CR17" s="2" t="s">
        <v>285</v>
      </c>
      <c r="CS17" s="2" t="s">
        <v>285</v>
      </c>
      <c r="CT17" s="2"/>
      <c r="CU17" s="2"/>
      <c r="CV17" s="2" t="s">
        <v>314</v>
      </c>
      <c r="CW17" s="7">
        <v>0</v>
      </c>
      <c r="CX17" s="8">
        <v>1000000</v>
      </c>
      <c r="CY17" s="8">
        <v>245000</v>
      </c>
      <c r="CZ17" s="2" t="s">
        <v>600</v>
      </c>
    </row>
    <row r="18" spans="1:104" hidden="1" x14ac:dyDescent="0.35">
      <c r="A18" s="2" t="s">
        <v>315</v>
      </c>
      <c r="B18" s="2" t="s">
        <v>316</v>
      </c>
      <c r="C18" s="2" t="s">
        <v>317</v>
      </c>
      <c r="D18" s="2"/>
      <c r="E18" s="2" t="s">
        <v>141</v>
      </c>
      <c r="F18" s="2" t="s">
        <v>142</v>
      </c>
      <c r="G18" s="2"/>
      <c r="H18" s="2" t="s">
        <v>318</v>
      </c>
      <c r="I18" s="2" t="s">
        <v>319</v>
      </c>
      <c r="J18" s="2" t="s">
        <v>145</v>
      </c>
      <c r="K18" s="2" t="s">
        <v>145</v>
      </c>
      <c r="L18" s="2" t="s">
        <v>301</v>
      </c>
      <c r="M18" s="2" t="s">
        <v>320</v>
      </c>
      <c r="N18" s="2" t="s">
        <v>147</v>
      </c>
      <c r="O18" s="2" t="s">
        <v>148</v>
      </c>
      <c r="P18" s="2" t="s">
        <v>321</v>
      </c>
      <c r="Q18" s="2" t="s">
        <v>322</v>
      </c>
      <c r="R18" s="2" t="s">
        <v>151</v>
      </c>
      <c r="S18" s="4">
        <v>45390</v>
      </c>
      <c r="T18" s="4">
        <v>45383</v>
      </c>
      <c r="U18" s="2" t="s">
        <v>152</v>
      </c>
      <c r="V18" s="8">
        <v>1200001</v>
      </c>
      <c r="W18" s="7">
        <v>100000</v>
      </c>
      <c r="X18" s="7">
        <v>95645</v>
      </c>
      <c r="Y18" s="7">
        <v>0</v>
      </c>
      <c r="Z18" s="2" t="s">
        <v>190</v>
      </c>
      <c r="AA18" s="2" t="s">
        <v>323</v>
      </c>
      <c r="AB18" s="7">
        <v>1950</v>
      </c>
      <c r="AC18" s="7">
        <v>0</v>
      </c>
      <c r="AD18" s="7">
        <v>0</v>
      </c>
      <c r="AE18" s="7">
        <v>2405</v>
      </c>
      <c r="AF18" s="7">
        <v>50000</v>
      </c>
      <c r="AG18" s="7">
        <v>20000</v>
      </c>
      <c r="AH18" s="7">
        <v>1000</v>
      </c>
      <c r="AI18" s="7">
        <v>3000</v>
      </c>
      <c r="AJ18" s="7">
        <v>0</v>
      </c>
      <c r="AK18" s="7">
        <v>0</v>
      </c>
      <c r="AL18" s="7">
        <v>2500</v>
      </c>
      <c r="AM18" s="7">
        <v>0</v>
      </c>
      <c r="AN18" s="7">
        <v>1000</v>
      </c>
      <c r="AO18" s="7">
        <v>2083</v>
      </c>
      <c r="AP18" s="7">
        <v>1250</v>
      </c>
      <c r="AQ18" s="7">
        <v>0</v>
      </c>
      <c r="AR18" s="7">
        <v>0</v>
      </c>
      <c r="AS18" s="7">
        <v>14451</v>
      </c>
      <c r="AT18" s="7">
        <v>361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1800</v>
      </c>
      <c r="BK18" s="7">
        <v>0</v>
      </c>
      <c r="BL18" s="7">
        <v>0</v>
      </c>
      <c r="BM18" s="7">
        <v>0</v>
      </c>
      <c r="BN18" s="7">
        <v>0</v>
      </c>
      <c r="BO18" s="7">
        <v>361</v>
      </c>
      <c r="BP18" s="7">
        <v>4355</v>
      </c>
      <c r="BQ18" s="7">
        <v>1800</v>
      </c>
      <c r="BR18" s="7">
        <v>0</v>
      </c>
      <c r="BS18" s="2" t="s">
        <v>155</v>
      </c>
      <c r="BT18" s="7">
        <v>95284</v>
      </c>
      <c r="BU18" s="2"/>
      <c r="BV18" s="2" t="s">
        <v>324</v>
      </c>
      <c r="BW18" s="2" t="s">
        <v>157</v>
      </c>
      <c r="BX18" s="2"/>
      <c r="BY18" s="2" t="s">
        <v>325</v>
      </c>
      <c r="BZ18" s="2" t="s">
        <v>159</v>
      </c>
      <c r="CA18" s="2" t="s">
        <v>160</v>
      </c>
      <c r="CB18" s="2"/>
      <c r="CC18" s="2"/>
      <c r="CD18" s="2" t="s">
        <v>604</v>
      </c>
      <c r="CE18" s="2">
        <v>0</v>
      </c>
      <c r="CF18" s="2">
        <v>0</v>
      </c>
      <c r="CG18" s="2" t="s">
        <v>190</v>
      </c>
      <c r="CH18" s="2" t="s">
        <v>163</v>
      </c>
      <c r="CI18" s="2">
        <v>847578.28571428568</v>
      </c>
      <c r="CJ18" s="2">
        <v>750928.02542372886</v>
      </c>
      <c r="CK18" s="8">
        <v>352422.71428571432</v>
      </c>
      <c r="CL18" s="8">
        <v>449072.97457627114</v>
      </c>
      <c r="CM18" s="9">
        <v>0.41579960249773817</v>
      </c>
      <c r="CN18" s="9">
        <v>0.59802399081173074</v>
      </c>
      <c r="CO18" s="2">
        <v>118</v>
      </c>
      <c r="CP18" s="2">
        <v>21</v>
      </c>
      <c r="CQ18" s="2"/>
      <c r="CR18" s="2"/>
      <c r="CS18" s="2" t="s">
        <v>326</v>
      </c>
      <c r="CT18" s="2"/>
      <c r="CU18" s="2"/>
      <c r="CV18" s="2"/>
      <c r="CW18" s="7">
        <v>0</v>
      </c>
      <c r="CX18" s="8">
        <v>825000</v>
      </c>
      <c r="CY18" s="8">
        <v>375001</v>
      </c>
    </row>
    <row r="19" spans="1:104" hidden="1" x14ac:dyDescent="0.35">
      <c r="A19" s="2" t="s">
        <v>327</v>
      </c>
      <c r="B19" s="2" t="s">
        <v>328</v>
      </c>
      <c r="C19" s="2" t="s">
        <v>329</v>
      </c>
      <c r="D19" s="2" t="s">
        <v>330</v>
      </c>
      <c r="E19" s="2" t="s">
        <v>141</v>
      </c>
      <c r="F19" s="2" t="s">
        <v>142</v>
      </c>
      <c r="G19" s="2"/>
      <c r="H19" s="2" t="s">
        <v>331</v>
      </c>
      <c r="I19" s="2" t="s">
        <v>332</v>
      </c>
      <c r="J19" s="2" t="s">
        <v>252</v>
      </c>
      <c r="K19" s="2" t="s">
        <v>252</v>
      </c>
      <c r="L19" s="2" t="s">
        <v>333</v>
      </c>
      <c r="M19" s="2" t="s">
        <v>322</v>
      </c>
      <c r="N19" s="2" t="s">
        <v>147</v>
      </c>
      <c r="O19" s="2" t="s">
        <v>174</v>
      </c>
      <c r="P19" s="2" t="s">
        <v>321</v>
      </c>
      <c r="Q19" s="2" t="s">
        <v>322</v>
      </c>
      <c r="R19" s="2" t="s">
        <v>151</v>
      </c>
      <c r="S19" s="4">
        <v>45383</v>
      </c>
      <c r="T19" s="4">
        <v>45383</v>
      </c>
      <c r="U19" s="2" t="s">
        <v>152</v>
      </c>
      <c r="V19" s="8">
        <v>1200000</v>
      </c>
      <c r="W19" s="7">
        <v>100000</v>
      </c>
      <c r="X19" s="7">
        <v>95645</v>
      </c>
      <c r="Y19" s="7">
        <v>0</v>
      </c>
      <c r="Z19" s="2" t="s">
        <v>190</v>
      </c>
      <c r="AA19" s="2" t="s">
        <v>334</v>
      </c>
      <c r="AB19" s="7">
        <v>1950</v>
      </c>
      <c r="AC19" s="7">
        <v>0</v>
      </c>
      <c r="AD19" s="7">
        <v>0</v>
      </c>
      <c r="AE19" s="7">
        <v>2405</v>
      </c>
      <c r="AF19" s="7">
        <v>50000</v>
      </c>
      <c r="AG19" s="7">
        <v>25000</v>
      </c>
      <c r="AH19" s="7">
        <v>1000</v>
      </c>
      <c r="AI19" s="7">
        <v>3000</v>
      </c>
      <c r="AJ19" s="7">
        <v>0</v>
      </c>
      <c r="AK19" s="7">
        <v>0</v>
      </c>
      <c r="AL19" s="7">
        <v>2500</v>
      </c>
      <c r="AM19" s="7">
        <v>0</v>
      </c>
      <c r="AN19" s="7">
        <v>1000</v>
      </c>
      <c r="AO19" s="7">
        <v>2083</v>
      </c>
      <c r="AP19" s="7">
        <v>1250</v>
      </c>
      <c r="AQ19" s="7">
        <v>0</v>
      </c>
      <c r="AR19" s="7">
        <v>0</v>
      </c>
      <c r="AS19" s="7">
        <v>9410</v>
      </c>
      <c r="AT19" s="7">
        <v>402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1800</v>
      </c>
      <c r="BK19" s="7">
        <v>0</v>
      </c>
      <c r="BL19" s="7">
        <v>0</v>
      </c>
      <c r="BM19" s="7">
        <v>0</v>
      </c>
      <c r="BN19" s="7">
        <v>0</v>
      </c>
      <c r="BO19" s="7">
        <v>402</v>
      </c>
      <c r="BP19" s="7">
        <v>4355</v>
      </c>
      <c r="BQ19" s="7">
        <v>1800</v>
      </c>
      <c r="BR19" s="7">
        <v>0</v>
      </c>
      <c r="BS19" s="2" t="s">
        <v>155</v>
      </c>
      <c r="BT19" s="7">
        <v>95243</v>
      </c>
      <c r="BU19" s="2"/>
      <c r="BV19" s="2" t="s">
        <v>335</v>
      </c>
      <c r="BW19" s="2" t="s">
        <v>207</v>
      </c>
      <c r="BX19" s="2"/>
      <c r="BY19" s="2" t="s">
        <v>336</v>
      </c>
      <c r="BZ19" s="2" t="s">
        <v>159</v>
      </c>
      <c r="CA19" s="2" t="s">
        <v>160</v>
      </c>
      <c r="CB19" s="2"/>
      <c r="CC19" s="2" t="s">
        <v>337</v>
      </c>
      <c r="CD19" s="2" t="s">
        <v>174</v>
      </c>
      <c r="CE19" s="2">
        <v>0</v>
      </c>
      <c r="CF19" s="2" t="s">
        <v>162</v>
      </c>
      <c r="CG19" s="2" t="s">
        <v>190</v>
      </c>
      <c r="CH19" s="2" t="s">
        <v>163</v>
      </c>
      <c r="CI19" s="2">
        <v>847578.28571428568</v>
      </c>
      <c r="CJ19" s="2">
        <v>750928.02542372886</v>
      </c>
      <c r="CK19" s="8">
        <v>352421.71428571432</v>
      </c>
      <c r="CL19" s="8">
        <v>449071.97457627114</v>
      </c>
      <c r="CM19" s="9">
        <v>0.41579842266571926</v>
      </c>
      <c r="CN19" s="9">
        <v>0.59802265912618147</v>
      </c>
      <c r="CO19" s="2">
        <v>118</v>
      </c>
      <c r="CP19" s="2">
        <v>21</v>
      </c>
      <c r="CQ19" s="2"/>
      <c r="CR19" s="2"/>
      <c r="CS19" s="2" t="s">
        <v>338</v>
      </c>
      <c r="CT19" s="2">
        <v>1200000</v>
      </c>
      <c r="CU19" s="9">
        <v>0</v>
      </c>
      <c r="CV19" s="2" t="s">
        <v>287</v>
      </c>
      <c r="CW19" s="7">
        <v>0</v>
      </c>
      <c r="CX19" s="8">
        <v>825000</v>
      </c>
      <c r="CY19" s="8">
        <v>375000</v>
      </c>
    </row>
    <row r="20" spans="1:104" hidden="1" x14ac:dyDescent="0.35">
      <c r="A20" s="2" t="s">
        <v>339</v>
      </c>
      <c r="B20" s="2" t="s">
        <v>340</v>
      </c>
      <c r="C20" s="2" t="s">
        <v>341</v>
      </c>
      <c r="D20" s="2" t="s">
        <v>342</v>
      </c>
      <c r="E20" s="2" t="s">
        <v>141</v>
      </c>
      <c r="F20" s="2" t="s">
        <v>142</v>
      </c>
      <c r="G20" s="2"/>
      <c r="H20" s="2" t="s">
        <v>343</v>
      </c>
      <c r="I20" s="2" t="s">
        <v>344</v>
      </c>
      <c r="J20" s="2" t="s">
        <v>145</v>
      </c>
      <c r="K20" s="2" t="s">
        <v>145</v>
      </c>
      <c r="L20" s="2" t="s">
        <v>345</v>
      </c>
      <c r="M20" s="2" t="s">
        <v>320</v>
      </c>
      <c r="N20" s="2" t="s">
        <v>147</v>
      </c>
      <c r="O20" s="2" t="s">
        <v>148</v>
      </c>
      <c r="P20" s="2" t="s">
        <v>321</v>
      </c>
      <c r="Q20" s="2" t="s">
        <v>322</v>
      </c>
      <c r="R20" s="2" t="s">
        <v>151</v>
      </c>
      <c r="S20" s="4">
        <v>45446</v>
      </c>
      <c r="T20" s="4">
        <v>45444</v>
      </c>
      <c r="U20" s="2" t="s">
        <v>152</v>
      </c>
      <c r="V20" s="8">
        <v>1200000</v>
      </c>
      <c r="W20" s="7">
        <v>100000</v>
      </c>
      <c r="X20" s="7">
        <v>95645</v>
      </c>
      <c r="Y20" s="7">
        <v>0</v>
      </c>
      <c r="Z20" s="2" t="s">
        <v>246</v>
      </c>
      <c r="AA20" s="2" t="s">
        <v>346</v>
      </c>
      <c r="AB20" s="7">
        <v>1950</v>
      </c>
      <c r="AC20" s="7">
        <v>0</v>
      </c>
      <c r="AD20" s="7">
        <v>0</v>
      </c>
      <c r="AE20" s="7">
        <v>2405</v>
      </c>
      <c r="AF20" s="7">
        <v>50000</v>
      </c>
      <c r="AG20" s="7">
        <v>25000</v>
      </c>
      <c r="AH20" s="7">
        <v>1000</v>
      </c>
      <c r="AI20" s="7">
        <v>3000</v>
      </c>
      <c r="AJ20" s="7">
        <v>0</v>
      </c>
      <c r="AK20" s="7">
        <v>0</v>
      </c>
      <c r="AL20" s="7">
        <v>2500</v>
      </c>
      <c r="AM20" s="7">
        <v>0</v>
      </c>
      <c r="AN20" s="7">
        <v>1000</v>
      </c>
      <c r="AO20" s="7">
        <v>2083</v>
      </c>
      <c r="AP20" s="7">
        <v>1250</v>
      </c>
      <c r="AQ20" s="7">
        <v>0</v>
      </c>
      <c r="AR20" s="7">
        <v>0</v>
      </c>
      <c r="AS20" s="7">
        <v>9410</v>
      </c>
      <c r="AT20" s="7">
        <v>402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1800</v>
      </c>
      <c r="BK20" s="7">
        <v>0</v>
      </c>
      <c r="BL20" s="7">
        <v>0</v>
      </c>
      <c r="BM20" s="7">
        <v>0</v>
      </c>
      <c r="BN20" s="7">
        <v>0</v>
      </c>
      <c r="BO20" s="7">
        <v>402</v>
      </c>
      <c r="BP20" s="7">
        <v>4355</v>
      </c>
      <c r="BQ20" s="7">
        <v>1800</v>
      </c>
      <c r="BR20" s="7">
        <v>0</v>
      </c>
      <c r="BS20" s="2" t="s">
        <v>155</v>
      </c>
      <c r="BT20" s="7">
        <v>95243</v>
      </c>
      <c r="BU20" s="2"/>
      <c r="BV20" s="2" t="s">
        <v>347</v>
      </c>
      <c r="BW20" s="2" t="s">
        <v>157</v>
      </c>
      <c r="BX20" s="2"/>
      <c r="BY20" s="2" t="s">
        <v>348</v>
      </c>
      <c r="BZ20" s="2" t="s">
        <v>159</v>
      </c>
      <c r="CA20" s="2" t="s">
        <v>160</v>
      </c>
      <c r="CB20" s="2"/>
      <c r="CC20" s="2"/>
      <c r="CD20" s="2" t="s">
        <v>604</v>
      </c>
      <c r="CE20" s="2">
        <v>0</v>
      </c>
      <c r="CF20" s="2" t="s">
        <v>349</v>
      </c>
      <c r="CG20" s="2" t="s">
        <v>246</v>
      </c>
      <c r="CH20" s="2" t="s">
        <v>163</v>
      </c>
      <c r="CI20" s="2">
        <v>847578.28571428568</v>
      </c>
      <c r="CJ20" s="2">
        <v>750928.02542372886</v>
      </c>
      <c r="CK20" s="8">
        <v>352421.71428571432</v>
      </c>
      <c r="CL20" s="8">
        <v>449071.97457627114</v>
      </c>
      <c r="CM20" s="9">
        <v>0.41579842266571926</v>
      </c>
      <c r="CN20" s="9">
        <v>0.59802265912618147</v>
      </c>
      <c r="CO20" s="2">
        <v>118</v>
      </c>
      <c r="CP20" s="2">
        <v>21</v>
      </c>
      <c r="CQ20" s="2"/>
      <c r="CR20" s="2"/>
      <c r="CS20" s="2" t="s">
        <v>326</v>
      </c>
      <c r="CT20" s="2"/>
      <c r="CU20" s="2"/>
      <c r="CV20" s="2"/>
      <c r="CW20" s="7">
        <v>0</v>
      </c>
      <c r="CX20" s="8">
        <v>825000</v>
      </c>
      <c r="CY20" s="8">
        <v>375000</v>
      </c>
    </row>
    <row r="21" spans="1:104" hidden="1" x14ac:dyDescent="0.35">
      <c r="A21" s="2" t="s">
        <v>350</v>
      </c>
      <c r="B21" s="2" t="s">
        <v>351</v>
      </c>
      <c r="C21" s="2" t="s">
        <v>352</v>
      </c>
      <c r="D21" s="2" t="s">
        <v>353</v>
      </c>
      <c r="E21" s="2" t="s">
        <v>141</v>
      </c>
      <c r="F21" s="2" t="s">
        <v>142</v>
      </c>
      <c r="G21" s="2"/>
      <c r="H21" s="2" t="s">
        <v>354</v>
      </c>
      <c r="I21" s="2" t="s">
        <v>355</v>
      </c>
      <c r="J21" s="2" t="s">
        <v>145</v>
      </c>
      <c r="K21" s="2" t="s">
        <v>145</v>
      </c>
      <c r="L21" s="2" t="s">
        <v>345</v>
      </c>
      <c r="M21" s="2" t="s">
        <v>356</v>
      </c>
      <c r="N21" s="2" t="s">
        <v>147</v>
      </c>
      <c r="O21" s="2" t="s">
        <v>148</v>
      </c>
      <c r="P21" s="2" t="s">
        <v>321</v>
      </c>
      <c r="Q21" s="2" t="s">
        <v>322</v>
      </c>
      <c r="R21" s="2" t="s">
        <v>151</v>
      </c>
      <c r="S21" s="4">
        <v>45474</v>
      </c>
      <c r="T21" s="4">
        <v>45474</v>
      </c>
      <c r="U21" s="2" t="s">
        <v>152</v>
      </c>
      <c r="V21" s="8">
        <v>1200000</v>
      </c>
      <c r="W21" s="7">
        <v>100000</v>
      </c>
      <c r="X21" s="7">
        <v>95645</v>
      </c>
      <c r="Y21" s="7">
        <v>0</v>
      </c>
      <c r="Z21" s="2" t="s">
        <v>357</v>
      </c>
      <c r="AA21" s="2" t="s">
        <v>358</v>
      </c>
      <c r="AB21" s="7">
        <v>1950</v>
      </c>
      <c r="AC21" s="7">
        <v>0</v>
      </c>
      <c r="AD21" s="7">
        <v>0</v>
      </c>
      <c r="AE21" s="7">
        <v>2405</v>
      </c>
      <c r="AF21" s="7">
        <v>50000</v>
      </c>
      <c r="AG21" s="7">
        <v>25000</v>
      </c>
      <c r="AH21" s="7">
        <v>1000</v>
      </c>
      <c r="AI21" s="7">
        <v>3000</v>
      </c>
      <c r="AJ21" s="7">
        <v>0</v>
      </c>
      <c r="AK21" s="7">
        <v>0</v>
      </c>
      <c r="AL21" s="7">
        <v>2500</v>
      </c>
      <c r="AM21" s="7">
        <v>0</v>
      </c>
      <c r="AN21" s="7">
        <v>1000</v>
      </c>
      <c r="AO21" s="7">
        <v>2083</v>
      </c>
      <c r="AP21" s="7">
        <v>1250</v>
      </c>
      <c r="AQ21" s="7">
        <v>0</v>
      </c>
      <c r="AR21" s="7">
        <v>0</v>
      </c>
      <c r="AS21" s="7">
        <v>9451</v>
      </c>
      <c r="AT21" s="7">
        <v>361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1800</v>
      </c>
      <c r="BK21" s="7">
        <v>0</v>
      </c>
      <c r="BL21" s="7">
        <v>0</v>
      </c>
      <c r="BM21" s="7">
        <v>0</v>
      </c>
      <c r="BN21" s="7">
        <v>0</v>
      </c>
      <c r="BO21" s="7">
        <v>361</v>
      </c>
      <c r="BP21" s="7">
        <v>4355</v>
      </c>
      <c r="BQ21" s="7">
        <v>1800</v>
      </c>
      <c r="BR21" s="7">
        <v>0</v>
      </c>
      <c r="BS21" s="2" t="s">
        <v>155</v>
      </c>
      <c r="BT21" s="7">
        <v>95284</v>
      </c>
      <c r="BU21" s="2"/>
      <c r="BV21" s="2" t="s">
        <v>359</v>
      </c>
      <c r="BW21" s="2" t="s">
        <v>207</v>
      </c>
      <c r="BX21" s="2"/>
      <c r="BY21" s="2" t="s">
        <v>360</v>
      </c>
      <c r="BZ21" s="2" t="s">
        <v>159</v>
      </c>
      <c r="CA21" s="2" t="s">
        <v>160</v>
      </c>
      <c r="CB21" s="2"/>
      <c r="CC21" s="2"/>
      <c r="CD21" s="2" t="s">
        <v>604</v>
      </c>
      <c r="CE21" s="2">
        <v>0</v>
      </c>
      <c r="CF21" s="2" t="s">
        <v>162</v>
      </c>
      <c r="CG21" s="2" t="s">
        <v>357</v>
      </c>
      <c r="CH21" s="2" t="s">
        <v>163</v>
      </c>
      <c r="CI21" s="2">
        <v>847578.28571428568</v>
      </c>
      <c r="CJ21" s="2">
        <v>750928.02542372886</v>
      </c>
      <c r="CK21" s="8">
        <v>352421.71428571432</v>
      </c>
      <c r="CL21" s="8">
        <v>449071.97457627114</v>
      </c>
      <c r="CM21" s="9">
        <v>0.41579842266571926</v>
      </c>
      <c r="CN21" s="9">
        <v>0.59802265912618147</v>
      </c>
      <c r="CO21" s="2">
        <v>118</v>
      </c>
      <c r="CP21" s="2">
        <v>21</v>
      </c>
      <c r="CQ21" s="2"/>
      <c r="CR21" s="2"/>
      <c r="CS21" s="2" t="s">
        <v>361</v>
      </c>
      <c r="CT21" s="2"/>
      <c r="CU21" s="2"/>
      <c r="CV21" s="2"/>
      <c r="CW21" s="7">
        <v>0</v>
      </c>
      <c r="CX21" s="8">
        <v>825000</v>
      </c>
      <c r="CY21" s="8">
        <v>375000</v>
      </c>
    </row>
    <row r="22" spans="1:104" x14ac:dyDescent="0.35">
      <c r="A22" s="2" t="s">
        <v>362</v>
      </c>
      <c r="B22" s="2" t="s">
        <v>363</v>
      </c>
      <c r="C22" s="2" t="s">
        <v>364</v>
      </c>
      <c r="D22" s="2" t="s">
        <v>365</v>
      </c>
      <c r="E22" s="2" t="s">
        <v>141</v>
      </c>
      <c r="F22" s="2" t="s">
        <v>142</v>
      </c>
      <c r="G22" s="2"/>
      <c r="H22" s="2" t="s">
        <v>366</v>
      </c>
      <c r="I22" s="2" t="s">
        <v>367</v>
      </c>
      <c r="J22" s="2" t="s">
        <v>145</v>
      </c>
      <c r="K22" s="2" t="s">
        <v>145</v>
      </c>
      <c r="L22" s="2" t="s">
        <v>345</v>
      </c>
      <c r="M22" s="2" t="s">
        <v>320</v>
      </c>
      <c r="N22" s="2" t="s">
        <v>147</v>
      </c>
      <c r="O22" s="2" t="s">
        <v>148</v>
      </c>
      <c r="P22" s="2" t="s">
        <v>321</v>
      </c>
      <c r="Q22" s="2" t="s">
        <v>322</v>
      </c>
      <c r="R22" s="2" t="s">
        <v>151</v>
      </c>
      <c r="S22" s="4">
        <v>45474</v>
      </c>
      <c r="T22" s="4">
        <v>45474</v>
      </c>
      <c r="U22" s="2" t="s">
        <v>152</v>
      </c>
      <c r="V22" s="8">
        <v>1200000</v>
      </c>
      <c r="W22" s="7">
        <v>100000</v>
      </c>
      <c r="X22" s="7">
        <v>95645</v>
      </c>
      <c r="Y22" s="7">
        <v>0</v>
      </c>
      <c r="Z22" s="2" t="s">
        <v>357</v>
      </c>
      <c r="AA22" s="2" t="s">
        <v>368</v>
      </c>
      <c r="AB22" s="7">
        <v>1950</v>
      </c>
      <c r="AC22" s="7">
        <v>0</v>
      </c>
      <c r="AD22" s="7">
        <v>0</v>
      </c>
      <c r="AE22" s="7">
        <v>2405</v>
      </c>
      <c r="AF22" s="7">
        <v>50000</v>
      </c>
      <c r="AG22" s="7">
        <v>25000</v>
      </c>
      <c r="AH22" s="7">
        <v>1000</v>
      </c>
      <c r="AI22" s="7">
        <v>3000</v>
      </c>
      <c r="AJ22" s="7">
        <v>0</v>
      </c>
      <c r="AK22" s="7">
        <v>0</v>
      </c>
      <c r="AL22" s="7">
        <v>2500</v>
      </c>
      <c r="AM22" s="7">
        <v>0</v>
      </c>
      <c r="AN22" s="7">
        <v>1000</v>
      </c>
      <c r="AO22" s="7">
        <v>2083</v>
      </c>
      <c r="AP22" s="7">
        <v>1250</v>
      </c>
      <c r="AQ22" s="7">
        <v>0</v>
      </c>
      <c r="AR22" s="7">
        <v>0</v>
      </c>
      <c r="AS22" s="7">
        <v>9451</v>
      </c>
      <c r="AT22" s="7">
        <v>361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1800</v>
      </c>
      <c r="BK22" s="7">
        <v>0</v>
      </c>
      <c r="BL22" s="7">
        <v>0</v>
      </c>
      <c r="BM22" s="7">
        <v>0</v>
      </c>
      <c r="BN22" s="7">
        <v>0</v>
      </c>
      <c r="BO22" s="7">
        <v>361</v>
      </c>
      <c r="BP22" s="7">
        <v>4355</v>
      </c>
      <c r="BQ22" s="7">
        <v>1800</v>
      </c>
      <c r="BR22" s="7">
        <v>0</v>
      </c>
      <c r="BS22" s="2" t="s">
        <v>155</v>
      </c>
      <c r="BT22" s="7">
        <v>95284</v>
      </c>
      <c r="BU22" s="2"/>
      <c r="BV22" s="2" t="s">
        <v>369</v>
      </c>
      <c r="BW22" s="2" t="s">
        <v>157</v>
      </c>
      <c r="BX22" s="2"/>
      <c r="BY22" s="2" t="s">
        <v>370</v>
      </c>
      <c r="BZ22" s="2" t="s">
        <v>159</v>
      </c>
      <c r="CA22" s="2" t="s">
        <v>160</v>
      </c>
      <c r="CB22" s="2"/>
      <c r="CC22" s="2"/>
      <c r="CD22" s="2" t="s">
        <v>604</v>
      </c>
      <c r="CE22" s="2" t="s">
        <v>161</v>
      </c>
      <c r="CF22" s="2" t="s">
        <v>371</v>
      </c>
      <c r="CG22" s="2" t="s">
        <v>357</v>
      </c>
      <c r="CH22" s="2" t="s">
        <v>163</v>
      </c>
      <c r="CI22" s="2">
        <v>847578.28571428568</v>
      </c>
      <c r="CJ22" s="2">
        <v>750928.02542372886</v>
      </c>
      <c r="CK22" s="8">
        <v>352421.71428571432</v>
      </c>
      <c r="CL22" s="8">
        <v>449071.97457627114</v>
      </c>
      <c r="CM22" s="9">
        <v>0.41579842266571926</v>
      </c>
      <c r="CN22" s="9">
        <v>0.59802265912618147</v>
      </c>
      <c r="CO22" s="2">
        <v>118</v>
      </c>
      <c r="CP22" s="2">
        <v>21</v>
      </c>
      <c r="CQ22" s="2"/>
      <c r="CR22" s="2"/>
      <c r="CS22" s="2" t="s">
        <v>326</v>
      </c>
      <c r="CT22" s="2"/>
      <c r="CU22" s="2"/>
      <c r="CV22" s="2"/>
      <c r="CW22" s="7">
        <v>0</v>
      </c>
      <c r="CX22" s="8">
        <v>825000</v>
      </c>
      <c r="CY22" s="8">
        <v>375000</v>
      </c>
      <c r="CZ22" s="2" t="s">
        <v>599</v>
      </c>
    </row>
    <row r="23" spans="1:104" x14ac:dyDescent="0.35">
      <c r="A23" s="2" t="s">
        <v>25</v>
      </c>
      <c r="B23" s="2" t="s">
        <v>26</v>
      </c>
      <c r="C23" s="2" t="s">
        <v>26</v>
      </c>
      <c r="D23" s="2"/>
      <c r="E23" s="2" t="s">
        <v>141</v>
      </c>
      <c r="F23" s="2" t="s">
        <v>142</v>
      </c>
      <c r="G23" s="2"/>
      <c r="H23" s="2" t="s">
        <v>372</v>
      </c>
      <c r="I23" s="2" t="s">
        <v>373</v>
      </c>
      <c r="J23" s="2" t="s">
        <v>300</v>
      </c>
      <c r="K23" s="2" t="s">
        <v>300</v>
      </c>
      <c r="L23" s="2" t="s">
        <v>374</v>
      </c>
      <c r="M23" s="2" t="s">
        <v>41</v>
      </c>
      <c r="N23" s="2" t="s">
        <v>147</v>
      </c>
      <c r="O23" s="2" t="s">
        <v>174</v>
      </c>
      <c r="P23" s="2" t="s">
        <v>279</v>
      </c>
      <c r="Q23" s="2" t="s">
        <v>38</v>
      </c>
      <c r="R23" s="2" t="s">
        <v>151</v>
      </c>
      <c r="S23" s="4">
        <v>45524</v>
      </c>
      <c r="T23" s="4">
        <v>45505</v>
      </c>
      <c r="U23" s="2" t="s">
        <v>152</v>
      </c>
      <c r="V23" s="8">
        <v>1147776</v>
      </c>
      <c r="W23" s="7">
        <v>95648</v>
      </c>
      <c r="X23" s="7">
        <v>91398</v>
      </c>
      <c r="Y23" s="7">
        <v>0</v>
      </c>
      <c r="Z23" s="2" t="s">
        <v>375</v>
      </c>
      <c r="AA23" s="2" t="s">
        <v>376</v>
      </c>
      <c r="AB23" s="7">
        <v>1950</v>
      </c>
      <c r="AC23" s="7">
        <v>0</v>
      </c>
      <c r="AD23" s="7">
        <v>0</v>
      </c>
      <c r="AE23" s="7">
        <v>2300</v>
      </c>
      <c r="AF23" s="7">
        <v>47824</v>
      </c>
      <c r="AG23" s="7">
        <v>19130</v>
      </c>
      <c r="AH23" s="7">
        <v>1000</v>
      </c>
      <c r="AI23" s="7">
        <v>3000</v>
      </c>
      <c r="AJ23" s="7">
        <v>0</v>
      </c>
      <c r="AK23" s="7">
        <v>2500</v>
      </c>
      <c r="AL23" s="7">
        <v>2500</v>
      </c>
      <c r="AM23" s="7">
        <v>0</v>
      </c>
      <c r="AN23" s="7">
        <v>1000</v>
      </c>
      <c r="AO23" s="7">
        <v>1993</v>
      </c>
      <c r="AP23" s="7">
        <v>1250</v>
      </c>
      <c r="AQ23" s="7">
        <v>0</v>
      </c>
      <c r="AR23" s="7">
        <v>0</v>
      </c>
      <c r="AS23" s="7">
        <v>10709</v>
      </c>
      <c r="AT23" s="7">
        <v>492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1800</v>
      </c>
      <c r="BK23" s="7">
        <v>0</v>
      </c>
      <c r="BL23" s="7">
        <v>0</v>
      </c>
      <c r="BM23" s="7">
        <v>0</v>
      </c>
      <c r="BN23" s="7">
        <v>0</v>
      </c>
      <c r="BO23" s="7">
        <v>492</v>
      </c>
      <c r="BP23" s="7">
        <v>4250</v>
      </c>
      <c r="BQ23" s="7">
        <v>1800</v>
      </c>
      <c r="BR23" s="7">
        <v>0</v>
      </c>
      <c r="BS23" s="2" t="s">
        <v>155</v>
      </c>
      <c r="BT23" s="7">
        <v>90906</v>
      </c>
      <c r="BU23" s="2"/>
      <c r="BV23" s="2" t="s">
        <v>377</v>
      </c>
      <c r="BW23" s="2" t="s">
        <v>157</v>
      </c>
      <c r="BX23" s="2"/>
      <c r="BY23" s="2" t="s">
        <v>378</v>
      </c>
      <c r="BZ23" s="2" t="s">
        <v>159</v>
      </c>
      <c r="CA23" s="2" t="s">
        <v>160</v>
      </c>
      <c r="CB23" s="2"/>
      <c r="CC23" s="2"/>
      <c r="CD23" s="2" t="s">
        <v>174</v>
      </c>
      <c r="CE23" s="2" t="s">
        <v>161</v>
      </c>
      <c r="CF23" s="2" t="s">
        <v>308</v>
      </c>
      <c r="CG23" s="2" t="s">
        <v>375</v>
      </c>
      <c r="CH23" s="2" t="s">
        <v>195</v>
      </c>
      <c r="CI23" s="2">
        <v>1070029.7777777778</v>
      </c>
      <c r="CJ23" s="2">
        <v>1038351.2142857143</v>
      </c>
      <c r="CK23" s="8">
        <v>77746.222222222248</v>
      </c>
      <c r="CL23" s="8">
        <v>109424.78571428568</v>
      </c>
      <c r="CM23" s="9">
        <v>7.2657998718208078E-2</v>
      </c>
      <c r="CN23" s="9">
        <v>0.10538321158468467</v>
      </c>
      <c r="CO23" s="2">
        <v>56</v>
      </c>
      <c r="CP23" s="2">
        <v>9</v>
      </c>
      <c r="CQ23" s="2"/>
      <c r="CR23" s="2"/>
      <c r="CS23" s="2"/>
      <c r="CT23" s="2"/>
      <c r="CU23" s="2"/>
      <c r="CV23" s="2"/>
      <c r="CW23" s="7">
        <v>0</v>
      </c>
      <c r="CX23" s="8">
        <v>1000000</v>
      </c>
      <c r="CY23" s="8">
        <v>147776</v>
      </c>
      <c r="CZ23" s="2" t="s">
        <v>600</v>
      </c>
    </row>
    <row r="24" spans="1:104" x14ac:dyDescent="0.35">
      <c r="A24" s="2" t="s">
        <v>379</v>
      </c>
      <c r="B24" s="2" t="s">
        <v>380</v>
      </c>
      <c r="C24" s="2" t="s">
        <v>380</v>
      </c>
      <c r="D24" s="2"/>
      <c r="E24" s="2" t="s">
        <v>141</v>
      </c>
      <c r="F24" s="2" t="s">
        <v>381</v>
      </c>
      <c r="G24" s="7">
        <v>97</v>
      </c>
      <c r="H24" s="2" t="s">
        <v>382</v>
      </c>
      <c r="I24" s="2" t="s">
        <v>383</v>
      </c>
      <c r="J24" s="2" t="s">
        <v>252</v>
      </c>
      <c r="K24" s="2" t="s">
        <v>252</v>
      </c>
      <c r="L24" s="2" t="s">
        <v>278</v>
      </c>
      <c r="M24" s="2" t="s">
        <v>35</v>
      </c>
      <c r="N24" s="2" t="s">
        <v>147</v>
      </c>
      <c r="O24" s="2" t="s">
        <v>148</v>
      </c>
      <c r="P24" s="2" t="s">
        <v>321</v>
      </c>
      <c r="Q24" s="2" t="s">
        <v>322</v>
      </c>
      <c r="R24" s="2" t="s">
        <v>151</v>
      </c>
      <c r="S24" s="4">
        <v>45434</v>
      </c>
      <c r="T24" s="4">
        <v>45413</v>
      </c>
      <c r="U24" s="2" t="s">
        <v>152</v>
      </c>
      <c r="V24" s="17">
        <v>1050000</v>
      </c>
      <c r="W24" s="7">
        <v>87500</v>
      </c>
      <c r="X24" s="7">
        <v>83446</v>
      </c>
      <c r="Y24" s="7">
        <v>0</v>
      </c>
      <c r="Z24" s="2" t="s">
        <v>246</v>
      </c>
      <c r="AA24" s="2" t="s">
        <v>384</v>
      </c>
      <c r="AB24" s="7">
        <v>1950</v>
      </c>
      <c r="AC24" s="7">
        <v>0</v>
      </c>
      <c r="AD24" s="7">
        <v>0</v>
      </c>
      <c r="AE24" s="7">
        <v>2104</v>
      </c>
      <c r="AF24" s="7">
        <v>43750</v>
      </c>
      <c r="AG24" s="7">
        <v>17500</v>
      </c>
      <c r="AH24" s="7">
        <v>1000</v>
      </c>
      <c r="AI24" s="7">
        <v>3000</v>
      </c>
      <c r="AJ24" s="7">
        <v>0</v>
      </c>
      <c r="AK24" s="7">
        <v>2500</v>
      </c>
      <c r="AL24" s="7">
        <v>2500</v>
      </c>
      <c r="AM24" s="7">
        <v>0</v>
      </c>
      <c r="AN24" s="7">
        <v>1000</v>
      </c>
      <c r="AO24" s="7">
        <v>1823</v>
      </c>
      <c r="AP24" s="7">
        <v>1250</v>
      </c>
      <c r="AQ24" s="7">
        <v>0</v>
      </c>
      <c r="AR24" s="7">
        <v>0</v>
      </c>
      <c r="AS24" s="7">
        <v>8775</v>
      </c>
      <c r="AT24" s="7">
        <v>348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1800</v>
      </c>
      <c r="BK24" s="7">
        <v>0</v>
      </c>
      <c r="BL24" s="7">
        <v>0</v>
      </c>
      <c r="BM24" s="7">
        <v>0</v>
      </c>
      <c r="BN24" s="7">
        <v>0</v>
      </c>
      <c r="BO24" s="7">
        <v>348</v>
      </c>
      <c r="BP24" s="7">
        <v>4054</v>
      </c>
      <c r="BQ24" s="7">
        <v>1800</v>
      </c>
      <c r="BR24" s="7">
        <v>0</v>
      </c>
      <c r="BS24" s="2" t="s">
        <v>155</v>
      </c>
      <c r="BT24" s="7">
        <v>83098</v>
      </c>
      <c r="BU24" s="2" t="s">
        <v>385</v>
      </c>
      <c r="BV24" s="2" t="s">
        <v>386</v>
      </c>
      <c r="BW24" s="2" t="s">
        <v>157</v>
      </c>
      <c r="BX24" s="2" t="s">
        <v>387</v>
      </c>
      <c r="BY24" s="2" t="s">
        <v>388</v>
      </c>
      <c r="BZ24" s="2" t="s">
        <v>159</v>
      </c>
      <c r="CA24" s="2" t="s">
        <v>160</v>
      </c>
      <c r="CB24" s="2"/>
      <c r="CC24" s="2"/>
      <c r="CD24" s="2" t="s">
        <v>604</v>
      </c>
      <c r="CE24" s="2" t="s">
        <v>161</v>
      </c>
      <c r="CF24" s="2">
        <v>0</v>
      </c>
      <c r="CG24" s="2" t="s">
        <v>246</v>
      </c>
      <c r="CH24" s="2" t="s">
        <v>163</v>
      </c>
      <c r="CI24" s="2">
        <v>847578.28571428568</v>
      </c>
      <c r="CJ24" s="2">
        <v>750928.02542372886</v>
      </c>
      <c r="CK24" s="8">
        <v>202421.71428571432</v>
      </c>
      <c r="CL24" s="8">
        <v>299071.97457627114</v>
      </c>
      <c r="CM24" s="9">
        <v>0.23882361983250436</v>
      </c>
      <c r="CN24" s="9">
        <v>0.39826982673540878</v>
      </c>
      <c r="CO24" s="2">
        <v>118</v>
      </c>
      <c r="CP24" s="2">
        <v>21</v>
      </c>
      <c r="CQ24" s="2"/>
      <c r="CR24" s="2"/>
      <c r="CS24" s="2" t="s">
        <v>389</v>
      </c>
      <c r="CT24" s="2">
        <v>771087.4444444445</v>
      </c>
      <c r="CU24" s="9">
        <v>0.36171326295749412</v>
      </c>
      <c r="CV24" s="2" t="s">
        <v>287</v>
      </c>
      <c r="CW24" s="7">
        <v>1</v>
      </c>
      <c r="CX24" s="8">
        <v>825000</v>
      </c>
      <c r="CY24" s="8">
        <v>225000</v>
      </c>
      <c r="CZ24" s="2" t="s">
        <v>599</v>
      </c>
    </row>
    <row r="25" spans="1:104" x14ac:dyDescent="0.35">
      <c r="A25" s="2" t="s">
        <v>390</v>
      </c>
      <c r="B25" s="2" t="s">
        <v>391</v>
      </c>
      <c r="C25" s="2" t="s">
        <v>392</v>
      </c>
      <c r="D25" s="2" t="s">
        <v>393</v>
      </c>
      <c r="E25" s="2" t="s">
        <v>141</v>
      </c>
      <c r="F25" s="2" t="s">
        <v>142</v>
      </c>
      <c r="G25" s="2"/>
      <c r="H25" s="2" t="s">
        <v>394</v>
      </c>
      <c r="I25" s="2" t="s">
        <v>395</v>
      </c>
      <c r="J25" s="2" t="s">
        <v>171</v>
      </c>
      <c r="K25" s="2" t="s">
        <v>171</v>
      </c>
      <c r="L25" s="2" t="s">
        <v>396</v>
      </c>
      <c r="M25" s="2" t="s">
        <v>397</v>
      </c>
      <c r="N25" s="2" t="s">
        <v>147</v>
      </c>
      <c r="O25" s="2" t="s">
        <v>174</v>
      </c>
      <c r="P25" s="2" t="s">
        <v>398</v>
      </c>
      <c r="Q25" s="2" t="s">
        <v>397</v>
      </c>
      <c r="R25" s="2" t="s">
        <v>151</v>
      </c>
      <c r="S25" s="4">
        <v>45470</v>
      </c>
      <c r="T25" s="4">
        <v>45444</v>
      </c>
      <c r="U25" s="2" t="s">
        <v>152</v>
      </c>
      <c r="V25" s="17">
        <v>675000</v>
      </c>
      <c r="W25" s="11">
        <v>56250</v>
      </c>
      <c r="X25" s="11">
        <v>52947</v>
      </c>
      <c r="Y25" s="11">
        <v>0</v>
      </c>
      <c r="Z25" s="10" t="s">
        <v>399</v>
      </c>
      <c r="AA25" s="10" t="s">
        <v>400</v>
      </c>
      <c r="AB25" s="11">
        <v>1950</v>
      </c>
      <c r="AC25" s="11">
        <v>0</v>
      </c>
      <c r="AD25" s="11">
        <v>0</v>
      </c>
      <c r="AE25" s="11">
        <v>1353</v>
      </c>
      <c r="AF25" s="11">
        <v>28125</v>
      </c>
      <c r="AG25" s="11">
        <v>11250</v>
      </c>
      <c r="AH25" s="11">
        <v>1000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1250</v>
      </c>
      <c r="AQ25" s="11">
        <v>0</v>
      </c>
      <c r="AR25" s="11">
        <v>0</v>
      </c>
      <c r="AS25" s="11">
        <v>11024</v>
      </c>
      <c r="AT25" s="11">
        <v>298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  <c r="BD25" s="11">
        <v>0</v>
      </c>
      <c r="BE25" s="11">
        <v>0</v>
      </c>
      <c r="BF25" s="11">
        <v>0</v>
      </c>
      <c r="BG25" s="11">
        <v>0</v>
      </c>
      <c r="BH25" s="11">
        <v>0</v>
      </c>
      <c r="BI25" s="11">
        <v>0</v>
      </c>
      <c r="BJ25" s="11">
        <v>1800</v>
      </c>
      <c r="BK25" s="11">
        <v>0</v>
      </c>
      <c r="BL25" s="11">
        <v>0</v>
      </c>
      <c r="BM25" s="11">
        <v>0</v>
      </c>
      <c r="BN25" s="11">
        <v>0</v>
      </c>
      <c r="BO25" s="11">
        <v>298</v>
      </c>
      <c r="BP25" s="11">
        <v>3303</v>
      </c>
      <c r="BQ25" s="11">
        <v>1800</v>
      </c>
      <c r="BR25" s="11">
        <v>0</v>
      </c>
      <c r="BS25" s="10" t="s">
        <v>155</v>
      </c>
      <c r="BT25" s="11">
        <v>52649</v>
      </c>
      <c r="BU25" s="10"/>
      <c r="BV25" s="10" t="s">
        <v>401</v>
      </c>
      <c r="BW25" s="10" t="s">
        <v>157</v>
      </c>
      <c r="BX25" s="10"/>
      <c r="BY25" s="10" t="s">
        <v>402</v>
      </c>
      <c r="BZ25" s="10" t="s">
        <v>159</v>
      </c>
      <c r="CA25" s="10" t="s">
        <v>160</v>
      </c>
      <c r="CB25" s="10"/>
      <c r="CC25" s="10" t="s">
        <v>403</v>
      </c>
      <c r="CD25" s="2" t="s">
        <v>174</v>
      </c>
      <c r="CE25" s="2" t="s">
        <v>161</v>
      </c>
      <c r="CF25" s="10" t="s">
        <v>308</v>
      </c>
      <c r="CG25" s="10" t="s">
        <v>399</v>
      </c>
      <c r="CH25" s="10" t="s">
        <v>163</v>
      </c>
      <c r="CI25" s="10">
        <v>496080.27272727271</v>
      </c>
      <c r="CJ25" s="10">
        <v>523319.23577235773</v>
      </c>
      <c r="CK25" s="12">
        <v>178919.72727272729</v>
      </c>
      <c r="CL25" s="12">
        <v>151680.76422764227</v>
      </c>
      <c r="CM25" s="13">
        <v>0.36066688620591653</v>
      </c>
      <c r="CN25" s="13">
        <v>0.28984366302488246</v>
      </c>
      <c r="CO25" s="10">
        <v>123</v>
      </c>
      <c r="CP25" s="10">
        <v>22</v>
      </c>
      <c r="CQ25" s="10"/>
      <c r="CR25" s="10"/>
      <c r="CS25" s="10" t="s">
        <v>404</v>
      </c>
      <c r="CT25" s="10">
        <v>520814.08571428573</v>
      </c>
      <c r="CU25" s="13">
        <v>0.29604789600544595</v>
      </c>
      <c r="CV25" s="10" t="s">
        <v>287</v>
      </c>
      <c r="CW25" s="11">
        <v>0</v>
      </c>
      <c r="CX25" s="8">
        <v>550000</v>
      </c>
      <c r="CY25" s="8">
        <v>125000</v>
      </c>
      <c r="CZ25" s="2" t="s">
        <v>598</v>
      </c>
    </row>
    <row r="26" spans="1:104" hidden="1" x14ac:dyDescent="0.35">
      <c r="A26" s="2" t="s">
        <v>405</v>
      </c>
      <c r="B26" s="2" t="s">
        <v>406</v>
      </c>
      <c r="C26" s="2" t="s">
        <v>407</v>
      </c>
      <c r="D26" s="2" t="s">
        <v>408</v>
      </c>
      <c r="E26" s="2" t="s">
        <v>141</v>
      </c>
      <c r="F26" s="2" t="s">
        <v>142</v>
      </c>
      <c r="G26" s="2"/>
      <c r="H26" s="2" t="s">
        <v>409</v>
      </c>
      <c r="I26" s="2" t="s">
        <v>410</v>
      </c>
      <c r="J26" s="2" t="s">
        <v>145</v>
      </c>
      <c r="K26" s="2" t="s">
        <v>145</v>
      </c>
      <c r="L26" s="2" t="s">
        <v>411</v>
      </c>
      <c r="M26" s="2" t="s">
        <v>412</v>
      </c>
      <c r="N26" s="2" t="s">
        <v>147</v>
      </c>
      <c r="O26" s="2" t="s">
        <v>148</v>
      </c>
      <c r="P26" s="2" t="s">
        <v>398</v>
      </c>
      <c r="Q26" s="2" t="s">
        <v>413</v>
      </c>
      <c r="R26" s="2" t="s">
        <v>151</v>
      </c>
      <c r="S26" s="4">
        <v>45439</v>
      </c>
      <c r="T26" s="4">
        <v>45413</v>
      </c>
      <c r="U26" s="2" t="s">
        <v>152</v>
      </c>
      <c r="V26" s="17">
        <v>650000</v>
      </c>
      <c r="W26" s="7">
        <v>54167</v>
      </c>
      <c r="X26" s="7">
        <v>50914</v>
      </c>
      <c r="Y26" s="7">
        <v>0</v>
      </c>
      <c r="Z26" s="2" t="s">
        <v>414</v>
      </c>
      <c r="AA26" s="2" t="s">
        <v>415</v>
      </c>
      <c r="AB26" s="7">
        <v>1950</v>
      </c>
      <c r="AC26" s="7">
        <v>0</v>
      </c>
      <c r="AD26" s="7">
        <v>0</v>
      </c>
      <c r="AE26" s="7">
        <v>1303</v>
      </c>
      <c r="AF26" s="7">
        <v>27083</v>
      </c>
      <c r="AG26" s="7">
        <v>10833</v>
      </c>
      <c r="AH26" s="7">
        <v>1000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1250</v>
      </c>
      <c r="AQ26" s="7">
        <v>0</v>
      </c>
      <c r="AR26" s="7">
        <v>0</v>
      </c>
      <c r="AS26" s="7">
        <v>10450</v>
      </c>
      <c r="AT26" s="7">
        <v>298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1800</v>
      </c>
      <c r="BK26" s="7">
        <v>0</v>
      </c>
      <c r="BL26" s="7">
        <v>0</v>
      </c>
      <c r="BM26" s="7">
        <v>0</v>
      </c>
      <c r="BN26" s="7">
        <v>0</v>
      </c>
      <c r="BO26" s="7">
        <v>298</v>
      </c>
      <c r="BP26" s="7">
        <v>3253</v>
      </c>
      <c r="BQ26" s="7">
        <v>1800</v>
      </c>
      <c r="BR26" s="7">
        <v>0</v>
      </c>
      <c r="BS26" s="2" t="s">
        <v>155</v>
      </c>
      <c r="BT26" s="7">
        <v>50616</v>
      </c>
      <c r="BU26" s="2"/>
      <c r="BV26" s="2" t="s">
        <v>416</v>
      </c>
      <c r="BW26" s="2" t="s">
        <v>157</v>
      </c>
      <c r="BX26" s="2"/>
      <c r="BY26" s="2"/>
      <c r="BZ26" s="2" t="s">
        <v>159</v>
      </c>
      <c r="CA26" s="2" t="s">
        <v>160</v>
      </c>
      <c r="CB26" s="2"/>
      <c r="CC26" s="2"/>
      <c r="CD26" s="2" t="s">
        <v>604</v>
      </c>
      <c r="CE26" s="2">
        <v>0</v>
      </c>
      <c r="CF26" s="2">
        <v>0</v>
      </c>
      <c r="CG26" s="2" t="s">
        <v>414</v>
      </c>
      <c r="CH26" s="2" t="s">
        <v>163</v>
      </c>
      <c r="CI26" s="2">
        <v>539107.84615384613</v>
      </c>
      <c r="CJ26" s="2">
        <v>525333.88059701491</v>
      </c>
      <c r="CK26" s="8">
        <v>110892.15384615387</v>
      </c>
      <c r="CL26" s="8">
        <v>124666.11940298509</v>
      </c>
      <c r="CM26" s="9">
        <v>0.20569567784496387</v>
      </c>
      <c r="CN26" s="9">
        <v>0.23730835570953174</v>
      </c>
      <c r="CO26" s="2">
        <v>67</v>
      </c>
      <c r="CP26" s="2">
        <v>13</v>
      </c>
      <c r="CQ26" s="2"/>
      <c r="CR26" s="2"/>
      <c r="CS26" s="2" t="s">
        <v>417</v>
      </c>
      <c r="CT26" s="2"/>
      <c r="CU26" s="2"/>
      <c r="CV26" s="2"/>
      <c r="CW26" s="7">
        <v>0</v>
      </c>
      <c r="CX26" s="8">
        <v>550000</v>
      </c>
      <c r="CY26" s="8">
        <v>100000</v>
      </c>
    </row>
    <row r="27" spans="1:104" x14ac:dyDescent="0.35">
      <c r="A27" s="2" t="s">
        <v>418</v>
      </c>
      <c r="B27" s="2" t="s">
        <v>419</v>
      </c>
      <c r="C27" s="2" t="s">
        <v>420</v>
      </c>
      <c r="D27" s="2"/>
      <c r="E27" s="2" t="s">
        <v>141</v>
      </c>
      <c r="F27" s="2" t="s">
        <v>142</v>
      </c>
      <c r="G27" s="2"/>
      <c r="H27" s="2" t="s">
        <v>421</v>
      </c>
      <c r="I27" s="2" t="s">
        <v>422</v>
      </c>
      <c r="J27" s="2" t="s">
        <v>252</v>
      </c>
      <c r="K27" s="2" t="s">
        <v>252</v>
      </c>
      <c r="L27" s="2" t="s">
        <v>423</v>
      </c>
      <c r="M27" s="2" t="s">
        <v>397</v>
      </c>
      <c r="N27" s="2" t="s">
        <v>147</v>
      </c>
      <c r="O27" s="2" t="s">
        <v>174</v>
      </c>
      <c r="P27" s="2" t="s">
        <v>398</v>
      </c>
      <c r="Q27" s="2" t="s">
        <v>397</v>
      </c>
      <c r="R27" s="2" t="s">
        <v>151</v>
      </c>
      <c r="S27" s="4">
        <v>45428</v>
      </c>
      <c r="T27" s="4">
        <v>45413</v>
      </c>
      <c r="U27" s="2" t="s">
        <v>152</v>
      </c>
      <c r="V27" s="17">
        <v>630005</v>
      </c>
      <c r="W27" s="11">
        <v>52500</v>
      </c>
      <c r="X27" s="11">
        <v>49287</v>
      </c>
      <c r="Y27" s="11">
        <v>0</v>
      </c>
      <c r="Z27" s="10" t="s">
        <v>424</v>
      </c>
      <c r="AA27" s="10" t="s">
        <v>425</v>
      </c>
      <c r="AB27" s="11">
        <v>1950</v>
      </c>
      <c r="AC27" s="11">
        <v>0</v>
      </c>
      <c r="AD27" s="11">
        <v>0</v>
      </c>
      <c r="AE27" s="11">
        <v>1263</v>
      </c>
      <c r="AF27" s="11">
        <v>26250</v>
      </c>
      <c r="AG27" s="11">
        <v>10500</v>
      </c>
      <c r="AH27" s="11">
        <v>1000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1250</v>
      </c>
      <c r="AQ27" s="11">
        <v>0</v>
      </c>
      <c r="AR27" s="11">
        <v>0</v>
      </c>
      <c r="AS27" s="11">
        <v>9689</v>
      </c>
      <c r="AT27" s="11">
        <v>598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0</v>
      </c>
      <c r="BI27" s="11">
        <v>0</v>
      </c>
      <c r="BJ27" s="11">
        <v>1800</v>
      </c>
      <c r="BK27" s="11">
        <v>0</v>
      </c>
      <c r="BL27" s="11">
        <v>0</v>
      </c>
      <c r="BM27" s="11">
        <v>0</v>
      </c>
      <c r="BN27" s="11">
        <v>0</v>
      </c>
      <c r="BO27" s="11">
        <v>598</v>
      </c>
      <c r="BP27" s="11">
        <v>3213</v>
      </c>
      <c r="BQ27" s="11">
        <v>1800</v>
      </c>
      <c r="BR27" s="11">
        <v>0</v>
      </c>
      <c r="BS27" s="10" t="s">
        <v>155</v>
      </c>
      <c r="BT27" s="11">
        <v>48689</v>
      </c>
      <c r="BU27" s="10"/>
      <c r="BV27" s="10" t="s">
        <v>426</v>
      </c>
      <c r="BW27" s="10" t="s">
        <v>157</v>
      </c>
      <c r="BX27" s="10"/>
      <c r="BY27" s="10" t="s">
        <v>427</v>
      </c>
      <c r="BZ27" s="10" t="s">
        <v>159</v>
      </c>
      <c r="CA27" s="10" t="s">
        <v>160</v>
      </c>
      <c r="CB27" s="10"/>
      <c r="CC27" s="10" t="s">
        <v>428</v>
      </c>
      <c r="CD27" s="2" t="s">
        <v>174</v>
      </c>
      <c r="CE27" s="2" t="s">
        <v>161</v>
      </c>
      <c r="CF27" s="10" t="s">
        <v>429</v>
      </c>
      <c r="CG27" s="10" t="s">
        <v>424</v>
      </c>
      <c r="CH27" s="10" t="s">
        <v>163</v>
      </c>
      <c r="CI27" s="10">
        <v>496080.27272727271</v>
      </c>
      <c r="CJ27" s="10">
        <v>523319.23577235773</v>
      </c>
      <c r="CK27" s="12">
        <v>133924.72727272729</v>
      </c>
      <c r="CL27" s="12">
        <v>106685.76422764227</v>
      </c>
      <c r="CM27" s="13">
        <v>0.26996583947282732</v>
      </c>
      <c r="CN27" s="13">
        <v>0.2038636398873942</v>
      </c>
      <c r="CO27" s="10">
        <v>123</v>
      </c>
      <c r="CP27" s="10">
        <v>22</v>
      </c>
      <c r="CQ27" s="10"/>
      <c r="CR27" s="10"/>
      <c r="CS27" s="10" t="s">
        <v>404</v>
      </c>
      <c r="CT27" s="10">
        <v>524755.33333333337</v>
      </c>
      <c r="CU27" s="13">
        <v>0.20056902708944985</v>
      </c>
      <c r="CV27" s="10" t="s">
        <v>287</v>
      </c>
      <c r="CW27" s="11">
        <v>0</v>
      </c>
      <c r="CX27" s="8">
        <v>550000</v>
      </c>
      <c r="CY27" s="8">
        <v>80005</v>
      </c>
      <c r="CZ27" s="2" t="s">
        <v>598</v>
      </c>
    </row>
    <row r="28" spans="1:104" hidden="1" x14ac:dyDescent="0.35">
      <c r="A28" s="2" t="s">
        <v>430</v>
      </c>
      <c r="B28" s="2" t="s">
        <v>431</v>
      </c>
      <c r="C28" s="2" t="s">
        <v>431</v>
      </c>
      <c r="D28" s="2"/>
      <c r="E28" s="2" t="s">
        <v>141</v>
      </c>
      <c r="F28" s="2" t="s">
        <v>142</v>
      </c>
      <c r="G28" s="2"/>
      <c r="H28" s="2" t="s">
        <v>432</v>
      </c>
      <c r="I28" s="2" t="s">
        <v>433</v>
      </c>
      <c r="J28" s="2" t="s">
        <v>145</v>
      </c>
      <c r="K28" s="2" t="s">
        <v>145</v>
      </c>
      <c r="L28" s="2" t="s">
        <v>278</v>
      </c>
      <c r="M28" s="2" t="s">
        <v>434</v>
      </c>
      <c r="N28" s="2" t="s">
        <v>147</v>
      </c>
      <c r="O28" s="2" t="s">
        <v>148</v>
      </c>
      <c r="P28" s="2" t="s">
        <v>398</v>
      </c>
      <c r="Q28" s="2" t="s">
        <v>413</v>
      </c>
      <c r="R28" s="2" t="s">
        <v>151</v>
      </c>
      <c r="S28" s="4">
        <v>45439</v>
      </c>
      <c r="T28" s="4">
        <v>45413</v>
      </c>
      <c r="U28" s="2" t="s">
        <v>152</v>
      </c>
      <c r="V28" s="17">
        <v>630000</v>
      </c>
      <c r="W28" s="7">
        <v>52500</v>
      </c>
      <c r="X28" s="7">
        <v>49287</v>
      </c>
      <c r="Y28" s="7">
        <v>0</v>
      </c>
      <c r="Z28" s="2" t="s">
        <v>435</v>
      </c>
      <c r="AA28" s="2" t="s">
        <v>436</v>
      </c>
      <c r="AB28" s="7">
        <v>1950</v>
      </c>
      <c r="AC28" s="7">
        <v>0</v>
      </c>
      <c r="AD28" s="7">
        <v>0</v>
      </c>
      <c r="AE28" s="7">
        <v>1263</v>
      </c>
      <c r="AF28" s="7">
        <v>26250</v>
      </c>
      <c r="AG28" s="7">
        <v>10500</v>
      </c>
      <c r="AH28" s="7">
        <v>1000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1250</v>
      </c>
      <c r="AQ28" s="7">
        <v>0</v>
      </c>
      <c r="AR28" s="7">
        <v>0</v>
      </c>
      <c r="AS28" s="7">
        <v>9989</v>
      </c>
      <c r="AT28" s="7">
        <v>298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1800</v>
      </c>
      <c r="BK28" s="7">
        <v>0</v>
      </c>
      <c r="BL28" s="7">
        <v>0</v>
      </c>
      <c r="BM28" s="7">
        <v>0</v>
      </c>
      <c r="BN28" s="7">
        <v>0</v>
      </c>
      <c r="BO28" s="7">
        <v>298</v>
      </c>
      <c r="BP28" s="7">
        <v>3213</v>
      </c>
      <c r="BQ28" s="7">
        <v>1800</v>
      </c>
      <c r="BR28" s="7">
        <v>0</v>
      </c>
      <c r="BS28" s="2" t="s">
        <v>155</v>
      </c>
      <c r="BT28" s="7">
        <v>48989</v>
      </c>
      <c r="BU28" s="2"/>
      <c r="BV28" s="2" t="s">
        <v>437</v>
      </c>
      <c r="BW28" s="2" t="s">
        <v>157</v>
      </c>
      <c r="BX28" s="2"/>
      <c r="BY28" s="2" t="s">
        <v>438</v>
      </c>
      <c r="BZ28" s="2" t="s">
        <v>159</v>
      </c>
      <c r="CA28" s="2" t="s">
        <v>160</v>
      </c>
      <c r="CB28" s="2"/>
      <c r="CC28" s="2"/>
      <c r="CD28" s="2" t="s">
        <v>604</v>
      </c>
      <c r="CE28" s="2">
        <v>0</v>
      </c>
      <c r="CF28" s="2" t="s">
        <v>179</v>
      </c>
      <c r="CG28" s="2" t="s">
        <v>435</v>
      </c>
      <c r="CH28" s="2" t="s">
        <v>163</v>
      </c>
      <c r="CI28" s="2">
        <v>539107.84615384613</v>
      </c>
      <c r="CJ28" s="2">
        <v>525333.88059701491</v>
      </c>
      <c r="CK28" s="8">
        <v>90892.153846153873</v>
      </c>
      <c r="CL28" s="8">
        <v>104666.11940298509</v>
      </c>
      <c r="CM28" s="9">
        <v>0.16859734929588804</v>
      </c>
      <c r="CN28" s="9">
        <v>0.19923732938000768</v>
      </c>
      <c r="CO28" s="2">
        <v>67</v>
      </c>
      <c r="CP28" s="2">
        <v>13</v>
      </c>
      <c r="CQ28" s="2"/>
      <c r="CR28" s="2"/>
      <c r="CS28" s="2" t="s">
        <v>404</v>
      </c>
      <c r="CT28" s="2">
        <v>554764.05263157899</v>
      </c>
      <c r="CU28" s="9">
        <v>0.13561792082874105</v>
      </c>
      <c r="CV28" s="2" t="s">
        <v>287</v>
      </c>
      <c r="CW28" s="7">
        <v>0</v>
      </c>
      <c r="CX28" s="8">
        <v>550000</v>
      </c>
      <c r="CY28" s="8">
        <v>80000</v>
      </c>
    </row>
    <row r="29" spans="1:104" x14ac:dyDescent="0.35">
      <c r="A29" s="2" t="s">
        <v>439</v>
      </c>
      <c r="B29" s="2" t="s">
        <v>440</v>
      </c>
      <c r="C29" s="2" t="s">
        <v>441</v>
      </c>
      <c r="D29" s="2" t="s">
        <v>442</v>
      </c>
      <c r="E29" s="2" t="s">
        <v>141</v>
      </c>
      <c r="F29" s="2" t="s">
        <v>142</v>
      </c>
      <c r="G29" s="2"/>
      <c r="H29" s="2" t="s">
        <v>443</v>
      </c>
      <c r="I29" s="2"/>
      <c r="J29" s="2" t="s">
        <v>252</v>
      </c>
      <c r="K29" s="2" t="s">
        <v>252</v>
      </c>
      <c r="L29" s="2" t="s">
        <v>423</v>
      </c>
      <c r="M29" s="2" t="s">
        <v>397</v>
      </c>
      <c r="N29" s="2" t="s">
        <v>147</v>
      </c>
      <c r="O29" s="2" t="s">
        <v>174</v>
      </c>
      <c r="P29" s="2" t="s">
        <v>398</v>
      </c>
      <c r="Q29" s="2" t="s">
        <v>397</v>
      </c>
      <c r="R29" s="2" t="s">
        <v>151</v>
      </c>
      <c r="S29" s="4">
        <v>45414</v>
      </c>
      <c r="T29" s="4">
        <v>45413</v>
      </c>
      <c r="U29" s="2" t="s">
        <v>152</v>
      </c>
      <c r="V29" s="17">
        <v>620005</v>
      </c>
      <c r="W29" s="11">
        <v>51667</v>
      </c>
      <c r="X29" s="11">
        <v>48474</v>
      </c>
      <c r="Y29" s="11">
        <v>0</v>
      </c>
      <c r="Z29" s="10" t="s">
        <v>424</v>
      </c>
      <c r="AA29" s="10" t="s">
        <v>444</v>
      </c>
      <c r="AB29" s="11">
        <v>1950</v>
      </c>
      <c r="AC29" s="11">
        <v>0</v>
      </c>
      <c r="AD29" s="11">
        <v>0</v>
      </c>
      <c r="AE29" s="11">
        <v>1243</v>
      </c>
      <c r="AF29" s="11">
        <v>25834</v>
      </c>
      <c r="AG29" s="11">
        <v>10334</v>
      </c>
      <c r="AH29" s="11">
        <v>1000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1250</v>
      </c>
      <c r="AQ29" s="11">
        <v>0</v>
      </c>
      <c r="AR29" s="11">
        <v>0</v>
      </c>
      <c r="AS29" s="11">
        <v>9697</v>
      </c>
      <c r="AT29" s="11">
        <v>359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0</v>
      </c>
      <c r="BI29" s="11">
        <v>0</v>
      </c>
      <c r="BJ29" s="11">
        <v>1800</v>
      </c>
      <c r="BK29" s="11">
        <v>0</v>
      </c>
      <c r="BL29" s="11">
        <v>0</v>
      </c>
      <c r="BM29" s="11">
        <v>0</v>
      </c>
      <c r="BN29" s="11">
        <v>0</v>
      </c>
      <c r="BO29" s="11">
        <v>359</v>
      </c>
      <c r="BP29" s="11">
        <v>3193</v>
      </c>
      <c r="BQ29" s="11">
        <v>1800</v>
      </c>
      <c r="BR29" s="11">
        <v>0</v>
      </c>
      <c r="BS29" s="10" t="s">
        <v>155</v>
      </c>
      <c r="BT29" s="11">
        <v>48115</v>
      </c>
      <c r="BU29" s="10"/>
      <c r="BV29" s="10" t="s">
        <v>445</v>
      </c>
      <c r="BW29" s="10" t="s">
        <v>157</v>
      </c>
      <c r="BX29" s="10"/>
      <c r="BY29" s="10" t="s">
        <v>446</v>
      </c>
      <c r="BZ29" s="10" t="s">
        <v>159</v>
      </c>
      <c r="CA29" s="10" t="s">
        <v>160</v>
      </c>
      <c r="CB29" s="10"/>
      <c r="CC29" s="10" t="s">
        <v>428</v>
      </c>
      <c r="CD29" s="2" t="s">
        <v>174</v>
      </c>
      <c r="CE29" s="2" t="s">
        <v>161</v>
      </c>
      <c r="CF29" s="10" t="s">
        <v>308</v>
      </c>
      <c r="CG29" s="10" t="s">
        <v>424</v>
      </c>
      <c r="CH29" s="10" t="s">
        <v>163</v>
      </c>
      <c r="CI29" s="10">
        <v>496080.27272727271</v>
      </c>
      <c r="CJ29" s="10">
        <v>523319.23577235773</v>
      </c>
      <c r="CK29" s="12">
        <v>123924.72727272729</v>
      </c>
      <c r="CL29" s="12">
        <v>96685.76422764227</v>
      </c>
      <c r="CM29" s="13">
        <v>0.24980781152903594</v>
      </c>
      <c r="CN29" s="13">
        <v>0.18475484487961816</v>
      </c>
      <c r="CO29" s="10">
        <v>123</v>
      </c>
      <c r="CP29" s="10">
        <v>22</v>
      </c>
      <c r="CQ29" s="10"/>
      <c r="CR29" s="10"/>
      <c r="CS29" s="10" t="s">
        <v>404</v>
      </c>
      <c r="CT29" s="10">
        <v>524755.33333333337</v>
      </c>
      <c r="CU29" s="13">
        <v>0.18151252710787114</v>
      </c>
      <c r="CV29" s="10" t="s">
        <v>287</v>
      </c>
      <c r="CW29" s="11">
        <v>0</v>
      </c>
      <c r="CX29" s="8">
        <v>550000</v>
      </c>
      <c r="CY29" s="8">
        <v>70005</v>
      </c>
      <c r="CZ29" s="2" t="s">
        <v>598</v>
      </c>
    </row>
    <row r="30" spans="1:104" hidden="1" x14ac:dyDescent="0.35">
      <c r="A30" s="2" t="s">
        <v>447</v>
      </c>
      <c r="B30" s="2" t="s">
        <v>448</v>
      </c>
      <c r="C30" s="2" t="s">
        <v>448</v>
      </c>
      <c r="D30" s="2"/>
      <c r="E30" s="2" t="s">
        <v>449</v>
      </c>
      <c r="F30" s="2" t="s">
        <v>450</v>
      </c>
      <c r="G30" s="2"/>
      <c r="H30" s="2" t="s">
        <v>451</v>
      </c>
      <c r="I30" s="2" t="s">
        <v>452</v>
      </c>
      <c r="J30" s="2" t="s">
        <v>252</v>
      </c>
      <c r="K30" s="2" t="s">
        <v>252</v>
      </c>
      <c r="L30" s="2" t="s">
        <v>146</v>
      </c>
      <c r="M30" s="2" t="s">
        <v>413</v>
      </c>
      <c r="N30" s="2" t="s">
        <v>147</v>
      </c>
      <c r="O30" s="2" t="s">
        <v>148</v>
      </c>
      <c r="P30" s="2" t="s">
        <v>398</v>
      </c>
      <c r="Q30" s="2" t="s">
        <v>413</v>
      </c>
      <c r="R30" s="2" t="s">
        <v>151</v>
      </c>
      <c r="S30" s="4">
        <v>45516</v>
      </c>
      <c r="T30" s="4">
        <v>45505</v>
      </c>
      <c r="U30" s="2" t="s">
        <v>152</v>
      </c>
      <c r="V30" s="17">
        <v>600000</v>
      </c>
      <c r="W30" s="7">
        <v>50000</v>
      </c>
      <c r="X30" s="7">
        <v>50000</v>
      </c>
      <c r="Y30" s="7">
        <v>0</v>
      </c>
      <c r="Z30" s="2" t="s">
        <v>453</v>
      </c>
      <c r="AA30" s="2" t="s">
        <v>454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50000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2" t="s">
        <v>155</v>
      </c>
      <c r="BT30" s="7">
        <v>50000</v>
      </c>
      <c r="BU30" s="2"/>
      <c r="BV30" s="2" t="s">
        <v>455</v>
      </c>
      <c r="BW30" s="2" t="s">
        <v>157</v>
      </c>
      <c r="BX30" s="2"/>
      <c r="BY30" s="2"/>
      <c r="BZ30" s="2" t="s">
        <v>159</v>
      </c>
      <c r="CA30" s="2" t="s">
        <v>456</v>
      </c>
      <c r="CB30" s="2"/>
      <c r="CC30" s="2"/>
      <c r="CD30" s="2" t="s">
        <v>604</v>
      </c>
      <c r="CE30" s="2">
        <v>0</v>
      </c>
      <c r="CF30" s="2">
        <v>0</v>
      </c>
      <c r="CG30" s="2" t="s">
        <v>453</v>
      </c>
      <c r="CH30" s="2" t="s">
        <v>195</v>
      </c>
      <c r="CI30" s="2">
        <v>539107.84615384613</v>
      </c>
      <c r="CJ30" s="2">
        <v>525333.88059701491</v>
      </c>
      <c r="CK30" s="8">
        <v>60892.153846153873</v>
      </c>
      <c r="CL30" s="8">
        <v>74666.119402985089</v>
      </c>
      <c r="CM30" s="9">
        <v>0.11294985647227433</v>
      </c>
      <c r="CN30" s="9">
        <v>0.14213078988572161</v>
      </c>
      <c r="CO30" s="2">
        <v>67</v>
      </c>
      <c r="CP30" s="2">
        <v>13</v>
      </c>
      <c r="CQ30" s="2"/>
      <c r="CR30" s="2"/>
      <c r="CS30" s="2"/>
      <c r="CT30" s="2"/>
      <c r="CU30" s="2"/>
      <c r="CV30" s="2"/>
      <c r="CW30" s="7">
        <v>0</v>
      </c>
      <c r="CX30" s="8">
        <v>550000</v>
      </c>
      <c r="CY30" s="8">
        <v>50000</v>
      </c>
    </row>
    <row r="31" spans="1:104" hidden="1" x14ac:dyDescent="0.35">
      <c r="A31" s="2" t="s">
        <v>457</v>
      </c>
      <c r="B31" s="2" t="s">
        <v>458</v>
      </c>
      <c r="C31" s="2" t="s">
        <v>458</v>
      </c>
      <c r="D31" s="2"/>
      <c r="E31" s="2" t="s">
        <v>141</v>
      </c>
      <c r="F31" s="2" t="s">
        <v>142</v>
      </c>
      <c r="G31" s="2"/>
      <c r="H31" s="2" t="s">
        <v>459</v>
      </c>
      <c r="I31" s="2" t="s">
        <v>460</v>
      </c>
      <c r="J31" s="2" t="s">
        <v>145</v>
      </c>
      <c r="K31" s="2" t="s">
        <v>145</v>
      </c>
      <c r="L31" s="2" t="s">
        <v>200</v>
      </c>
      <c r="M31" s="2" t="s">
        <v>461</v>
      </c>
      <c r="N31" s="2" t="s">
        <v>147</v>
      </c>
      <c r="O31" s="2" t="s">
        <v>148</v>
      </c>
      <c r="P31" s="2" t="s">
        <v>462</v>
      </c>
      <c r="Q31" s="2" t="s">
        <v>463</v>
      </c>
      <c r="R31" s="2" t="s">
        <v>151</v>
      </c>
      <c r="S31" s="4">
        <v>45476</v>
      </c>
      <c r="T31" s="4">
        <v>45474</v>
      </c>
      <c r="U31" s="2" t="s">
        <v>152</v>
      </c>
      <c r="V31" s="17">
        <v>600000</v>
      </c>
      <c r="W31" s="7">
        <v>50000</v>
      </c>
      <c r="X31" s="7">
        <v>46847</v>
      </c>
      <c r="Y31" s="7">
        <v>0</v>
      </c>
      <c r="Z31" s="2" t="s">
        <v>357</v>
      </c>
      <c r="AA31" s="2" t="s">
        <v>464</v>
      </c>
      <c r="AB31" s="7">
        <v>1950</v>
      </c>
      <c r="AC31" s="7">
        <v>0</v>
      </c>
      <c r="AD31" s="7">
        <v>0</v>
      </c>
      <c r="AE31" s="7">
        <v>1203</v>
      </c>
      <c r="AF31" s="7">
        <v>25000</v>
      </c>
      <c r="AG31" s="7">
        <v>10000</v>
      </c>
      <c r="AH31" s="7">
        <v>1000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1250</v>
      </c>
      <c r="AQ31" s="7">
        <v>0</v>
      </c>
      <c r="AR31" s="7">
        <v>0</v>
      </c>
      <c r="AS31" s="7">
        <v>9299</v>
      </c>
      <c r="AT31" s="7">
        <v>298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1800</v>
      </c>
      <c r="BK31" s="7">
        <v>0</v>
      </c>
      <c r="BL31" s="7">
        <v>0</v>
      </c>
      <c r="BM31" s="7">
        <v>0</v>
      </c>
      <c r="BN31" s="7">
        <v>0</v>
      </c>
      <c r="BO31" s="7">
        <v>298</v>
      </c>
      <c r="BP31" s="7">
        <v>3153</v>
      </c>
      <c r="BQ31" s="7">
        <v>1800</v>
      </c>
      <c r="BR31" s="7">
        <v>0</v>
      </c>
      <c r="BS31" s="2" t="s">
        <v>155</v>
      </c>
      <c r="BT31" s="7">
        <v>46549</v>
      </c>
      <c r="BU31" s="2"/>
      <c r="BV31" s="2" t="s">
        <v>465</v>
      </c>
      <c r="BW31" s="2" t="s">
        <v>207</v>
      </c>
      <c r="BX31" s="2"/>
      <c r="BY31" s="2" t="s">
        <v>466</v>
      </c>
      <c r="BZ31" s="2" t="s">
        <v>159</v>
      </c>
      <c r="CA31" s="2" t="s">
        <v>160</v>
      </c>
      <c r="CB31" s="2"/>
      <c r="CC31" s="2"/>
      <c r="CD31" s="2" t="s">
        <v>604</v>
      </c>
      <c r="CE31" s="2">
        <v>0</v>
      </c>
      <c r="CF31" s="2" t="s">
        <v>467</v>
      </c>
      <c r="CG31" s="2" t="s">
        <v>357</v>
      </c>
      <c r="CH31" s="2" t="s">
        <v>163</v>
      </c>
      <c r="CI31" s="2">
        <v>389867.15384615387</v>
      </c>
      <c r="CJ31" s="2">
        <v>382351.4</v>
      </c>
      <c r="CK31" s="8">
        <v>210132.84615384613</v>
      </c>
      <c r="CL31" s="8">
        <v>217648.59999999998</v>
      </c>
      <c r="CM31" s="9">
        <v>0.53898576497359152</v>
      </c>
      <c r="CN31" s="9">
        <v>0.56923709446336523</v>
      </c>
      <c r="CO31" s="2">
        <v>60</v>
      </c>
      <c r="CP31" s="2">
        <v>13</v>
      </c>
      <c r="CQ31" s="2"/>
      <c r="CR31" s="2"/>
      <c r="CS31" s="2" t="s">
        <v>468</v>
      </c>
      <c r="CT31" s="2">
        <v>600000</v>
      </c>
      <c r="CU31" s="9">
        <v>0</v>
      </c>
      <c r="CV31" s="2" t="s">
        <v>287</v>
      </c>
      <c r="CW31" s="7">
        <v>0</v>
      </c>
      <c r="CX31" s="8">
        <v>479160</v>
      </c>
      <c r="CY31" s="8">
        <v>120840</v>
      </c>
    </row>
    <row r="32" spans="1:104" x14ac:dyDescent="0.35">
      <c r="A32" s="2" t="s">
        <v>469</v>
      </c>
      <c r="B32" s="2" t="s">
        <v>470</v>
      </c>
      <c r="C32" s="2" t="s">
        <v>471</v>
      </c>
      <c r="D32" s="2" t="s">
        <v>472</v>
      </c>
      <c r="E32" s="2" t="s">
        <v>141</v>
      </c>
      <c r="F32" s="2" t="s">
        <v>142</v>
      </c>
      <c r="G32" s="2"/>
      <c r="H32" s="2" t="s">
        <v>473</v>
      </c>
      <c r="I32" s="2" t="s">
        <v>474</v>
      </c>
      <c r="J32" s="2" t="s">
        <v>171</v>
      </c>
      <c r="K32" s="2" t="s">
        <v>171</v>
      </c>
      <c r="L32" s="2" t="s">
        <v>475</v>
      </c>
      <c r="M32" s="2" t="s">
        <v>397</v>
      </c>
      <c r="N32" s="2" t="s">
        <v>147</v>
      </c>
      <c r="O32" s="2" t="s">
        <v>174</v>
      </c>
      <c r="P32" s="2" t="s">
        <v>398</v>
      </c>
      <c r="Q32" s="2" t="s">
        <v>397</v>
      </c>
      <c r="R32" s="2" t="s">
        <v>151</v>
      </c>
      <c r="S32" s="4">
        <v>45449</v>
      </c>
      <c r="T32" s="4">
        <v>45444</v>
      </c>
      <c r="U32" s="2" t="s">
        <v>152</v>
      </c>
      <c r="V32" s="17">
        <v>598007</v>
      </c>
      <c r="W32" s="11">
        <v>49834</v>
      </c>
      <c r="X32" s="11">
        <v>46685</v>
      </c>
      <c r="Y32" s="11">
        <v>0</v>
      </c>
      <c r="Z32" s="10" t="s">
        <v>246</v>
      </c>
      <c r="AA32" s="10" t="s">
        <v>476</v>
      </c>
      <c r="AB32" s="11">
        <v>1950</v>
      </c>
      <c r="AC32" s="11">
        <v>0</v>
      </c>
      <c r="AD32" s="11">
        <v>0</v>
      </c>
      <c r="AE32" s="11">
        <v>1199</v>
      </c>
      <c r="AF32" s="11">
        <v>24917</v>
      </c>
      <c r="AG32" s="11">
        <v>9967</v>
      </c>
      <c r="AH32" s="11">
        <v>1400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1000</v>
      </c>
      <c r="AQ32" s="11">
        <v>0</v>
      </c>
      <c r="AR32" s="11">
        <v>0</v>
      </c>
      <c r="AS32" s="11">
        <v>9103</v>
      </c>
      <c r="AT32" s="11">
        <v>298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1">
        <v>0</v>
      </c>
      <c r="BG32" s="11">
        <v>0</v>
      </c>
      <c r="BH32" s="11">
        <v>0</v>
      </c>
      <c r="BI32" s="11">
        <v>0</v>
      </c>
      <c r="BJ32" s="11">
        <v>1800</v>
      </c>
      <c r="BK32" s="11">
        <v>0</v>
      </c>
      <c r="BL32" s="11">
        <v>0</v>
      </c>
      <c r="BM32" s="11">
        <v>0</v>
      </c>
      <c r="BN32" s="11">
        <v>0</v>
      </c>
      <c r="BO32" s="11">
        <v>298</v>
      </c>
      <c r="BP32" s="11">
        <v>3149</v>
      </c>
      <c r="BQ32" s="11">
        <v>1800</v>
      </c>
      <c r="BR32" s="11">
        <v>0</v>
      </c>
      <c r="BS32" s="10" t="s">
        <v>155</v>
      </c>
      <c r="BT32" s="11">
        <v>46387</v>
      </c>
      <c r="BU32" s="10"/>
      <c r="BV32" s="10" t="s">
        <v>477</v>
      </c>
      <c r="BW32" s="10" t="s">
        <v>157</v>
      </c>
      <c r="BX32" s="10"/>
      <c r="BY32" s="10" t="s">
        <v>478</v>
      </c>
      <c r="BZ32" s="10" t="s">
        <v>159</v>
      </c>
      <c r="CA32" s="10" t="s">
        <v>160</v>
      </c>
      <c r="CB32" s="10"/>
      <c r="CC32" s="10" t="s">
        <v>479</v>
      </c>
      <c r="CD32" s="2" t="s">
        <v>174</v>
      </c>
      <c r="CE32" s="2" t="s">
        <v>161</v>
      </c>
      <c r="CF32" s="10">
        <v>0</v>
      </c>
      <c r="CG32" s="10" t="s">
        <v>246</v>
      </c>
      <c r="CH32" s="10" t="s">
        <v>163</v>
      </c>
      <c r="CI32" s="10">
        <v>496080.27272727271</v>
      </c>
      <c r="CJ32" s="10">
        <v>523319.23577235773</v>
      </c>
      <c r="CK32" s="12">
        <v>101926.72727272729</v>
      </c>
      <c r="CL32" s="12">
        <v>74687.76422764227</v>
      </c>
      <c r="CM32" s="13">
        <v>0.20546418165828373</v>
      </c>
      <c r="CN32" s="13">
        <v>0.14271931762151244</v>
      </c>
      <c r="CO32" s="10">
        <v>123</v>
      </c>
      <c r="CP32" s="10">
        <v>22</v>
      </c>
      <c r="CQ32" s="10"/>
      <c r="CR32" s="10"/>
      <c r="CS32" s="10" t="s">
        <v>404</v>
      </c>
      <c r="CT32" s="10">
        <v>545200</v>
      </c>
      <c r="CU32" s="13">
        <v>9.6858033749082903E-2</v>
      </c>
      <c r="CV32" s="10" t="s">
        <v>287</v>
      </c>
      <c r="CW32" s="11">
        <v>0</v>
      </c>
      <c r="CX32" s="8">
        <v>550000</v>
      </c>
      <c r="CY32" s="8">
        <v>48007</v>
      </c>
      <c r="CZ32" s="2" t="s">
        <v>598</v>
      </c>
    </row>
    <row r="33" spans="1:104" hidden="1" x14ac:dyDescent="0.35">
      <c r="A33" s="2" t="s">
        <v>480</v>
      </c>
      <c r="B33" s="2" t="s">
        <v>481</v>
      </c>
      <c r="C33" s="2" t="s">
        <v>482</v>
      </c>
      <c r="D33" s="2" t="s">
        <v>483</v>
      </c>
      <c r="E33" s="2" t="s">
        <v>141</v>
      </c>
      <c r="F33" s="2" t="s">
        <v>142</v>
      </c>
      <c r="G33" s="2"/>
      <c r="H33" s="2" t="s">
        <v>484</v>
      </c>
      <c r="I33" s="2" t="s">
        <v>485</v>
      </c>
      <c r="J33" s="2" t="s">
        <v>252</v>
      </c>
      <c r="K33" s="2" t="s">
        <v>252</v>
      </c>
      <c r="L33" s="2" t="s">
        <v>486</v>
      </c>
      <c r="M33" s="2" t="s">
        <v>487</v>
      </c>
      <c r="N33" s="2" t="s">
        <v>147</v>
      </c>
      <c r="O33" s="2" t="s">
        <v>174</v>
      </c>
      <c r="P33" s="2" t="s">
        <v>398</v>
      </c>
      <c r="Q33" s="2" t="s">
        <v>413</v>
      </c>
      <c r="R33" s="2" t="s">
        <v>151</v>
      </c>
      <c r="S33" s="4">
        <v>45477</v>
      </c>
      <c r="T33" s="4">
        <v>45474</v>
      </c>
      <c r="U33" s="2" t="s">
        <v>152</v>
      </c>
      <c r="V33" s="17">
        <v>570000</v>
      </c>
      <c r="W33" s="7">
        <v>47500</v>
      </c>
      <c r="X33" s="7">
        <v>44408</v>
      </c>
      <c r="Y33" s="7">
        <v>0</v>
      </c>
      <c r="Z33" s="2" t="s">
        <v>488</v>
      </c>
      <c r="AA33" s="2" t="s">
        <v>489</v>
      </c>
      <c r="AB33" s="7">
        <v>1950</v>
      </c>
      <c r="AC33" s="7">
        <v>0</v>
      </c>
      <c r="AD33" s="7">
        <v>0</v>
      </c>
      <c r="AE33" s="7">
        <v>1142</v>
      </c>
      <c r="AF33" s="7">
        <v>23750</v>
      </c>
      <c r="AG33" s="7">
        <v>9500</v>
      </c>
      <c r="AH33" s="7">
        <v>1000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1250</v>
      </c>
      <c r="AQ33" s="7">
        <v>0</v>
      </c>
      <c r="AR33" s="7">
        <v>0</v>
      </c>
      <c r="AS33" s="7">
        <v>8610</v>
      </c>
      <c r="AT33" s="7">
        <v>298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1800</v>
      </c>
      <c r="BK33" s="7">
        <v>0</v>
      </c>
      <c r="BL33" s="7">
        <v>0</v>
      </c>
      <c r="BM33" s="7">
        <v>0</v>
      </c>
      <c r="BN33" s="7">
        <v>0</v>
      </c>
      <c r="BO33" s="7">
        <v>298</v>
      </c>
      <c r="BP33" s="7">
        <v>3092</v>
      </c>
      <c r="BQ33" s="7">
        <v>1800</v>
      </c>
      <c r="BR33" s="7">
        <v>0</v>
      </c>
      <c r="BS33" s="2" t="s">
        <v>155</v>
      </c>
      <c r="BT33" s="7">
        <v>44110</v>
      </c>
      <c r="BU33" s="2"/>
      <c r="BV33" s="2" t="s">
        <v>490</v>
      </c>
      <c r="BW33" s="2" t="s">
        <v>157</v>
      </c>
      <c r="BX33" s="2"/>
      <c r="BY33" s="2" t="s">
        <v>491</v>
      </c>
      <c r="BZ33" s="2" t="s">
        <v>159</v>
      </c>
      <c r="CA33" s="2" t="s">
        <v>160</v>
      </c>
      <c r="CB33" s="2"/>
      <c r="CC33" s="2" t="s">
        <v>492</v>
      </c>
      <c r="CD33" s="2" t="s">
        <v>174</v>
      </c>
      <c r="CE33" s="2">
        <v>0</v>
      </c>
      <c r="CF33" s="2" t="s">
        <v>308</v>
      </c>
      <c r="CG33" s="2" t="s">
        <v>488</v>
      </c>
      <c r="CH33" s="2" t="s">
        <v>195</v>
      </c>
      <c r="CI33" s="2">
        <v>539107.84615384613</v>
      </c>
      <c r="CJ33" s="2">
        <v>525333.88059701491</v>
      </c>
      <c r="CK33" s="8">
        <v>30892.153846153873</v>
      </c>
      <c r="CL33" s="8">
        <v>44666.119402985089</v>
      </c>
      <c r="CM33" s="9">
        <v>5.730236364866062E-2</v>
      </c>
      <c r="CN33" s="9">
        <v>8.5024250391435519E-2</v>
      </c>
      <c r="CO33" s="2">
        <v>67</v>
      </c>
      <c r="CP33" s="2">
        <v>13</v>
      </c>
      <c r="CQ33" s="2"/>
      <c r="CR33" s="2"/>
      <c r="CS33" s="2"/>
      <c r="CT33" s="2"/>
      <c r="CU33" s="2"/>
      <c r="CV33" s="2"/>
      <c r="CW33" s="7">
        <v>0</v>
      </c>
      <c r="CX33" s="8">
        <v>550000</v>
      </c>
      <c r="CY33" s="8">
        <v>20000</v>
      </c>
    </row>
    <row r="34" spans="1:104" hidden="1" x14ac:dyDescent="0.35">
      <c r="A34" s="2" t="s">
        <v>493</v>
      </c>
      <c r="B34" s="2" t="s">
        <v>494</v>
      </c>
      <c r="C34" s="2" t="s">
        <v>494</v>
      </c>
      <c r="D34" s="2"/>
      <c r="E34" s="2" t="s">
        <v>141</v>
      </c>
      <c r="F34" s="2" t="s">
        <v>142</v>
      </c>
      <c r="G34" s="2"/>
      <c r="H34" s="2" t="s">
        <v>495</v>
      </c>
      <c r="I34" s="2" t="s">
        <v>496</v>
      </c>
      <c r="J34" s="2" t="s">
        <v>171</v>
      </c>
      <c r="K34" s="2" t="s">
        <v>171</v>
      </c>
      <c r="L34" s="2" t="s">
        <v>486</v>
      </c>
      <c r="M34" s="2" t="s">
        <v>487</v>
      </c>
      <c r="N34" s="2" t="s">
        <v>147</v>
      </c>
      <c r="O34" s="2" t="s">
        <v>174</v>
      </c>
      <c r="P34" s="2" t="s">
        <v>398</v>
      </c>
      <c r="Q34" s="2" t="s">
        <v>413</v>
      </c>
      <c r="R34" s="2" t="s">
        <v>151</v>
      </c>
      <c r="S34" s="4">
        <v>45537</v>
      </c>
      <c r="T34" s="4">
        <v>45536</v>
      </c>
      <c r="U34" s="2" t="s">
        <v>152</v>
      </c>
      <c r="V34" s="17">
        <v>561793</v>
      </c>
      <c r="W34" s="7">
        <v>46816</v>
      </c>
      <c r="X34" s="7">
        <v>43740</v>
      </c>
      <c r="Y34" s="7">
        <v>0</v>
      </c>
      <c r="Z34" s="2" t="s">
        <v>497</v>
      </c>
      <c r="AA34" s="2" t="s">
        <v>498</v>
      </c>
      <c r="AB34" s="7">
        <v>1950</v>
      </c>
      <c r="AC34" s="7">
        <v>0</v>
      </c>
      <c r="AD34" s="7">
        <v>0</v>
      </c>
      <c r="AE34" s="7">
        <v>1126</v>
      </c>
      <c r="AF34" s="7">
        <v>23408</v>
      </c>
      <c r="AG34" s="7">
        <v>9363</v>
      </c>
      <c r="AH34" s="7">
        <v>1000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1250</v>
      </c>
      <c r="AQ34" s="7">
        <v>0</v>
      </c>
      <c r="AR34" s="7">
        <v>0</v>
      </c>
      <c r="AS34" s="7">
        <v>8421</v>
      </c>
      <c r="AT34" s="7">
        <v>298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1800</v>
      </c>
      <c r="BK34" s="7">
        <v>0</v>
      </c>
      <c r="BL34" s="7">
        <v>0</v>
      </c>
      <c r="BM34" s="7">
        <v>0</v>
      </c>
      <c r="BN34" s="7">
        <v>0</v>
      </c>
      <c r="BO34" s="7">
        <v>298</v>
      </c>
      <c r="BP34" s="7">
        <v>3076</v>
      </c>
      <c r="BQ34" s="7">
        <v>1800</v>
      </c>
      <c r="BR34" s="7">
        <v>0</v>
      </c>
      <c r="BS34" s="2" t="s">
        <v>155</v>
      </c>
      <c r="BT34" s="7">
        <v>43442</v>
      </c>
      <c r="BU34" s="2"/>
      <c r="BV34" s="2" t="s">
        <v>499</v>
      </c>
      <c r="BW34" s="2" t="s">
        <v>157</v>
      </c>
      <c r="BX34" s="2"/>
      <c r="BY34" s="2" t="s">
        <v>500</v>
      </c>
      <c r="BZ34" s="2" t="s">
        <v>159</v>
      </c>
      <c r="CA34" s="2" t="s">
        <v>160</v>
      </c>
      <c r="CB34" s="2"/>
      <c r="CC34" s="2" t="s">
        <v>479</v>
      </c>
      <c r="CD34" s="2" t="s">
        <v>174</v>
      </c>
      <c r="CE34" s="2">
        <v>0</v>
      </c>
      <c r="CF34" s="2">
        <v>0</v>
      </c>
      <c r="CG34" s="2" t="s">
        <v>497</v>
      </c>
      <c r="CH34" s="2" t="s">
        <v>195</v>
      </c>
      <c r="CI34" s="2">
        <v>539107.84615384613</v>
      </c>
      <c r="CJ34" s="2">
        <v>525333.88059701491</v>
      </c>
      <c r="CK34" s="8">
        <v>22685.153846153873</v>
      </c>
      <c r="CL34" s="8">
        <v>36459.119402985089</v>
      </c>
      <c r="CM34" s="9">
        <v>4.2079064528547358E-2</v>
      </c>
      <c r="CN34" s="9">
        <v>6.9401804737115325E-2</v>
      </c>
      <c r="CO34" s="2">
        <v>67</v>
      </c>
      <c r="CP34" s="2">
        <v>13</v>
      </c>
      <c r="CQ34" s="2"/>
      <c r="CR34" s="2"/>
      <c r="CS34" s="2"/>
      <c r="CT34" s="2"/>
      <c r="CU34" s="2"/>
      <c r="CV34" s="2"/>
      <c r="CW34" s="7">
        <v>0</v>
      </c>
      <c r="CX34" s="8">
        <v>550000</v>
      </c>
      <c r="CY34" s="8">
        <v>11793</v>
      </c>
    </row>
    <row r="35" spans="1:104" hidden="1" x14ac:dyDescent="0.35">
      <c r="A35" s="2" t="s">
        <v>501</v>
      </c>
      <c r="B35" s="2" t="s">
        <v>502</v>
      </c>
      <c r="C35" s="2" t="s">
        <v>503</v>
      </c>
      <c r="D35" s="2"/>
      <c r="E35" s="2" t="s">
        <v>141</v>
      </c>
      <c r="F35" s="2" t="s">
        <v>142</v>
      </c>
      <c r="G35" s="2"/>
      <c r="H35" s="2" t="s">
        <v>504</v>
      </c>
      <c r="I35" s="2" t="s">
        <v>505</v>
      </c>
      <c r="J35" s="2" t="s">
        <v>300</v>
      </c>
      <c r="K35" s="2" t="s">
        <v>300</v>
      </c>
      <c r="L35" s="2" t="s">
        <v>475</v>
      </c>
      <c r="M35" s="2" t="s">
        <v>397</v>
      </c>
      <c r="N35" s="2" t="s">
        <v>147</v>
      </c>
      <c r="O35" s="2" t="s">
        <v>174</v>
      </c>
      <c r="P35" s="2" t="s">
        <v>398</v>
      </c>
      <c r="Q35" s="2" t="s">
        <v>397</v>
      </c>
      <c r="R35" s="2" t="s">
        <v>151</v>
      </c>
      <c r="S35" s="4">
        <v>45490</v>
      </c>
      <c r="T35" s="4">
        <v>45474</v>
      </c>
      <c r="U35" s="2" t="s">
        <v>152</v>
      </c>
      <c r="V35" s="17">
        <v>560005</v>
      </c>
      <c r="W35" s="7">
        <v>46667</v>
      </c>
      <c r="X35" s="7">
        <v>43595</v>
      </c>
      <c r="Y35" s="7">
        <v>0</v>
      </c>
      <c r="Z35" s="2" t="s">
        <v>357</v>
      </c>
      <c r="AA35" s="2" t="s">
        <v>506</v>
      </c>
      <c r="AB35" s="7">
        <v>1950</v>
      </c>
      <c r="AC35" s="7">
        <v>0</v>
      </c>
      <c r="AD35" s="7">
        <v>0</v>
      </c>
      <c r="AE35" s="7">
        <v>1122</v>
      </c>
      <c r="AF35" s="7">
        <v>23334</v>
      </c>
      <c r="AG35" s="7">
        <v>9334</v>
      </c>
      <c r="AH35" s="7">
        <v>1000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1250</v>
      </c>
      <c r="AQ35" s="7">
        <v>0</v>
      </c>
      <c r="AR35" s="7">
        <v>1400</v>
      </c>
      <c r="AS35" s="7">
        <v>6979</v>
      </c>
      <c r="AT35" s="7">
        <v>298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1800</v>
      </c>
      <c r="BK35" s="7">
        <v>0</v>
      </c>
      <c r="BL35" s="7">
        <v>0</v>
      </c>
      <c r="BM35" s="7">
        <v>0</v>
      </c>
      <c r="BN35" s="7">
        <v>0</v>
      </c>
      <c r="BO35" s="7">
        <v>298</v>
      </c>
      <c r="BP35" s="7">
        <v>3072</v>
      </c>
      <c r="BQ35" s="7">
        <v>1800</v>
      </c>
      <c r="BR35" s="7">
        <v>0</v>
      </c>
      <c r="BS35" s="2" t="s">
        <v>155</v>
      </c>
      <c r="BT35" s="7">
        <v>43297</v>
      </c>
      <c r="BU35" s="2"/>
      <c r="BV35" s="2" t="s">
        <v>507</v>
      </c>
      <c r="BW35" s="2" t="s">
        <v>157</v>
      </c>
      <c r="BX35" s="2"/>
      <c r="BY35" s="2" t="s">
        <v>508</v>
      </c>
      <c r="BZ35" s="2" t="s">
        <v>159</v>
      </c>
      <c r="CA35" s="2" t="s">
        <v>160</v>
      </c>
      <c r="CB35" s="2"/>
      <c r="CC35" s="2" t="s">
        <v>509</v>
      </c>
      <c r="CD35" s="2" t="s">
        <v>174</v>
      </c>
      <c r="CE35" s="2">
        <v>0</v>
      </c>
      <c r="CF35" s="2">
        <v>0</v>
      </c>
      <c r="CG35" s="2" t="s">
        <v>357</v>
      </c>
      <c r="CH35" s="2" t="s">
        <v>195</v>
      </c>
      <c r="CI35" s="2">
        <v>496080.27272727271</v>
      </c>
      <c r="CJ35" s="2">
        <v>523319.23577235773</v>
      </c>
      <c r="CK35" s="8">
        <v>63924.727272727294</v>
      </c>
      <c r="CL35" s="8">
        <v>36685.76422764227</v>
      </c>
      <c r="CM35" s="9">
        <v>0.12885964386628782</v>
      </c>
      <c r="CN35" s="9">
        <v>7.0102074832961936E-2</v>
      </c>
      <c r="CO35" s="2">
        <v>123</v>
      </c>
      <c r="CP35" s="2">
        <v>22</v>
      </c>
      <c r="CQ35" s="2"/>
      <c r="CR35" s="2"/>
      <c r="CS35" s="2"/>
      <c r="CT35" s="2"/>
      <c r="CU35" s="2"/>
      <c r="CV35" s="2"/>
      <c r="CW35" s="7">
        <v>0</v>
      </c>
      <c r="CX35" s="8">
        <v>550000</v>
      </c>
      <c r="CY35" s="8">
        <v>10005</v>
      </c>
    </row>
    <row r="36" spans="1:104" x14ac:dyDescent="0.35">
      <c r="A36" s="2" t="s">
        <v>510</v>
      </c>
      <c r="B36" s="2" t="s">
        <v>511</v>
      </c>
      <c r="C36" s="2" t="s">
        <v>512</v>
      </c>
      <c r="D36" s="2" t="s">
        <v>513</v>
      </c>
      <c r="E36" s="2" t="s">
        <v>141</v>
      </c>
      <c r="F36" s="2" t="s">
        <v>142</v>
      </c>
      <c r="G36" s="2"/>
      <c r="H36" s="2" t="s">
        <v>514</v>
      </c>
      <c r="I36" s="2" t="s">
        <v>515</v>
      </c>
      <c r="J36" s="2" t="s">
        <v>171</v>
      </c>
      <c r="K36" s="2" t="s">
        <v>171</v>
      </c>
      <c r="L36" s="2" t="s">
        <v>516</v>
      </c>
      <c r="M36" s="2" t="s">
        <v>517</v>
      </c>
      <c r="N36" s="2" t="s">
        <v>147</v>
      </c>
      <c r="O36" s="2" t="s">
        <v>174</v>
      </c>
      <c r="P36" s="2" t="s">
        <v>462</v>
      </c>
      <c r="Q36" s="2" t="s">
        <v>517</v>
      </c>
      <c r="R36" s="2" t="s">
        <v>151</v>
      </c>
      <c r="S36" s="4">
        <v>45435</v>
      </c>
      <c r="T36" s="4">
        <v>45413</v>
      </c>
      <c r="U36" s="2" t="s">
        <v>152</v>
      </c>
      <c r="V36" s="17">
        <v>518100</v>
      </c>
      <c r="W36" s="11">
        <v>43175</v>
      </c>
      <c r="X36" s="11">
        <v>40187</v>
      </c>
      <c r="Y36" s="11">
        <v>0</v>
      </c>
      <c r="Z36" s="10" t="s">
        <v>414</v>
      </c>
      <c r="AA36" s="10" t="s">
        <v>518</v>
      </c>
      <c r="AB36" s="11">
        <v>1950</v>
      </c>
      <c r="AC36" s="11">
        <v>0</v>
      </c>
      <c r="AD36" s="11">
        <v>0</v>
      </c>
      <c r="AE36" s="11">
        <v>1038</v>
      </c>
      <c r="AF36" s="11">
        <v>21588</v>
      </c>
      <c r="AG36" s="11">
        <v>8635</v>
      </c>
      <c r="AH36" s="11">
        <v>1000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1250</v>
      </c>
      <c r="AQ36" s="11">
        <v>0</v>
      </c>
      <c r="AR36" s="11">
        <v>0</v>
      </c>
      <c r="AS36" s="11">
        <v>7430</v>
      </c>
      <c r="AT36" s="11">
        <v>284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1">
        <v>0</v>
      </c>
      <c r="BG36" s="11">
        <v>0</v>
      </c>
      <c r="BH36" s="11">
        <v>0</v>
      </c>
      <c r="BI36" s="11">
        <v>0</v>
      </c>
      <c r="BJ36" s="11">
        <v>1800</v>
      </c>
      <c r="BK36" s="11">
        <v>0</v>
      </c>
      <c r="BL36" s="11">
        <v>0</v>
      </c>
      <c r="BM36" s="11">
        <v>0</v>
      </c>
      <c r="BN36" s="11">
        <v>0</v>
      </c>
      <c r="BO36" s="11">
        <v>284</v>
      </c>
      <c r="BP36" s="11">
        <v>2988</v>
      </c>
      <c r="BQ36" s="11">
        <v>1800</v>
      </c>
      <c r="BR36" s="11">
        <v>0</v>
      </c>
      <c r="BS36" s="10" t="s">
        <v>155</v>
      </c>
      <c r="BT36" s="11">
        <v>39903</v>
      </c>
      <c r="BU36" s="10"/>
      <c r="BV36" s="10" t="s">
        <v>519</v>
      </c>
      <c r="BW36" s="10" t="s">
        <v>157</v>
      </c>
      <c r="BX36" s="10"/>
      <c r="BY36" s="10" t="s">
        <v>520</v>
      </c>
      <c r="BZ36" s="10" t="s">
        <v>159</v>
      </c>
      <c r="CA36" s="10" t="s">
        <v>160</v>
      </c>
      <c r="CB36" s="10"/>
      <c r="CC36" s="10" t="s">
        <v>479</v>
      </c>
      <c r="CD36" s="2" t="s">
        <v>174</v>
      </c>
      <c r="CE36" s="2" t="s">
        <v>161</v>
      </c>
      <c r="CF36" s="10">
        <v>0</v>
      </c>
      <c r="CG36" s="10" t="s">
        <v>414</v>
      </c>
      <c r="CH36" s="10" t="s">
        <v>163</v>
      </c>
      <c r="CI36" s="10">
        <v>416817.23809523811</v>
      </c>
      <c r="CJ36" s="10">
        <v>429745.8015873016</v>
      </c>
      <c r="CK36" s="12">
        <v>101282.76190476189</v>
      </c>
      <c r="CL36" s="12">
        <v>88354.198412698403</v>
      </c>
      <c r="CM36" s="13">
        <v>0.2429908186321697</v>
      </c>
      <c r="CN36" s="13">
        <v>0.20559642022412988</v>
      </c>
      <c r="CO36" s="10">
        <v>126</v>
      </c>
      <c r="CP36" s="10">
        <v>21</v>
      </c>
      <c r="CQ36" s="10"/>
      <c r="CR36" s="10"/>
      <c r="CS36" s="10" t="s">
        <v>521</v>
      </c>
      <c r="CT36" s="10">
        <v>461204.85714285716</v>
      </c>
      <c r="CU36" s="13">
        <v>0.12336197673546985</v>
      </c>
      <c r="CV36" s="10" t="s">
        <v>287</v>
      </c>
      <c r="CW36" s="11">
        <v>0</v>
      </c>
      <c r="CX36" s="8">
        <v>479160</v>
      </c>
      <c r="CY36" s="8">
        <v>38940</v>
      </c>
      <c r="CZ36" s="2" t="s">
        <v>598</v>
      </c>
    </row>
    <row r="37" spans="1:104" hidden="1" x14ac:dyDescent="0.35">
      <c r="A37" s="2" t="s">
        <v>522</v>
      </c>
      <c r="B37" s="2" t="s">
        <v>523</v>
      </c>
      <c r="C37" s="2" t="s">
        <v>524</v>
      </c>
      <c r="D37" s="2" t="s">
        <v>525</v>
      </c>
      <c r="E37" s="2" t="s">
        <v>141</v>
      </c>
      <c r="F37" s="2" t="s">
        <v>142</v>
      </c>
      <c r="G37" s="2"/>
      <c r="H37" s="2" t="s">
        <v>526</v>
      </c>
      <c r="I37" s="2" t="s">
        <v>527</v>
      </c>
      <c r="J37" s="2" t="s">
        <v>252</v>
      </c>
      <c r="K37" s="2" t="s">
        <v>252</v>
      </c>
      <c r="L37" s="2" t="s">
        <v>516</v>
      </c>
      <c r="M37" s="2" t="s">
        <v>528</v>
      </c>
      <c r="N37" s="2" t="s">
        <v>147</v>
      </c>
      <c r="O37" s="2" t="s">
        <v>174</v>
      </c>
      <c r="P37" s="2" t="s">
        <v>529</v>
      </c>
      <c r="Q37" s="2" t="s">
        <v>528</v>
      </c>
      <c r="R37" s="2" t="s">
        <v>151</v>
      </c>
      <c r="S37" s="4">
        <v>45435</v>
      </c>
      <c r="T37" s="4">
        <v>45413</v>
      </c>
      <c r="U37" s="2" t="s">
        <v>152</v>
      </c>
      <c r="V37" s="17">
        <v>472010</v>
      </c>
      <c r="W37" s="7">
        <v>39334</v>
      </c>
      <c r="X37" s="7">
        <v>36438</v>
      </c>
      <c r="Y37" s="7">
        <v>0</v>
      </c>
      <c r="Z37" s="2" t="s">
        <v>530</v>
      </c>
      <c r="AA37" s="2" t="s">
        <v>531</v>
      </c>
      <c r="AB37" s="7">
        <v>1950</v>
      </c>
      <c r="AC37" s="7">
        <v>0</v>
      </c>
      <c r="AD37" s="7">
        <v>0</v>
      </c>
      <c r="AE37" s="7">
        <v>946</v>
      </c>
      <c r="AF37" s="7">
        <v>19667</v>
      </c>
      <c r="AG37" s="7">
        <v>7867</v>
      </c>
      <c r="AH37" s="7">
        <v>1000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1250</v>
      </c>
      <c r="AQ37" s="7">
        <v>0</v>
      </c>
      <c r="AR37" s="7">
        <v>1400</v>
      </c>
      <c r="AS37" s="7">
        <v>4910</v>
      </c>
      <c r="AT37" s="7">
        <v>344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1800</v>
      </c>
      <c r="BK37" s="7">
        <v>0</v>
      </c>
      <c r="BL37" s="7">
        <v>0</v>
      </c>
      <c r="BM37" s="7">
        <v>0</v>
      </c>
      <c r="BN37" s="7">
        <v>0</v>
      </c>
      <c r="BO37" s="7">
        <v>344</v>
      </c>
      <c r="BP37" s="7">
        <v>2896</v>
      </c>
      <c r="BQ37" s="7">
        <v>1800</v>
      </c>
      <c r="BR37" s="7">
        <v>0</v>
      </c>
      <c r="BS37" s="2" t="s">
        <v>155</v>
      </c>
      <c r="BT37" s="7">
        <v>36094</v>
      </c>
      <c r="BU37" s="2"/>
      <c r="BV37" s="2" t="s">
        <v>532</v>
      </c>
      <c r="BW37" s="2" t="s">
        <v>157</v>
      </c>
      <c r="BX37" s="2"/>
      <c r="BY37" s="2" t="s">
        <v>533</v>
      </c>
      <c r="BZ37" s="2" t="s">
        <v>159</v>
      </c>
      <c r="CA37" s="2" t="s">
        <v>160</v>
      </c>
      <c r="CB37" s="2"/>
      <c r="CC37" s="2" t="s">
        <v>337</v>
      </c>
      <c r="CD37" s="2" t="s">
        <v>174</v>
      </c>
      <c r="CE37" s="2">
        <v>0</v>
      </c>
      <c r="CF37" s="2" t="s">
        <v>534</v>
      </c>
      <c r="CG37" s="2" t="s">
        <v>530</v>
      </c>
      <c r="CH37" s="2" t="s">
        <v>163</v>
      </c>
      <c r="CI37" s="2">
        <v>368693.9411764706</v>
      </c>
      <c r="CJ37" s="2">
        <v>358005.04663212434</v>
      </c>
      <c r="CK37" s="8">
        <v>103316.0588235294</v>
      </c>
      <c r="CL37" s="8">
        <v>114004.95336787566</v>
      </c>
      <c r="CM37" s="9">
        <v>0.28022174298242264</v>
      </c>
      <c r="CN37" s="9">
        <v>0.31844510137596987</v>
      </c>
      <c r="CO37" s="2">
        <v>193</v>
      </c>
      <c r="CP37" s="2">
        <v>17</v>
      </c>
      <c r="CQ37" s="2"/>
      <c r="CR37" s="2"/>
      <c r="CS37" s="2" t="s">
        <v>535</v>
      </c>
      <c r="CT37" s="2"/>
      <c r="CU37" s="2"/>
      <c r="CV37" s="2"/>
      <c r="CW37" s="7">
        <v>2</v>
      </c>
      <c r="CX37" s="8">
        <v>450000</v>
      </c>
      <c r="CY37" s="8">
        <v>22010</v>
      </c>
    </row>
    <row r="38" spans="1:104" hidden="1" x14ac:dyDescent="0.35">
      <c r="A38" s="2" t="s">
        <v>536</v>
      </c>
      <c r="B38" s="2" t="s">
        <v>537</v>
      </c>
      <c r="C38" s="2" t="s">
        <v>538</v>
      </c>
      <c r="D38" s="2" t="s">
        <v>539</v>
      </c>
      <c r="E38" s="2" t="s">
        <v>141</v>
      </c>
      <c r="F38" s="2" t="s">
        <v>142</v>
      </c>
      <c r="G38" s="2"/>
      <c r="H38" s="2" t="s">
        <v>540</v>
      </c>
      <c r="I38" s="2" t="s">
        <v>541</v>
      </c>
      <c r="J38" s="2" t="s">
        <v>171</v>
      </c>
      <c r="K38" s="2" t="s">
        <v>171</v>
      </c>
      <c r="L38" s="2" t="s">
        <v>542</v>
      </c>
      <c r="M38" s="2" t="s">
        <v>528</v>
      </c>
      <c r="N38" s="2" t="s">
        <v>147</v>
      </c>
      <c r="O38" s="2" t="s">
        <v>174</v>
      </c>
      <c r="P38" s="2" t="s">
        <v>543</v>
      </c>
      <c r="Q38" s="2" t="s">
        <v>528</v>
      </c>
      <c r="R38" s="2" t="s">
        <v>151</v>
      </c>
      <c r="S38" s="4">
        <v>45491</v>
      </c>
      <c r="T38" s="4">
        <v>45474</v>
      </c>
      <c r="U38" s="2" t="s">
        <v>152</v>
      </c>
      <c r="V38" s="17">
        <v>437400</v>
      </c>
      <c r="W38" s="7">
        <v>36450</v>
      </c>
      <c r="X38" s="7">
        <v>33623</v>
      </c>
      <c r="Y38" s="7">
        <v>0</v>
      </c>
      <c r="Z38" s="2" t="s">
        <v>544</v>
      </c>
      <c r="AA38" s="2" t="s">
        <v>545</v>
      </c>
      <c r="AB38" s="7">
        <v>1950</v>
      </c>
      <c r="AC38" s="7">
        <v>0</v>
      </c>
      <c r="AD38" s="7">
        <v>0</v>
      </c>
      <c r="AE38" s="7">
        <v>877</v>
      </c>
      <c r="AF38" s="7">
        <v>18225</v>
      </c>
      <c r="AG38" s="7">
        <v>7290</v>
      </c>
      <c r="AH38" s="7">
        <v>1000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1250</v>
      </c>
      <c r="AQ38" s="7">
        <v>0</v>
      </c>
      <c r="AR38" s="7">
        <v>1400</v>
      </c>
      <c r="AS38" s="7">
        <v>4174</v>
      </c>
      <c r="AT38" s="7">
        <v>284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1800</v>
      </c>
      <c r="BK38" s="7">
        <v>0</v>
      </c>
      <c r="BL38" s="7">
        <v>0</v>
      </c>
      <c r="BM38" s="7">
        <v>0</v>
      </c>
      <c r="BN38" s="7">
        <v>0</v>
      </c>
      <c r="BO38" s="7">
        <v>284</v>
      </c>
      <c r="BP38" s="7">
        <v>2827</v>
      </c>
      <c r="BQ38" s="7">
        <v>1800</v>
      </c>
      <c r="BR38" s="7">
        <v>0</v>
      </c>
      <c r="BS38" s="2" t="s">
        <v>155</v>
      </c>
      <c r="BT38" s="7">
        <v>33339</v>
      </c>
      <c r="BU38" s="2"/>
      <c r="BV38" s="2" t="s">
        <v>546</v>
      </c>
      <c r="BW38" s="2" t="s">
        <v>157</v>
      </c>
      <c r="BX38" s="2"/>
      <c r="BY38" s="2" t="s">
        <v>547</v>
      </c>
      <c r="BZ38" s="2" t="s">
        <v>159</v>
      </c>
      <c r="CA38" s="2" t="s">
        <v>160</v>
      </c>
      <c r="CB38" s="2"/>
      <c r="CC38" s="2" t="s">
        <v>194</v>
      </c>
      <c r="CD38" s="2" t="s">
        <v>174</v>
      </c>
      <c r="CE38" s="2">
        <v>0</v>
      </c>
      <c r="CF38" s="2" t="s">
        <v>548</v>
      </c>
      <c r="CG38" s="2" t="s">
        <v>544</v>
      </c>
      <c r="CH38" s="2" t="s">
        <v>163</v>
      </c>
      <c r="CI38" s="2">
        <v>368693.9411764706</v>
      </c>
      <c r="CJ38" s="2">
        <v>358005.04663212434</v>
      </c>
      <c r="CK38" s="8">
        <v>68706.058823529398</v>
      </c>
      <c r="CL38" s="8">
        <v>79394.953367875656</v>
      </c>
      <c r="CM38" s="9">
        <v>0.18634984508911182</v>
      </c>
      <c r="CN38" s="9">
        <v>0.22177048651903397</v>
      </c>
      <c r="CO38" s="2">
        <v>193</v>
      </c>
      <c r="CP38" s="2">
        <v>17</v>
      </c>
      <c r="CQ38" s="2"/>
      <c r="CR38" s="2"/>
      <c r="CS38" s="2" t="s">
        <v>549</v>
      </c>
      <c r="CT38" s="2"/>
      <c r="CU38" s="2"/>
      <c r="CV38" s="2"/>
      <c r="CW38" s="7">
        <v>2</v>
      </c>
      <c r="CX38" s="8">
        <v>399300.00000000012</v>
      </c>
      <c r="CY38" s="8">
        <v>38099.999999999884</v>
      </c>
    </row>
    <row r="39" spans="1:104" hidden="1" x14ac:dyDescent="0.35">
      <c r="A39" s="2" t="s">
        <v>550</v>
      </c>
      <c r="B39" s="2" t="s">
        <v>551</v>
      </c>
      <c r="C39" s="2" t="s">
        <v>552</v>
      </c>
      <c r="D39" s="2" t="s">
        <v>553</v>
      </c>
      <c r="E39" s="2" t="s">
        <v>141</v>
      </c>
      <c r="F39" s="2" t="s">
        <v>142</v>
      </c>
      <c r="G39" s="2"/>
      <c r="H39" s="2" t="s">
        <v>554</v>
      </c>
      <c r="I39" s="2" t="s">
        <v>555</v>
      </c>
      <c r="J39" s="2" t="s">
        <v>300</v>
      </c>
      <c r="K39" s="2" t="s">
        <v>300</v>
      </c>
      <c r="L39" s="2" t="s">
        <v>396</v>
      </c>
      <c r="M39" s="2" t="s">
        <v>528</v>
      </c>
      <c r="N39" s="2" t="s">
        <v>147</v>
      </c>
      <c r="O39" s="2" t="s">
        <v>174</v>
      </c>
      <c r="P39" s="2" t="s">
        <v>543</v>
      </c>
      <c r="Q39" s="2" t="s">
        <v>528</v>
      </c>
      <c r="R39" s="2" t="s">
        <v>151</v>
      </c>
      <c r="S39" s="4">
        <v>45449</v>
      </c>
      <c r="T39" s="4">
        <v>45444</v>
      </c>
      <c r="U39" s="2" t="s">
        <v>152</v>
      </c>
      <c r="V39" s="8">
        <v>415005</v>
      </c>
      <c r="W39" s="7">
        <v>34584</v>
      </c>
      <c r="X39" s="7">
        <v>31802</v>
      </c>
      <c r="Y39" s="7">
        <v>0</v>
      </c>
      <c r="Z39" s="2" t="s">
        <v>246</v>
      </c>
      <c r="AA39" s="2" t="s">
        <v>556</v>
      </c>
      <c r="AB39" s="7">
        <v>1950</v>
      </c>
      <c r="AC39" s="7">
        <v>0</v>
      </c>
      <c r="AD39" s="7">
        <v>0</v>
      </c>
      <c r="AE39" s="7">
        <v>832</v>
      </c>
      <c r="AF39" s="7">
        <v>17292</v>
      </c>
      <c r="AG39" s="7">
        <v>6917</v>
      </c>
      <c r="AH39" s="7">
        <v>1000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1250</v>
      </c>
      <c r="AQ39" s="7">
        <v>0</v>
      </c>
      <c r="AR39" s="7">
        <v>1400</v>
      </c>
      <c r="AS39" s="7">
        <v>3659</v>
      </c>
      <c r="AT39" s="7">
        <v>284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1800</v>
      </c>
      <c r="BK39" s="7">
        <v>0</v>
      </c>
      <c r="BL39" s="7">
        <v>0</v>
      </c>
      <c r="BM39" s="7">
        <v>0</v>
      </c>
      <c r="BN39" s="7">
        <v>0</v>
      </c>
      <c r="BO39" s="7">
        <v>284</v>
      </c>
      <c r="BP39" s="7">
        <v>2782</v>
      </c>
      <c r="BQ39" s="7">
        <v>1800</v>
      </c>
      <c r="BR39" s="7">
        <v>0</v>
      </c>
      <c r="BS39" s="2" t="s">
        <v>155</v>
      </c>
      <c r="BT39" s="7">
        <v>31518</v>
      </c>
      <c r="BU39" s="2"/>
      <c r="BV39" s="2" t="s">
        <v>557</v>
      </c>
      <c r="BW39" s="2" t="s">
        <v>157</v>
      </c>
      <c r="BX39" s="2"/>
      <c r="BY39" s="2" t="s">
        <v>558</v>
      </c>
      <c r="BZ39" s="2" t="s">
        <v>159</v>
      </c>
      <c r="CA39" s="2" t="s">
        <v>160</v>
      </c>
      <c r="CB39" s="2"/>
      <c r="CC39" s="2" t="s">
        <v>509</v>
      </c>
      <c r="CD39" s="2" t="s">
        <v>174</v>
      </c>
      <c r="CE39" s="2">
        <v>0</v>
      </c>
      <c r="CF39" s="2">
        <v>0</v>
      </c>
      <c r="CG39" s="2" t="s">
        <v>246</v>
      </c>
      <c r="CH39" s="2" t="s">
        <v>163</v>
      </c>
      <c r="CI39" s="2">
        <v>368693.9411764706</v>
      </c>
      <c r="CJ39" s="2">
        <v>358005.04663212434</v>
      </c>
      <c r="CK39" s="8">
        <v>46311.058823529398</v>
      </c>
      <c r="CL39" s="8">
        <v>56999.953367875656</v>
      </c>
      <c r="CM39" s="9">
        <v>0.12560840754734076</v>
      </c>
      <c r="CN39" s="9">
        <v>0.15921550241845378</v>
      </c>
      <c r="CO39" s="2">
        <v>193</v>
      </c>
      <c r="CP39" s="2">
        <v>17</v>
      </c>
      <c r="CQ39" s="2"/>
      <c r="CR39" s="2"/>
      <c r="CS39" s="2" t="s">
        <v>559</v>
      </c>
      <c r="CT39" s="2">
        <v>344083.87387387385</v>
      </c>
      <c r="CU39" s="9">
        <v>0.2061158092870192</v>
      </c>
      <c r="CV39" s="2" t="s">
        <v>287</v>
      </c>
      <c r="CW39" s="7">
        <v>51</v>
      </c>
      <c r="CX39" s="8">
        <v>399300.00000000012</v>
      </c>
      <c r="CY39" s="8">
        <v>15704.999999999884</v>
      </c>
    </row>
    <row r="40" spans="1:104" hidden="1" x14ac:dyDescent="0.35">
      <c r="A40" s="2" t="s">
        <v>560</v>
      </c>
      <c r="B40" s="2" t="s">
        <v>561</v>
      </c>
      <c r="C40" s="2" t="s">
        <v>561</v>
      </c>
      <c r="D40" s="2"/>
      <c r="E40" s="2" t="s">
        <v>141</v>
      </c>
      <c r="F40" s="2" t="s">
        <v>562</v>
      </c>
      <c r="G40" s="2"/>
      <c r="H40" s="2" t="s">
        <v>563</v>
      </c>
      <c r="I40" s="2" t="s">
        <v>564</v>
      </c>
      <c r="J40" s="2" t="s">
        <v>171</v>
      </c>
      <c r="K40" s="2" t="s">
        <v>171</v>
      </c>
      <c r="L40" s="2" t="s">
        <v>475</v>
      </c>
      <c r="M40" s="2" t="s">
        <v>565</v>
      </c>
      <c r="N40" s="2" t="s">
        <v>147</v>
      </c>
      <c r="O40" s="2" t="s">
        <v>174</v>
      </c>
      <c r="P40" s="2" t="s">
        <v>543</v>
      </c>
      <c r="Q40" s="2" t="s">
        <v>565</v>
      </c>
      <c r="R40" s="2" t="s">
        <v>151</v>
      </c>
      <c r="S40" s="4">
        <v>45520</v>
      </c>
      <c r="T40" s="4">
        <v>45505</v>
      </c>
      <c r="U40" s="2" t="s">
        <v>152</v>
      </c>
      <c r="V40" s="8">
        <v>408900</v>
      </c>
      <c r="W40" s="7">
        <v>34075</v>
      </c>
      <c r="X40" s="7">
        <v>31305</v>
      </c>
      <c r="Y40" s="7">
        <v>0</v>
      </c>
      <c r="Z40" s="2" t="s">
        <v>453</v>
      </c>
      <c r="AA40" s="2" t="s">
        <v>566</v>
      </c>
      <c r="AB40" s="7">
        <v>1950</v>
      </c>
      <c r="AC40" s="7">
        <v>0</v>
      </c>
      <c r="AD40" s="7">
        <v>0</v>
      </c>
      <c r="AE40" s="7">
        <v>820</v>
      </c>
      <c r="AF40" s="7">
        <v>17038</v>
      </c>
      <c r="AG40" s="7">
        <v>6815</v>
      </c>
      <c r="AH40" s="7">
        <v>1000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1250</v>
      </c>
      <c r="AQ40" s="7">
        <v>0</v>
      </c>
      <c r="AR40" s="7">
        <v>1400</v>
      </c>
      <c r="AS40" s="7">
        <v>3518</v>
      </c>
      <c r="AT40" s="7">
        <v>284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1800</v>
      </c>
      <c r="BK40" s="7">
        <v>0</v>
      </c>
      <c r="BL40" s="7">
        <v>0</v>
      </c>
      <c r="BM40" s="7">
        <v>0</v>
      </c>
      <c r="BN40" s="7">
        <v>0</v>
      </c>
      <c r="BO40" s="7">
        <v>284</v>
      </c>
      <c r="BP40" s="7">
        <v>2770</v>
      </c>
      <c r="BQ40" s="7">
        <v>1800</v>
      </c>
      <c r="BR40" s="7">
        <v>0</v>
      </c>
      <c r="BS40" s="2" t="s">
        <v>155</v>
      </c>
      <c r="BT40" s="7">
        <v>31021</v>
      </c>
      <c r="BU40" s="2" t="s">
        <v>567</v>
      </c>
      <c r="BV40" s="2" t="s">
        <v>568</v>
      </c>
      <c r="BW40" s="2" t="s">
        <v>157</v>
      </c>
      <c r="BX40" s="2" t="s">
        <v>567</v>
      </c>
      <c r="BY40" s="2" t="s">
        <v>569</v>
      </c>
      <c r="BZ40" s="2" t="s">
        <v>159</v>
      </c>
      <c r="CA40" s="2" t="s">
        <v>160</v>
      </c>
      <c r="CB40" s="2"/>
      <c r="CC40" s="2" t="s">
        <v>509</v>
      </c>
      <c r="CD40" s="2" t="s">
        <v>174</v>
      </c>
      <c r="CE40" s="2">
        <v>0</v>
      </c>
      <c r="CF40" s="2">
        <v>0</v>
      </c>
      <c r="CG40" s="2" t="s">
        <v>453</v>
      </c>
      <c r="CH40" s="2" t="s">
        <v>195</v>
      </c>
      <c r="CI40" s="2">
        <v>375201.22222222225</v>
      </c>
      <c r="CJ40" s="2">
        <v>361739.4117647059</v>
      </c>
      <c r="CK40" s="8">
        <v>33698.777777777752</v>
      </c>
      <c r="CL40" s="8">
        <v>47160.588235294097</v>
      </c>
      <c r="CM40" s="9">
        <v>8.9815213229286373E-2</v>
      </c>
      <c r="CN40" s="9">
        <v>0.13037171704688288</v>
      </c>
      <c r="CO40" s="2">
        <v>34</v>
      </c>
      <c r="CP40" s="2">
        <v>18</v>
      </c>
      <c r="CQ40" s="2"/>
      <c r="CR40" s="2"/>
      <c r="CS40" s="2"/>
      <c r="CT40" s="2"/>
      <c r="CU40" s="2"/>
      <c r="CV40" s="2"/>
      <c r="CW40" s="7">
        <v>29</v>
      </c>
      <c r="CX40" s="8">
        <v>399300.00000000012</v>
      </c>
      <c r="CY40" s="8">
        <v>9599.9999999998836</v>
      </c>
    </row>
    <row r="41" spans="1:104" hidden="1" x14ac:dyDescent="0.35">
      <c r="A41" s="2" t="s">
        <v>570</v>
      </c>
      <c r="B41" s="2" t="s">
        <v>571</v>
      </c>
      <c r="C41" s="2" t="s">
        <v>572</v>
      </c>
      <c r="D41" s="2" t="s">
        <v>573</v>
      </c>
      <c r="E41" s="2" t="s">
        <v>574</v>
      </c>
      <c r="F41" s="2" t="s">
        <v>142</v>
      </c>
      <c r="G41" s="2"/>
      <c r="H41" s="2" t="s">
        <v>575</v>
      </c>
      <c r="I41" s="2" t="s">
        <v>576</v>
      </c>
      <c r="J41" s="2" t="s">
        <v>252</v>
      </c>
      <c r="K41" s="2" t="s">
        <v>252</v>
      </c>
      <c r="L41" s="2" t="s">
        <v>542</v>
      </c>
      <c r="M41" s="2" t="s">
        <v>577</v>
      </c>
      <c r="N41" s="2" t="s">
        <v>147</v>
      </c>
      <c r="O41" s="2" t="s">
        <v>174</v>
      </c>
      <c r="P41" s="2" t="s">
        <v>578</v>
      </c>
      <c r="Q41" s="2" t="s">
        <v>577</v>
      </c>
      <c r="R41" s="2" t="s">
        <v>151</v>
      </c>
      <c r="S41" s="4">
        <v>45414</v>
      </c>
      <c r="T41" s="4">
        <v>45413</v>
      </c>
      <c r="U41" s="2" t="s">
        <v>152</v>
      </c>
      <c r="V41" s="8">
        <v>390384</v>
      </c>
      <c r="W41" s="7">
        <v>32532</v>
      </c>
      <c r="X41" s="7">
        <v>29800</v>
      </c>
      <c r="Y41" s="7">
        <v>0</v>
      </c>
      <c r="Z41" s="2" t="s">
        <v>579</v>
      </c>
      <c r="AA41" s="2" t="s">
        <v>580</v>
      </c>
      <c r="AB41" s="7">
        <v>1950</v>
      </c>
      <c r="AC41" s="7">
        <v>0</v>
      </c>
      <c r="AD41" s="7">
        <v>0</v>
      </c>
      <c r="AE41" s="7">
        <v>782</v>
      </c>
      <c r="AF41" s="7">
        <v>16266</v>
      </c>
      <c r="AG41" s="7">
        <v>6506</v>
      </c>
      <c r="AH41" s="7">
        <v>1000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1250</v>
      </c>
      <c r="AQ41" s="7">
        <v>0</v>
      </c>
      <c r="AR41" s="7">
        <v>1400</v>
      </c>
      <c r="AS41" s="7">
        <v>3094</v>
      </c>
      <c r="AT41" s="7">
        <v>284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1800</v>
      </c>
      <c r="BK41" s="7">
        <v>0</v>
      </c>
      <c r="BL41" s="7">
        <v>0</v>
      </c>
      <c r="BM41" s="7">
        <v>0</v>
      </c>
      <c r="BN41" s="7">
        <v>0</v>
      </c>
      <c r="BO41" s="7">
        <v>284</v>
      </c>
      <c r="BP41" s="7">
        <v>2732</v>
      </c>
      <c r="BQ41" s="7">
        <v>1800</v>
      </c>
      <c r="BR41" s="7">
        <v>0</v>
      </c>
      <c r="BS41" s="2" t="s">
        <v>155</v>
      </c>
      <c r="BT41" s="7">
        <v>29516</v>
      </c>
      <c r="BU41" s="2"/>
      <c r="BV41" s="2" t="s">
        <v>581</v>
      </c>
      <c r="BW41" s="2" t="s">
        <v>157</v>
      </c>
      <c r="BX41" s="2"/>
      <c r="BY41" s="2" t="s">
        <v>582</v>
      </c>
      <c r="BZ41" s="2" t="s">
        <v>159</v>
      </c>
      <c r="CA41" s="2" t="s">
        <v>160</v>
      </c>
      <c r="CB41" s="2"/>
      <c r="CC41" s="2" t="s">
        <v>337</v>
      </c>
      <c r="CD41" s="2" t="s">
        <v>174</v>
      </c>
      <c r="CE41" s="2">
        <v>0</v>
      </c>
      <c r="CF41" s="2" t="s">
        <v>308</v>
      </c>
      <c r="CG41" s="2" t="s">
        <v>579</v>
      </c>
      <c r="CH41" s="2" t="s">
        <v>163</v>
      </c>
      <c r="CI41" s="2">
        <v>305036.34666666668</v>
      </c>
      <c r="CJ41" s="2">
        <v>312888.435</v>
      </c>
      <c r="CK41" s="8">
        <v>85347.653333333321</v>
      </c>
      <c r="CL41" s="8">
        <v>77495.565000000002</v>
      </c>
      <c r="CM41" s="9">
        <v>0.27979502857932642</v>
      </c>
      <c r="CN41" s="9">
        <v>0.24767794629417991</v>
      </c>
      <c r="CO41" s="2">
        <v>200</v>
      </c>
      <c r="CP41" s="2">
        <v>75</v>
      </c>
      <c r="CQ41" s="2"/>
      <c r="CR41" s="2"/>
      <c r="CS41" s="2" t="s">
        <v>583</v>
      </c>
      <c r="CT41" s="2">
        <v>389454.5</v>
      </c>
      <c r="CU41" s="9">
        <v>2.3866716137571913E-3</v>
      </c>
      <c r="CV41" s="2" t="s">
        <v>287</v>
      </c>
      <c r="CW41" s="7">
        <v>0</v>
      </c>
      <c r="CX41" s="8">
        <v>360000</v>
      </c>
      <c r="CY41" s="8">
        <v>30384</v>
      </c>
    </row>
    <row r="42" spans="1:104" hidden="1" x14ac:dyDescent="0.35">
      <c r="A42" s="2" t="s">
        <v>584</v>
      </c>
      <c r="B42" s="2" t="s">
        <v>585</v>
      </c>
      <c r="C42" s="2" t="s">
        <v>586</v>
      </c>
      <c r="D42" s="2" t="s">
        <v>587</v>
      </c>
      <c r="E42" s="2" t="s">
        <v>574</v>
      </c>
      <c r="F42" s="2" t="s">
        <v>142</v>
      </c>
      <c r="G42" s="2"/>
      <c r="H42" s="2" t="s">
        <v>588</v>
      </c>
      <c r="I42" s="2"/>
      <c r="J42" s="2" t="s">
        <v>252</v>
      </c>
      <c r="K42" s="2" t="s">
        <v>252</v>
      </c>
      <c r="L42" s="2" t="s">
        <v>516</v>
      </c>
      <c r="M42" s="2" t="s">
        <v>577</v>
      </c>
      <c r="N42" s="2" t="s">
        <v>147</v>
      </c>
      <c r="O42" s="2" t="s">
        <v>174</v>
      </c>
      <c r="P42" s="2" t="s">
        <v>578</v>
      </c>
      <c r="Q42" s="2" t="s">
        <v>577</v>
      </c>
      <c r="R42" s="2" t="s">
        <v>151</v>
      </c>
      <c r="S42" s="4">
        <v>45383</v>
      </c>
      <c r="T42" s="4">
        <v>45383</v>
      </c>
      <c r="U42" s="2" t="s">
        <v>152</v>
      </c>
      <c r="V42" s="8">
        <v>368930</v>
      </c>
      <c r="W42" s="7">
        <v>30744</v>
      </c>
      <c r="X42" s="7">
        <v>28055</v>
      </c>
      <c r="Y42" s="7">
        <v>0</v>
      </c>
      <c r="Z42" s="2" t="s">
        <v>589</v>
      </c>
      <c r="AA42" s="2" t="s">
        <v>590</v>
      </c>
      <c r="AB42" s="7">
        <v>1950</v>
      </c>
      <c r="AC42" s="7">
        <v>0</v>
      </c>
      <c r="AD42" s="7">
        <v>0</v>
      </c>
      <c r="AE42" s="7">
        <v>739</v>
      </c>
      <c r="AF42" s="7">
        <v>15372</v>
      </c>
      <c r="AG42" s="7">
        <v>6149</v>
      </c>
      <c r="AH42" s="7">
        <v>1000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1250</v>
      </c>
      <c r="AQ42" s="7">
        <v>0</v>
      </c>
      <c r="AR42" s="7">
        <v>1400</v>
      </c>
      <c r="AS42" s="7">
        <v>2540</v>
      </c>
      <c r="AT42" s="7">
        <v>344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1800</v>
      </c>
      <c r="BK42" s="7">
        <v>0</v>
      </c>
      <c r="BL42" s="7">
        <v>0</v>
      </c>
      <c r="BM42" s="7">
        <v>0</v>
      </c>
      <c r="BN42" s="7">
        <v>0</v>
      </c>
      <c r="BO42" s="7">
        <v>344</v>
      </c>
      <c r="BP42" s="7">
        <v>2689</v>
      </c>
      <c r="BQ42" s="7">
        <v>1800</v>
      </c>
      <c r="BR42" s="7">
        <v>0</v>
      </c>
      <c r="BS42" s="2" t="s">
        <v>155</v>
      </c>
      <c r="BT42" s="7">
        <v>27711</v>
      </c>
      <c r="BU42" s="2"/>
      <c r="BV42" s="2" t="s">
        <v>591</v>
      </c>
      <c r="BW42" s="2" t="s">
        <v>157</v>
      </c>
      <c r="BX42" s="2"/>
      <c r="BY42" s="2" t="s">
        <v>592</v>
      </c>
      <c r="BZ42" s="2" t="s">
        <v>159</v>
      </c>
      <c r="CA42" s="2" t="s">
        <v>160</v>
      </c>
      <c r="CB42" s="2"/>
      <c r="CC42" s="2" t="s">
        <v>428</v>
      </c>
      <c r="CD42" s="2" t="s">
        <v>174</v>
      </c>
      <c r="CE42" s="2">
        <v>0</v>
      </c>
      <c r="CF42" s="2" t="s">
        <v>593</v>
      </c>
      <c r="CG42" s="2" t="s">
        <v>589</v>
      </c>
      <c r="CH42" s="2" t="s">
        <v>163</v>
      </c>
      <c r="CI42" s="2">
        <v>305036.34666666668</v>
      </c>
      <c r="CJ42" s="2">
        <v>312888.435</v>
      </c>
      <c r="CK42" s="8">
        <v>63893.653333333321</v>
      </c>
      <c r="CL42" s="8">
        <v>56041.565000000002</v>
      </c>
      <c r="CM42" s="9">
        <v>0.20946242646668636</v>
      </c>
      <c r="CN42" s="9">
        <v>0.17911037523646409</v>
      </c>
      <c r="CO42" s="2">
        <v>200</v>
      </c>
      <c r="CP42" s="2">
        <v>75</v>
      </c>
      <c r="CQ42" s="2"/>
      <c r="CR42" s="2"/>
      <c r="CS42" s="2" t="s">
        <v>594</v>
      </c>
      <c r="CT42" s="2"/>
      <c r="CU42" s="2"/>
      <c r="CV42" s="2" t="s">
        <v>314</v>
      </c>
      <c r="CW42" s="7">
        <v>0</v>
      </c>
      <c r="CX42" s="8">
        <v>360000</v>
      </c>
      <c r="CY42" s="8">
        <v>8930</v>
      </c>
    </row>
    <row r="43" spans="1:104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19">
        <f>SUM(CY3:CY42)</f>
        <v>12642106</v>
      </c>
    </row>
  </sheetData>
  <autoFilter ref="A2:CZ43" xr:uid="{25A2683F-F36E-484F-8D5A-E94940126CC6}">
    <filterColumn colId="82">
      <filters blank="1">
        <filter val="Selecte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7BFC7-CFBA-4201-92A7-E5CF6AA3CD50}">
  <dimension ref="A2:F12"/>
  <sheetViews>
    <sheetView workbookViewId="0"/>
  </sheetViews>
  <sheetFormatPr defaultRowHeight="14.5" x14ac:dyDescent="0.35"/>
  <cols>
    <col min="1" max="1" width="15.453125" bestFit="1" customWidth="1"/>
    <col min="2" max="2" width="6.453125" bestFit="1" customWidth="1"/>
    <col min="3" max="3" width="22.453125" bestFit="1" customWidth="1"/>
    <col min="4" max="4" width="39.90625" bestFit="1" customWidth="1"/>
    <col min="5" max="5" width="41.36328125" bestFit="1" customWidth="1"/>
    <col min="6" max="6" width="21.453125" customWidth="1"/>
  </cols>
  <sheetData>
    <row r="2" spans="1:6" x14ac:dyDescent="0.35">
      <c r="A2" s="3" t="s">
        <v>0</v>
      </c>
      <c r="B2" s="3" t="s">
        <v>4</v>
      </c>
      <c r="C2" s="3" t="s">
        <v>1</v>
      </c>
      <c r="D2" s="3" t="s">
        <v>2</v>
      </c>
      <c r="E2" s="3" t="s">
        <v>27</v>
      </c>
      <c r="F2" s="5" t="s">
        <v>42</v>
      </c>
    </row>
    <row r="3" spans="1:6" ht="43.5" x14ac:dyDescent="0.35">
      <c r="A3" s="1" t="s">
        <v>13</v>
      </c>
      <c r="B3" s="1" t="s">
        <v>5</v>
      </c>
      <c r="C3" s="1" t="s">
        <v>14</v>
      </c>
      <c r="D3" s="1" t="s">
        <v>36</v>
      </c>
      <c r="E3" s="2" t="s">
        <v>29</v>
      </c>
      <c r="F3" s="6" t="s">
        <v>43</v>
      </c>
    </row>
    <row r="4" spans="1:6" x14ac:dyDescent="0.35">
      <c r="A4" s="1" t="s">
        <v>10</v>
      </c>
      <c r="B4" s="1" t="s">
        <v>11</v>
      </c>
      <c r="C4" s="1" t="s">
        <v>12</v>
      </c>
      <c r="D4" s="1" t="s">
        <v>35</v>
      </c>
      <c r="E4" s="2" t="s">
        <v>28</v>
      </c>
      <c r="F4" s="21" t="s">
        <v>44</v>
      </c>
    </row>
    <row r="5" spans="1:6" x14ac:dyDescent="0.35">
      <c r="A5" s="1" t="s">
        <v>15</v>
      </c>
      <c r="B5" s="1" t="s">
        <v>5</v>
      </c>
      <c r="C5" s="1" t="s">
        <v>16</v>
      </c>
      <c r="D5" s="1" t="s">
        <v>37</v>
      </c>
      <c r="E5" s="2" t="s">
        <v>30</v>
      </c>
      <c r="F5" s="21"/>
    </row>
    <row r="6" spans="1:6" x14ac:dyDescent="0.35">
      <c r="A6" s="1" t="s">
        <v>17</v>
      </c>
      <c r="B6" s="1" t="s">
        <v>5</v>
      </c>
      <c r="C6" s="1" t="s">
        <v>18</v>
      </c>
      <c r="D6" s="1" t="s">
        <v>38</v>
      </c>
      <c r="E6" s="2" t="s">
        <v>31</v>
      </c>
      <c r="F6" s="21"/>
    </row>
    <row r="7" spans="1:6" x14ac:dyDescent="0.35">
      <c r="A7" s="1" t="s">
        <v>8</v>
      </c>
      <c r="B7" s="1" t="s">
        <v>5</v>
      </c>
      <c r="C7" s="1" t="s">
        <v>9</v>
      </c>
      <c r="D7" s="1" t="s">
        <v>39</v>
      </c>
      <c r="E7" s="2" t="s">
        <v>32</v>
      </c>
      <c r="F7" s="21"/>
    </row>
    <row r="8" spans="1:6" x14ac:dyDescent="0.35">
      <c r="A8" s="1" t="s">
        <v>19</v>
      </c>
      <c r="B8" s="1" t="s">
        <v>5</v>
      </c>
      <c r="C8" s="1" t="s">
        <v>20</v>
      </c>
      <c r="D8" s="1" t="s">
        <v>40</v>
      </c>
      <c r="E8" s="2" t="s">
        <v>32</v>
      </c>
      <c r="F8" s="21"/>
    </row>
    <row r="9" spans="1:6" x14ac:dyDescent="0.35">
      <c r="A9" s="1" t="s">
        <v>21</v>
      </c>
      <c r="B9" s="1" t="s">
        <v>5</v>
      </c>
      <c r="C9" s="1" t="s">
        <v>22</v>
      </c>
      <c r="D9" s="1" t="s">
        <v>40</v>
      </c>
      <c r="E9" s="2" t="s">
        <v>32</v>
      </c>
      <c r="F9" s="21"/>
    </row>
    <row r="10" spans="1:6" x14ac:dyDescent="0.35">
      <c r="A10" s="1" t="s">
        <v>23</v>
      </c>
      <c r="B10" s="1" t="s">
        <v>5</v>
      </c>
      <c r="C10" s="1" t="s">
        <v>24</v>
      </c>
      <c r="D10" s="1" t="s">
        <v>40</v>
      </c>
      <c r="E10" s="2" t="s">
        <v>33</v>
      </c>
      <c r="F10" s="21"/>
    </row>
    <row r="11" spans="1:6" x14ac:dyDescent="0.35">
      <c r="A11" s="1" t="s">
        <v>25</v>
      </c>
      <c r="B11" s="1" t="s">
        <v>5</v>
      </c>
      <c r="C11" s="1" t="s">
        <v>26</v>
      </c>
      <c r="D11" s="1" t="s">
        <v>41</v>
      </c>
      <c r="E11" s="2" t="s">
        <v>33</v>
      </c>
      <c r="F11" s="21"/>
    </row>
    <row r="12" spans="1:6" x14ac:dyDescent="0.35">
      <c r="A12" s="1" t="s">
        <v>6</v>
      </c>
      <c r="B12" s="1" t="s">
        <v>5</v>
      </c>
      <c r="C12" s="1" t="s">
        <v>7</v>
      </c>
      <c r="D12" s="1" t="s">
        <v>3</v>
      </c>
      <c r="E12" s="2" t="s">
        <v>34</v>
      </c>
      <c r="F12" s="21"/>
    </row>
  </sheetData>
  <mergeCells count="1">
    <mergeCell ref="F4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Excess salary offered for grade</vt:lpstr>
      <vt:lpstr>Offer approval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Nagaraju Pusunuru (IND)</dc:creator>
  <cp:lastModifiedBy>Borra Prasanna (IND)</cp:lastModifiedBy>
  <dcterms:created xsi:type="dcterms:W3CDTF">2024-02-07T15:55:48Z</dcterms:created>
  <dcterms:modified xsi:type="dcterms:W3CDTF">2025-11-25T07:00:02Z</dcterms:modified>
</cp:coreProperties>
</file>