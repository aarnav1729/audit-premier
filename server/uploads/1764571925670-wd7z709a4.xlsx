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23E2FBDD-987C-4298-85C6-EC0666A4F312}" xr6:coauthVersionLast="47" xr6:coauthVersionMax="47" xr10:uidLastSave="{00000000-0000-0000-0000-000000000000}"/>
  <bookViews>
    <workbookView xWindow="390" yWindow="80" windowWidth="19420" windowHeight="10300" firstSheet="1" activeTab="2" xr2:uid="{7ACE031E-584C-44B4-89A6-AA326C13EE7A}"/>
  </bookViews>
  <sheets>
    <sheet name="Sheet1" sheetId="1" state="hidden" r:id="rId1"/>
    <sheet name="Contract budget vs actual" sheetId="3" r:id="rId2"/>
    <sheet name="Approval mails verification" sheetId="6" r:id="rId3"/>
    <sheet name="Org struct vs Budget" sheetId="5" r:id="rId4"/>
    <sheet name="Sheet2" sheetId="2" state="hidden" r:id="rId5"/>
  </sheets>
  <definedNames>
    <definedName name="_xlnm._FilterDatabase" localSheetId="0" hidden="1">Sheet1!$C$4:$H$117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D7" i="2"/>
  <c r="E6" i="2"/>
  <c r="H6" i="2" s="1"/>
  <c r="H5" i="2"/>
  <c r="H14" i="2" s="1"/>
  <c r="G5" i="2"/>
  <c r="G14" i="2" s="1"/>
  <c r="E5" i="2"/>
  <c r="E14" i="2" s="1"/>
  <c r="E20" i="5"/>
  <c r="E19" i="5"/>
  <c r="E18" i="5"/>
  <c r="E17" i="5"/>
  <c r="E16" i="5"/>
  <c r="E15" i="5"/>
  <c r="E14" i="5"/>
  <c r="E13" i="5"/>
  <c r="E12" i="5"/>
  <c r="C12" i="5"/>
  <c r="B11" i="5"/>
  <c r="E11" i="5" s="1"/>
  <c r="E10" i="5"/>
  <c r="E9" i="5"/>
  <c r="E8" i="5"/>
  <c r="E7" i="5"/>
  <c r="E6" i="5"/>
  <c r="E5" i="5"/>
  <c r="E4" i="5"/>
  <c r="H117" i="1"/>
  <c r="G117" i="1"/>
  <c r="F117" i="1"/>
  <c r="E117" i="1"/>
  <c r="E21" i="5" l="1"/>
  <c r="F6" i="2"/>
  <c r="F5" i="2"/>
  <c r="F14" i="2" s="1"/>
</calcChain>
</file>

<file path=xl/sharedStrings.xml><?xml version="1.0" encoding="utf-8"?>
<sst xmlns="http://schemas.openxmlformats.org/spreadsheetml/2006/main" count="380" uniqueCount="156">
  <si>
    <t>Sub branch</t>
  </si>
  <si>
    <t>Department</t>
  </si>
  <si>
    <t>Actual Manpower Count</t>
  </si>
  <si>
    <t>Actual Manpower Cost</t>
  </si>
  <si>
    <t>Budgeted Manpower Count</t>
  </si>
  <si>
    <t>Budgeted Manpower Cost</t>
  </si>
  <si>
    <t>Ahmedabad</t>
  </si>
  <si>
    <t>Channel Sales</t>
  </si>
  <si>
    <t>Ahmednagar</t>
  </si>
  <si>
    <t>Projects</t>
  </si>
  <si>
    <t>Araria</t>
  </si>
  <si>
    <t>Bainsa</t>
  </si>
  <si>
    <t>Banka</t>
  </si>
  <si>
    <t>O&amp;M</t>
  </si>
  <si>
    <t>Service</t>
  </si>
  <si>
    <t>Beed</t>
  </si>
  <si>
    <t>Begusarai</t>
  </si>
  <si>
    <t>Bhagalpur</t>
  </si>
  <si>
    <t>Bhawanipur</t>
  </si>
  <si>
    <t>Bhopal</t>
  </si>
  <si>
    <t>Bidar</t>
  </si>
  <si>
    <t>Bihar</t>
  </si>
  <si>
    <t>CEMCOT</t>
  </si>
  <si>
    <t>City Office</t>
  </si>
  <si>
    <t>Administration</t>
  </si>
  <si>
    <t>Design</t>
  </si>
  <si>
    <t>Finance &amp; Accounts</t>
  </si>
  <si>
    <t>Government Relations</t>
  </si>
  <si>
    <t>Logistics</t>
  </si>
  <si>
    <t>Management</t>
  </si>
  <si>
    <t>Procurement</t>
  </si>
  <si>
    <t>Corporate Office</t>
  </si>
  <si>
    <t>Business Development</t>
  </si>
  <si>
    <t>Company Secretary</t>
  </si>
  <si>
    <t>Human Resources</t>
  </si>
  <si>
    <t>Insurance</t>
  </si>
  <si>
    <t>International Sales</t>
  </si>
  <si>
    <t>IT</t>
  </si>
  <si>
    <t>Legal</t>
  </si>
  <si>
    <t>MDs Office</t>
  </si>
  <si>
    <t>Sales &amp; Operations</t>
  </si>
  <si>
    <t>Taxation</t>
  </si>
  <si>
    <t>Technical</t>
  </si>
  <si>
    <t>Tenders</t>
  </si>
  <si>
    <t>Deoghar</t>
  </si>
  <si>
    <t>Deoghars</t>
  </si>
  <si>
    <t>Fabcity</t>
  </si>
  <si>
    <t>Automation - Cell Line</t>
  </si>
  <si>
    <t>Civil</t>
  </si>
  <si>
    <t>ESG</t>
  </si>
  <si>
    <t>Facility</t>
  </si>
  <si>
    <t>Maintenance</t>
  </si>
  <si>
    <t>PPC</t>
  </si>
  <si>
    <t>Process</t>
  </si>
  <si>
    <t>Production</t>
  </si>
  <si>
    <t>Quality</t>
  </si>
  <si>
    <t>Safety</t>
  </si>
  <si>
    <t>Stores</t>
  </si>
  <si>
    <t>Utility</t>
  </si>
  <si>
    <t>Factory-Annaram</t>
  </si>
  <si>
    <t>Goa</t>
  </si>
  <si>
    <t>Greater Noida BPCL</t>
  </si>
  <si>
    <t>Hajipur</t>
  </si>
  <si>
    <t>Hisar - Haryana</t>
  </si>
  <si>
    <t>Hubli</t>
  </si>
  <si>
    <t>Jamnagar</t>
  </si>
  <si>
    <t>Kalinga</t>
  </si>
  <si>
    <t>Kanva</t>
  </si>
  <si>
    <t>Karnataka</t>
  </si>
  <si>
    <t>Kishanganj</t>
  </si>
  <si>
    <t>Lucknow</t>
  </si>
  <si>
    <t>Madhya Pradesh</t>
  </si>
  <si>
    <t>Mandsaur</t>
  </si>
  <si>
    <t>Mumbai</t>
  </si>
  <si>
    <t>Munger</t>
  </si>
  <si>
    <t>Nagrota</t>
  </si>
  <si>
    <t>New Delhi</t>
  </si>
  <si>
    <t>Nirna</t>
  </si>
  <si>
    <t>NLC</t>
  </si>
  <si>
    <t>Patna</t>
  </si>
  <si>
    <t>Purnia</t>
  </si>
  <si>
    <t>Rupauli</t>
  </si>
  <si>
    <t>Shigli</t>
  </si>
  <si>
    <t>Sonbhadra</t>
  </si>
  <si>
    <t>Thiruvananthapuram</t>
  </si>
  <si>
    <t>Vikas Nagar</t>
  </si>
  <si>
    <t>Yavatmal</t>
  </si>
  <si>
    <t>Analytics</t>
  </si>
  <si>
    <t>International Projects</t>
  </si>
  <si>
    <t>Marketing</t>
  </si>
  <si>
    <t>Benin</t>
  </si>
  <si>
    <t>Grand Total</t>
  </si>
  <si>
    <t>Finance &amp; accounts</t>
  </si>
  <si>
    <t>Total as per Organogram</t>
  </si>
  <si>
    <t>TBH</t>
  </si>
  <si>
    <t>Total as per Budget</t>
  </si>
  <si>
    <t>Present positions filled in Organogram</t>
  </si>
  <si>
    <t>Systems &amp; IT Infrastructure</t>
  </si>
  <si>
    <t>Company Secretary and legal</t>
  </si>
  <si>
    <t>Sales and international sales, BD &amp; Marketing</t>
  </si>
  <si>
    <t xml:space="preserve">Projects </t>
  </si>
  <si>
    <t>Departments not inlcuded in Organogram</t>
  </si>
  <si>
    <t>Net difference between budget and Organogram</t>
  </si>
  <si>
    <t>Sl.No</t>
  </si>
  <si>
    <t>A</t>
  </si>
  <si>
    <t>B</t>
  </si>
  <si>
    <t>C</t>
  </si>
  <si>
    <t>D=B-C</t>
  </si>
  <si>
    <t>E=A-B</t>
  </si>
  <si>
    <t>Total</t>
  </si>
  <si>
    <t>Chairman Office</t>
  </si>
  <si>
    <t>Actual</t>
  </si>
  <si>
    <t>Budget</t>
  </si>
  <si>
    <t>Variance</t>
  </si>
  <si>
    <t>Count as per Org structure</t>
  </si>
  <si>
    <t>Count as per Manpower budget</t>
  </si>
  <si>
    <t>Difference</t>
  </si>
  <si>
    <t>Compliance and legal</t>
  </si>
  <si>
    <t>Departments with no Org structure</t>
  </si>
  <si>
    <t>HR - Corp</t>
  </si>
  <si>
    <t>HR-factory</t>
  </si>
  <si>
    <t>Finance-Treasury</t>
  </si>
  <si>
    <t>Finance - Accounts</t>
  </si>
  <si>
    <t>Channel sales</t>
  </si>
  <si>
    <t>Sales &amp; operations, BD</t>
  </si>
  <si>
    <t>Additional positions(10-06-2024)</t>
  </si>
  <si>
    <t>PEGEPL</t>
  </si>
  <si>
    <t>Particular</t>
  </si>
  <si>
    <t>Mail Forwarded to VP Hr for approval</t>
  </si>
  <si>
    <t>Auditor remarks</t>
  </si>
  <si>
    <t>Ravi (Technical)</t>
  </si>
  <si>
    <t>Required manpower</t>
  </si>
  <si>
    <t>Since cost approximately would exceed Rs.50,000(Considering atleast 15,000 permonth) CHRO/CFO approval is requied as per DOA</t>
  </si>
  <si>
    <t>Post EL manpower</t>
  </si>
  <si>
    <t>Transferred from production to quality</t>
  </si>
  <si>
    <t>Manpower for cell packing for 2 days</t>
  </si>
  <si>
    <t>Nil</t>
  </si>
  <si>
    <t>Since the requirement for 2 days approximately cost does not exceed Rs.50,000</t>
  </si>
  <si>
    <t>IT requirement</t>
  </si>
  <si>
    <t>Approved by Dnrao(Sr.VP Tech Operations)</t>
  </si>
  <si>
    <t>Since cost approximately would exceed Rs.1,00,000(Considering atleast 15,000 permonth) MD approval is required as per DOA</t>
  </si>
  <si>
    <t>Off roll safety technician</t>
  </si>
  <si>
    <t>Solar roof top cleaning</t>
  </si>
  <si>
    <t>Approved by Chandra Mauli (Sr.VP)</t>
  </si>
  <si>
    <t>Off role riggers</t>
  </si>
  <si>
    <t>Carpenter and helpers</t>
  </si>
  <si>
    <t>Approved by CMD</t>
  </si>
  <si>
    <t>Radiant warehouse space</t>
  </si>
  <si>
    <t>Remarks(Position when approval was accorded is indicated)</t>
  </si>
  <si>
    <t>Approval requested from Dnrao</t>
  </si>
  <si>
    <t>LR pending</t>
  </si>
  <si>
    <t>Date of approval</t>
  </si>
  <si>
    <t>Approved by Chandra Mauli (CPO)</t>
  </si>
  <si>
    <t>Kothur transfer and additional manpower</t>
  </si>
  <si>
    <t>Final approval mail is not provided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</si>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</sst>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3C3D3E"/>
      <name val="Arial"/>
      <family val="2"/>
    </font>
    <font>
      <b/>
      <sz val="11"/>
      <name val="Arial"/>
      <family val="2"/>
    </font>
    <font>
      <b/>
      <sz val="11"/>
      <color rgb="FF3C3D3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1" fillId="0" borderId="0" xfId="0" applyFont="1"/>
    <xf numFmtId="0" fontId="2" fillId="0" borderId="0" xfId="0" applyFont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right" wrapText="1" readingOrder="1"/>
    </xf>
    <xf numFmtId="0" fontId="5" fillId="0" borderId="1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right" wrapText="1" readingOrder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D860-360A-4CAB-BD68-4C7385611BB4}">
  <sheetPr filterMode="1"/>
  <dimension ref="C4:H117"/>
  <sheetViews>
    <sheetView topLeftCell="A4" workbookViewId="0">
      <selection activeCell="D4" sqref="D4"/>
    </sheetView>
  </sheetViews>
  <sheetFormatPr defaultRowHeight="14.5" x14ac:dyDescent="0.35"/>
  <cols>
    <col min="3" max="3" width="20" bestFit="1" customWidth="1"/>
    <col min="4" max="4" width="21.1796875" bestFit="1" customWidth="1"/>
    <col min="5" max="5" width="22.7265625" bestFit="1" customWidth="1"/>
    <col min="6" max="6" width="21.453125" bestFit="1" customWidth="1"/>
    <col min="7" max="7" width="25.81640625" bestFit="1" customWidth="1"/>
    <col min="8" max="8" width="24.453125" bestFit="1" customWidth="1"/>
  </cols>
  <sheetData>
    <row r="4" spans="3:8" x14ac:dyDescent="0.3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pans="3:8" x14ac:dyDescent="0.35">
      <c r="C5" s="2" t="s">
        <v>23</v>
      </c>
      <c r="D5" s="2" t="s">
        <v>24</v>
      </c>
      <c r="E5" s="2">
        <v>12</v>
      </c>
      <c r="F5" s="2">
        <v>3441816</v>
      </c>
      <c r="G5" s="2">
        <v>12</v>
      </c>
      <c r="H5" s="2">
        <v>3441816</v>
      </c>
    </row>
    <row r="6" spans="3:8" x14ac:dyDescent="0.35">
      <c r="C6" s="2" t="s">
        <v>31</v>
      </c>
      <c r="D6" s="2" t="s">
        <v>24</v>
      </c>
      <c r="E6" s="2">
        <v>2</v>
      </c>
      <c r="F6" s="2">
        <v>1408977</v>
      </c>
      <c r="G6" s="2">
        <v>2</v>
      </c>
      <c r="H6" s="2">
        <v>1408977</v>
      </c>
    </row>
    <row r="7" spans="3:8" x14ac:dyDescent="0.35">
      <c r="C7" s="2" t="s">
        <v>46</v>
      </c>
      <c r="D7" s="2" t="s">
        <v>24</v>
      </c>
      <c r="E7" s="2">
        <v>13</v>
      </c>
      <c r="F7" s="2">
        <v>8989368</v>
      </c>
      <c r="G7" s="2">
        <v>14</v>
      </c>
      <c r="H7" s="2">
        <v>9489368</v>
      </c>
    </row>
    <row r="8" spans="3:8" x14ac:dyDescent="0.35">
      <c r="C8" s="2" t="s">
        <v>59</v>
      </c>
      <c r="D8" s="2" t="s">
        <v>24</v>
      </c>
      <c r="E8" s="2">
        <v>14</v>
      </c>
      <c r="F8" s="2">
        <v>3317004</v>
      </c>
      <c r="G8" s="2">
        <v>14</v>
      </c>
      <c r="H8" s="2">
        <v>3317004</v>
      </c>
    </row>
    <row r="9" spans="3:8" x14ac:dyDescent="0.35">
      <c r="C9" s="2" t="s">
        <v>31</v>
      </c>
      <c r="D9" s="2" t="s">
        <v>87</v>
      </c>
      <c r="E9" s="2">
        <v>0</v>
      </c>
      <c r="F9" s="2">
        <v>0</v>
      </c>
      <c r="G9" s="2">
        <v>6</v>
      </c>
      <c r="H9" s="2">
        <v>6800000</v>
      </c>
    </row>
    <row r="10" spans="3:8" x14ac:dyDescent="0.35">
      <c r="C10" s="2" t="s">
        <v>46</v>
      </c>
      <c r="D10" s="2" t="s">
        <v>47</v>
      </c>
      <c r="E10" s="2">
        <v>2</v>
      </c>
      <c r="F10" s="2">
        <v>2226386</v>
      </c>
      <c r="G10" s="2">
        <v>10</v>
      </c>
      <c r="H10" s="2">
        <v>8626386</v>
      </c>
    </row>
    <row r="11" spans="3:8" hidden="1" x14ac:dyDescent="0.35">
      <c r="C11" s="2" t="s">
        <v>31</v>
      </c>
      <c r="D11" s="5" t="s">
        <v>32</v>
      </c>
      <c r="E11" s="2">
        <v>4</v>
      </c>
      <c r="F11" s="2">
        <v>4741562</v>
      </c>
      <c r="G11" s="2">
        <v>4</v>
      </c>
      <c r="H11" s="2">
        <v>4741562</v>
      </c>
    </row>
    <row r="12" spans="3:8" hidden="1" x14ac:dyDescent="0.35">
      <c r="C12" s="2" t="s">
        <v>73</v>
      </c>
      <c r="D12" s="5" t="s">
        <v>32</v>
      </c>
      <c r="E12" s="2">
        <v>1</v>
      </c>
      <c r="F12" s="2">
        <v>1725445</v>
      </c>
      <c r="G12" s="2">
        <v>1</v>
      </c>
      <c r="H12" s="2">
        <v>1725445</v>
      </c>
    </row>
    <row r="13" spans="3:8" hidden="1" x14ac:dyDescent="0.35">
      <c r="C13" s="2" t="s">
        <v>6</v>
      </c>
      <c r="D13" s="5" t="s">
        <v>7</v>
      </c>
      <c r="E13" s="2">
        <v>1</v>
      </c>
      <c r="F13" s="2">
        <v>1275000</v>
      </c>
      <c r="G13" s="2">
        <v>1</v>
      </c>
      <c r="H13" s="2">
        <v>1275000</v>
      </c>
    </row>
    <row r="14" spans="3:8" hidden="1" x14ac:dyDescent="0.35">
      <c r="C14" s="2" t="s">
        <v>23</v>
      </c>
      <c r="D14" s="5" t="s">
        <v>7</v>
      </c>
      <c r="E14" s="2">
        <v>5</v>
      </c>
      <c r="F14" s="2">
        <v>9696097</v>
      </c>
      <c r="G14" s="2">
        <v>6</v>
      </c>
      <c r="H14" s="2">
        <v>10296097</v>
      </c>
    </row>
    <row r="15" spans="3:8" hidden="1" x14ac:dyDescent="0.35">
      <c r="C15" s="2" t="s">
        <v>73</v>
      </c>
      <c r="D15" s="5" t="s">
        <v>7</v>
      </c>
      <c r="E15" s="2">
        <v>2</v>
      </c>
      <c r="F15" s="2">
        <v>2740000</v>
      </c>
      <c r="G15" s="2">
        <v>2</v>
      </c>
      <c r="H15" s="2">
        <v>2740000</v>
      </c>
    </row>
    <row r="16" spans="3:8" hidden="1" x14ac:dyDescent="0.35">
      <c r="C16" s="2" t="s">
        <v>84</v>
      </c>
      <c r="D16" s="5" t="s">
        <v>7</v>
      </c>
      <c r="E16" s="2">
        <v>1</v>
      </c>
      <c r="F16" s="2">
        <v>717761</v>
      </c>
      <c r="G16" s="2">
        <v>1</v>
      </c>
      <c r="H16" s="2">
        <v>717761</v>
      </c>
    </row>
    <row r="17" spans="3:8" hidden="1" x14ac:dyDescent="0.35">
      <c r="C17" s="2" t="s">
        <v>76</v>
      </c>
      <c r="D17" s="5" t="s">
        <v>7</v>
      </c>
      <c r="E17" s="2">
        <v>0</v>
      </c>
      <c r="F17" s="2">
        <v>0</v>
      </c>
      <c r="G17" s="2">
        <v>2</v>
      </c>
      <c r="H17" s="2">
        <v>3600000</v>
      </c>
    </row>
    <row r="18" spans="3:8" x14ac:dyDescent="0.35">
      <c r="C18" s="2" t="s">
        <v>46</v>
      </c>
      <c r="D18" s="2" t="s">
        <v>48</v>
      </c>
      <c r="E18" s="2">
        <v>4</v>
      </c>
      <c r="F18" s="2">
        <v>2094544</v>
      </c>
      <c r="G18" s="2">
        <v>4</v>
      </c>
      <c r="H18" s="2">
        <v>2094544</v>
      </c>
    </row>
    <row r="19" spans="3:8" hidden="1" x14ac:dyDescent="0.35">
      <c r="C19" s="2" t="s">
        <v>31</v>
      </c>
      <c r="D19" s="5" t="s">
        <v>33</v>
      </c>
      <c r="E19" s="2">
        <v>4</v>
      </c>
      <c r="F19" s="2">
        <v>5278646</v>
      </c>
      <c r="G19" s="2">
        <v>5</v>
      </c>
      <c r="H19" s="2">
        <v>10278646</v>
      </c>
    </row>
    <row r="20" spans="3:8" x14ac:dyDescent="0.35">
      <c r="C20" s="2" t="s">
        <v>23</v>
      </c>
      <c r="D20" s="2" t="s">
        <v>25</v>
      </c>
      <c r="E20" s="2">
        <v>1</v>
      </c>
      <c r="F20" s="2">
        <v>900000</v>
      </c>
      <c r="G20" s="2">
        <v>1</v>
      </c>
      <c r="H20" s="2">
        <v>900000</v>
      </c>
    </row>
    <row r="21" spans="3:8" x14ac:dyDescent="0.35">
      <c r="C21" s="2" t="s">
        <v>46</v>
      </c>
      <c r="D21" s="2" t="s">
        <v>49</v>
      </c>
      <c r="E21" s="2">
        <v>1</v>
      </c>
      <c r="F21" s="2">
        <v>3399213</v>
      </c>
      <c r="G21" s="2">
        <v>1</v>
      </c>
      <c r="H21" s="2">
        <v>3399213</v>
      </c>
    </row>
    <row r="22" spans="3:8" x14ac:dyDescent="0.35">
      <c r="C22" s="2" t="s">
        <v>46</v>
      </c>
      <c r="D22" s="2" t="s">
        <v>50</v>
      </c>
      <c r="E22" s="2">
        <v>35</v>
      </c>
      <c r="F22" s="2">
        <v>16062038</v>
      </c>
      <c r="G22" s="2">
        <v>41</v>
      </c>
      <c r="H22" s="2">
        <v>16362038</v>
      </c>
    </row>
    <row r="23" spans="3:8" hidden="1" x14ac:dyDescent="0.35">
      <c r="C23" s="2" t="s">
        <v>23</v>
      </c>
      <c r="D23" s="5" t="s">
        <v>26</v>
      </c>
      <c r="E23" s="2">
        <v>14</v>
      </c>
      <c r="F23" s="2">
        <v>5468812</v>
      </c>
      <c r="G23" s="2">
        <v>16</v>
      </c>
      <c r="H23" s="2">
        <v>6618812</v>
      </c>
    </row>
    <row r="24" spans="3:8" hidden="1" x14ac:dyDescent="0.35">
      <c r="C24" s="2" t="s">
        <v>31</v>
      </c>
      <c r="D24" s="5" t="s">
        <v>26</v>
      </c>
      <c r="E24" s="2">
        <v>33</v>
      </c>
      <c r="F24" s="2">
        <v>45651651</v>
      </c>
      <c r="G24" s="2">
        <v>46</v>
      </c>
      <c r="H24" s="2">
        <v>59901651</v>
      </c>
    </row>
    <row r="25" spans="3:8" hidden="1" x14ac:dyDescent="0.35">
      <c r="C25" s="2" t="s">
        <v>46</v>
      </c>
      <c r="D25" s="5" t="s">
        <v>26</v>
      </c>
      <c r="E25" s="2">
        <v>2</v>
      </c>
      <c r="F25" s="2">
        <v>1207714</v>
      </c>
      <c r="G25" s="2">
        <v>3</v>
      </c>
      <c r="H25" s="2">
        <v>1807714</v>
      </c>
    </row>
    <row r="26" spans="3:8" x14ac:dyDescent="0.35">
      <c r="C26" s="2" t="s">
        <v>23</v>
      </c>
      <c r="D26" s="2" t="s">
        <v>27</v>
      </c>
      <c r="E26" s="2">
        <v>1</v>
      </c>
      <c r="F26" s="2">
        <v>281772</v>
      </c>
      <c r="G26" s="2">
        <v>1</v>
      </c>
      <c r="H26" s="2">
        <v>281772</v>
      </c>
    </row>
    <row r="27" spans="3:8" hidden="1" x14ac:dyDescent="0.35">
      <c r="C27" s="2" t="s">
        <v>31</v>
      </c>
      <c r="D27" s="5" t="s">
        <v>34</v>
      </c>
      <c r="E27" s="2">
        <v>4</v>
      </c>
      <c r="F27" s="2">
        <v>3336324</v>
      </c>
      <c r="G27" s="2">
        <v>7</v>
      </c>
      <c r="H27" s="2">
        <v>6236324</v>
      </c>
    </row>
    <row r="28" spans="3:8" hidden="1" x14ac:dyDescent="0.35">
      <c r="C28" s="2" t="s">
        <v>46</v>
      </c>
      <c r="D28" s="5" t="s">
        <v>34</v>
      </c>
      <c r="E28" s="2">
        <v>9</v>
      </c>
      <c r="F28" s="2">
        <v>7654081</v>
      </c>
      <c r="G28" s="2">
        <v>13</v>
      </c>
      <c r="H28" s="2">
        <v>17054081</v>
      </c>
    </row>
    <row r="29" spans="3:8" x14ac:dyDescent="0.35">
      <c r="C29" s="2" t="s">
        <v>31</v>
      </c>
      <c r="D29" s="2" t="s">
        <v>35</v>
      </c>
      <c r="E29" s="2">
        <v>2</v>
      </c>
      <c r="F29" s="2">
        <v>1070625</v>
      </c>
      <c r="G29" s="2">
        <v>2</v>
      </c>
      <c r="H29" s="2">
        <v>1070625</v>
      </c>
    </row>
    <row r="30" spans="3:8" x14ac:dyDescent="0.35">
      <c r="C30" s="2" t="s">
        <v>31</v>
      </c>
      <c r="D30" s="2" t="s">
        <v>88</v>
      </c>
      <c r="E30" s="2">
        <v>0</v>
      </c>
      <c r="F30" s="2">
        <v>0</v>
      </c>
      <c r="G30" s="2">
        <v>1</v>
      </c>
      <c r="H30" s="2">
        <v>700000</v>
      </c>
    </row>
    <row r="31" spans="3:8" x14ac:dyDescent="0.35">
      <c r="C31" s="2" t="s">
        <v>90</v>
      </c>
      <c r="D31" s="2" t="s">
        <v>88</v>
      </c>
      <c r="E31" s="2">
        <v>0</v>
      </c>
      <c r="F31" s="2">
        <v>0</v>
      </c>
      <c r="G31" s="2">
        <v>1</v>
      </c>
      <c r="H31" s="2">
        <v>1200000</v>
      </c>
    </row>
    <row r="32" spans="3:8" hidden="1" x14ac:dyDescent="0.35">
      <c r="C32" s="2" t="s">
        <v>31</v>
      </c>
      <c r="D32" s="5" t="s">
        <v>36</v>
      </c>
      <c r="E32" s="2">
        <v>1</v>
      </c>
      <c r="F32" s="2">
        <v>1800009</v>
      </c>
      <c r="G32" s="2">
        <v>1</v>
      </c>
      <c r="H32" s="2">
        <v>1800009</v>
      </c>
    </row>
    <row r="33" spans="3:8" hidden="1" x14ac:dyDescent="0.35">
      <c r="C33" s="2" t="s">
        <v>31</v>
      </c>
      <c r="D33" s="5" t="s">
        <v>37</v>
      </c>
      <c r="E33" s="2">
        <v>2</v>
      </c>
      <c r="F33" s="2">
        <v>4003842</v>
      </c>
      <c r="G33" s="2">
        <v>4</v>
      </c>
      <c r="H33" s="2">
        <v>5503842</v>
      </c>
    </row>
    <row r="34" spans="3:8" hidden="1" x14ac:dyDescent="0.35">
      <c r="C34" s="2" t="s">
        <v>46</v>
      </c>
      <c r="D34" s="5" t="s">
        <v>37</v>
      </c>
      <c r="E34" s="2">
        <v>5</v>
      </c>
      <c r="F34" s="2">
        <v>3199990</v>
      </c>
      <c r="G34" s="2">
        <v>5</v>
      </c>
      <c r="H34" s="2">
        <v>3199990</v>
      </c>
    </row>
    <row r="35" spans="3:8" hidden="1" x14ac:dyDescent="0.35">
      <c r="C35" s="2" t="s">
        <v>31</v>
      </c>
      <c r="D35" s="5" t="s">
        <v>38</v>
      </c>
      <c r="E35" s="2">
        <v>1</v>
      </c>
      <c r="F35" s="2">
        <v>3000000</v>
      </c>
      <c r="G35" s="2">
        <v>1</v>
      </c>
      <c r="H35" s="2">
        <v>3000000</v>
      </c>
    </row>
    <row r="36" spans="3:8" x14ac:dyDescent="0.35">
      <c r="C36" s="2" t="s">
        <v>23</v>
      </c>
      <c r="D36" s="2" t="s">
        <v>28</v>
      </c>
      <c r="E36" s="2">
        <v>2</v>
      </c>
      <c r="F36" s="2">
        <v>1801474</v>
      </c>
      <c r="G36" s="2">
        <v>2</v>
      </c>
      <c r="H36" s="2">
        <v>1801474</v>
      </c>
    </row>
    <row r="37" spans="3:8" x14ac:dyDescent="0.35">
      <c r="C37" s="2" t="s">
        <v>31</v>
      </c>
      <c r="D37" s="2" t="s">
        <v>28</v>
      </c>
      <c r="E37" s="2">
        <v>1</v>
      </c>
      <c r="F37" s="2">
        <v>1600008</v>
      </c>
      <c r="G37" s="2">
        <v>1</v>
      </c>
      <c r="H37" s="2">
        <v>1600008</v>
      </c>
    </row>
    <row r="38" spans="3:8" x14ac:dyDescent="0.35">
      <c r="C38" s="2" t="s">
        <v>46</v>
      </c>
      <c r="D38" s="2" t="s">
        <v>28</v>
      </c>
      <c r="E38" s="2">
        <v>4</v>
      </c>
      <c r="F38" s="2">
        <v>1932299</v>
      </c>
      <c r="G38" s="2">
        <v>4</v>
      </c>
      <c r="H38" s="2">
        <v>1932299</v>
      </c>
    </row>
    <row r="39" spans="3:8" x14ac:dyDescent="0.35">
      <c r="C39" s="2" t="s">
        <v>46</v>
      </c>
      <c r="D39" s="2" t="s">
        <v>51</v>
      </c>
      <c r="E39" s="2">
        <v>133</v>
      </c>
      <c r="F39" s="2">
        <v>64706092</v>
      </c>
      <c r="G39" s="2">
        <v>169</v>
      </c>
      <c r="H39" s="2">
        <v>82706092</v>
      </c>
    </row>
    <row r="40" spans="3:8" x14ac:dyDescent="0.35">
      <c r="C40" s="2" t="s">
        <v>59</v>
      </c>
      <c r="D40" s="2" t="s">
        <v>51</v>
      </c>
      <c r="E40" s="2">
        <v>1</v>
      </c>
      <c r="F40" s="2">
        <v>316956</v>
      </c>
      <c r="G40" s="2">
        <v>1</v>
      </c>
      <c r="H40" s="2">
        <v>316956</v>
      </c>
    </row>
    <row r="41" spans="3:8" hidden="1" x14ac:dyDescent="0.35">
      <c r="C41" s="2" t="s">
        <v>23</v>
      </c>
      <c r="D41" s="5" t="s">
        <v>29</v>
      </c>
      <c r="E41" s="2">
        <v>1</v>
      </c>
      <c r="F41" s="2">
        <v>494004</v>
      </c>
      <c r="G41" s="2">
        <v>1</v>
      </c>
      <c r="H41" s="2">
        <v>494004</v>
      </c>
    </row>
    <row r="42" spans="3:8" hidden="1" x14ac:dyDescent="0.35">
      <c r="C42" s="2" t="s">
        <v>31</v>
      </c>
      <c r="D42" s="5" t="s">
        <v>29</v>
      </c>
      <c r="E42" s="2">
        <v>6</v>
      </c>
      <c r="F42" s="2">
        <v>35848713</v>
      </c>
      <c r="G42" s="2">
        <v>6</v>
      </c>
      <c r="H42" s="2">
        <v>35848713</v>
      </c>
    </row>
    <row r="43" spans="3:8" hidden="1" x14ac:dyDescent="0.35">
      <c r="C43" s="2" t="s">
        <v>76</v>
      </c>
      <c r="D43" s="5" t="s">
        <v>29</v>
      </c>
      <c r="E43" s="2">
        <v>1</v>
      </c>
      <c r="F43" s="2">
        <v>1800000</v>
      </c>
      <c r="G43" s="2">
        <v>1</v>
      </c>
      <c r="H43" s="2">
        <v>1800000</v>
      </c>
    </row>
    <row r="44" spans="3:8" hidden="1" x14ac:dyDescent="0.35">
      <c r="C44" s="2" t="s">
        <v>31</v>
      </c>
      <c r="D44" s="5" t="s">
        <v>89</v>
      </c>
      <c r="E44" s="2">
        <v>0</v>
      </c>
      <c r="F44" s="2">
        <v>0</v>
      </c>
      <c r="G44" s="2">
        <v>1</v>
      </c>
      <c r="H44" s="2">
        <v>1800000</v>
      </c>
    </row>
    <row r="45" spans="3:8" hidden="1" x14ac:dyDescent="0.35">
      <c r="C45" s="2" t="s">
        <v>31</v>
      </c>
      <c r="D45" s="5" t="s">
        <v>39</v>
      </c>
      <c r="E45" s="2">
        <v>2</v>
      </c>
      <c r="F45" s="2">
        <v>1910794</v>
      </c>
      <c r="G45" s="2">
        <v>3</v>
      </c>
      <c r="H45" s="2">
        <v>4410794</v>
      </c>
    </row>
    <row r="46" spans="3:8" hidden="1" x14ac:dyDescent="0.35">
      <c r="C46" s="2" t="s">
        <v>12</v>
      </c>
      <c r="D46" s="5" t="s">
        <v>13</v>
      </c>
      <c r="E46" s="2">
        <v>1</v>
      </c>
      <c r="F46" s="2">
        <v>292196</v>
      </c>
      <c r="G46" s="2">
        <v>1</v>
      </c>
      <c r="H46" s="2">
        <v>292196</v>
      </c>
    </row>
    <row r="47" spans="3:8" hidden="1" x14ac:dyDescent="0.35">
      <c r="C47" s="2" t="s">
        <v>20</v>
      </c>
      <c r="D47" s="5" t="s">
        <v>13</v>
      </c>
      <c r="E47" s="2">
        <v>8</v>
      </c>
      <c r="F47" s="2">
        <v>1946199</v>
      </c>
      <c r="G47" s="2">
        <v>8</v>
      </c>
      <c r="H47" s="2">
        <v>1946199</v>
      </c>
    </row>
    <row r="48" spans="3:8" hidden="1" x14ac:dyDescent="0.35">
      <c r="C48" s="3" t="s">
        <v>22</v>
      </c>
      <c r="D48" s="6" t="s">
        <v>13</v>
      </c>
      <c r="E48" s="3">
        <v>7</v>
      </c>
      <c r="F48" s="3">
        <v>1546157</v>
      </c>
      <c r="G48" s="3">
        <v>7</v>
      </c>
      <c r="H48" s="3">
        <v>1546157</v>
      </c>
    </row>
    <row r="49" spans="3:8" hidden="1" x14ac:dyDescent="0.35">
      <c r="C49" s="2" t="s">
        <v>23</v>
      </c>
      <c r="D49" s="5" t="s">
        <v>13</v>
      </c>
      <c r="E49" s="2">
        <v>6</v>
      </c>
      <c r="F49" s="2">
        <v>3205791</v>
      </c>
      <c r="G49" s="2">
        <v>7</v>
      </c>
      <c r="H49" s="2">
        <v>3705791</v>
      </c>
    </row>
    <row r="50" spans="3:8" hidden="1" x14ac:dyDescent="0.35">
      <c r="C50" s="2" t="s">
        <v>44</v>
      </c>
      <c r="D50" s="5" t="s">
        <v>13</v>
      </c>
      <c r="E50" s="2">
        <v>8</v>
      </c>
      <c r="F50" s="2">
        <v>2137069</v>
      </c>
      <c r="G50" s="2">
        <v>8</v>
      </c>
      <c r="H50" s="2">
        <v>2137069</v>
      </c>
    </row>
    <row r="51" spans="3:8" hidden="1" x14ac:dyDescent="0.35">
      <c r="C51" s="2" t="s">
        <v>45</v>
      </c>
      <c r="D51" s="5" t="s">
        <v>13</v>
      </c>
      <c r="E51" s="2">
        <v>17</v>
      </c>
      <c r="F51" s="2">
        <v>5109946</v>
      </c>
      <c r="G51" s="2">
        <v>17</v>
      </c>
      <c r="H51" s="2">
        <v>5109946</v>
      </c>
    </row>
    <row r="52" spans="3:8" hidden="1" x14ac:dyDescent="0.35">
      <c r="C52" s="2" t="s">
        <v>60</v>
      </c>
      <c r="D52" s="5" t="s">
        <v>13</v>
      </c>
      <c r="E52" s="2">
        <v>1</v>
      </c>
      <c r="F52" s="2">
        <v>200000</v>
      </c>
      <c r="G52" s="2">
        <v>1</v>
      </c>
      <c r="H52" s="2">
        <v>200000</v>
      </c>
    </row>
    <row r="53" spans="3:8" hidden="1" x14ac:dyDescent="0.35">
      <c r="C53" s="2" t="s">
        <v>61</v>
      </c>
      <c r="D53" s="5" t="s">
        <v>13</v>
      </c>
      <c r="E53" s="2">
        <v>4</v>
      </c>
      <c r="F53" s="2">
        <v>1007348</v>
      </c>
      <c r="G53" s="2">
        <v>4</v>
      </c>
      <c r="H53" s="2">
        <v>1007348</v>
      </c>
    </row>
    <row r="54" spans="3:8" hidden="1" x14ac:dyDescent="0.35">
      <c r="C54" s="2" t="s">
        <v>64</v>
      </c>
      <c r="D54" s="5" t="s">
        <v>13</v>
      </c>
      <c r="E54" s="2">
        <v>7</v>
      </c>
      <c r="F54" s="2">
        <v>1755507</v>
      </c>
      <c r="G54" s="2">
        <v>7</v>
      </c>
      <c r="H54" s="2">
        <v>1755507</v>
      </c>
    </row>
    <row r="55" spans="3:8" hidden="1" x14ac:dyDescent="0.35">
      <c r="C55" s="2" t="s">
        <v>65</v>
      </c>
      <c r="D55" s="5" t="s">
        <v>13</v>
      </c>
      <c r="E55" s="2">
        <v>5</v>
      </c>
      <c r="F55" s="2">
        <v>1292557</v>
      </c>
      <c r="G55" s="2">
        <v>5</v>
      </c>
      <c r="H55" s="2">
        <v>1292557</v>
      </c>
    </row>
    <row r="56" spans="3:8" hidden="1" x14ac:dyDescent="0.35">
      <c r="C56" s="2" t="s">
        <v>66</v>
      </c>
      <c r="D56" s="5" t="s">
        <v>13</v>
      </c>
      <c r="E56" s="2">
        <v>2</v>
      </c>
      <c r="F56" s="2">
        <v>630340</v>
      </c>
      <c r="G56" s="2">
        <v>2</v>
      </c>
      <c r="H56" s="2">
        <v>630340</v>
      </c>
    </row>
    <row r="57" spans="3:8" hidden="1" x14ac:dyDescent="0.35">
      <c r="C57" s="2" t="s">
        <v>67</v>
      </c>
      <c r="D57" s="5" t="s">
        <v>13</v>
      </c>
      <c r="E57" s="2">
        <v>3</v>
      </c>
      <c r="F57" s="2">
        <v>759300</v>
      </c>
      <c r="G57" s="2">
        <v>3</v>
      </c>
      <c r="H57" s="2">
        <v>759300</v>
      </c>
    </row>
    <row r="58" spans="3:8" hidden="1" x14ac:dyDescent="0.35">
      <c r="C58" s="2" t="s">
        <v>75</v>
      </c>
      <c r="D58" s="5" t="s">
        <v>13</v>
      </c>
      <c r="E58" s="2">
        <v>1</v>
      </c>
      <c r="F58" s="2">
        <v>218760</v>
      </c>
      <c r="G58" s="2">
        <v>1</v>
      </c>
      <c r="H58" s="2">
        <v>218760</v>
      </c>
    </row>
    <row r="59" spans="3:8" hidden="1" x14ac:dyDescent="0.35">
      <c r="C59" s="2" t="s">
        <v>77</v>
      </c>
      <c r="D59" s="5" t="s">
        <v>13</v>
      </c>
      <c r="E59" s="2">
        <v>5</v>
      </c>
      <c r="F59" s="2">
        <v>1158345</v>
      </c>
      <c r="G59" s="2">
        <v>5</v>
      </c>
      <c r="H59" s="2">
        <v>1158345</v>
      </c>
    </row>
    <row r="60" spans="3:8" hidden="1" x14ac:dyDescent="0.35">
      <c r="C60" s="2" t="s">
        <v>78</v>
      </c>
      <c r="D60" s="5" t="s">
        <v>13</v>
      </c>
      <c r="E60" s="2">
        <v>3</v>
      </c>
      <c r="F60" s="2">
        <v>1056641</v>
      </c>
      <c r="G60" s="2">
        <v>3</v>
      </c>
      <c r="H60" s="2">
        <v>1056641</v>
      </c>
    </row>
    <row r="61" spans="3:8" hidden="1" x14ac:dyDescent="0.35">
      <c r="C61" s="2" t="s">
        <v>82</v>
      </c>
      <c r="D61" s="5" t="s">
        <v>13</v>
      </c>
      <c r="E61" s="2">
        <v>7</v>
      </c>
      <c r="F61" s="2">
        <v>1595652</v>
      </c>
      <c r="G61" s="2">
        <v>7</v>
      </c>
      <c r="H61" s="2">
        <v>1595652</v>
      </c>
    </row>
    <row r="62" spans="3:8" hidden="1" x14ac:dyDescent="0.35">
      <c r="C62" s="2" t="s">
        <v>85</v>
      </c>
      <c r="D62" s="5" t="s">
        <v>13</v>
      </c>
      <c r="E62" s="2">
        <v>60</v>
      </c>
      <c r="F62" s="2">
        <v>13072895</v>
      </c>
      <c r="G62" s="2">
        <v>60</v>
      </c>
      <c r="H62" s="2">
        <v>13072895</v>
      </c>
    </row>
    <row r="63" spans="3:8" x14ac:dyDescent="0.35">
      <c r="C63" s="2" t="s">
        <v>46</v>
      </c>
      <c r="D63" s="2" t="s">
        <v>52</v>
      </c>
      <c r="E63" s="2">
        <v>3</v>
      </c>
      <c r="F63" s="2">
        <v>1082734</v>
      </c>
      <c r="G63" s="2">
        <v>3</v>
      </c>
      <c r="H63" s="2">
        <v>1082734</v>
      </c>
    </row>
    <row r="64" spans="3:8" x14ac:dyDescent="0.35">
      <c r="C64" s="2" t="s">
        <v>46</v>
      </c>
      <c r="D64" s="2" t="s">
        <v>53</v>
      </c>
      <c r="E64" s="2">
        <v>28</v>
      </c>
      <c r="F64" s="2">
        <v>17318154</v>
      </c>
      <c r="G64" s="2">
        <v>48</v>
      </c>
      <c r="H64" s="2">
        <v>27318154</v>
      </c>
    </row>
    <row r="65" spans="3:8" x14ac:dyDescent="0.35">
      <c r="C65" s="2" t="s">
        <v>23</v>
      </c>
      <c r="D65" s="2" t="s">
        <v>30</v>
      </c>
      <c r="E65" s="2">
        <v>6</v>
      </c>
      <c r="F65" s="2">
        <v>3583149</v>
      </c>
      <c r="G65" s="2">
        <v>6</v>
      </c>
      <c r="H65" s="2">
        <v>3583149</v>
      </c>
    </row>
    <row r="66" spans="3:8" x14ac:dyDescent="0.35">
      <c r="C66" s="2" t="s">
        <v>31</v>
      </c>
      <c r="D66" s="2" t="s">
        <v>30</v>
      </c>
      <c r="E66" s="2">
        <v>2</v>
      </c>
      <c r="F66" s="2">
        <v>3452000</v>
      </c>
      <c r="G66" s="2">
        <v>2</v>
      </c>
      <c r="H66" s="2">
        <v>3452000</v>
      </c>
    </row>
    <row r="67" spans="3:8" x14ac:dyDescent="0.35">
      <c r="C67" s="2" t="s">
        <v>46</v>
      </c>
      <c r="D67" s="2" t="s">
        <v>30</v>
      </c>
      <c r="E67" s="2">
        <v>9</v>
      </c>
      <c r="F67" s="2">
        <v>7504117</v>
      </c>
      <c r="G67" s="2">
        <v>9</v>
      </c>
      <c r="H67" s="2">
        <v>7504117</v>
      </c>
    </row>
    <row r="68" spans="3:8" x14ac:dyDescent="0.35">
      <c r="C68" s="2" t="s">
        <v>76</v>
      </c>
      <c r="D68" s="2" t="s">
        <v>30</v>
      </c>
      <c r="E68" s="2">
        <v>2</v>
      </c>
      <c r="F68" s="2">
        <v>896801</v>
      </c>
      <c r="G68" s="2">
        <v>2</v>
      </c>
      <c r="H68" s="2">
        <v>896801</v>
      </c>
    </row>
    <row r="69" spans="3:8" x14ac:dyDescent="0.35">
      <c r="C69" s="2" t="s">
        <v>46</v>
      </c>
      <c r="D69" s="2" t="s">
        <v>54</v>
      </c>
      <c r="E69" s="2">
        <v>506</v>
      </c>
      <c r="F69" s="2">
        <v>177234924</v>
      </c>
      <c r="G69" s="2">
        <v>588</v>
      </c>
      <c r="H69" s="2">
        <v>210034924</v>
      </c>
    </row>
    <row r="70" spans="3:8" x14ac:dyDescent="0.35">
      <c r="C70" s="2" t="s">
        <v>59</v>
      </c>
      <c r="D70" s="2" t="s">
        <v>54</v>
      </c>
      <c r="E70" s="2">
        <v>72</v>
      </c>
      <c r="F70" s="2">
        <v>22884754</v>
      </c>
      <c r="G70" s="2">
        <v>72</v>
      </c>
      <c r="H70" s="2">
        <v>22884754</v>
      </c>
    </row>
    <row r="71" spans="3:8" hidden="1" x14ac:dyDescent="0.35">
      <c r="C71" s="2" t="s">
        <v>8</v>
      </c>
      <c r="D71" s="5" t="s">
        <v>9</v>
      </c>
      <c r="E71" s="2">
        <v>1</v>
      </c>
      <c r="F71" s="2">
        <v>200000</v>
      </c>
      <c r="G71" s="2">
        <v>1</v>
      </c>
      <c r="H71" s="2">
        <v>200000</v>
      </c>
    </row>
    <row r="72" spans="3:8" hidden="1" x14ac:dyDescent="0.35">
      <c r="C72" s="2" t="s">
        <v>10</v>
      </c>
      <c r="D72" s="5" t="s">
        <v>9</v>
      </c>
      <c r="E72" s="2">
        <v>4</v>
      </c>
      <c r="F72" s="2">
        <v>282093</v>
      </c>
      <c r="G72" s="2">
        <v>4</v>
      </c>
      <c r="H72" s="2">
        <v>282093</v>
      </c>
    </row>
    <row r="73" spans="3:8" hidden="1" x14ac:dyDescent="0.35">
      <c r="C73" s="2" t="s">
        <v>11</v>
      </c>
      <c r="D73" s="5" t="s">
        <v>9</v>
      </c>
      <c r="E73" s="2">
        <v>3</v>
      </c>
      <c r="F73" s="2">
        <v>600000</v>
      </c>
      <c r="G73" s="2">
        <v>3</v>
      </c>
      <c r="H73" s="2">
        <v>600000</v>
      </c>
    </row>
    <row r="74" spans="3:8" hidden="1" x14ac:dyDescent="0.35">
      <c r="C74" s="2" t="s">
        <v>15</v>
      </c>
      <c r="D74" s="5" t="s">
        <v>9</v>
      </c>
      <c r="E74" s="2">
        <v>1</v>
      </c>
      <c r="F74" s="2">
        <v>200000</v>
      </c>
      <c r="G74" s="2">
        <v>1</v>
      </c>
      <c r="H74" s="2">
        <v>200000</v>
      </c>
    </row>
    <row r="75" spans="3:8" hidden="1" x14ac:dyDescent="0.35">
      <c r="C75" s="2" t="s">
        <v>18</v>
      </c>
      <c r="D75" s="5" t="s">
        <v>9</v>
      </c>
      <c r="E75" s="2">
        <v>1</v>
      </c>
      <c r="F75" s="2">
        <v>214462</v>
      </c>
      <c r="G75" s="2">
        <v>1</v>
      </c>
      <c r="H75" s="2">
        <v>214462</v>
      </c>
    </row>
    <row r="76" spans="3:8" hidden="1" x14ac:dyDescent="0.35">
      <c r="C76" s="2" t="s">
        <v>21</v>
      </c>
      <c r="D76" s="5" t="s">
        <v>9</v>
      </c>
      <c r="E76" s="2">
        <v>2</v>
      </c>
      <c r="F76" s="2">
        <v>400000</v>
      </c>
      <c r="G76" s="2">
        <v>2</v>
      </c>
      <c r="H76" s="2">
        <v>400000</v>
      </c>
    </row>
    <row r="77" spans="3:8" hidden="1" x14ac:dyDescent="0.35">
      <c r="C77" s="2" t="s">
        <v>23</v>
      </c>
      <c r="D77" s="5" t="s">
        <v>9</v>
      </c>
      <c r="E77" s="2">
        <v>7</v>
      </c>
      <c r="F77" s="2">
        <v>3351434</v>
      </c>
      <c r="G77" s="2">
        <v>13</v>
      </c>
      <c r="H77" s="2">
        <v>3951434</v>
      </c>
    </row>
    <row r="78" spans="3:8" hidden="1" x14ac:dyDescent="0.35">
      <c r="C78" s="2" t="s">
        <v>31</v>
      </c>
      <c r="D78" s="5" t="s">
        <v>9</v>
      </c>
      <c r="E78" s="2">
        <v>3</v>
      </c>
      <c r="F78" s="2">
        <v>4612422</v>
      </c>
      <c r="G78" s="2">
        <v>6</v>
      </c>
      <c r="H78" s="2">
        <v>10412422</v>
      </c>
    </row>
    <row r="79" spans="3:8" hidden="1" x14ac:dyDescent="0.35">
      <c r="C79" s="2" t="s">
        <v>46</v>
      </c>
      <c r="D79" s="5" t="s">
        <v>9</v>
      </c>
      <c r="E79" s="2">
        <v>16</v>
      </c>
      <c r="F79" s="2">
        <v>9677494</v>
      </c>
      <c r="G79" s="2">
        <v>16</v>
      </c>
      <c r="H79" s="2">
        <v>9677494</v>
      </c>
    </row>
    <row r="80" spans="3:8" hidden="1" x14ac:dyDescent="0.35">
      <c r="C80" s="2" t="s">
        <v>62</v>
      </c>
      <c r="D80" s="5" t="s">
        <v>9</v>
      </c>
      <c r="E80" s="2">
        <v>1</v>
      </c>
      <c r="F80" s="2">
        <v>194952</v>
      </c>
      <c r="G80" s="2">
        <v>1</v>
      </c>
      <c r="H80" s="2">
        <v>194952</v>
      </c>
    </row>
    <row r="81" spans="3:8" hidden="1" x14ac:dyDescent="0.35">
      <c r="C81" s="2" t="s">
        <v>63</v>
      </c>
      <c r="D81" s="5" t="s">
        <v>9</v>
      </c>
      <c r="E81" s="2">
        <v>2</v>
      </c>
      <c r="F81" s="2">
        <v>400000</v>
      </c>
      <c r="G81" s="2">
        <v>2</v>
      </c>
      <c r="H81" s="2">
        <v>400000</v>
      </c>
    </row>
    <row r="82" spans="3:8" hidden="1" x14ac:dyDescent="0.35">
      <c r="C82" s="2" t="s">
        <v>66</v>
      </c>
      <c r="D82" s="5" t="s">
        <v>9</v>
      </c>
      <c r="E82" s="2">
        <v>2</v>
      </c>
      <c r="F82" s="2">
        <v>353880</v>
      </c>
      <c r="G82" s="2">
        <v>2</v>
      </c>
      <c r="H82" s="2">
        <v>353880</v>
      </c>
    </row>
    <row r="83" spans="3:8" hidden="1" x14ac:dyDescent="0.35">
      <c r="C83" s="2" t="s">
        <v>68</v>
      </c>
      <c r="D83" s="5" t="s">
        <v>9</v>
      </c>
      <c r="E83" s="2">
        <v>1</v>
      </c>
      <c r="F83" s="2">
        <v>3077076</v>
      </c>
      <c r="G83" s="2">
        <v>1</v>
      </c>
      <c r="H83" s="2">
        <v>3077076</v>
      </c>
    </row>
    <row r="84" spans="3:8" hidden="1" x14ac:dyDescent="0.35">
      <c r="C84" s="2" t="s">
        <v>69</v>
      </c>
      <c r="D84" s="5" t="s">
        <v>9</v>
      </c>
      <c r="E84" s="2">
        <v>2</v>
      </c>
      <c r="F84" s="2">
        <v>224231</v>
      </c>
      <c r="G84" s="2">
        <v>2</v>
      </c>
      <c r="H84" s="2">
        <v>224231</v>
      </c>
    </row>
    <row r="85" spans="3:8" hidden="1" x14ac:dyDescent="0.35">
      <c r="C85" s="2" t="s">
        <v>70</v>
      </c>
      <c r="D85" s="5" t="s">
        <v>9</v>
      </c>
      <c r="E85" s="2">
        <v>6</v>
      </c>
      <c r="F85" s="2">
        <v>2057206</v>
      </c>
      <c r="G85" s="2">
        <v>6</v>
      </c>
      <c r="H85" s="2">
        <v>2057206</v>
      </c>
    </row>
    <row r="86" spans="3:8" hidden="1" x14ac:dyDescent="0.35">
      <c r="C86" s="2" t="s">
        <v>71</v>
      </c>
      <c r="D86" s="5" t="s">
        <v>9</v>
      </c>
      <c r="E86" s="2">
        <v>1</v>
      </c>
      <c r="F86" s="2">
        <v>226980</v>
      </c>
      <c r="G86" s="2">
        <v>1</v>
      </c>
      <c r="H86" s="2">
        <v>226980</v>
      </c>
    </row>
    <row r="87" spans="3:8" hidden="1" x14ac:dyDescent="0.35">
      <c r="C87" s="2" t="s">
        <v>72</v>
      </c>
      <c r="D87" s="5" t="s">
        <v>9</v>
      </c>
      <c r="E87" s="2">
        <v>1</v>
      </c>
      <c r="F87" s="2">
        <v>223008</v>
      </c>
      <c r="G87" s="2">
        <v>1</v>
      </c>
      <c r="H87" s="2">
        <v>223008</v>
      </c>
    </row>
    <row r="88" spans="3:8" hidden="1" x14ac:dyDescent="0.35">
      <c r="C88" s="2" t="s">
        <v>76</v>
      </c>
      <c r="D88" s="5" t="s">
        <v>9</v>
      </c>
      <c r="E88" s="2">
        <v>1</v>
      </c>
      <c r="F88" s="2">
        <v>963288</v>
      </c>
      <c r="G88" s="2">
        <v>1</v>
      </c>
      <c r="H88" s="2">
        <v>963288</v>
      </c>
    </row>
    <row r="89" spans="3:8" hidden="1" x14ac:dyDescent="0.35">
      <c r="C89" s="2" t="s">
        <v>80</v>
      </c>
      <c r="D89" s="5" t="s">
        <v>9</v>
      </c>
      <c r="E89" s="2">
        <v>8</v>
      </c>
      <c r="F89" s="2">
        <v>784009</v>
      </c>
      <c r="G89" s="2">
        <v>8</v>
      </c>
      <c r="H89" s="2">
        <v>784009</v>
      </c>
    </row>
    <row r="90" spans="3:8" hidden="1" x14ac:dyDescent="0.35">
      <c r="C90" s="2" t="s">
        <v>81</v>
      </c>
      <c r="D90" s="5" t="s">
        <v>9</v>
      </c>
      <c r="E90" s="2">
        <v>3</v>
      </c>
      <c r="F90" s="2">
        <v>600000</v>
      </c>
      <c r="G90" s="2">
        <v>3</v>
      </c>
      <c r="H90" s="2">
        <v>600000</v>
      </c>
    </row>
    <row r="91" spans="3:8" hidden="1" x14ac:dyDescent="0.35">
      <c r="C91" s="2" t="s">
        <v>86</v>
      </c>
      <c r="D91" s="5" t="s">
        <v>9</v>
      </c>
      <c r="E91" s="2">
        <v>1</v>
      </c>
      <c r="F91" s="2">
        <v>200000</v>
      </c>
      <c r="G91" s="2">
        <v>1</v>
      </c>
      <c r="H91" s="2">
        <v>200000</v>
      </c>
    </row>
    <row r="92" spans="3:8" x14ac:dyDescent="0.35">
      <c r="C92" s="2" t="s">
        <v>46</v>
      </c>
      <c r="D92" s="2" t="s">
        <v>55</v>
      </c>
      <c r="E92" s="2">
        <v>88</v>
      </c>
      <c r="F92" s="2">
        <v>39413042</v>
      </c>
      <c r="G92" s="2">
        <v>101</v>
      </c>
      <c r="H92" s="2">
        <v>44613042</v>
      </c>
    </row>
    <row r="93" spans="3:8" x14ac:dyDescent="0.35">
      <c r="C93" s="2" t="s">
        <v>59</v>
      </c>
      <c r="D93" s="2" t="s">
        <v>55</v>
      </c>
      <c r="E93" s="2">
        <v>3</v>
      </c>
      <c r="F93" s="2">
        <v>970174</v>
      </c>
      <c r="G93" s="2">
        <v>3</v>
      </c>
      <c r="H93" s="2">
        <v>970174</v>
      </c>
    </row>
    <row r="94" spans="3:8" x14ac:dyDescent="0.35">
      <c r="C94" s="2" t="s">
        <v>46</v>
      </c>
      <c r="D94" s="2" t="s">
        <v>56</v>
      </c>
      <c r="E94" s="2">
        <v>15</v>
      </c>
      <c r="F94" s="2">
        <v>10301377</v>
      </c>
      <c r="G94" s="2">
        <v>15</v>
      </c>
      <c r="H94" s="2">
        <v>10301377</v>
      </c>
    </row>
    <row r="95" spans="3:8" hidden="1" x14ac:dyDescent="0.35">
      <c r="C95" s="2" t="s">
        <v>31</v>
      </c>
      <c r="D95" s="5" t="s">
        <v>40</v>
      </c>
      <c r="E95" s="2">
        <v>3</v>
      </c>
      <c r="F95" s="2">
        <v>2524046</v>
      </c>
      <c r="G95" s="2">
        <v>3</v>
      </c>
      <c r="H95" s="2">
        <v>2524046</v>
      </c>
    </row>
    <row r="96" spans="3:8" hidden="1" x14ac:dyDescent="0.35">
      <c r="C96" s="2" t="s">
        <v>46</v>
      </c>
      <c r="D96" s="5" t="s">
        <v>40</v>
      </c>
      <c r="E96" s="2">
        <v>3</v>
      </c>
      <c r="F96" s="2">
        <v>1893014</v>
      </c>
      <c r="G96" s="2">
        <v>3</v>
      </c>
      <c r="H96" s="2">
        <v>1893014</v>
      </c>
    </row>
    <row r="97" spans="3:8" x14ac:dyDescent="0.35">
      <c r="C97" s="2" t="s">
        <v>12</v>
      </c>
      <c r="D97" s="2" t="s">
        <v>14</v>
      </c>
      <c r="E97" s="2">
        <v>1</v>
      </c>
      <c r="F97" s="2">
        <v>200000</v>
      </c>
      <c r="G97" s="2">
        <v>1</v>
      </c>
      <c r="H97" s="2">
        <v>200000</v>
      </c>
    </row>
    <row r="98" spans="3:8" x14ac:dyDescent="0.35">
      <c r="C98" s="2" t="s">
        <v>16</v>
      </c>
      <c r="D98" s="2" t="s">
        <v>14</v>
      </c>
      <c r="E98" s="2">
        <v>2</v>
      </c>
      <c r="F98" s="2">
        <v>400000</v>
      </c>
      <c r="G98" s="2">
        <v>2</v>
      </c>
      <c r="H98" s="2">
        <v>400000</v>
      </c>
    </row>
    <row r="99" spans="3:8" x14ac:dyDescent="0.35">
      <c r="C99" s="2" t="s">
        <v>17</v>
      </c>
      <c r="D99" s="2" t="s">
        <v>14</v>
      </c>
      <c r="E99" s="2">
        <v>1</v>
      </c>
      <c r="F99" s="2">
        <v>233713</v>
      </c>
      <c r="G99" s="2">
        <v>1</v>
      </c>
      <c r="H99" s="2">
        <v>233713</v>
      </c>
    </row>
    <row r="100" spans="3:8" x14ac:dyDescent="0.35">
      <c r="C100" s="2" t="s">
        <v>19</v>
      </c>
      <c r="D100" s="2" t="s">
        <v>14</v>
      </c>
      <c r="E100" s="2">
        <v>4</v>
      </c>
      <c r="F100" s="2">
        <v>465855</v>
      </c>
      <c r="G100" s="2">
        <v>4</v>
      </c>
      <c r="H100" s="2">
        <v>465855</v>
      </c>
    </row>
    <row r="101" spans="3:8" x14ac:dyDescent="0.35">
      <c r="C101" s="2" t="s">
        <v>23</v>
      </c>
      <c r="D101" s="2" t="s">
        <v>14</v>
      </c>
      <c r="E101" s="2">
        <v>4</v>
      </c>
      <c r="F101" s="2">
        <v>1099059</v>
      </c>
      <c r="G101" s="2">
        <v>4</v>
      </c>
      <c r="H101" s="2">
        <v>1099059</v>
      </c>
    </row>
    <row r="102" spans="3:8" x14ac:dyDescent="0.35">
      <c r="C102" s="2" t="s">
        <v>46</v>
      </c>
      <c r="D102" s="2" t="s">
        <v>14</v>
      </c>
      <c r="E102" s="2">
        <v>2</v>
      </c>
      <c r="F102" s="2">
        <v>1129454</v>
      </c>
      <c r="G102" s="2">
        <v>2</v>
      </c>
      <c r="H102" s="2">
        <v>1129454</v>
      </c>
    </row>
    <row r="103" spans="3:8" x14ac:dyDescent="0.35">
      <c r="C103" s="2" t="s">
        <v>63</v>
      </c>
      <c r="D103" s="2" t="s">
        <v>14</v>
      </c>
      <c r="E103" s="2">
        <v>2</v>
      </c>
      <c r="F103" s="2">
        <v>190823</v>
      </c>
      <c r="G103" s="2">
        <v>2</v>
      </c>
      <c r="H103" s="2">
        <v>190823</v>
      </c>
    </row>
    <row r="104" spans="3:8" x14ac:dyDescent="0.35">
      <c r="C104" s="2" t="s">
        <v>70</v>
      </c>
      <c r="D104" s="2" t="s">
        <v>14</v>
      </c>
      <c r="E104" s="2">
        <v>9</v>
      </c>
      <c r="F104" s="2">
        <v>1982040</v>
      </c>
      <c r="G104" s="2">
        <v>9</v>
      </c>
      <c r="H104" s="2">
        <v>1982040</v>
      </c>
    </row>
    <row r="105" spans="3:8" x14ac:dyDescent="0.35">
      <c r="C105" s="2" t="s">
        <v>72</v>
      </c>
      <c r="D105" s="2" t="s">
        <v>14</v>
      </c>
      <c r="E105" s="2">
        <v>1</v>
      </c>
      <c r="F105" s="2">
        <v>223008</v>
      </c>
      <c r="G105" s="2">
        <v>1</v>
      </c>
      <c r="H105" s="2">
        <v>223008</v>
      </c>
    </row>
    <row r="106" spans="3:8" x14ac:dyDescent="0.35">
      <c r="C106" s="2" t="s">
        <v>74</v>
      </c>
      <c r="D106" s="2" t="s">
        <v>14</v>
      </c>
      <c r="E106" s="2">
        <v>1</v>
      </c>
      <c r="F106" s="2">
        <v>200000</v>
      </c>
      <c r="G106" s="2">
        <v>1</v>
      </c>
      <c r="H106" s="2">
        <v>200000</v>
      </c>
    </row>
    <row r="107" spans="3:8" x14ac:dyDescent="0.35">
      <c r="C107" s="2" t="s">
        <v>79</v>
      </c>
      <c r="D107" s="2" t="s">
        <v>14</v>
      </c>
      <c r="E107" s="2">
        <v>3</v>
      </c>
      <c r="F107" s="2">
        <v>570093</v>
      </c>
      <c r="G107" s="2">
        <v>3</v>
      </c>
      <c r="H107" s="2">
        <v>570093</v>
      </c>
    </row>
    <row r="108" spans="3:8" x14ac:dyDescent="0.35">
      <c r="C108" s="2" t="s">
        <v>83</v>
      </c>
      <c r="D108" s="2" t="s">
        <v>14</v>
      </c>
      <c r="E108" s="2">
        <v>1</v>
      </c>
      <c r="F108" s="2">
        <v>200000</v>
      </c>
      <c r="G108" s="2">
        <v>1</v>
      </c>
      <c r="H108" s="2">
        <v>200000</v>
      </c>
    </row>
    <row r="109" spans="3:8" x14ac:dyDescent="0.35">
      <c r="C109" s="2" t="s">
        <v>46</v>
      </c>
      <c r="D109" s="2" t="s">
        <v>57</v>
      </c>
      <c r="E109" s="2">
        <v>67</v>
      </c>
      <c r="F109" s="2">
        <v>30014046</v>
      </c>
      <c r="G109" s="2">
        <v>74</v>
      </c>
      <c r="H109" s="2">
        <v>32114046</v>
      </c>
    </row>
    <row r="110" spans="3:8" x14ac:dyDescent="0.35">
      <c r="C110" s="2" t="s">
        <v>59</v>
      </c>
      <c r="D110" s="2" t="s">
        <v>57</v>
      </c>
      <c r="E110" s="2">
        <v>4</v>
      </c>
      <c r="F110" s="2">
        <v>1587813</v>
      </c>
      <c r="G110" s="2">
        <v>4</v>
      </c>
      <c r="H110" s="2">
        <v>1587813</v>
      </c>
    </row>
    <row r="111" spans="3:8" hidden="1" x14ac:dyDescent="0.35">
      <c r="C111" s="2" t="s">
        <v>31</v>
      </c>
      <c r="D111" s="5" t="s">
        <v>41</v>
      </c>
      <c r="E111" s="2">
        <v>3</v>
      </c>
      <c r="F111" s="2">
        <v>2158717</v>
      </c>
      <c r="G111" s="2">
        <v>3</v>
      </c>
      <c r="H111" s="2">
        <v>2158717</v>
      </c>
    </row>
    <row r="112" spans="3:8" x14ac:dyDescent="0.35">
      <c r="C112" s="2" t="s">
        <v>31</v>
      </c>
      <c r="D112" s="2" t="s">
        <v>42</v>
      </c>
      <c r="E112" s="2">
        <v>1</v>
      </c>
      <c r="F112" s="2">
        <v>1260000</v>
      </c>
      <c r="G112" s="2">
        <v>1</v>
      </c>
      <c r="H112" s="2">
        <v>1260000</v>
      </c>
    </row>
    <row r="113" spans="3:8" x14ac:dyDescent="0.35">
      <c r="C113" s="2" t="s">
        <v>46</v>
      </c>
      <c r="D113" s="2" t="s">
        <v>42</v>
      </c>
      <c r="E113" s="2">
        <v>5</v>
      </c>
      <c r="F113" s="2">
        <v>3380747</v>
      </c>
      <c r="G113" s="2">
        <v>10</v>
      </c>
      <c r="H113" s="2">
        <v>4880747</v>
      </c>
    </row>
    <row r="114" spans="3:8" x14ac:dyDescent="0.35">
      <c r="C114" s="2" t="s">
        <v>31</v>
      </c>
      <c r="D114" s="2" t="s">
        <v>43</v>
      </c>
      <c r="E114" s="2">
        <v>1</v>
      </c>
      <c r="F114" s="2">
        <v>670555</v>
      </c>
      <c r="G114" s="2">
        <v>1</v>
      </c>
      <c r="H114" s="2">
        <v>670555</v>
      </c>
    </row>
    <row r="115" spans="3:8" x14ac:dyDescent="0.35">
      <c r="C115" s="4" t="s">
        <v>46</v>
      </c>
      <c r="D115" s="4" t="s">
        <v>58</v>
      </c>
      <c r="E115" s="4">
        <v>43</v>
      </c>
      <c r="F115" s="4">
        <v>21482421</v>
      </c>
      <c r="G115" s="4">
        <v>43</v>
      </c>
      <c r="H115" s="4">
        <v>21482421</v>
      </c>
    </row>
    <row r="116" spans="3:8" x14ac:dyDescent="0.35">
      <c r="C116" s="2" t="s">
        <v>59</v>
      </c>
      <c r="D116" s="4" t="s">
        <v>58</v>
      </c>
      <c r="E116" s="4">
        <v>2</v>
      </c>
      <c r="F116" s="4">
        <v>678468</v>
      </c>
      <c r="G116" s="4">
        <v>2</v>
      </c>
      <c r="H116" s="4">
        <v>678468</v>
      </c>
    </row>
    <row r="117" spans="3:8" x14ac:dyDescent="0.35">
      <c r="C117" s="2" t="s">
        <v>91</v>
      </c>
      <c r="D117" s="2"/>
      <c r="E117" s="2">
        <f>SUM(E5:E116)</f>
        <v>1436</v>
      </c>
      <c r="F117" s="2">
        <f>SUM(F5:F116)</f>
        <v>678111353</v>
      </c>
      <c r="G117" s="2">
        <f>SUM(G5:G116)</f>
        <v>1663</v>
      </c>
      <c r="H117" s="2">
        <f>SUM(H5:H116)</f>
        <v>813811353</v>
      </c>
    </row>
  </sheetData>
  <autoFilter ref="C4:H117" xr:uid="{C3A3D860-360A-4CAB-BD68-4C7385611BB4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A4FF-D87D-47AF-8ED5-40F376D09E13}">
  <dimension ref="A3:D19"/>
  <sheetViews>
    <sheetView workbookViewId="0">
      <selection activeCell="D12" sqref="D12"/>
    </sheetView>
  </sheetViews>
  <sheetFormatPr defaultRowHeight="14.5" x14ac:dyDescent="0.35"/>
  <cols>
    <col min="1" max="1" width="18.81640625" bestFit="1" customWidth="1"/>
    <col min="2" max="2" width="7.1796875" bestFit="1" customWidth="1"/>
    <col min="3" max="3" width="8.453125" bestFit="1" customWidth="1"/>
    <col min="4" max="4" width="9.7265625" bestFit="1" customWidth="1"/>
  </cols>
  <sheetData>
    <row r="3" spans="1:4" x14ac:dyDescent="0.35">
      <c r="A3" s="19" t="s">
        <v>1</v>
      </c>
      <c r="B3" s="19" t="s">
        <v>111</v>
      </c>
      <c r="C3" s="19" t="s">
        <v>112</v>
      </c>
      <c r="D3" s="19" t="s">
        <v>113</v>
      </c>
    </row>
    <row r="4" spans="1:4" x14ac:dyDescent="0.35">
      <c r="A4" s="17" t="s">
        <v>24</v>
      </c>
      <c r="B4" s="18">
        <v>31</v>
      </c>
      <c r="C4" s="18">
        <v>2</v>
      </c>
      <c r="D4" s="18">
        <v>29</v>
      </c>
    </row>
    <row r="5" spans="1:4" x14ac:dyDescent="0.35">
      <c r="A5" s="17" t="s">
        <v>50</v>
      </c>
      <c r="B5" s="18">
        <v>48</v>
      </c>
      <c r="C5" s="18">
        <v>37</v>
      </c>
      <c r="D5" s="18">
        <v>11</v>
      </c>
    </row>
    <row r="6" spans="1:4" x14ac:dyDescent="0.35">
      <c r="A6" s="17" t="s">
        <v>34</v>
      </c>
      <c r="B6" s="18">
        <v>7</v>
      </c>
      <c r="C6" s="18">
        <v>7</v>
      </c>
      <c r="D6" s="18">
        <v>0</v>
      </c>
    </row>
    <row r="7" spans="1:4" x14ac:dyDescent="0.35">
      <c r="A7" s="17" t="s">
        <v>37</v>
      </c>
      <c r="B7" s="18">
        <v>7</v>
      </c>
      <c r="C7" s="18">
        <v>6</v>
      </c>
      <c r="D7" s="18">
        <v>1</v>
      </c>
    </row>
    <row r="8" spans="1:4" x14ac:dyDescent="0.35">
      <c r="A8" s="17" t="s">
        <v>51</v>
      </c>
      <c r="B8" s="18">
        <v>38</v>
      </c>
      <c r="C8" s="18">
        <v>15</v>
      </c>
      <c r="D8" s="18">
        <v>23</v>
      </c>
    </row>
    <row r="9" spans="1:4" x14ac:dyDescent="0.35">
      <c r="A9" s="17" t="s">
        <v>30</v>
      </c>
      <c r="B9" s="18">
        <v>1</v>
      </c>
      <c r="C9" s="18">
        <v>0</v>
      </c>
      <c r="D9" s="18">
        <v>1</v>
      </c>
    </row>
    <row r="10" spans="1:4" x14ac:dyDescent="0.35">
      <c r="A10" s="17" t="s">
        <v>54</v>
      </c>
      <c r="B10" s="18">
        <v>2907</v>
      </c>
      <c r="C10" s="18">
        <v>2056</v>
      </c>
      <c r="D10" s="18">
        <v>851</v>
      </c>
    </row>
    <row r="11" spans="1:4" x14ac:dyDescent="0.35">
      <c r="A11" s="17" t="s">
        <v>9</v>
      </c>
      <c r="B11" s="18">
        <v>2</v>
      </c>
      <c r="C11" s="18">
        <v>1</v>
      </c>
      <c r="D11" s="18">
        <v>1</v>
      </c>
    </row>
    <row r="12" spans="1:4" x14ac:dyDescent="0.35">
      <c r="A12" s="17" t="s">
        <v>55</v>
      </c>
      <c r="B12" s="18">
        <v>68</v>
      </c>
      <c r="C12" s="18">
        <v>111</v>
      </c>
      <c r="D12" s="18">
        <v>-43</v>
      </c>
    </row>
    <row r="13" spans="1:4" x14ac:dyDescent="0.35">
      <c r="A13" s="17" t="s">
        <v>56</v>
      </c>
      <c r="B13" s="18">
        <v>6</v>
      </c>
      <c r="C13" s="18">
        <v>7</v>
      </c>
      <c r="D13" s="18">
        <v>-1</v>
      </c>
    </row>
    <row r="14" spans="1:4" x14ac:dyDescent="0.35">
      <c r="A14" s="17" t="s">
        <v>14</v>
      </c>
      <c r="B14" s="18">
        <v>4</v>
      </c>
      <c r="C14" s="18">
        <v>0</v>
      </c>
      <c r="D14" s="18">
        <v>4</v>
      </c>
    </row>
    <row r="15" spans="1:4" x14ac:dyDescent="0.35">
      <c r="A15" s="17" t="s">
        <v>57</v>
      </c>
      <c r="B15" s="18">
        <v>218</v>
      </c>
      <c r="C15" s="18">
        <v>166</v>
      </c>
      <c r="D15" s="18">
        <v>52</v>
      </c>
    </row>
    <row r="16" spans="1:4" x14ac:dyDescent="0.35">
      <c r="A16" s="17" t="s">
        <v>42</v>
      </c>
      <c r="B16" s="18">
        <v>10</v>
      </c>
      <c r="C16" s="18">
        <v>17</v>
      </c>
      <c r="D16" s="18">
        <v>-7</v>
      </c>
    </row>
    <row r="17" spans="1:4" x14ac:dyDescent="0.35">
      <c r="A17" s="17" t="s">
        <v>58</v>
      </c>
      <c r="B17" s="18">
        <v>19</v>
      </c>
      <c r="C17" s="18">
        <v>0</v>
      </c>
      <c r="D17" s="18">
        <v>19</v>
      </c>
    </row>
    <row r="18" spans="1:4" x14ac:dyDescent="0.35">
      <c r="A18" s="17" t="s">
        <v>53</v>
      </c>
      <c r="B18" s="18">
        <v>0</v>
      </c>
      <c r="C18" s="18">
        <v>14</v>
      </c>
      <c r="D18" s="18">
        <v>-14</v>
      </c>
    </row>
    <row r="19" spans="1:4" x14ac:dyDescent="0.35">
      <c r="A19" s="20" t="s">
        <v>91</v>
      </c>
      <c r="B19" s="21">
        <v>3366</v>
      </c>
      <c r="C19" s="21">
        <v>2439</v>
      </c>
      <c r="D19" s="21">
        <v>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5069-1FCA-40F2-94A5-0A0E7F1042AD}">
  <dimension ref="A1:F13"/>
  <sheetViews>
    <sheetView tabSelected="1" workbookViewId="0">
      <selection activeCell="D2" sqref="D2"/>
    </sheetView>
  </sheetViews>
  <sheetFormatPr defaultRowHeight="14.5" x14ac:dyDescent="0.35"/>
  <cols>
    <col min="2" max="2" width="24.54296875" bestFit="1" customWidth="1"/>
    <col min="3" max="3" width="15.54296875" bestFit="1" customWidth="1"/>
    <col min="5" max="5" width="34" bestFit="1" customWidth="1"/>
    <col min="6" max="6" width="51.7265625" customWidth="1"/>
  </cols>
  <sheetData>
    <row r="1" spans="1:6" ht="43.5" x14ac:dyDescent="0.35">
      <c r="A1" s="16" t="s">
        <v>155</v>
      </c>
      <c r="B1" s="16" t="s">
        <v>127</v>
      </c>
      <c r="C1" s="16" t="s">
        <v>151</v>
      </c>
      <c r="D1" s="16" t="s">
        <v>131</v>
      </c>
      <c r="E1" s="16" t="s">
        <v>148</v>
      </c>
      <c r="F1" s="16" t="s">
        <v>129</v>
      </c>
    </row>
    <row r="2" spans="1:6" x14ac:dyDescent="0.35">
      <c r="A2" s="2">
        <v>1</v>
      </c>
      <c r="B2" s="2" t="s">
        <v>126</v>
      </c>
      <c r="C2" s="23">
        <v>45357</v>
      </c>
      <c r="D2" s="2">
        <v>413</v>
      </c>
      <c r="E2" s="2" t="s">
        <v>128</v>
      </c>
      <c r="F2" s="22" t="s">
        <v>154</v>
      </c>
    </row>
    <row r="3" spans="1:6" ht="43.5" x14ac:dyDescent="0.35">
      <c r="A3" s="2">
        <v>2</v>
      </c>
      <c r="B3" s="2" t="s">
        <v>130</v>
      </c>
      <c r="C3" s="23">
        <v>45588</v>
      </c>
      <c r="D3" s="2">
        <v>4</v>
      </c>
      <c r="E3" s="2" t="s">
        <v>139</v>
      </c>
      <c r="F3" s="22" t="s">
        <v>132</v>
      </c>
    </row>
    <row r="4" spans="1:6" x14ac:dyDescent="0.35">
      <c r="A4" s="2">
        <v>3</v>
      </c>
      <c r="B4" s="2" t="s">
        <v>133</v>
      </c>
      <c r="C4" s="23">
        <v>45561</v>
      </c>
      <c r="D4" s="2">
        <v>5</v>
      </c>
      <c r="E4" s="2" t="s">
        <v>134</v>
      </c>
      <c r="F4" s="22" t="s">
        <v>136</v>
      </c>
    </row>
    <row r="5" spans="1:6" ht="43.5" x14ac:dyDescent="0.35">
      <c r="A5" s="2">
        <v>4</v>
      </c>
      <c r="B5" s="22" t="s">
        <v>135</v>
      </c>
      <c r="C5" s="24">
        <v>45525</v>
      </c>
      <c r="D5" s="2">
        <v>20</v>
      </c>
      <c r="E5" s="22" t="s">
        <v>137</v>
      </c>
      <c r="F5" s="22" t="s">
        <v>136</v>
      </c>
    </row>
    <row r="6" spans="1:6" ht="43.5" x14ac:dyDescent="0.35">
      <c r="A6" s="2">
        <v>5</v>
      </c>
      <c r="B6" s="2" t="s">
        <v>138</v>
      </c>
      <c r="C6" s="23">
        <v>45362</v>
      </c>
      <c r="D6" s="2">
        <v>8</v>
      </c>
      <c r="E6" s="2" t="s">
        <v>139</v>
      </c>
      <c r="F6" s="22" t="s">
        <v>140</v>
      </c>
    </row>
    <row r="7" spans="1:6" ht="43.5" x14ac:dyDescent="0.35">
      <c r="A7" s="2">
        <v>6</v>
      </c>
      <c r="B7" s="2" t="s">
        <v>141</v>
      </c>
      <c r="C7" s="23">
        <v>45327</v>
      </c>
      <c r="D7" s="2">
        <v>4</v>
      </c>
      <c r="E7" s="2" t="s">
        <v>139</v>
      </c>
      <c r="F7" s="22" t="s">
        <v>132</v>
      </c>
    </row>
    <row r="8" spans="1:6" x14ac:dyDescent="0.35">
      <c r="A8" s="2">
        <v>7</v>
      </c>
      <c r="B8" s="2" t="s">
        <v>142</v>
      </c>
      <c r="C8" s="23">
        <v>45398</v>
      </c>
      <c r="D8" s="2">
        <v>2</v>
      </c>
      <c r="E8" s="2" t="s">
        <v>143</v>
      </c>
      <c r="F8" s="22" t="s">
        <v>136</v>
      </c>
    </row>
    <row r="9" spans="1:6" ht="43.5" x14ac:dyDescent="0.35">
      <c r="A9" s="2">
        <v>8</v>
      </c>
      <c r="B9" s="2" t="s">
        <v>144</v>
      </c>
      <c r="C9" s="23">
        <v>45215</v>
      </c>
      <c r="D9" s="2">
        <v>5</v>
      </c>
      <c r="E9" s="2" t="s">
        <v>143</v>
      </c>
      <c r="F9" s="22" t="s">
        <v>132</v>
      </c>
    </row>
    <row r="10" spans="1:6" x14ac:dyDescent="0.35">
      <c r="A10" s="2">
        <v>9</v>
      </c>
      <c r="B10" s="2" t="s">
        <v>145</v>
      </c>
      <c r="C10" s="23">
        <v>45418</v>
      </c>
      <c r="D10" s="2">
        <v>8</v>
      </c>
      <c r="E10" s="2" t="s">
        <v>146</v>
      </c>
      <c r="F10" s="22" t="s">
        <v>136</v>
      </c>
    </row>
    <row r="11" spans="1:6" x14ac:dyDescent="0.35">
      <c r="A11" s="2">
        <v>10</v>
      </c>
      <c r="B11" s="2" t="s">
        <v>147</v>
      </c>
      <c r="C11" s="23">
        <v>45434</v>
      </c>
      <c r="D11" s="2">
        <v>16</v>
      </c>
      <c r="E11" s="2" t="s">
        <v>149</v>
      </c>
      <c r="F11" s="22" t="s">
        <v>154</v>
      </c>
    </row>
    <row r="12" spans="1:6" x14ac:dyDescent="0.35">
      <c r="A12" s="2">
        <v>11</v>
      </c>
      <c r="B12" s="2" t="s">
        <v>150</v>
      </c>
      <c r="C12" s="23">
        <v>45586</v>
      </c>
      <c r="D12" s="2">
        <v>5</v>
      </c>
      <c r="E12" s="2" t="s">
        <v>152</v>
      </c>
      <c r="F12" s="22" t="s">
        <v>136</v>
      </c>
    </row>
    <row r="13" spans="1:6" x14ac:dyDescent="0.35">
      <c r="A13" s="2">
        <v>12</v>
      </c>
      <c r="B13" s="2" t="s">
        <v>153</v>
      </c>
      <c r="C13" s="23">
        <v>45525</v>
      </c>
      <c r="D13" s="2">
        <v>6</v>
      </c>
      <c r="E13" s="2" t="s">
        <v>152</v>
      </c>
      <c r="F13" s="22" t="s">
        <v>136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3214-043E-4590-A27C-69F0432B9922}">
  <dimension ref="A3:H21"/>
  <sheetViews>
    <sheetView workbookViewId="0">
      <selection activeCell="K11" sqref="K11"/>
    </sheetView>
  </sheetViews>
  <sheetFormatPr defaultRowHeight="14.5" x14ac:dyDescent="0.35"/>
  <cols>
    <col min="1" max="1" width="21.1796875" bestFit="1" customWidth="1"/>
    <col min="2" max="3" width="9" bestFit="1" customWidth="1"/>
    <col min="4" max="4" width="9" customWidth="1"/>
    <col min="5" max="5" width="8.54296875" bestFit="1" customWidth="1"/>
  </cols>
  <sheetData>
    <row r="3" spans="1:8" ht="72.5" x14ac:dyDescent="0.35">
      <c r="A3" s="15" t="s">
        <v>1</v>
      </c>
      <c r="B3" s="16" t="s">
        <v>114</v>
      </c>
      <c r="C3" s="16" t="s">
        <v>115</v>
      </c>
      <c r="D3" s="16" t="s">
        <v>125</v>
      </c>
      <c r="E3" s="16" t="s">
        <v>116</v>
      </c>
    </row>
    <row r="4" spans="1:8" x14ac:dyDescent="0.35">
      <c r="A4" s="2" t="s">
        <v>117</v>
      </c>
      <c r="B4" s="2">
        <v>6</v>
      </c>
      <c r="C4" s="2">
        <v>6</v>
      </c>
      <c r="D4" s="2"/>
      <c r="E4" s="2">
        <f t="shared" ref="E4:E20" si="0">C4-B4</f>
        <v>0</v>
      </c>
      <c r="H4" s="7" t="s">
        <v>118</v>
      </c>
    </row>
    <row r="5" spans="1:8" x14ac:dyDescent="0.35">
      <c r="A5" s="2" t="s">
        <v>119</v>
      </c>
      <c r="B5" s="2">
        <v>12</v>
      </c>
      <c r="C5" s="2">
        <v>10</v>
      </c>
      <c r="D5" s="2"/>
      <c r="E5" s="2">
        <f t="shared" si="0"/>
        <v>-2</v>
      </c>
      <c r="H5" t="s">
        <v>24</v>
      </c>
    </row>
    <row r="6" spans="1:8" x14ac:dyDescent="0.35">
      <c r="A6" s="2" t="s">
        <v>120</v>
      </c>
      <c r="B6" s="2">
        <v>27</v>
      </c>
      <c r="C6" s="2">
        <v>15</v>
      </c>
      <c r="D6" s="2"/>
      <c r="E6" s="2">
        <f t="shared" si="0"/>
        <v>-12</v>
      </c>
      <c r="H6" t="s">
        <v>50</v>
      </c>
    </row>
    <row r="7" spans="1:8" x14ac:dyDescent="0.35">
      <c r="A7" s="2" t="s">
        <v>28</v>
      </c>
      <c r="B7" s="2">
        <v>13</v>
      </c>
      <c r="C7" s="2">
        <v>9</v>
      </c>
      <c r="D7" s="2">
        <v>3</v>
      </c>
      <c r="E7" s="2">
        <f>B7-C7-D7</f>
        <v>1</v>
      </c>
      <c r="H7" t="s">
        <v>14</v>
      </c>
    </row>
    <row r="8" spans="1:8" x14ac:dyDescent="0.35">
      <c r="A8" s="2" t="s">
        <v>30</v>
      </c>
      <c r="B8" s="2">
        <v>21</v>
      </c>
      <c r="C8" s="2">
        <v>13</v>
      </c>
      <c r="D8" s="2">
        <v>5</v>
      </c>
      <c r="E8" s="2">
        <f>B8-C8-D8</f>
        <v>3</v>
      </c>
      <c r="H8" t="s">
        <v>51</v>
      </c>
    </row>
    <row r="9" spans="1:8" x14ac:dyDescent="0.35">
      <c r="A9" s="2" t="s">
        <v>37</v>
      </c>
      <c r="B9" s="2">
        <v>15</v>
      </c>
      <c r="C9" s="2">
        <v>14</v>
      </c>
      <c r="D9" s="2"/>
      <c r="E9" s="2">
        <f t="shared" si="0"/>
        <v>-1</v>
      </c>
      <c r="H9" t="s">
        <v>53</v>
      </c>
    </row>
    <row r="10" spans="1:8" x14ac:dyDescent="0.35">
      <c r="A10" s="2" t="s">
        <v>121</v>
      </c>
      <c r="B10" s="2">
        <v>21</v>
      </c>
      <c r="C10" s="2">
        <v>19</v>
      </c>
      <c r="D10" s="2">
        <v>3</v>
      </c>
      <c r="E10" s="2">
        <f>B10-C10-D10</f>
        <v>-1</v>
      </c>
      <c r="H10" t="s">
        <v>54</v>
      </c>
    </row>
    <row r="11" spans="1:8" x14ac:dyDescent="0.35">
      <c r="A11" s="2" t="s">
        <v>122</v>
      </c>
      <c r="B11" s="2">
        <f>56+4+2</f>
        <v>62</v>
      </c>
      <c r="C11" s="2">
        <v>47</v>
      </c>
      <c r="D11" s="2">
        <v>16</v>
      </c>
      <c r="E11" s="2">
        <f>B11-C11-D11</f>
        <v>-1</v>
      </c>
      <c r="H11" t="s">
        <v>55</v>
      </c>
    </row>
    <row r="12" spans="1:8" x14ac:dyDescent="0.35">
      <c r="A12" s="2" t="s">
        <v>123</v>
      </c>
      <c r="B12" s="2">
        <v>24</v>
      </c>
      <c r="C12" s="2">
        <f>11</f>
        <v>11</v>
      </c>
      <c r="D12" s="2"/>
      <c r="E12" s="2">
        <f t="shared" si="0"/>
        <v>-13</v>
      </c>
      <c r="H12" t="s">
        <v>56</v>
      </c>
    </row>
    <row r="13" spans="1:8" x14ac:dyDescent="0.35">
      <c r="A13" s="2" t="s">
        <v>124</v>
      </c>
      <c r="B13" s="2">
        <v>17</v>
      </c>
      <c r="C13" s="2">
        <v>17</v>
      </c>
      <c r="D13" s="2"/>
      <c r="E13" s="2">
        <f t="shared" si="0"/>
        <v>0</v>
      </c>
      <c r="H13" t="s">
        <v>57</v>
      </c>
    </row>
    <row r="14" spans="1:8" x14ac:dyDescent="0.35">
      <c r="A14" s="2" t="s">
        <v>9</v>
      </c>
      <c r="B14" s="2">
        <v>17</v>
      </c>
      <c r="C14" s="2">
        <v>18</v>
      </c>
      <c r="D14" s="2">
        <v>1</v>
      </c>
      <c r="E14" s="2">
        <f>B14-C14-D14</f>
        <v>-2</v>
      </c>
      <c r="H14" t="s">
        <v>58</v>
      </c>
    </row>
    <row r="15" spans="1:8" x14ac:dyDescent="0.35">
      <c r="A15" s="2" t="s">
        <v>13</v>
      </c>
      <c r="B15" s="2">
        <v>16</v>
      </c>
      <c r="C15" s="2">
        <v>6</v>
      </c>
      <c r="D15" s="2"/>
      <c r="E15" s="2">
        <f t="shared" si="0"/>
        <v>-10</v>
      </c>
      <c r="H15" t="s">
        <v>47</v>
      </c>
    </row>
    <row r="16" spans="1:8" x14ac:dyDescent="0.35">
      <c r="A16" s="2" t="s">
        <v>87</v>
      </c>
      <c r="B16" s="2">
        <v>3</v>
      </c>
      <c r="C16" s="2">
        <v>5</v>
      </c>
      <c r="D16" s="2"/>
      <c r="E16" s="2">
        <f t="shared" si="0"/>
        <v>2</v>
      </c>
      <c r="H16" t="s">
        <v>49</v>
      </c>
    </row>
    <row r="17" spans="1:8" x14ac:dyDescent="0.35">
      <c r="A17" s="2" t="s">
        <v>42</v>
      </c>
      <c r="B17" s="2">
        <v>1</v>
      </c>
      <c r="C17" s="2">
        <v>1</v>
      </c>
      <c r="D17" s="2"/>
      <c r="E17" s="2">
        <f t="shared" si="0"/>
        <v>0</v>
      </c>
      <c r="H17" t="s">
        <v>27</v>
      </c>
    </row>
    <row r="18" spans="1:8" x14ac:dyDescent="0.35">
      <c r="A18" s="2" t="s">
        <v>43</v>
      </c>
      <c r="B18" s="2">
        <v>2</v>
      </c>
      <c r="C18" s="2">
        <v>2</v>
      </c>
      <c r="D18" s="2"/>
      <c r="E18" s="2">
        <f t="shared" si="0"/>
        <v>0</v>
      </c>
      <c r="H18" t="s">
        <v>25</v>
      </c>
    </row>
    <row r="19" spans="1:8" x14ac:dyDescent="0.35">
      <c r="A19" s="2" t="s">
        <v>35</v>
      </c>
      <c r="B19" s="2">
        <v>2</v>
      </c>
      <c r="C19" s="2">
        <v>2</v>
      </c>
      <c r="D19" s="2"/>
      <c r="E19" s="2">
        <f t="shared" si="0"/>
        <v>0</v>
      </c>
      <c r="H19" t="s">
        <v>36</v>
      </c>
    </row>
    <row r="20" spans="1:8" x14ac:dyDescent="0.35">
      <c r="A20" s="2" t="s">
        <v>41</v>
      </c>
      <c r="B20" s="2">
        <v>5</v>
      </c>
      <c r="C20" s="2">
        <v>6</v>
      </c>
      <c r="D20" s="2"/>
      <c r="E20" s="2">
        <f t="shared" si="0"/>
        <v>1</v>
      </c>
      <c r="H20" t="s">
        <v>110</v>
      </c>
    </row>
    <row r="21" spans="1:8" x14ac:dyDescent="0.35">
      <c r="A21" s="2"/>
      <c r="B21" s="2"/>
      <c r="C21" s="2"/>
      <c r="D21" s="2"/>
      <c r="E21" s="15">
        <f>SUM(E4:E20)</f>
        <v>-35</v>
      </c>
      <c r="H2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49A3-A982-4C1C-92E0-8C2AF860C04A}">
  <dimension ref="B3:H43"/>
  <sheetViews>
    <sheetView topLeftCell="A29" workbookViewId="0">
      <selection activeCell="C49" sqref="C49"/>
    </sheetView>
  </sheetViews>
  <sheetFormatPr defaultRowHeight="14.5" x14ac:dyDescent="0.35"/>
  <cols>
    <col min="3" max="3" width="20.453125" bestFit="1" customWidth="1"/>
    <col min="4" max="4" width="18" bestFit="1" customWidth="1"/>
    <col min="5" max="5" width="23.26953125" bestFit="1" customWidth="1"/>
    <col min="6" max="6" width="18.81640625" customWidth="1"/>
    <col min="7" max="7" width="6.1796875" bestFit="1" customWidth="1"/>
    <col min="8" max="8" width="13.453125" customWidth="1"/>
  </cols>
  <sheetData>
    <row r="3" spans="2:8" x14ac:dyDescent="0.35">
      <c r="B3" s="2"/>
      <c r="C3" s="2"/>
      <c r="D3" s="11" t="s">
        <v>104</v>
      </c>
      <c r="E3" s="11" t="s">
        <v>105</v>
      </c>
      <c r="F3" s="11" t="s">
        <v>106</v>
      </c>
      <c r="G3" s="11" t="s">
        <v>107</v>
      </c>
      <c r="H3" s="11" t="s">
        <v>108</v>
      </c>
    </row>
    <row r="4" spans="2:8" ht="58" x14ac:dyDescent="0.35">
      <c r="B4" s="10" t="s">
        <v>103</v>
      </c>
      <c r="C4" s="12" t="s">
        <v>1</v>
      </c>
      <c r="D4" s="13" t="s">
        <v>95</v>
      </c>
      <c r="E4" s="13" t="s">
        <v>93</v>
      </c>
      <c r="F4" s="14" t="s">
        <v>96</v>
      </c>
      <c r="G4" s="13" t="s">
        <v>94</v>
      </c>
      <c r="H4" s="14" t="s">
        <v>102</v>
      </c>
    </row>
    <row r="5" spans="2:8" x14ac:dyDescent="0.35">
      <c r="B5" s="11">
        <v>1</v>
      </c>
      <c r="C5" s="2" t="s">
        <v>92</v>
      </c>
      <c r="D5" s="2">
        <v>65</v>
      </c>
      <c r="E5" s="2">
        <f>36+15+1</f>
        <v>52</v>
      </c>
      <c r="F5" s="2">
        <f t="shared" ref="F5:F13" si="0">E5-G5</f>
        <v>41</v>
      </c>
      <c r="G5" s="2">
        <f>7+4</f>
        <v>11</v>
      </c>
      <c r="H5" s="2">
        <f>+D5-E5</f>
        <v>13</v>
      </c>
    </row>
    <row r="6" spans="2:8" x14ac:dyDescent="0.35">
      <c r="B6" s="11">
        <v>2</v>
      </c>
      <c r="C6" s="2" t="s">
        <v>13</v>
      </c>
      <c r="D6" s="2">
        <v>146</v>
      </c>
      <c r="E6" s="2">
        <f>8+1+24+34+4+11+4+4+5+6+3+5+1+1</f>
        <v>111</v>
      </c>
      <c r="F6" s="2">
        <f t="shared" si="0"/>
        <v>111</v>
      </c>
      <c r="G6" s="2">
        <v>0</v>
      </c>
      <c r="H6" s="2">
        <f t="shared" ref="H6:H13" si="1">+D6-E6</f>
        <v>35</v>
      </c>
    </row>
    <row r="7" spans="2:8" x14ac:dyDescent="0.35">
      <c r="B7" s="11">
        <v>3</v>
      </c>
      <c r="C7" s="2" t="s">
        <v>99</v>
      </c>
      <c r="D7" s="2">
        <f>12+1</f>
        <v>13</v>
      </c>
      <c r="E7" s="2">
        <v>16</v>
      </c>
      <c r="F7" s="2">
        <f t="shared" si="0"/>
        <v>14</v>
      </c>
      <c r="G7" s="2">
        <v>2</v>
      </c>
      <c r="H7" s="2">
        <f t="shared" si="1"/>
        <v>-3</v>
      </c>
    </row>
    <row r="8" spans="2:8" x14ac:dyDescent="0.35">
      <c r="B8" s="11">
        <v>4</v>
      </c>
      <c r="C8" s="2" t="s">
        <v>34</v>
      </c>
      <c r="D8" s="2">
        <v>20</v>
      </c>
      <c r="E8" s="2">
        <v>25</v>
      </c>
      <c r="F8" s="2">
        <f t="shared" si="0"/>
        <v>13</v>
      </c>
      <c r="G8" s="2">
        <v>12</v>
      </c>
      <c r="H8" s="2">
        <f t="shared" si="1"/>
        <v>-5</v>
      </c>
    </row>
    <row r="9" spans="2:8" x14ac:dyDescent="0.35">
      <c r="B9" s="11">
        <v>5</v>
      </c>
      <c r="C9" s="2" t="s">
        <v>7</v>
      </c>
      <c r="D9" s="2">
        <v>12</v>
      </c>
      <c r="E9" s="2">
        <v>23</v>
      </c>
      <c r="F9" s="2">
        <f t="shared" si="0"/>
        <v>10</v>
      </c>
      <c r="G9" s="2">
        <v>13</v>
      </c>
      <c r="H9" s="2">
        <f t="shared" si="1"/>
        <v>-11</v>
      </c>
    </row>
    <row r="10" spans="2:8" x14ac:dyDescent="0.35">
      <c r="B10" s="11">
        <v>6</v>
      </c>
      <c r="C10" s="2" t="s">
        <v>41</v>
      </c>
      <c r="D10" s="2">
        <v>3</v>
      </c>
      <c r="E10" s="2">
        <v>3</v>
      </c>
      <c r="F10" s="2">
        <f t="shared" si="0"/>
        <v>3</v>
      </c>
      <c r="G10" s="2">
        <v>0</v>
      </c>
      <c r="H10" s="2">
        <f t="shared" si="1"/>
        <v>0</v>
      </c>
    </row>
    <row r="11" spans="2:8" x14ac:dyDescent="0.35">
      <c r="B11" s="11">
        <v>7</v>
      </c>
      <c r="C11" s="2" t="s">
        <v>97</v>
      </c>
      <c r="D11" s="2">
        <v>9</v>
      </c>
      <c r="E11" s="2">
        <v>10</v>
      </c>
      <c r="F11" s="2">
        <f t="shared" si="0"/>
        <v>5</v>
      </c>
      <c r="G11" s="2">
        <v>5</v>
      </c>
      <c r="H11" s="2">
        <f t="shared" si="1"/>
        <v>-1</v>
      </c>
    </row>
    <row r="12" spans="2:8" x14ac:dyDescent="0.35">
      <c r="B12" s="11">
        <v>8</v>
      </c>
      <c r="C12" s="2" t="s">
        <v>98</v>
      </c>
      <c r="D12" s="2">
        <v>6</v>
      </c>
      <c r="E12" s="2">
        <v>6</v>
      </c>
      <c r="F12" s="2">
        <f t="shared" si="0"/>
        <v>5</v>
      </c>
      <c r="G12" s="2">
        <v>1</v>
      </c>
      <c r="H12" s="2">
        <f t="shared" si="1"/>
        <v>0</v>
      </c>
    </row>
    <row r="13" spans="2:8" x14ac:dyDescent="0.35">
      <c r="B13" s="11">
        <v>9</v>
      </c>
      <c r="C13" s="2" t="s">
        <v>100</v>
      </c>
      <c r="D13" s="2">
        <v>76</v>
      </c>
      <c r="E13" s="2">
        <v>39</v>
      </c>
      <c r="F13" s="2">
        <f t="shared" si="0"/>
        <v>33</v>
      </c>
      <c r="G13" s="2">
        <v>6</v>
      </c>
      <c r="H13" s="2">
        <f t="shared" si="1"/>
        <v>37</v>
      </c>
    </row>
    <row r="14" spans="2:8" x14ac:dyDescent="0.35">
      <c r="B14" s="2"/>
      <c r="C14" s="2" t="s">
        <v>109</v>
      </c>
      <c r="D14" s="2">
        <f>SUM(D5:D13)</f>
        <v>350</v>
      </c>
      <c r="E14" s="2">
        <f>SUM(E5:E13)</f>
        <v>285</v>
      </c>
      <c r="F14" s="2">
        <f>SUM(F5:F13)</f>
        <v>235</v>
      </c>
      <c r="G14" s="2">
        <f>SUM(G5:G13)</f>
        <v>50</v>
      </c>
      <c r="H14" s="2">
        <f>SUM(H5:H13)</f>
        <v>65</v>
      </c>
    </row>
    <row r="18" spans="3:3" x14ac:dyDescent="0.35">
      <c r="C18" s="8" t="s">
        <v>101</v>
      </c>
    </row>
    <row r="19" spans="3:3" x14ac:dyDescent="0.35">
      <c r="C19" s="7"/>
    </row>
    <row r="20" spans="3:3" x14ac:dyDescent="0.35">
      <c r="C20" s="9" t="s">
        <v>1</v>
      </c>
    </row>
    <row r="21" spans="3:3" x14ac:dyDescent="0.35">
      <c r="C21" s="2" t="s">
        <v>24</v>
      </c>
    </row>
    <row r="22" spans="3:3" x14ac:dyDescent="0.35">
      <c r="C22" s="2" t="s">
        <v>87</v>
      </c>
    </row>
    <row r="23" spans="3:3" x14ac:dyDescent="0.35">
      <c r="C23" s="2" t="s">
        <v>47</v>
      </c>
    </row>
    <row r="24" spans="3:3" x14ac:dyDescent="0.35">
      <c r="C24" s="2" t="s">
        <v>48</v>
      </c>
    </row>
    <row r="25" spans="3:3" x14ac:dyDescent="0.35">
      <c r="C25" s="2" t="s">
        <v>25</v>
      </c>
    </row>
    <row r="26" spans="3:3" x14ac:dyDescent="0.35">
      <c r="C26" s="2" t="s">
        <v>49</v>
      </c>
    </row>
    <row r="27" spans="3:3" x14ac:dyDescent="0.35">
      <c r="C27" s="2" t="s">
        <v>50</v>
      </c>
    </row>
    <row r="28" spans="3:3" x14ac:dyDescent="0.35">
      <c r="C28" s="2" t="s">
        <v>27</v>
      </c>
    </row>
    <row r="29" spans="3:3" x14ac:dyDescent="0.35">
      <c r="C29" s="2" t="s">
        <v>35</v>
      </c>
    </row>
    <row r="30" spans="3:3" x14ac:dyDescent="0.35">
      <c r="C30" s="2" t="s">
        <v>88</v>
      </c>
    </row>
    <row r="31" spans="3:3" x14ac:dyDescent="0.35">
      <c r="C31" s="2" t="s">
        <v>28</v>
      </c>
    </row>
    <row r="32" spans="3:3" x14ac:dyDescent="0.35">
      <c r="C32" s="2" t="s">
        <v>51</v>
      </c>
    </row>
    <row r="33" spans="3:3" x14ac:dyDescent="0.35">
      <c r="C33" s="2" t="s">
        <v>52</v>
      </c>
    </row>
    <row r="34" spans="3:3" x14ac:dyDescent="0.35">
      <c r="C34" s="2" t="s">
        <v>53</v>
      </c>
    </row>
    <row r="35" spans="3:3" x14ac:dyDescent="0.35">
      <c r="C35" s="2" t="s">
        <v>30</v>
      </c>
    </row>
    <row r="36" spans="3:3" x14ac:dyDescent="0.35">
      <c r="C36" s="2" t="s">
        <v>54</v>
      </c>
    </row>
    <row r="37" spans="3:3" x14ac:dyDescent="0.35">
      <c r="C37" s="2" t="s">
        <v>55</v>
      </c>
    </row>
    <row r="38" spans="3:3" x14ac:dyDescent="0.35">
      <c r="C38" s="2" t="s">
        <v>56</v>
      </c>
    </row>
    <row r="39" spans="3:3" x14ac:dyDescent="0.35">
      <c r="C39" s="2" t="s">
        <v>14</v>
      </c>
    </row>
    <row r="40" spans="3:3" x14ac:dyDescent="0.35">
      <c r="C40" s="2" t="s">
        <v>57</v>
      </c>
    </row>
    <row r="41" spans="3:3" x14ac:dyDescent="0.35">
      <c r="C41" s="2" t="s">
        <v>42</v>
      </c>
    </row>
    <row r="42" spans="3:3" x14ac:dyDescent="0.35">
      <c r="C42" s="2" t="s">
        <v>43</v>
      </c>
    </row>
    <row r="43" spans="3:3" x14ac:dyDescent="0.35">
      <c r="C43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Contract budget vs actual</vt:lpstr>
      <vt:lpstr>Approval mails verification</vt:lpstr>
      <vt:lpstr>Org struct vs Budget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Pusunuru (IND)</dc:creator>
  <cp:lastModifiedBy>Borra Prasanna (IND)</cp:lastModifiedBy>
  <dcterms:created xsi:type="dcterms:W3CDTF">2024-02-07T04:17:34Z</dcterms:created>
  <dcterms:modified xsi:type="dcterms:W3CDTF">2025-11-25T07:01:27Z</dcterms:modified>
</cp:coreProperties>
</file>