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tivitimf-my.sharepoint.com/personal/borra_prasanna_protivitiglobal_in/Documents/Premier Energies 2025-26 from Q2/Internal Audit/Expenses review Desktop/Report Annex/1) Cost Centre/"/>
    </mc:Choice>
  </mc:AlternateContent>
  <xr:revisionPtr revIDLastSave="810" documentId="8_{815B3512-D919-480D-B1F0-7C8067A8EDC4}" xr6:coauthVersionLast="47" xr6:coauthVersionMax="47" xr10:uidLastSave="{F15A20CB-3BC4-4244-B596-FFAE2719D59A}"/>
  <bookViews>
    <workbookView xWindow="-110" yWindow="-110" windowWidth="19420" windowHeight="10300" xr2:uid="{A32CC126-A688-4DCD-8F02-48D1DC4ECAE3}"/>
  </bookViews>
  <sheets>
    <sheet name="Final" sheetId="2" r:id="rId1"/>
  </sheets>
  <definedNames>
    <definedName name="_xlnm._FilterDatabase" localSheetId="0" hidden="1">Final!$A$2:$I$23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2" l="1"/>
</calcChain>
</file>

<file path=xl/sharedStrings.xml><?xml version="1.0" encoding="utf-8"?>
<sst xmlns="http://schemas.openxmlformats.org/spreadsheetml/2006/main" count="116" uniqueCount="58">
  <si>
    <t>Doc.No</t>
  </si>
  <si>
    <t>Company</t>
  </si>
  <si>
    <t>Date</t>
  </si>
  <si>
    <t>Correct</t>
  </si>
  <si>
    <t>Haryana Warehouse-20001704</t>
  </si>
  <si>
    <t>Admin-40001102</t>
  </si>
  <si>
    <t>HR-40001103</t>
  </si>
  <si>
    <t>services</t>
  </si>
  <si>
    <t>Amount</t>
  </si>
  <si>
    <t>Correct cost center</t>
  </si>
  <si>
    <t>PEIPL CELL LINE
PEPPL CELL LINE
PEPPL FACTORY OFFICE
PEPPL MODULE LINE</t>
  </si>
  <si>
    <t>88161
171937
107267
319449</t>
  </si>
  <si>
    <t>PEGEPL- Module Line</t>
  </si>
  <si>
    <t>Vendor</t>
  </si>
  <si>
    <t xml:space="preserve">PEIPL CELL LINE
 PEPPL CELL LINE 
PEPPL FACTORY OFFICE 
PEPPL MODULE LINE 
PEPPL-Topcon Cell Line </t>
  </si>
  <si>
    <t>PEGEPL- Module Line
 PEGEPL 2</t>
  </si>
  <si>
    <t>812852  
20186</t>
  </si>
  <si>
    <t>Module Line-50001380</t>
  </si>
  <si>
    <t>Manpower</t>
  </si>
  <si>
    <t>PEGEPL- Module Line
PEGEPL 2
PEGEPL-Factory Office</t>
  </si>
  <si>
    <t>1224757
17749
6925</t>
  </si>
  <si>
    <t>PEGEPL- Module Line
PEGEPL-Factory Office (Supervisor)</t>
  </si>
  <si>
    <t>704829
21000</t>
  </si>
  <si>
    <t>2628988.94
21000</t>
  </si>
  <si>
    <t>PEGEPL- Module Line
PEGEPL 2
PEGEPL-Factory Office
deduction</t>
  </si>
  <si>
    <t>651122.25
5845.5
27378
-9968</t>
  </si>
  <si>
    <t>PEGEPL- Module Line
deduction</t>
  </si>
  <si>
    <t>595377
42000</t>
  </si>
  <si>
    <t>PEGEPL- Module Line
PEGEPL-Factory Office
PEGEPL-Factory Office (Supervisor)
deduction</t>
  </si>
  <si>
    <t>Premier Global - 1
deduction</t>
  </si>
  <si>
    <t>PEGEPL- Module Line
PEGEPL-Factory Office
PEGEPL-Factory Office (Supervisor)</t>
  </si>
  <si>
    <t>1828247
270506
42000</t>
  </si>
  <si>
    <t>PEGEPL- Module Line
PEGEPL-Factory Office</t>
  </si>
  <si>
    <t>930883
49915</t>
  </si>
  <si>
    <t>PEGEPL- Module Line
PEGEPL-Factory Office
deduction</t>
  </si>
  <si>
    <t>173091
 183378 
218161 
317579 
61282</t>
  </si>
  <si>
    <t>3158964.77
21000</t>
  </si>
  <si>
    <t>1754371.99
21000</t>
  </si>
  <si>
    <t>2294876.08
21000</t>
  </si>
  <si>
    <t>447935.68
-3611</t>
  </si>
  <si>
    <t>3475129.20
87363.41
21000
-43419</t>
  </si>
  <si>
    <t>776456.30
-9477</t>
  </si>
  <si>
    <t>5049701.89
668299.51
21000
-73806</t>
  </si>
  <si>
    <t>405299.58
84338.00
-7606</t>
  </si>
  <si>
    <t xml:space="preserve">10001660-ANALYSE GLOBAL NEX PRIVATE LIMITED </t>
  </si>
  <si>
    <t xml:space="preserve">10000537-AKHIL ENTERPRISES </t>
  </si>
  <si>
    <t xml:space="preserve">40000248-GLITZ CORP </t>
  </si>
  <si>
    <t>40000926-IVANGEL SALES &amp; SERVICES PRIVATE LIMITED</t>
  </si>
  <si>
    <t xml:space="preserve">40001042-TALENT HUB (T-HUB) </t>
  </si>
  <si>
    <t xml:space="preserve">10000538-NIJA MANPOWER SERVICES </t>
  </si>
  <si>
    <t>40000887-JVG MANAGEMENT CONSULTING PRIVATE LIMITED</t>
  </si>
  <si>
    <t>PEGEPL - Admin</t>
  </si>
  <si>
    <t>PEIPL FACTORY OFFICE
PEIPL MODULE LINE
PEIPL FACTORY OFFICE  (Supervisor)</t>
  </si>
  <si>
    <t>700280.76
3789501.41
21000</t>
  </si>
  <si>
    <t>Total amount tagged to incorrect cost center</t>
  </si>
  <si>
    <t>Incorrect cost centre</t>
  </si>
  <si>
    <t xml:space="preserve">  </t>
  </si>
  <si>
    <t>Posted to wrong cost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</si>
</sst>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2" fillId="0" borderId="0" xfId="0" applyFont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3" fontId="2" fillId="2" borderId="1" xfId="1" applyFont="1" applyFill="1" applyBorder="1" applyAlignment="1">
      <alignment horizontal="left" vertical="center"/>
    </xf>
    <xf numFmtId="0" fontId="0" fillId="0" borderId="1" xfId="0" applyBorder="1" applyAlignment="1">
      <alignment horizontal="centerContinuous" vertical="center"/>
    </xf>
    <xf numFmtId="164" fontId="0" fillId="0" borderId="0" xfId="1" applyNumberFormat="1" applyFont="1" applyAlignment="1">
      <alignment vertical="center"/>
    </xf>
    <xf numFmtId="164" fontId="2" fillId="2" borderId="1" xfId="1" applyNumberFormat="1" applyFont="1" applyFill="1" applyBorder="1" applyAlignment="1">
      <alignment vertical="center"/>
    </xf>
    <xf numFmtId="164" fontId="0" fillId="0" borderId="1" xfId="1" applyNumberFormat="1" applyFont="1" applyBorder="1" applyAlignment="1">
      <alignment vertical="center"/>
    </xf>
    <xf numFmtId="164" fontId="3" fillId="0" borderId="1" xfId="1" applyNumberFormat="1" applyFont="1" applyBorder="1" applyAlignment="1">
      <alignment vertical="center"/>
    </xf>
    <xf numFmtId="164" fontId="3" fillId="0" borderId="1" xfId="1" applyNumberFormat="1" applyFont="1" applyFill="1" applyBorder="1" applyAlignment="1">
      <alignment vertical="center"/>
    </xf>
    <xf numFmtId="164" fontId="0" fillId="0" borderId="1" xfId="1" applyNumberFormat="1" applyFont="1" applyFill="1" applyBorder="1" applyAlignment="1">
      <alignment vertic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top" wrapText="1"/>
    </xf>
    <xf numFmtId="43" fontId="0" fillId="0" borderId="0" xfId="1" applyFont="1" applyAlignment="1">
      <alignment horizontal="right"/>
    </xf>
    <xf numFmtId="43" fontId="2" fillId="2" borderId="1" xfId="1" applyFont="1" applyFill="1" applyBorder="1" applyAlignment="1">
      <alignment horizontal="right"/>
    </xf>
    <xf numFmtId="43" fontId="0" fillId="0" borderId="1" xfId="1" applyFont="1" applyBorder="1" applyAlignment="1">
      <alignment horizontal="right" wrapText="1"/>
    </xf>
    <xf numFmtId="43" fontId="0" fillId="0" borderId="1" xfId="1" applyFont="1" applyBorder="1" applyAlignment="1">
      <alignment horizontal="right" vertical="top" wrapText="1"/>
    </xf>
    <xf numFmtId="43" fontId="0" fillId="0" borderId="1" xfId="1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43" fontId="2" fillId="0" borderId="0" xfId="1" applyFont="1" applyAlignment="1">
      <alignment horizontal="right"/>
    </xf>
    <xf numFmtId="164" fontId="2" fillId="0" borderId="0" xfId="0" applyNumberFormat="1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650D5-C4F6-4BA0-B365-3CBCD6000499}">
  <dimension ref="A1:I27"/>
  <sheetViews>
    <sheetView tabSelected="1" zoomScale="74" workbookViewId="0">
      <selection activeCell="H25" sqref="H25"/>
    </sheetView>
  </sheetViews>
  <sheetFormatPr defaultRowHeight="14.5" x14ac:dyDescent="0.35"/>
  <cols>
    <col min="1" max="1" width="12.90625" bestFit="1" customWidth="1"/>
    <col min="2" max="2" width="50.1796875" style="2" customWidth="1"/>
    <col min="3" max="3" width="12.1796875" customWidth="1"/>
    <col min="4" max="4" width="13.08984375" customWidth="1"/>
    <col min="5" max="5" width="36.26953125" style="2" customWidth="1"/>
    <col min="6" max="6" width="15" style="18" customWidth="1"/>
    <col min="7" max="7" width="29.7265625" customWidth="1"/>
    <col min="8" max="8" width="14.7265625" customWidth="1"/>
    <col min="9" max="9" width="9.1796875" bestFit="1" customWidth="1"/>
  </cols>
  <sheetData>
    <row r="1" spans="1:9" x14ac:dyDescent="0.35">
      <c r="A1" s="1"/>
      <c r="B1" s="3"/>
      <c r="C1" s="1"/>
      <c r="D1" s="1"/>
      <c r="E1" s="28" t="s">
        <v>3</v>
      </c>
      <c r="G1" s="29" t="s">
        <v>57</v>
      </c>
      <c r="H1" s="10"/>
      <c r="I1" s="1"/>
    </row>
    <row r="2" spans="1:9" x14ac:dyDescent="0.35">
      <c r="A2" s="7" t="s">
        <v>0</v>
      </c>
      <c r="B2" s="23" t="s">
        <v>13</v>
      </c>
      <c r="C2" s="7" t="s">
        <v>1</v>
      </c>
      <c r="D2" s="7" t="s">
        <v>2</v>
      </c>
      <c r="E2" s="8" t="s">
        <v>9</v>
      </c>
      <c r="F2" s="19" t="s">
        <v>8</v>
      </c>
      <c r="G2" s="7" t="s">
        <v>55</v>
      </c>
      <c r="H2" s="11" t="s">
        <v>8</v>
      </c>
      <c r="I2" s="7" t="s">
        <v>7</v>
      </c>
    </row>
    <row r="3" spans="1:9" ht="58" x14ac:dyDescent="0.35">
      <c r="A3" s="5">
        <v>1900002502</v>
      </c>
      <c r="B3" s="24" t="s">
        <v>44</v>
      </c>
      <c r="C3" s="5">
        <v>2000</v>
      </c>
      <c r="D3" s="6">
        <v>45626</v>
      </c>
      <c r="E3" s="22" t="s">
        <v>10</v>
      </c>
      <c r="F3" s="20" t="s">
        <v>11</v>
      </c>
      <c r="G3" s="9" t="s">
        <v>4</v>
      </c>
      <c r="H3" s="12">
        <v>686814.62</v>
      </c>
      <c r="I3" s="5" t="s">
        <v>18</v>
      </c>
    </row>
    <row r="4" spans="1:9" ht="72.5" x14ac:dyDescent="0.35">
      <c r="A4" s="5">
        <v>1900002692</v>
      </c>
      <c r="B4" s="24" t="s">
        <v>44</v>
      </c>
      <c r="C4" s="5">
        <v>2000</v>
      </c>
      <c r="D4" s="6">
        <v>45656</v>
      </c>
      <c r="E4" s="16" t="s">
        <v>14</v>
      </c>
      <c r="F4" s="20" t="s">
        <v>35</v>
      </c>
      <c r="G4" s="5" t="s">
        <v>4</v>
      </c>
      <c r="H4" s="12">
        <v>953492.42</v>
      </c>
      <c r="I4" s="5" t="s">
        <v>18</v>
      </c>
    </row>
    <row r="5" spans="1:9" ht="29" x14ac:dyDescent="0.35">
      <c r="A5" s="5">
        <v>1900000077</v>
      </c>
      <c r="B5" s="24" t="s">
        <v>45</v>
      </c>
      <c r="C5" s="5">
        <v>4000</v>
      </c>
      <c r="D5" s="6">
        <v>45777</v>
      </c>
      <c r="E5" s="16" t="s">
        <v>15</v>
      </c>
      <c r="F5" s="20" t="s">
        <v>16</v>
      </c>
      <c r="G5" s="5" t="s">
        <v>5</v>
      </c>
      <c r="H5" s="12">
        <v>833037.28</v>
      </c>
      <c r="I5" s="5" t="s">
        <v>18</v>
      </c>
    </row>
    <row r="6" spans="1:9" ht="43.5" x14ac:dyDescent="0.35">
      <c r="A6" s="5">
        <v>1900000215</v>
      </c>
      <c r="B6" s="24" t="s">
        <v>45</v>
      </c>
      <c r="C6" s="5">
        <v>4000</v>
      </c>
      <c r="D6" s="6">
        <v>45808</v>
      </c>
      <c r="E6" s="17" t="s">
        <v>19</v>
      </c>
      <c r="F6" s="21" t="s">
        <v>20</v>
      </c>
      <c r="G6" s="5" t="s">
        <v>5</v>
      </c>
      <c r="H6" s="12">
        <v>1249430.5</v>
      </c>
      <c r="I6" s="5" t="s">
        <v>18</v>
      </c>
    </row>
    <row r="7" spans="1:9" ht="29" x14ac:dyDescent="0.35">
      <c r="A7" s="5">
        <v>1900000216</v>
      </c>
      <c r="B7" s="24" t="s">
        <v>45</v>
      </c>
      <c r="C7" s="5">
        <v>4000</v>
      </c>
      <c r="D7" s="6">
        <v>45808</v>
      </c>
      <c r="E7" s="17" t="s">
        <v>21</v>
      </c>
      <c r="F7" s="21" t="s">
        <v>22</v>
      </c>
      <c r="G7" s="5" t="s">
        <v>5</v>
      </c>
      <c r="H7" s="15">
        <v>725829.66</v>
      </c>
      <c r="I7" s="5" t="s">
        <v>18</v>
      </c>
    </row>
    <row r="8" spans="1:9" ht="29" x14ac:dyDescent="0.35">
      <c r="A8" s="5">
        <v>1900000217</v>
      </c>
      <c r="B8" s="24" t="s">
        <v>46</v>
      </c>
      <c r="C8" s="5">
        <v>4000</v>
      </c>
      <c r="D8" s="6">
        <v>45808</v>
      </c>
      <c r="E8" s="17" t="s">
        <v>21</v>
      </c>
      <c r="F8" s="21" t="s">
        <v>23</v>
      </c>
      <c r="G8" s="5" t="s">
        <v>5</v>
      </c>
      <c r="H8" s="14">
        <v>2649988.98</v>
      </c>
      <c r="I8" s="5" t="s">
        <v>18</v>
      </c>
    </row>
    <row r="9" spans="1:9" ht="58" x14ac:dyDescent="0.35">
      <c r="A9" s="5">
        <v>1900000218</v>
      </c>
      <c r="B9" s="24" t="s">
        <v>47</v>
      </c>
      <c r="C9" s="5">
        <v>4000</v>
      </c>
      <c r="D9" s="6">
        <v>45747</v>
      </c>
      <c r="E9" s="17" t="s">
        <v>24</v>
      </c>
      <c r="F9" s="21" t="s">
        <v>25</v>
      </c>
      <c r="G9" s="5" t="s">
        <v>5</v>
      </c>
      <c r="H9" s="13">
        <v>674377.97</v>
      </c>
      <c r="I9" s="5" t="s">
        <v>18</v>
      </c>
    </row>
    <row r="10" spans="1:9" ht="29" x14ac:dyDescent="0.35">
      <c r="A10" s="5">
        <v>1900000456</v>
      </c>
      <c r="B10" s="24" t="s">
        <v>46</v>
      </c>
      <c r="C10" s="5">
        <v>4000</v>
      </c>
      <c r="D10" s="6">
        <v>45838</v>
      </c>
      <c r="E10" s="17" t="s">
        <v>21</v>
      </c>
      <c r="F10" s="21" t="s">
        <v>36</v>
      </c>
      <c r="G10" s="5" t="s">
        <v>5</v>
      </c>
      <c r="H10" s="15">
        <v>3179965</v>
      </c>
      <c r="I10" s="5" t="s">
        <v>18</v>
      </c>
    </row>
    <row r="11" spans="1:9" ht="29" x14ac:dyDescent="0.35">
      <c r="A11" s="5">
        <v>1900000671</v>
      </c>
      <c r="B11" s="24" t="s">
        <v>46</v>
      </c>
      <c r="C11" s="5">
        <v>4000</v>
      </c>
      <c r="D11" s="6">
        <v>45869</v>
      </c>
      <c r="E11" s="17" t="s">
        <v>21</v>
      </c>
      <c r="F11" s="21" t="s">
        <v>37</v>
      </c>
      <c r="G11" s="5" t="s">
        <v>6</v>
      </c>
      <c r="H11" s="12">
        <v>1775372.04</v>
      </c>
      <c r="I11" s="5" t="s">
        <v>18</v>
      </c>
    </row>
    <row r="12" spans="1:9" ht="29" x14ac:dyDescent="0.35">
      <c r="A12" s="5">
        <v>1900000672</v>
      </c>
      <c r="B12" s="24" t="s">
        <v>46</v>
      </c>
      <c r="C12" s="5">
        <v>4000</v>
      </c>
      <c r="D12" s="6">
        <v>45869</v>
      </c>
      <c r="E12" s="17" t="s">
        <v>21</v>
      </c>
      <c r="F12" s="21" t="s">
        <v>38</v>
      </c>
      <c r="G12" s="5" t="s">
        <v>6</v>
      </c>
      <c r="H12" s="12">
        <v>2315876.2799999998</v>
      </c>
      <c r="I12" s="5" t="s">
        <v>18</v>
      </c>
    </row>
    <row r="13" spans="1:9" x14ac:dyDescent="0.35">
      <c r="A13" s="5">
        <v>1900000689</v>
      </c>
      <c r="B13" s="24" t="s">
        <v>45</v>
      </c>
      <c r="C13" s="5">
        <v>4000</v>
      </c>
      <c r="D13" s="6">
        <v>45869</v>
      </c>
      <c r="E13" s="17" t="s">
        <v>12</v>
      </c>
      <c r="F13" s="21">
        <v>1300745</v>
      </c>
      <c r="G13" s="5" t="s">
        <v>6</v>
      </c>
      <c r="H13" s="12">
        <v>1300745.76</v>
      </c>
      <c r="I13" s="5" t="s">
        <v>18</v>
      </c>
    </row>
    <row r="14" spans="1:9" ht="29" x14ac:dyDescent="0.35">
      <c r="A14" s="5">
        <v>1900000692</v>
      </c>
      <c r="B14" s="24" t="s">
        <v>48</v>
      </c>
      <c r="C14" s="5">
        <v>4000</v>
      </c>
      <c r="D14" s="6">
        <v>45869</v>
      </c>
      <c r="E14" s="17" t="s">
        <v>26</v>
      </c>
      <c r="F14" s="21" t="s">
        <v>39</v>
      </c>
      <c r="G14" s="5" t="s">
        <v>6</v>
      </c>
      <c r="H14" s="12">
        <v>444325.18</v>
      </c>
      <c r="I14" s="5" t="s">
        <v>18</v>
      </c>
    </row>
    <row r="15" spans="1:9" ht="29" x14ac:dyDescent="0.35">
      <c r="A15" s="5">
        <v>1900000694</v>
      </c>
      <c r="B15" s="24" t="s">
        <v>45</v>
      </c>
      <c r="C15" s="5">
        <v>4000</v>
      </c>
      <c r="D15" s="6">
        <v>45869</v>
      </c>
      <c r="E15" s="17" t="s">
        <v>21</v>
      </c>
      <c r="F15" s="21" t="s">
        <v>27</v>
      </c>
      <c r="G15" s="5" t="s">
        <v>6</v>
      </c>
      <c r="H15" s="12">
        <v>637377.96</v>
      </c>
      <c r="I15" s="5" t="s">
        <v>18</v>
      </c>
    </row>
    <row r="16" spans="1:9" ht="58" x14ac:dyDescent="0.35">
      <c r="A16" s="5">
        <v>1900000695</v>
      </c>
      <c r="B16" s="24" t="s">
        <v>49</v>
      </c>
      <c r="C16" s="5">
        <v>4000</v>
      </c>
      <c r="D16" s="6">
        <v>45869</v>
      </c>
      <c r="E16" s="17" t="s">
        <v>28</v>
      </c>
      <c r="F16" s="21" t="s">
        <v>40</v>
      </c>
      <c r="G16" s="5" t="s">
        <v>6</v>
      </c>
      <c r="H16" s="12">
        <v>3540073.61</v>
      </c>
      <c r="I16" s="5" t="s">
        <v>18</v>
      </c>
    </row>
    <row r="17" spans="1:9" ht="29" x14ac:dyDescent="0.35">
      <c r="A17" s="5">
        <v>1900000696</v>
      </c>
      <c r="B17" s="24" t="s">
        <v>47</v>
      </c>
      <c r="C17" s="5">
        <v>4000</v>
      </c>
      <c r="D17" s="6">
        <v>45869</v>
      </c>
      <c r="E17" s="17" t="s">
        <v>29</v>
      </c>
      <c r="F17" s="21" t="s">
        <v>41</v>
      </c>
      <c r="G17" s="5" t="s">
        <v>6</v>
      </c>
      <c r="H17" s="15">
        <v>743757</v>
      </c>
      <c r="I17" s="5" t="s">
        <v>18</v>
      </c>
    </row>
    <row r="18" spans="1:9" ht="43.5" x14ac:dyDescent="0.35">
      <c r="A18" s="5">
        <v>1900000697</v>
      </c>
      <c r="B18" s="24" t="s">
        <v>45</v>
      </c>
      <c r="C18" s="5">
        <v>4000</v>
      </c>
      <c r="D18" s="6">
        <v>45869</v>
      </c>
      <c r="E18" s="17" t="s">
        <v>30</v>
      </c>
      <c r="F18" s="21" t="s">
        <v>31</v>
      </c>
      <c r="G18" s="5" t="s">
        <v>6</v>
      </c>
      <c r="H18" s="15">
        <v>2140753.38</v>
      </c>
      <c r="I18" s="5" t="s">
        <v>18</v>
      </c>
    </row>
    <row r="19" spans="1:9" ht="29" x14ac:dyDescent="0.35">
      <c r="A19" s="5">
        <v>1900000698</v>
      </c>
      <c r="B19" s="24" t="s">
        <v>45</v>
      </c>
      <c r="C19" s="5">
        <v>4000</v>
      </c>
      <c r="D19" s="6">
        <v>45869</v>
      </c>
      <c r="E19" s="17" t="s">
        <v>32</v>
      </c>
      <c r="F19" s="21" t="s">
        <v>33</v>
      </c>
      <c r="G19" s="5" t="s">
        <v>6</v>
      </c>
      <c r="H19" s="12">
        <v>980798.3</v>
      </c>
      <c r="I19" s="5" t="s">
        <v>18</v>
      </c>
    </row>
    <row r="20" spans="1:9" ht="58" x14ac:dyDescent="0.35">
      <c r="A20" s="5">
        <v>1900000700</v>
      </c>
      <c r="B20" s="24" t="s">
        <v>49</v>
      </c>
      <c r="C20" s="5">
        <v>4000</v>
      </c>
      <c r="D20" s="6">
        <v>45869</v>
      </c>
      <c r="E20" s="17" t="s">
        <v>28</v>
      </c>
      <c r="F20" s="21" t="s">
        <v>42</v>
      </c>
      <c r="G20" s="5" t="s">
        <v>6</v>
      </c>
      <c r="H20" s="12">
        <v>5665195.4100000001</v>
      </c>
      <c r="I20" s="5" t="s">
        <v>18</v>
      </c>
    </row>
    <row r="21" spans="1:9" ht="43.5" x14ac:dyDescent="0.35">
      <c r="A21" s="5">
        <v>1900000702</v>
      </c>
      <c r="B21" s="24" t="s">
        <v>48</v>
      </c>
      <c r="C21" s="5">
        <v>4000</v>
      </c>
      <c r="D21" s="6">
        <v>45869</v>
      </c>
      <c r="E21" s="17" t="s">
        <v>34</v>
      </c>
      <c r="F21" s="21" t="s">
        <v>43</v>
      </c>
      <c r="G21" s="5" t="s">
        <v>6</v>
      </c>
      <c r="H21" s="12">
        <v>482031.59</v>
      </c>
      <c r="I21" s="5" t="s">
        <v>18</v>
      </c>
    </row>
    <row r="22" spans="1:9" x14ac:dyDescent="0.35">
      <c r="A22" s="5">
        <v>1900000684</v>
      </c>
      <c r="B22" s="24" t="s">
        <v>50</v>
      </c>
      <c r="C22" s="5">
        <v>4000</v>
      </c>
      <c r="D22" s="6">
        <v>45869</v>
      </c>
      <c r="E22" s="17" t="s">
        <v>51</v>
      </c>
      <c r="F22" s="21">
        <v>29342.38</v>
      </c>
      <c r="G22" s="5" t="s">
        <v>6</v>
      </c>
      <c r="H22" s="12">
        <v>29342.38</v>
      </c>
      <c r="I22" s="5" t="s">
        <v>18</v>
      </c>
    </row>
    <row r="23" spans="1:9" ht="43.5" x14ac:dyDescent="0.35">
      <c r="A23" s="5">
        <v>1900001214</v>
      </c>
      <c r="B23" s="24" t="s">
        <v>49</v>
      </c>
      <c r="C23" s="5">
        <v>5000</v>
      </c>
      <c r="D23" s="6">
        <v>45535</v>
      </c>
      <c r="E23" s="17" t="s">
        <v>52</v>
      </c>
      <c r="F23" s="21" t="s">
        <v>53</v>
      </c>
      <c r="G23" s="5" t="s">
        <v>17</v>
      </c>
      <c r="H23" s="12">
        <v>4510782.17</v>
      </c>
      <c r="I23" s="5" t="s">
        <v>18</v>
      </c>
    </row>
    <row r="25" spans="1:9" x14ac:dyDescent="0.35">
      <c r="E25" s="25" t="s">
        <v>54</v>
      </c>
      <c r="F25" s="26"/>
      <c r="G25" s="4"/>
      <c r="H25" s="27">
        <f>SUM(H3:H24)</f>
        <v>35519367.489999995</v>
      </c>
    </row>
    <row r="27" spans="1:9" x14ac:dyDescent="0.35">
      <c r="G27" t="s">
        <v>56</v>
      </c>
    </row>
  </sheetData>
  <autoFilter ref="A2:I23" xr:uid="{2F2650D5-C4F6-4BA0-B365-3CBCD6000499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9d90964-91d3-4c01-ab00-563f95f00a38}" enabled="0" method="" siteId="{a9d90964-91d3-4c01-ab00-563f95f00a3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 Kolliboyina (IND)</dc:creator>
  <cp:lastModifiedBy>Teja Kolliboyina (IND)</cp:lastModifiedBy>
  <dcterms:created xsi:type="dcterms:W3CDTF">2025-09-23T06:03:17Z</dcterms:created>
  <dcterms:modified xsi:type="dcterms:W3CDTF">2025-10-21T10:20:21Z</dcterms:modified>
</cp:coreProperties>
</file>