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borra_prasanna_protivitiglobal_in/Documents/Premier Energies 2025-26 from Q2/Internal Audit/Expenses review Desktop/Report Annex/6)B. Cost centre/"/>
    </mc:Choice>
  </mc:AlternateContent>
  <xr:revisionPtr revIDLastSave="225" documentId="13_ncr:1_{46DA275F-D697-4732-B208-0007CE261384}" xr6:coauthVersionLast="47" xr6:coauthVersionMax="47" xr10:uidLastSave="{BA5984FD-D87D-4195-BB27-5AB350C052D2}"/>
  <bookViews>
    <workbookView xWindow="-110" yWindow="-110" windowWidth="19420" windowHeight="10300" xr2:uid="{E70D7C24-1996-47D8-BF70-5ED6FC2ADDBF}"/>
  </bookViews>
  <sheets>
    <sheet name="Incorrect Cost centers" sheetId="2" r:id="rId1"/>
    <sheet name="PEIPL" sheetId="3" r:id="rId2"/>
    <sheet name="PEGEPL" sheetId="4" r:id="rId3"/>
    <sheet name="PEL" sheetId="6" r:id="rId4"/>
  </sheets>
  <definedNames>
    <definedName name="_xlnm._FilterDatabase" localSheetId="2" hidden="1">PEGEPL!$B$2:$K$16</definedName>
    <definedName name="_xlnm._FilterDatabase" localSheetId="1" hidden="1">PEIPL!$B$2:$J$2</definedName>
    <definedName name="_xlnm._FilterDatabase" localSheetId="3" hidden="1">PEL!$A$3:$K$28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</calcChain>
</file>

<file path=xl/sharedStrings.xml><?xml version="1.0" encoding="utf-8"?>
<sst xmlns="http://schemas.openxmlformats.org/spreadsheetml/2006/main" count="586" uniqueCount="106">
  <si>
    <t>WPS - UP</t>
  </si>
  <si>
    <t>Hisar - Haryana</t>
  </si>
  <si>
    <t xml:space="preserve">Service Project </t>
  </si>
  <si>
    <t>PEL</t>
  </si>
  <si>
    <t>PEGEPL Module</t>
  </si>
  <si>
    <t>PEGEPL HO</t>
  </si>
  <si>
    <t>PEGEPL Project</t>
  </si>
  <si>
    <t>Sitarampur</t>
  </si>
  <si>
    <t>Projects</t>
  </si>
  <si>
    <t>PEGEPL</t>
  </si>
  <si>
    <t>PEIPL Module</t>
  </si>
  <si>
    <t>No separate cost center</t>
  </si>
  <si>
    <t>PEIPL Factory Office</t>
  </si>
  <si>
    <t>Fabcity</t>
  </si>
  <si>
    <t>PEIPL</t>
  </si>
  <si>
    <t>To be assigned</t>
  </si>
  <si>
    <t>Assigned</t>
  </si>
  <si>
    <t>Sub branch</t>
  </si>
  <si>
    <t>Department</t>
  </si>
  <si>
    <t>Company</t>
  </si>
  <si>
    <t>Sl.No</t>
  </si>
  <si>
    <t>Purnia</t>
  </si>
  <si>
    <t>POWER PLANT - DELHI</t>
  </si>
  <si>
    <t>WTP - BIHAR</t>
  </si>
  <si>
    <t>Bhopal</t>
  </si>
  <si>
    <t>WPS - MP</t>
  </si>
  <si>
    <t>Power Plant - J&amp;K</t>
  </si>
  <si>
    <t>Nagrota</t>
  </si>
  <si>
    <t>POWER PLANTS-TS</t>
  </si>
  <si>
    <t>O&amp;M</t>
  </si>
  <si>
    <t>Nayudupeta</t>
  </si>
  <si>
    <t>PEGEPL Factory Office</t>
  </si>
  <si>
    <t>April 25 to Aug 25</t>
  </si>
  <si>
    <t>Month</t>
  </si>
  <si>
    <t>Employee Code</t>
  </si>
  <si>
    <t>Full name</t>
  </si>
  <si>
    <t>Designation</t>
  </si>
  <si>
    <t>CC</t>
  </si>
  <si>
    <t>PEIPL0011</t>
  </si>
  <si>
    <t>Pavan Kumar Reddy Karra</t>
  </si>
  <si>
    <t>Assistant Manager - Projects</t>
  </si>
  <si>
    <t>PEIPL0177</t>
  </si>
  <si>
    <t>Venkata Satya R K Kunchapudi</t>
  </si>
  <si>
    <t>Assistant Manager</t>
  </si>
  <si>
    <t>Corporate Office</t>
  </si>
  <si>
    <t>PEIPL HO</t>
  </si>
  <si>
    <t>PEIPL0649</t>
  </si>
  <si>
    <t>Manchala Prem Kumar</t>
  </si>
  <si>
    <t>PEIPL0650</t>
  </si>
  <si>
    <t>Nisar Ahmed</t>
  </si>
  <si>
    <t>Executive</t>
  </si>
  <si>
    <t>PEIPL0737</t>
  </si>
  <si>
    <t>Valmiki Santhi</t>
  </si>
  <si>
    <t>Senior Executive - Projects</t>
  </si>
  <si>
    <t>Employment status</t>
  </si>
  <si>
    <t xml:space="preserve"> total employee cost</t>
  </si>
  <si>
    <t>PEGEPL0162</t>
  </si>
  <si>
    <t>V Mohith</t>
  </si>
  <si>
    <t>Probation</t>
  </si>
  <si>
    <t>PEGEPL0163</t>
  </si>
  <si>
    <t>Gajula Gopi Chand</t>
  </si>
  <si>
    <t>Assistant Engineer</t>
  </si>
  <si>
    <t>Junior Engineer</t>
  </si>
  <si>
    <t>PEGEPL0218</t>
  </si>
  <si>
    <t>Eppakayala Santosh Kumar</t>
  </si>
  <si>
    <t>Project Engineer</t>
  </si>
  <si>
    <t>PEGEPL0145</t>
  </si>
  <si>
    <t>Ravi Venkata Subba rao</t>
  </si>
  <si>
    <t>Confirmed</t>
  </si>
  <si>
    <t xml:space="preserve"> Total Employee Cost</t>
  </si>
  <si>
    <t>State</t>
  </si>
  <si>
    <t>Branch</t>
  </si>
  <si>
    <t>Entry CC</t>
  </si>
  <si>
    <t>Telangana</t>
  </si>
  <si>
    <t>PSS0863</t>
  </si>
  <si>
    <t>Kuldeep Pippal</t>
  </si>
  <si>
    <t>Service - Projects</t>
  </si>
  <si>
    <t>Service Head - MP</t>
  </si>
  <si>
    <t>Madhya Pradesh</t>
  </si>
  <si>
    <t>PSS1322</t>
  </si>
  <si>
    <t>Sunil Kumar</t>
  </si>
  <si>
    <t>PSS1323</t>
  </si>
  <si>
    <t>Dharmendra Singh</t>
  </si>
  <si>
    <t>Service Technician</t>
  </si>
  <si>
    <t>Haryana</t>
  </si>
  <si>
    <t>Technician</t>
  </si>
  <si>
    <t>PSS1356</t>
  </si>
  <si>
    <t>Alok Yadav</t>
  </si>
  <si>
    <t>Engineer</t>
  </si>
  <si>
    <t>Bihar</t>
  </si>
  <si>
    <t>PSS1332</t>
  </si>
  <si>
    <t>Suraj Singh</t>
  </si>
  <si>
    <t>Jammu &amp; Kashmir</t>
  </si>
  <si>
    <t>PEIPL0017</t>
  </si>
  <si>
    <t>Kusumba Shankar</t>
  </si>
  <si>
    <t>Deputy Manager - Projects</t>
  </si>
  <si>
    <t>PEIPL0515</t>
  </si>
  <si>
    <t>Thammi Setti Hanumanth Rao</t>
  </si>
  <si>
    <t>Senior Engineer</t>
  </si>
  <si>
    <t>Total Cost</t>
  </si>
  <si>
    <t>Power plant - Delhi</t>
  </si>
  <si>
    <t>WTP - Bihar</t>
  </si>
  <si>
    <t>WPS - Haryana</t>
  </si>
  <si>
    <t>Power plant - TS</t>
  </si>
  <si>
    <t>TOTAL</t>
  </si>
  <si>
    <t>No.of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</si>
</sst>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6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"/>
      <family val="2"/>
    </font>
    <font>
      <sz val="10"/>
      <color theme="1"/>
      <name val="Aptos"/>
      <family val="2"/>
    </font>
    <font>
      <b/>
      <sz val="11"/>
      <color rgb="FFFF0000"/>
      <name val="Aptos Narrow"/>
      <family val="2"/>
      <scheme val="minor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1" applyFont="1" applyFill="1" applyBorder="1"/>
    <xf numFmtId="0" fontId="2" fillId="0" borderId="1" xfId="0" applyFont="1" applyBorder="1"/>
    <xf numFmtId="17" fontId="0" fillId="0" borderId="1" xfId="0" applyNumberFormat="1" applyBorder="1"/>
    <xf numFmtId="164" fontId="0" fillId="0" borderId="1" xfId="1" applyFont="1" applyBorder="1"/>
    <xf numFmtId="17" fontId="2" fillId="0" borderId="1" xfId="0" applyNumberFormat="1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4" fillId="2" borderId="8" xfId="0" applyFont="1" applyFill="1" applyBorder="1"/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2" xfId="0" applyFont="1" applyFill="1" applyBorder="1"/>
    <xf numFmtId="0" fontId="5" fillId="2" borderId="4" xfId="0" applyFont="1" applyFill="1" applyBorder="1"/>
    <xf numFmtId="0" fontId="5" fillId="2" borderId="8" xfId="0" applyFont="1" applyFill="1" applyBorder="1"/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/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10" xfId="0" applyFont="1" applyBorder="1" applyAlignment="1">
      <alignment horizontal="center" vertical="center"/>
    </xf>
    <xf numFmtId="0" fontId="5" fillId="0" borderId="7" xfId="0" applyFont="1" applyBorder="1"/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/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166" fontId="5" fillId="0" borderId="8" xfId="1" applyNumberFormat="1" applyFont="1" applyFill="1" applyBorder="1"/>
    <xf numFmtId="166" fontId="5" fillId="0" borderId="9" xfId="1" applyNumberFormat="1" applyFont="1" applyFill="1" applyBorder="1"/>
    <xf numFmtId="166" fontId="5" fillId="0" borderId="10" xfId="1" applyNumberFormat="1" applyFont="1" applyFill="1" applyBorder="1"/>
    <xf numFmtId="166" fontId="5" fillId="0" borderId="2" xfId="1" applyNumberFormat="1" applyFont="1" applyFill="1" applyBorder="1"/>
    <xf numFmtId="166" fontId="6" fillId="0" borderId="12" xfId="1" applyNumberFormat="1" applyFont="1" applyFill="1" applyBorder="1"/>
    <xf numFmtId="0" fontId="7" fillId="0" borderId="13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0" fillId="0" borderId="0" xfId="0" applyBorder="1" applyAlignment="1">
      <alignment horizontal="left" inden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7" fillId="0" borderId="12" xfId="0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FEBD-3752-47F9-925E-0408454F30B9}">
  <dimension ref="A1:H22"/>
  <sheetViews>
    <sheetView tabSelected="1" zoomScale="114" workbookViewId="0">
      <selection activeCell="G3" sqref="G3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3.08984375" bestFit="1" customWidth="1"/>
    <col min="4" max="4" width="14.1796875" bestFit="1" customWidth="1"/>
    <col min="5" max="5" width="18.7265625" bestFit="1" customWidth="1"/>
    <col min="6" max="6" width="19.90625" bestFit="1" customWidth="1"/>
    <col min="7" max="7" width="13.26953125" bestFit="1" customWidth="1"/>
    <col min="8" max="8" width="10.08984375" bestFit="1" customWidth="1"/>
  </cols>
  <sheetData>
    <row r="1" spans="1:8" ht="15" thickBot="1" x14ac:dyDescent="0.4">
      <c r="A1" t="s">
        <v>32</v>
      </c>
    </row>
    <row r="2" spans="1:8" ht="15" thickBot="1" x14ac:dyDescent="0.4">
      <c r="A2" s="20" t="s">
        <v>20</v>
      </c>
      <c r="B2" s="21" t="s">
        <v>19</v>
      </c>
      <c r="C2" s="14" t="s">
        <v>18</v>
      </c>
      <c r="D2" s="14" t="s">
        <v>17</v>
      </c>
      <c r="E2" s="21" t="s">
        <v>16</v>
      </c>
      <c r="F2" s="22" t="s">
        <v>15</v>
      </c>
      <c r="G2" s="21" t="s">
        <v>105</v>
      </c>
      <c r="H2" s="22" t="s">
        <v>99</v>
      </c>
    </row>
    <row r="3" spans="1:8" x14ac:dyDescent="0.35">
      <c r="A3" s="23">
        <v>1</v>
      </c>
      <c r="B3" s="42" t="s">
        <v>14</v>
      </c>
      <c r="C3" s="36" t="s">
        <v>8</v>
      </c>
      <c r="D3" s="36" t="s">
        <v>13</v>
      </c>
      <c r="E3" s="24" t="s">
        <v>12</v>
      </c>
      <c r="F3" s="36" t="s">
        <v>11</v>
      </c>
      <c r="G3" s="25">
        <v>15</v>
      </c>
      <c r="H3" s="52">
        <v>751771</v>
      </c>
    </row>
    <row r="4" spans="1:8" x14ac:dyDescent="0.35">
      <c r="A4" s="26"/>
      <c r="B4" s="43"/>
      <c r="C4" s="37"/>
      <c r="D4" s="37"/>
      <c r="E4" s="27" t="s">
        <v>10</v>
      </c>
      <c r="F4" s="37"/>
      <c r="G4" s="28">
        <v>10</v>
      </c>
      <c r="H4" s="53">
        <v>647570</v>
      </c>
    </row>
    <row r="5" spans="1:8" ht="15" thickBot="1" x14ac:dyDescent="0.4">
      <c r="A5" s="29"/>
      <c r="B5" s="44"/>
      <c r="C5" s="38"/>
      <c r="D5" s="15" t="s">
        <v>44</v>
      </c>
      <c r="E5" s="30" t="s">
        <v>45</v>
      </c>
      <c r="F5" s="38"/>
      <c r="G5" s="30">
        <v>10</v>
      </c>
      <c r="H5" s="54">
        <v>555531</v>
      </c>
    </row>
    <row r="6" spans="1:8" x14ac:dyDescent="0.35">
      <c r="A6" s="16">
        <v>2</v>
      </c>
      <c r="B6" s="45" t="s">
        <v>9</v>
      </c>
      <c r="C6" s="39" t="s">
        <v>8</v>
      </c>
      <c r="D6" s="39" t="s">
        <v>7</v>
      </c>
      <c r="E6" s="24" t="s">
        <v>5</v>
      </c>
      <c r="F6" s="36" t="s">
        <v>6</v>
      </c>
      <c r="G6" s="25">
        <v>10</v>
      </c>
      <c r="H6" s="52">
        <v>347956</v>
      </c>
    </row>
    <row r="7" spans="1:8" ht="15" thickBot="1" x14ac:dyDescent="0.4">
      <c r="A7" s="17"/>
      <c r="B7" s="46"/>
      <c r="C7" s="40"/>
      <c r="D7" s="40"/>
      <c r="E7" s="31" t="s">
        <v>4</v>
      </c>
      <c r="F7" s="38"/>
      <c r="G7" s="30">
        <v>5</v>
      </c>
      <c r="H7" s="54">
        <v>20611</v>
      </c>
    </row>
    <row r="8" spans="1:8" ht="15" thickBot="1" x14ac:dyDescent="0.4">
      <c r="A8" s="18">
        <v>3</v>
      </c>
      <c r="B8" s="47" t="s">
        <v>9</v>
      </c>
      <c r="C8" s="41" t="s">
        <v>8</v>
      </c>
      <c r="D8" s="49" t="s">
        <v>30</v>
      </c>
      <c r="E8" s="32" t="s">
        <v>31</v>
      </c>
      <c r="F8" s="49" t="s">
        <v>6</v>
      </c>
      <c r="G8" s="33">
        <v>3</v>
      </c>
      <c r="H8" s="55">
        <v>98854</v>
      </c>
    </row>
    <row r="9" spans="1:8" ht="15" thickBot="1" x14ac:dyDescent="0.4">
      <c r="A9" s="18">
        <v>4</v>
      </c>
      <c r="B9" s="47" t="s">
        <v>3</v>
      </c>
      <c r="C9" s="41" t="s">
        <v>2</v>
      </c>
      <c r="D9" s="41" t="s">
        <v>1</v>
      </c>
      <c r="E9" s="32" t="s">
        <v>0</v>
      </c>
      <c r="F9" s="49" t="s">
        <v>102</v>
      </c>
      <c r="G9" s="33">
        <v>5</v>
      </c>
      <c r="H9" s="55">
        <v>96457</v>
      </c>
    </row>
    <row r="10" spans="1:8" ht="15" thickBot="1" x14ac:dyDescent="0.4">
      <c r="A10" s="18">
        <v>5</v>
      </c>
      <c r="B10" s="47" t="s">
        <v>3</v>
      </c>
      <c r="C10" s="41" t="s">
        <v>2</v>
      </c>
      <c r="D10" s="49" t="s">
        <v>21</v>
      </c>
      <c r="E10" s="34" t="s">
        <v>100</v>
      </c>
      <c r="F10" s="51" t="s">
        <v>101</v>
      </c>
      <c r="G10" s="33">
        <v>5</v>
      </c>
      <c r="H10" s="55">
        <v>148660</v>
      </c>
    </row>
    <row r="11" spans="1:8" ht="15" thickBot="1" x14ac:dyDescent="0.4">
      <c r="A11" s="18">
        <v>6</v>
      </c>
      <c r="B11" s="47" t="s">
        <v>3</v>
      </c>
      <c r="C11" s="41" t="s">
        <v>2</v>
      </c>
      <c r="D11" s="49" t="s">
        <v>24</v>
      </c>
      <c r="E11" s="34" t="s">
        <v>101</v>
      </c>
      <c r="F11" s="49" t="s">
        <v>25</v>
      </c>
      <c r="G11" s="33">
        <v>10</v>
      </c>
      <c r="H11" s="55">
        <v>220995</v>
      </c>
    </row>
    <row r="12" spans="1:8" ht="15" thickBot="1" x14ac:dyDescent="0.4">
      <c r="A12" s="19">
        <v>7</v>
      </c>
      <c r="B12" s="48" t="s">
        <v>3</v>
      </c>
      <c r="C12" s="15" t="s">
        <v>29</v>
      </c>
      <c r="D12" s="50" t="s">
        <v>27</v>
      </c>
      <c r="E12" s="34" t="s">
        <v>103</v>
      </c>
      <c r="F12" s="35" t="s">
        <v>26</v>
      </c>
      <c r="G12" s="30">
        <v>5</v>
      </c>
      <c r="H12" s="54">
        <v>110594</v>
      </c>
    </row>
    <row r="13" spans="1:8" ht="15" thickBot="1" x14ac:dyDescent="0.4">
      <c r="A13" s="57" t="s">
        <v>104</v>
      </c>
      <c r="B13" s="58"/>
      <c r="C13" s="58"/>
      <c r="D13" s="58"/>
      <c r="E13" s="58"/>
      <c r="F13" s="58"/>
      <c r="G13" s="62"/>
      <c r="H13" s="56">
        <f>SUM(H3:H12)</f>
        <v>2998999</v>
      </c>
    </row>
    <row r="14" spans="1:8" x14ac:dyDescent="0.35">
      <c r="A14" s="3"/>
      <c r="B14" s="13"/>
      <c r="C14" s="13"/>
      <c r="D14" s="4"/>
      <c r="E14" s="6"/>
      <c r="F14" s="1"/>
      <c r="H14" s="7"/>
    </row>
    <row r="15" spans="1:8" x14ac:dyDescent="0.35">
      <c r="D15" s="4"/>
      <c r="E15" s="6"/>
      <c r="F15" s="1"/>
    </row>
    <row r="16" spans="1:8" x14ac:dyDescent="0.35">
      <c r="C16" s="12"/>
      <c r="D16" s="13"/>
      <c r="E16" s="12"/>
      <c r="F16" s="1"/>
    </row>
    <row r="17" spans="1:6" x14ac:dyDescent="0.35">
      <c r="C17" s="12"/>
      <c r="D17" s="13"/>
      <c r="E17" s="12"/>
      <c r="F17" s="1"/>
    </row>
    <row r="18" spans="1:6" x14ac:dyDescent="0.35">
      <c r="C18" s="12"/>
      <c r="D18" s="59"/>
      <c r="E18" s="60"/>
      <c r="F18" s="1"/>
    </row>
    <row r="19" spans="1:6" x14ac:dyDescent="0.35">
      <c r="A19" s="3"/>
      <c r="B19" s="13"/>
      <c r="C19" s="13"/>
      <c r="D19" s="59"/>
      <c r="E19" s="60"/>
      <c r="F19" s="1"/>
    </row>
    <row r="20" spans="1:6" x14ac:dyDescent="0.35">
      <c r="A20" s="3"/>
      <c r="B20" s="13"/>
      <c r="C20" s="13"/>
      <c r="D20" s="59"/>
      <c r="E20" s="61"/>
      <c r="F20" s="5"/>
    </row>
    <row r="21" spans="1:6" x14ac:dyDescent="0.35">
      <c r="C21" s="12"/>
      <c r="D21" s="12"/>
      <c r="E21" s="12"/>
    </row>
    <row r="22" spans="1:6" x14ac:dyDescent="0.35">
      <c r="C22" s="12"/>
      <c r="D22" s="12"/>
      <c r="E22" s="12"/>
    </row>
  </sheetData>
  <mergeCells count="11">
    <mergeCell ref="A13:G13"/>
    <mergeCell ref="F6:F7"/>
    <mergeCell ref="F3:F5"/>
    <mergeCell ref="C3:C5"/>
    <mergeCell ref="B3:B5"/>
    <mergeCell ref="A3:A5"/>
    <mergeCell ref="A6:A7"/>
    <mergeCell ref="D3:D4"/>
    <mergeCell ref="B6:B7"/>
    <mergeCell ref="C6:C7"/>
    <mergeCell ref="D6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C944-4200-410A-A70E-7876A841A827}">
  <dimension ref="B2:J37"/>
  <sheetViews>
    <sheetView workbookViewId="0">
      <selection activeCell="G17" sqref="G17"/>
    </sheetView>
  </sheetViews>
  <sheetFormatPr defaultRowHeight="14.5" x14ac:dyDescent="0.35"/>
  <cols>
    <col min="2" max="2" width="5.36328125" customWidth="1"/>
    <col min="3" max="3" width="5.90625" bestFit="1" customWidth="1"/>
    <col min="4" max="4" width="13.36328125" bestFit="1" customWidth="1"/>
    <col min="5" max="5" width="25.26953125" bestFit="1" customWidth="1"/>
    <col min="6" max="6" width="10.54296875" bestFit="1" customWidth="1"/>
    <col min="7" max="7" width="24.08984375" bestFit="1" customWidth="1"/>
    <col min="8" max="8" width="14.36328125" bestFit="1" customWidth="1"/>
    <col min="9" max="9" width="17.1796875" bestFit="1" customWidth="1"/>
    <col min="10" max="10" width="17.26953125" bestFit="1" customWidth="1"/>
  </cols>
  <sheetData>
    <row r="2" spans="2:10" x14ac:dyDescent="0.35">
      <c r="B2" s="8" t="s">
        <v>20</v>
      </c>
      <c r="C2" s="11" t="s">
        <v>33</v>
      </c>
      <c r="D2" s="8" t="s">
        <v>34</v>
      </c>
      <c r="E2" s="8" t="s">
        <v>35</v>
      </c>
      <c r="F2" s="8" t="s">
        <v>18</v>
      </c>
      <c r="G2" s="8" t="s">
        <v>36</v>
      </c>
      <c r="H2" s="8" t="s">
        <v>17</v>
      </c>
      <c r="I2" s="8" t="s">
        <v>55</v>
      </c>
      <c r="J2" s="8" t="s">
        <v>37</v>
      </c>
    </row>
    <row r="3" spans="2:10" x14ac:dyDescent="0.35">
      <c r="B3" s="2">
        <v>1</v>
      </c>
      <c r="C3" s="9">
        <v>45748</v>
      </c>
      <c r="D3" s="2" t="s">
        <v>38</v>
      </c>
      <c r="E3" s="2" t="s">
        <v>39</v>
      </c>
      <c r="F3" s="2" t="s">
        <v>8</v>
      </c>
      <c r="G3" s="2" t="s">
        <v>40</v>
      </c>
      <c r="H3" s="2" t="s">
        <v>13</v>
      </c>
      <c r="I3" s="10">
        <v>60211</v>
      </c>
      <c r="J3" s="2" t="s">
        <v>12</v>
      </c>
    </row>
    <row r="4" spans="2:10" x14ac:dyDescent="0.35">
      <c r="B4" s="2">
        <v>2</v>
      </c>
      <c r="C4" s="9">
        <v>45748</v>
      </c>
      <c r="D4" s="2" t="s">
        <v>93</v>
      </c>
      <c r="E4" s="2" t="s">
        <v>94</v>
      </c>
      <c r="F4" s="2" t="s">
        <v>8</v>
      </c>
      <c r="G4" s="2" t="s">
        <v>95</v>
      </c>
      <c r="H4" s="2" t="s">
        <v>13</v>
      </c>
      <c r="I4" s="10">
        <v>63747</v>
      </c>
      <c r="J4" s="2" t="s">
        <v>10</v>
      </c>
    </row>
    <row r="5" spans="2:10" x14ac:dyDescent="0.35">
      <c r="B5" s="2">
        <v>3</v>
      </c>
      <c r="C5" s="9">
        <v>45748</v>
      </c>
      <c r="D5" s="2" t="s">
        <v>41</v>
      </c>
      <c r="E5" s="2" t="s">
        <v>42</v>
      </c>
      <c r="F5" s="2" t="s">
        <v>8</v>
      </c>
      <c r="G5" s="2" t="s">
        <v>43</v>
      </c>
      <c r="H5" s="2" t="s">
        <v>44</v>
      </c>
      <c r="I5" s="10">
        <v>53928</v>
      </c>
      <c r="J5" s="2" t="s">
        <v>45</v>
      </c>
    </row>
    <row r="6" spans="2:10" x14ac:dyDescent="0.35">
      <c r="B6" s="2">
        <v>4</v>
      </c>
      <c r="C6" s="9">
        <v>45748</v>
      </c>
      <c r="D6" s="2" t="s">
        <v>96</v>
      </c>
      <c r="E6" s="2" t="s">
        <v>97</v>
      </c>
      <c r="F6" s="2" t="s">
        <v>8</v>
      </c>
      <c r="G6" s="2" t="s">
        <v>88</v>
      </c>
      <c r="H6" s="2" t="s">
        <v>13</v>
      </c>
      <c r="I6" s="10">
        <v>47195</v>
      </c>
      <c r="J6" s="2" t="s">
        <v>10</v>
      </c>
    </row>
    <row r="7" spans="2:10" x14ac:dyDescent="0.35">
      <c r="B7" s="2">
        <v>5</v>
      </c>
      <c r="C7" s="9">
        <v>45748</v>
      </c>
      <c r="D7" s="2" t="s">
        <v>46</v>
      </c>
      <c r="E7" s="2" t="s">
        <v>47</v>
      </c>
      <c r="F7" s="2" t="s">
        <v>8</v>
      </c>
      <c r="G7" s="2" t="s">
        <v>50</v>
      </c>
      <c r="H7" s="2" t="s">
        <v>13</v>
      </c>
      <c r="I7" s="10">
        <v>26868</v>
      </c>
      <c r="J7" s="2" t="s">
        <v>12</v>
      </c>
    </row>
    <row r="8" spans="2:10" x14ac:dyDescent="0.35">
      <c r="B8" s="2">
        <v>6</v>
      </c>
      <c r="C8" s="9">
        <v>45748</v>
      </c>
      <c r="D8" s="2" t="s">
        <v>48</v>
      </c>
      <c r="E8" s="2" t="s">
        <v>49</v>
      </c>
      <c r="F8" s="2" t="s">
        <v>8</v>
      </c>
      <c r="G8" s="2" t="s">
        <v>50</v>
      </c>
      <c r="H8" s="2" t="s">
        <v>13</v>
      </c>
      <c r="I8" s="10">
        <v>47721</v>
      </c>
      <c r="J8" s="2" t="s">
        <v>12</v>
      </c>
    </row>
    <row r="9" spans="2:10" x14ac:dyDescent="0.35">
      <c r="B9" s="2">
        <v>7</v>
      </c>
      <c r="C9" s="9">
        <v>45748</v>
      </c>
      <c r="D9" s="2" t="s">
        <v>51</v>
      </c>
      <c r="E9" s="2" t="s">
        <v>52</v>
      </c>
      <c r="F9" s="2" t="s">
        <v>8</v>
      </c>
      <c r="G9" s="2" t="s">
        <v>53</v>
      </c>
      <c r="H9" s="2" t="s">
        <v>44</v>
      </c>
      <c r="I9" s="10">
        <v>44027</v>
      </c>
      <c r="J9" s="2" t="s">
        <v>45</v>
      </c>
    </row>
    <row r="10" spans="2:10" x14ac:dyDescent="0.35">
      <c r="B10" s="2">
        <v>8</v>
      </c>
      <c r="C10" s="9">
        <v>45778</v>
      </c>
      <c r="D10" s="2" t="s">
        <v>38</v>
      </c>
      <c r="E10" s="2" t="s">
        <v>39</v>
      </c>
      <c r="F10" s="2" t="s">
        <v>8</v>
      </c>
      <c r="G10" s="2" t="s">
        <v>40</v>
      </c>
      <c r="H10" s="2" t="s">
        <v>13</v>
      </c>
      <c r="I10" s="10">
        <v>60211</v>
      </c>
      <c r="J10" s="2" t="s">
        <v>12</v>
      </c>
    </row>
    <row r="11" spans="2:10" x14ac:dyDescent="0.35">
      <c r="B11" s="2">
        <v>9</v>
      </c>
      <c r="C11" s="9">
        <v>45778</v>
      </c>
      <c r="D11" s="2" t="s">
        <v>93</v>
      </c>
      <c r="E11" s="2" t="s">
        <v>94</v>
      </c>
      <c r="F11" s="2" t="s">
        <v>8</v>
      </c>
      <c r="G11" s="2" t="s">
        <v>95</v>
      </c>
      <c r="H11" s="2" t="s">
        <v>13</v>
      </c>
      <c r="I11" s="10">
        <v>65877</v>
      </c>
      <c r="J11" s="2" t="s">
        <v>10</v>
      </c>
    </row>
    <row r="12" spans="2:10" x14ac:dyDescent="0.35">
      <c r="B12" s="2">
        <v>10</v>
      </c>
      <c r="C12" s="9">
        <v>45778</v>
      </c>
      <c r="D12" s="2" t="s">
        <v>41</v>
      </c>
      <c r="E12" s="2" t="s">
        <v>42</v>
      </c>
      <c r="F12" s="2" t="s">
        <v>8</v>
      </c>
      <c r="G12" s="2" t="s">
        <v>43</v>
      </c>
      <c r="H12" s="2" t="s">
        <v>44</v>
      </c>
      <c r="I12" s="10">
        <v>53928</v>
      </c>
      <c r="J12" s="2" t="s">
        <v>45</v>
      </c>
    </row>
    <row r="13" spans="2:10" x14ac:dyDescent="0.35">
      <c r="B13" s="2">
        <v>11</v>
      </c>
      <c r="C13" s="9">
        <v>45778</v>
      </c>
      <c r="D13" s="2" t="s">
        <v>96</v>
      </c>
      <c r="E13" s="2" t="s">
        <v>97</v>
      </c>
      <c r="F13" s="2" t="s">
        <v>8</v>
      </c>
      <c r="G13" s="2" t="s">
        <v>88</v>
      </c>
      <c r="H13" s="2" t="s">
        <v>13</v>
      </c>
      <c r="I13" s="10">
        <v>46651</v>
      </c>
      <c r="J13" s="2" t="s">
        <v>10</v>
      </c>
    </row>
    <row r="14" spans="2:10" x14ac:dyDescent="0.35">
      <c r="B14" s="2">
        <v>12</v>
      </c>
      <c r="C14" s="9">
        <v>45778</v>
      </c>
      <c r="D14" s="2" t="s">
        <v>46</v>
      </c>
      <c r="E14" s="2" t="s">
        <v>47</v>
      </c>
      <c r="F14" s="2" t="s">
        <v>8</v>
      </c>
      <c r="G14" s="2" t="s">
        <v>50</v>
      </c>
      <c r="H14" s="2" t="s">
        <v>13</v>
      </c>
      <c r="I14" s="10">
        <v>27629</v>
      </c>
      <c r="J14" s="2" t="s">
        <v>12</v>
      </c>
    </row>
    <row r="15" spans="2:10" x14ac:dyDescent="0.35">
      <c r="B15" s="2">
        <v>13</v>
      </c>
      <c r="C15" s="9">
        <v>45778</v>
      </c>
      <c r="D15" s="2" t="s">
        <v>48</v>
      </c>
      <c r="E15" s="2" t="s">
        <v>49</v>
      </c>
      <c r="F15" s="2" t="s">
        <v>8</v>
      </c>
      <c r="G15" s="2" t="s">
        <v>50</v>
      </c>
      <c r="H15" s="2" t="s">
        <v>13</v>
      </c>
      <c r="I15" s="10">
        <v>47582</v>
      </c>
      <c r="J15" s="2" t="s">
        <v>12</v>
      </c>
    </row>
    <row r="16" spans="2:10" x14ac:dyDescent="0.35">
      <c r="B16" s="2">
        <v>14</v>
      </c>
      <c r="C16" s="9">
        <v>45778</v>
      </c>
      <c r="D16" s="2" t="s">
        <v>51</v>
      </c>
      <c r="E16" s="2" t="s">
        <v>52</v>
      </c>
      <c r="F16" s="2" t="s">
        <v>8</v>
      </c>
      <c r="G16" s="2" t="s">
        <v>53</v>
      </c>
      <c r="H16" s="2" t="s">
        <v>44</v>
      </c>
      <c r="I16" s="10">
        <v>44027</v>
      </c>
      <c r="J16" s="2" t="s">
        <v>45</v>
      </c>
    </row>
    <row r="17" spans="2:10" x14ac:dyDescent="0.35">
      <c r="B17" s="2">
        <v>15</v>
      </c>
      <c r="C17" s="9">
        <v>45809</v>
      </c>
      <c r="D17" s="2" t="s">
        <v>48</v>
      </c>
      <c r="E17" s="2" t="s">
        <v>49</v>
      </c>
      <c r="F17" s="2" t="s">
        <v>8</v>
      </c>
      <c r="G17" s="2" t="s">
        <v>50</v>
      </c>
      <c r="H17" s="2" t="s">
        <v>13</v>
      </c>
      <c r="I17" s="10">
        <v>44596</v>
      </c>
      <c r="J17" s="2" t="s">
        <v>12</v>
      </c>
    </row>
    <row r="18" spans="2:10" x14ac:dyDescent="0.35">
      <c r="B18" s="2">
        <v>16</v>
      </c>
      <c r="C18" s="9">
        <v>45809</v>
      </c>
      <c r="D18" s="2" t="s">
        <v>38</v>
      </c>
      <c r="E18" s="2" t="s">
        <v>39</v>
      </c>
      <c r="F18" s="2" t="s">
        <v>8</v>
      </c>
      <c r="G18" s="2" t="s">
        <v>40</v>
      </c>
      <c r="H18" s="2" t="s">
        <v>13</v>
      </c>
      <c r="I18" s="10">
        <v>98230</v>
      </c>
      <c r="J18" s="2" t="s">
        <v>12</v>
      </c>
    </row>
    <row r="19" spans="2:10" x14ac:dyDescent="0.35">
      <c r="B19" s="2">
        <v>17</v>
      </c>
      <c r="C19" s="9">
        <v>45809</v>
      </c>
      <c r="D19" s="2" t="s">
        <v>93</v>
      </c>
      <c r="E19" s="2" t="s">
        <v>94</v>
      </c>
      <c r="F19" s="2" t="s">
        <v>8</v>
      </c>
      <c r="G19" s="2" t="s">
        <v>95</v>
      </c>
      <c r="H19" s="2" t="s">
        <v>13</v>
      </c>
      <c r="I19" s="10">
        <v>89477</v>
      </c>
      <c r="J19" s="2" t="s">
        <v>10</v>
      </c>
    </row>
    <row r="20" spans="2:10" x14ac:dyDescent="0.35">
      <c r="B20" s="2">
        <v>18</v>
      </c>
      <c r="C20" s="9">
        <v>45809</v>
      </c>
      <c r="D20" s="2" t="s">
        <v>41</v>
      </c>
      <c r="E20" s="2" t="s">
        <v>42</v>
      </c>
      <c r="F20" s="2" t="s">
        <v>8</v>
      </c>
      <c r="G20" s="2" t="s">
        <v>43</v>
      </c>
      <c r="H20" s="2" t="s">
        <v>44</v>
      </c>
      <c r="I20" s="10">
        <v>84450</v>
      </c>
      <c r="J20" s="2" t="s">
        <v>45</v>
      </c>
    </row>
    <row r="21" spans="2:10" x14ac:dyDescent="0.35">
      <c r="B21" s="2">
        <v>19</v>
      </c>
      <c r="C21" s="9">
        <v>45809</v>
      </c>
      <c r="D21" s="2" t="s">
        <v>96</v>
      </c>
      <c r="E21" s="2" t="s">
        <v>97</v>
      </c>
      <c r="F21" s="2" t="s">
        <v>8</v>
      </c>
      <c r="G21" s="2" t="s">
        <v>88</v>
      </c>
      <c r="H21" s="2" t="s">
        <v>13</v>
      </c>
      <c r="I21" s="10">
        <v>67385</v>
      </c>
      <c r="J21" s="2" t="s">
        <v>10</v>
      </c>
    </row>
    <row r="22" spans="2:10" x14ac:dyDescent="0.35">
      <c r="B22" s="2">
        <v>20</v>
      </c>
      <c r="C22" s="9">
        <v>45809</v>
      </c>
      <c r="D22" s="2" t="s">
        <v>46</v>
      </c>
      <c r="E22" s="2" t="s">
        <v>47</v>
      </c>
      <c r="F22" s="2" t="s">
        <v>8</v>
      </c>
      <c r="G22" s="2" t="s">
        <v>50</v>
      </c>
      <c r="H22" s="2" t="s">
        <v>13</v>
      </c>
      <c r="I22" s="10">
        <v>37898</v>
      </c>
      <c r="J22" s="2" t="s">
        <v>12</v>
      </c>
    </row>
    <row r="23" spans="2:10" x14ac:dyDescent="0.35">
      <c r="B23" s="2">
        <v>21</v>
      </c>
      <c r="C23" s="9">
        <v>45809</v>
      </c>
      <c r="D23" s="2" t="s">
        <v>51</v>
      </c>
      <c r="E23" s="2" t="s">
        <v>52</v>
      </c>
      <c r="F23" s="2" t="s">
        <v>8</v>
      </c>
      <c r="G23" s="2" t="s">
        <v>53</v>
      </c>
      <c r="H23" s="2" t="s">
        <v>44</v>
      </c>
      <c r="I23" s="10">
        <v>54257</v>
      </c>
      <c r="J23" s="2" t="s">
        <v>45</v>
      </c>
    </row>
    <row r="24" spans="2:10" x14ac:dyDescent="0.35">
      <c r="B24" s="2">
        <v>22</v>
      </c>
      <c r="C24" s="9">
        <v>45839</v>
      </c>
      <c r="D24" s="2" t="s">
        <v>38</v>
      </c>
      <c r="E24" s="2" t="s">
        <v>39</v>
      </c>
      <c r="F24" s="2" t="s">
        <v>8</v>
      </c>
      <c r="G24" s="2" t="s">
        <v>40</v>
      </c>
      <c r="H24" s="2" t="s">
        <v>13</v>
      </c>
      <c r="I24" s="10">
        <v>72884</v>
      </c>
      <c r="J24" s="2" t="s">
        <v>12</v>
      </c>
    </row>
    <row r="25" spans="2:10" x14ac:dyDescent="0.35">
      <c r="B25" s="2">
        <v>23</v>
      </c>
      <c r="C25" s="9">
        <v>45839</v>
      </c>
      <c r="D25" s="2" t="s">
        <v>93</v>
      </c>
      <c r="E25" s="2" t="s">
        <v>94</v>
      </c>
      <c r="F25" s="2" t="s">
        <v>8</v>
      </c>
      <c r="G25" s="2" t="s">
        <v>95</v>
      </c>
      <c r="H25" s="2" t="s">
        <v>13</v>
      </c>
      <c r="I25" s="10">
        <v>73832</v>
      </c>
      <c r="J25" s="2" t="s">
        <v>10</v>
      </c>
    </row>
    <row r="26" spans="2:10" x14ac:dyDescent="0.35">
      <c r="B26" s="2">
        <v>24</v>
      </c>
      <c r="C26" s="9">
        <v>45839</v>
      </c>
      <c r="D26" s="2" t="s">
        <v>41</v>
      </c>
      <c r="E26" s="2" t="s">
        <v>42</v>
      </c>
      <c r="F26" s="2" t="s">
        <v>8</v>
      </c>
      <c r="G26" s="2" t="s">
        <v>43</v>
      </c>
      <c r="H26" s="2" t="s">
        <v>44</v>
      </c>
      <c r="I26" s="10">
        <v>63020</v>
      </c>
      <c r="J26" s="2" t="s">
        <v>45</v>
      </c>
    </row>
    <row r="27" spans="2:10" x14ac:dyDescent="0.35">
      <c r="B27" s="2">
        <v>25</v>
      </c>
      <c r="C27" s="9">
        <v>45839</v>
      </c>
      <c r="D27" s="2" t="s">
        <v>96</v>
      </c>
      <c r="E27" s="2" t="s">
        <v>97</v>
      </c>
      <c r="F27" s="2" t="s">
        <v>8</v>
      </c>
      <c r="G27" s="2" t="s">
        <v>98</v>
      </c>
      <c r="H27" s="2" t="s">
        <v>13</v>
      </c>
      <c r="I27" s="10">
        <v>51525</v>
      </c>
      <c r="J27" s="2" t="s">
        <v>10</v>
      </c>
    </row>
    <row r="28" spans="2:10" x14ac:dyDescent="0.35">
      <c r="B28" s="2">
        <v>26</v>
      </c>
      <c r="C28" s="9">
        <v>45839</v>
      </c>
      <c r="D28" s="2" t="s">
        <v>46</v>
      </c>
      <c r="E28" s="2" t="s">
        <v>47</v>
      </c>
      <c r="F28" s="2" t="s">
        <v>8</v>
      </c>
      <c r="G28" s="2" t="s">
        <v>53</v>
      </c>
      <c r="H28" s="2" t="s">
        <v>13</v>
      </c>
      <c r="I28" s="10">
        <v>29958</v>
      </c>
      <c r="J28" s="2" t="s">
        <v>12</v>
      </c>
    </row>
    <row r="29" spans="2:10" x14ac:dyDescent="0.35">
      <c r="B29" s="2">
        <v>27</v>
      </c>
      <c r="C29" s="9">
        <v>45839</v>
      </c>
      <c r="D29" s="2" t="s">
        <v>48</v>
      </c>
      <c r="E29" s="2" t="s">
        <v>49</v>
      </c>
      <c r="F29" s="2" t="s">
        <v>8</v>
      </c>
      <c r="G29" s="2" t="s">
        <v>53</v>
      </c>
      <c r="H29" s="2" t="s">
        <v>13</v>
      </c>
      <c r="I29" s="10">
        <v>44596</v>
      </c>
      <c r="J29" s="2" t="s">
        <v>12</v>
      </c>
    </row>
    <row r="30" spans="2:10" x14ac:dyDescent="0.35">
      <c r="B30" s="2">
        <v>28</v>
      </c>
      <c r="C30" s="9">
        <v>45839</v>
      </c>
      <c r="D30" s="2" t="s">
        <v>51</v>
      </c>
      <c r="E30" s="2" t="s">
        <v>52</v>
      </c>
      <c r="F30" s="2" t="s">
        <v>8</v>
      </c>
      <c r="G30" s="2" t="s">
        <v>53</v>
      </c>
      <c r="H30" s="2" t="s">
        <v>44</v>
      </c>
      <c r="I30" s="10">
        <v>47437</v>
      </c>
      <c r="J30" s="2" t="s">
        <v>45</v>
      </c>
    </row>
    <row r="31" spans="2:10" x14ac:dyDescent="0.35">
      <c r="B31" s="2">
        <v>29</v>
      </c>
      <c r="C31" s="9">
        <v>45870</v>
      </c>
      <c r="D31" s="2" t="s">
        <v>38</v>
      </c>
      <c r="E31" s="2" t="s">
        <v>39</v>
      </c>
      <c r="F31" s="2" t="s">
        <v>8</v>
      </c>
      <c r="G31" s="2" t="s">
        <v>40</v>
      </c>
      <c r="H31" s="2" t="s">
        <v>13</v>
      </c>
      <c r="I31" s="10">
        <v>72884</v>
      </c>
      <c r="J31" s="2" t="s">
        <v>12</v>
      </c>
    </row>
    <row r="32" spans="2:10" x14ac:dyDescent="0.35">
      <c r="B32" s="2">
        <v>30</v>
      </c>
      <c r="C32" s="9">
        <v>45870</v>
      </c>
      <c r="D32" s="2" t="s">
        <v>93</v>
      </c>
      <c r="E32" s="2" t="s">
        <v>94</v>
      </c>
      <c r="F32" s="2" t="s">
        <v>8</v>
      </c>
      <c r="G32" s="2" t="s">
        <v>95</v>
      </c>
      <c r="H32" s="2" t="s">
        <v>13</v>
      </c>
      <c r="I32" s="10">
        <v>73832</v>
      </c>
      <c r="J32" s="2" t="s">
        <v>10</v>
      </c>
    </row>
    <row r="33" spans="2:10" x14ac:dyDescent="0.35">
      <c r="B33" s="2">
        <v>31</v>
      </c>
      <c r="C33" s="9">
        <v>45870</v>
      </c>
      <c r="D33" s="2" t="s">
        <v>41</v>
      </c>
      <c r="E33" s="2" t="s">
        <v>42</v>
      </c>
      <c r="F33" s="2" t="s">
        <v>8</v>
      </c>
      <c r="G33" s="2" t="s">
        <v>43</v>
      </c>
      <c r="H33" s="2" t="s">
        <v>44</v>
      </c>
      <c r="I33" s="10">
        <v>63020</v>
      </c>
      <c r="J33" s="2" t="s">
        <v>45</v>
      </c>
    </row>
    <row r="34" spans="2:10" x14ac:dyDescent="0.35">
      <c r="B34" s="2">
        <v>32</v>
      </c>
      <c r="C34" s="9">
        <v>45870</v>
      </c>
      <c r="D34" s="2" t="s">
        <v>96</v>
      </c>
      <c r="E34" s="2" t="s">
        <v>97</v>
      </c>
      <c r="F34" s="2" t="s">
        <v>8</v>
      </c>
      <c r="G34" s="2" t="s">
        <v>40</v>
      </c>
      <c r="H34" s="2" t="s">
        <v>13</v>
      </c>
      <c r="I34" s="10">
        <v>68049</v>
      </c>
      <c r="J34" s="2" t="s">
        <v>10</v>
      </c>
    </row>
    <row r="35" spans="2:10" x14ac:dyDescent="0.35">
      <c r="B35" s="2">
        <v>33</v>
      </c>
      <c r="C35" s="9">
        <v>45870</v>
      </c>
      <c r="D35" s="2" t="s">
        <v>46</v>
      </c>
      <c r="E35" s="2" t="s">
        <v>47</v>
      </c>
      <c r="F35" s="2" t="s">
        <v>8</v>
      </c>
      <c r="G35" s="2" t="s">
        <v>53</v>
      </c>
      <c r="H35" s="2" t="s">
        <v>13</v>
      </c>
      <c r="I35" s="10">
        <v>32812</v>
      </c>
      <c r="J35" s="2" t="s">
        <v>12</v>
      </c>
    </row>
    <row r="36" spans="2:10" x14ac:dyDescent="0.35">
      <c r="B36" s="2">
        <v>34</v>
      </c>
      <c r="C36" s="9">
        <v>45870</v>
      </c>
      <c r="D36" s="2" t="s">
        <v>48</v>
      </c>
      <c r="E36" s="2" t="s">
        <v>49</v>
      </c>
      <c r="F36" s="2" t="s">
        <v>8</v>
      </c>
      <c r="G36" s="2" t="s">
        <v>53</v>
      </c>
      <c r="H36" s="2" t="s">
        <v>13</v>
      </c>
      <c r="I36" s="10">
        <v>47691</v>
      </c>
      <c r="J36" s="2" t="s">
        <v>12</v>
      </c>
    </row>
    <row r="37" spans="2:10" x14ac:dyDescent="0.35">
      <c r="B37" s="2">
        <v>35</v>
      </c>
      <c r="C37" s="9">
        <v>45870</v>
      </c>
      <c r="D37" s="2" t="s">
        <v>51</v>
      </c>
      <c r="E37" s="2" t="s">
        <v>52</v>
      </c>
      <c r="F37" s="2" t="s">
        <v>8</v>
      </c>
      <c r="G37" s="2" t="s">
        <v>53</v>
      </c>
      <c r="H37" s="2" t="s">
        <v>44</v>
      </c>
      <c r="I37" s="10">
        <v>47437</v>
      </c>
      <c r="J37" s="2" t="s">
        <v>45</v>
      </c>
    </row>
  </sheetData>
  <autoFilter ref="B2:J2" xr:uid="{B01AC944-4200-410A-A70E-7876A841A8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A378-0446-41EA-BF3C-C5C6F0C09449}">
  <dimension ref="B2:K16"/>
  <sheetViews>
    <sheetView workbookViewId="0">
      <selection activeCell="C3" sqref="C3"/>
    </sheetView>
  </sheetViews>
  <sheetFormatPr defaultRowHeight="14.5" x14ac:dyDescent="0.35"/>
  <cols>
    <col min="2" max="2" width="4.81640625" customWidth="1"/>
    <col min="3" max="3" width="6.7265625" bestFit="1" customWidth="1"/>
    <col min="4" max="4" width="13.81640625" bestFit="1" customWidth="1"/>
    <col min="5" max="5" width="22.7265625" bestFit="1" customWidth="1"/>
    <col min="6" max="6" width="17.08984375" bestFit="1" customWidth="1"/>
    <col min="7" max="7" width="10.81640625" bestFit="1" customWidth="1"/>
    <col min="8" max="8" width="15.81640625" bestFit="1" customWidth="1"/>
    <col min="9" max="9" width="10.54296875" bestFit="1" customWidth="1"/>
    <col min="10" max="10" width="17.6328125" bestFit="1" customWidth="1"/>
    <col min="11" max="11" width="19.08984375" bestFit="1" customWidth="1"/>
  </cols>
  <sheetData>
    <row r="2" spans="2:11" x14ac:dyDescent="0.35">
      <c r="B2" s="8" t="s">
        <v>20</v>
      </c>
      <c r="C2" s="8" t="s">
        <v>33</v>
      </c>
      <c r="D2" s="8" t="s">
        <v>34</v>
      </c>
      <c r="E2" s="8" t="s">
        <v>35</v>
      </c>
      <c r="F2" s="8" t="s">
        <v>54</v>
      </c>
      <c r="G2" s="8" t="s">
        <v>18</v>
      </c>
      <c r="H2" s="8" t="s">
        <v>36</v>
      </c>
      <c r="I2" s="8" t="s">
        <v>17</v>
      </c>
      <c r="J2" s="8" t="s">
        <v>69</v>
      </c>
      <c r="K2" s="8" t="s">
        <v>37</v>
      </c>
    </row>
    <row r="3" spans="2:11" x14ac:dyDescent="0.35">
      <c r="B3" s="2">
        <v>1</v>
      </c>
      <c r="C3" s="9">
        <v>45748</v>
      </c>
      <c r="D3" s="2" t="s">
        <v>56</v>
      </c>
      <c r="E3" s="2" t="s">
        <v>57</v>
      </c>
      <c r="F3" s="2" t="s">
        <v>58</v>
      </c>
      <c r="G3" s="2" t="s">
        <v>8</v>
      </c>
      <c r="H3" s="2" t="s">
        <v>61</v>
      </c>
      <c r="I3" s="2" t="s">
        <v>7</v>
      </c>
      <c r="J3" s="10">
        <v>41168</v>
      </c>
      <c r="K3" s="2" t="s">
        <v>5</v>
      </c>
    </row>
    <row r="4" spans="2:11" x14ac:dyDescent="0.35">
      <c r="B4" s="2">
        <v>2</v>
      </c>
      <c r="C4" s="9">
        <v>45748</v>
      </c>
      <c r="D4" s="2" t="s">
        <v>59</v>
      </c>
      <c r="E4" s="2" t="s">
        <v>60</v>
      </c>
      <c r="F4" s="2" t="s">
        <v>58</v>
      </c>
      <c r="G4" s="2" t="s">
        <v>8</v>
      </c>
      <c r="H4" s="2" t="s">
        <v>62</v>
      </c>
      <c r="I4" s="2" t="s">
        <v>7</v>
      </c>
      <c r="J4" s="10">
        <v>31110</v>
      </c>
      <c r="K4" s="2" t="s">
        <v>5</v>
      </c>
    </row>
    <row r="5" spans="2:11" x14ac:dyDescent="0.35">
      <c r="B5" s="2">
        <v>3</v>
      </c>
      <c r="C5" s="9">
        <v>45748</v>
      </c>
      <c r="D5" s="2" t="s">
        <v>63</v>
      </c>
      <c r="E5" s="2" t="s">
        <v>64</v>
      </c>
      <c r="F5" s="2" t="s">
        <v>58</v>
      </c>
      <c r="G5" s="2" t="s">
        <v>8</v>
      </c>
      <c r="H5" s="2" t="s">
        <v>65</v>
      </c>
      <c r="I5" s="2" t="s">
        <v>7</v>
      </c>
      <c r="J5" s="10">
        <v>20611</v>
      </c>
      <c r="K5" s="2" t="s">
        <v>4</v>
      </c>
    </row>
    <row r="6" spans="2:11" x14ac:dyDescent="0.35">
      <c r="B6" s="2">
        <v>4</v>
      </c>
      <c r="C6" s="9">
        <v>45778</v>
      </c>
      <c r="D6" s="2" t="s">
        <v>56</v>
      </c>
      <c r="E6" s="2" t="s">
        <v>57</v>
      </c>
      <c r="F6" s="2" t="s">
        <v>58</v>
      </c>
      <c r="G6" s="2" t="s">
        <v>8</v>
      </c>
      <c r="H6" s="2" t="s">
        <v>61</v>
      </c>
      <c r="I6" s="2" t="s">
        <v>7</v>
      </c>
      <c r="J6" s="10">
        <v>40602</v>
      </c>
      <c r="K6" s="2" t="s">
        <v>5</v>
      </c>
    </row>
    <row r="7" spans="2:11" x14ac:dyDescent="0.35">
      <c r="B7" s="2">
        <v>5</v>
      </c>
      <c r="C7" s="9">
        <v>45778</v>
      </c>
      <c r="D7" s="2" t="s">
        <v>59</v>
      </c>
      <c r="E7" s="2" t="s">
        <v>60</v>
      </c>
      <c r="F7" s="2" t="s">
        <v>58</v>
      </c>
      <c r="G7" s="2" t="s">
        <v>8</v>
      </c>
      <c r="H7" s="2" t="s">
        <v>62</v>
      </c>
      <c r="I7" s="2" t="s">
        <v>7</v>
      </c>
      <c r="J7" s="10">
        <v>30986</v>
      </c>
      <c r="K7" s="2" t="s">
        <v>5</v>
      </c>
    </row>
    <row r="8" spans="2:11" x14ac:dyDescent="0.35">
      <c r="B8" s="2">
        <v>6</v>
      </c>
      <c r="C8" s="9">
        <v>45809</v>
      </c>
      <c r="D8" s="2" t="s">
        <v>66</v>
      </c>
      <c r="E8" s="2" t="s">
        <v>67</v>
      </c>
      <c r="F8" s="2" t="s">
        <v>68</v>
      </c>
      <c r="G8" s="2" t="s">
        <v>8</v>
      </c>
      <c r="H8" s="2" t="s">
        <v>61</v>
      </c>
      <c r="I8" s="2" t="s">
        <v>30</v>
      </c>
      <c r="J8" s="10">
        <v>32247</v>
      </c>
      <c r="K8" s="2" t="s">
        <v>31</v>
      </c>
    </row>
    <row r="9" spans="2:11" x14ac:dyDescent="0.35">
      <c r="B9" s="2">
        <v>7</v>
      </c>
      <c r="C9" s="9">
        <v>45809</v>
      </c>
      <c r="D9" s="2" t="s">
        <v>56</v>
      </c>
      <c r="E9" s="2" t="s">
        <v>57</v>
      </c>
      <c r="F9" s="2" t="s">
        <v>58</v>
      </c>
      <c r="G9" s="2" t="s">
        <v>8</v>
      </c>
      <c r="H9" s="2" t="s">
        <v>61</v>
      </c>
      <c r="I9" s="2" t="s">
        <v>7</v>
      </c>
      <c r="J9" s="10">
        <v>38436</v>
      </c>
      <c r="K9" s="2" t="s">
        <v>5</v>
      </c>
    </row>
    <row r="10" spans="2:11" x14ac:dyDescent="0.35">
      <c r="B10" s="2">
        <v>8</v>
      </c>
      <c r="C10" s="9">
        <v>45809</v>
      </c>
      <c r="D10" s="2" t="s">
        <v>59</v>
      </c>
      <c r="E10" s="2" t="s">
        <v>60</v>
      </c>
      <c r="F10" s="2" t="s">
        <v>58</v>
      </c>
      <c r="G10" s="2" t="s">
        <v>8</v>
      </c>
      <c r="H10" s="2" t="s">
        <v>62</v>
      </c>
      <c r="I10" s="2" t="s">
        <v>7</v>
      </c>
      <c r="J10" s="10">
        <v>28994</v>
      </c>
      <c r="K10" s="2" t="s">
        <v>5</v>
      </c>
    </row>
    <row r="11" spans="2:11" x14ac:dyDescent="0.35">
      <c r="B11" s="2">
        <v>9</v>
      </c>
      <c r="C11" s="9">
        <v>45839</v>
      </c>
      <c r="D11" s="2" t="s">
        <v>66</v>
      </c>
      <c r="E11" s="2" t="s">
        <v>67</v>
      </c>
      <c r="F11" s="2" t="s">
        <v>68</v>
      </c>
      <c r="G11" s="2" t="s">
        <v>8</v>
      </c>
      <c r="H11" s="2" t="s">
        <v>61</v>
      </c>
      <c r="I11" s="2" t="s">
        <v>30</v>
      </c>
      <c r="J11" s="10">
        <v>32247</v>
      </c>
      <c r="K11" s="2" t="s">
        <v>31</v>
      </c>
    </row>
    <row r="12" spans="2:11" x14ac:dyDescent="0.35">
      <c r="B12" s="2">
        <v>10</v>
      </c>
      <c r="C12" s="9">
        <v>45839</v>
      </c>
      <c r="D12" s="2" t="s">
        <v>56</v>
      </c>
      <c r="E12" s="2" t="s">
        <v>57</v>
      </c>
      <c r="F12" s="2" t="s">
        <v>68</v>
      </c>
      <c r="G12" s="2" t="s">
        <v>8</v>
      </c>
      <c r="H12" s="2" t="s">
        <v>61</v>
      </c>
      <c r="I12" s="2" t="s">
        <v>7</v>
      </c>
      <c r="J12" s="10">
        <v>37941</v>
      </c>
      <c r="K12" s="2" t="s">
        <v>5</v>
      </c>
    </row>
    <row r="13" spans="2:11" x14ac:dyDescent="0.35">
      <c r="B13" s="2">
        <v>11</v>
      </c>
      <c r="C13" s="9">
        <v>45839</v>
      </c>
      <c r="D13" s="2" t="s">
        <v>59</v>
      </c>
      <c r="E13" s="2" t="s">
        <v>60</v>
      </c>
      <c r="F13" s="2" t="s">
        <v>68</v>
      </c>
      <c r="G13" s="2" t="s">
        <v>8</v>
      </c>
      <c r="H13" s="2" t="s">
        <v>62</v>
      </c>
      <c r="I13" s="2" t="s">
        <v>7</v>
      </c>
      <c r="J13" s="10">
        <v>29039</v>
      </c>
      <c r="K13" s="2" t="s">
        <v>5</v>
      </c>
    </row>
    <row r="14" spans="2:11" x14ac:dyDescent="0.35">
      <c r="B14" s="2">
        <v>12</v>
      </c>
      <c r="C14" s="9">
        <v>45870</v>
      </c>
      <c r="D14" s="2" t="s">
        <v>66</v>
      </c>
      <c r="E14" s="2" t="s">
        <v>67</v>
      </c>
      <c r="F14" s="2" t="s">
        <v>68</v>
      </c>
      <c r="G14" s="2" t="s">
        <v>8</v>
      </c>
      <c r="H14" s="2" t="s">
        <v>61</v>
      </c>
      <c r="I14" s="2" t="s">
        <v>30</v>
      </c>
      <c r="J14" s="10">
        <v>34360</v>
      </c>
      <c r="K14" s="2" t="s">
        <v>31</v>
      </c>
    </row>
    <row r="15" spans="2:11" x14ac:dyDescent="0.35">
      <c r="B15" s="2">
        <v>13</v>
      </c>
      <c r="C15" s="9">
        <v>45870</v>
      </c>
      <c r="D15" s="2" t="s">
        <v>56</v>
      </c>
      <c r="E15" s="2" t="s">
        <v>57</v>
      </c>
      <c r="F15" s="2" t="s">
        <v>68</v>
      </c>
      <c r="G15" s="2" t="s">
        <v>8</v>
      </c>
      <c r="H15" s="2" t="s">
        <v>61</v>
      </c>
      <c r="I15" s="2" t="s">
        <v>7</v>
      </c>
      <c r="J15" s="10">
        <v>37941</v>
      </c>
      <c r="K15" s="2" t="s">
        <v>5</v>
      </c>
    </row>
    <row r="16" spans="2:11" x14ac:dyDescent="0.35">
      <c r="B16" s="2">
        <v>14</v>
      </c>
      <c r="C16" s="9">
        <v>45870</v>
      </c>
      <c r="D16" s="2" t="s">
        <v>59</v>
      </c>
      <c r="E16" s="2" t="s">
        <v>60</v>
      </c>
      <c r="F16" s="2" t="s">
        <v>68</v>
      </c>
      <c r="G16" s="2" t="s">
        <v>8</v>
      </c>
      <c r="H16" s="2" t="s">
        <v>62</v>
      </c>
      <c r="I16" s="2" t="s">
        <v>7</v>
      </c>
      <c r="J16" s="10">
        <v>31739</v>
      </c>
      <c r="K16" s="2" t="s">
        <v>5</v>
      </c>
    </row>
  </sheetData>
  <autoFilter ref="B2:K16" xr:uid="{3BF6A378-0446-41EA-BF3C-C5C6F0C0944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CD6C-9DE5-4C8E-B44B-391A866A9703}">
  <dimension ref="B3:K28"/>
  <sheetViews>
    <sheetView workbookViewId="0">
      <selection activeCell="C2" sqref="C2"/>
    </sheetView>
  </sheetViews>
  <sheetFormatPr defaultRowHeight="14.5" x14ac:dyDescent="0.35"/>
  <cols>
    <col min="2" max="2" width="8.1796875" bestFit="1" customWidth="1"/>
    <col min="3" max="3" width="13.36328125" bestFit="1" customWidth="1"/>
    <col min="4" max="4" width="15.7265625" bestFit="1" customWidth="1"/>
    <col min="5" max="5" width="14.90625" bestFit="1" customWidth="1"/>
    <col min="6" max="6" width="16" bestFit="1" customWidth="1"/>
    <col min="7" max="7" width="9.08984375" bestFit="1" customWidth="1"/>
    <col min="8" max="8" width="15.08984375" bestFit="1" customWidth="1"/>
    <col min="9" max="9" width="13.26953125" bestFit="1" customWidth="1"/>
    <col min="10" max="10" width="9.26953125" customWidth="1"/>
    <col min="11" max="11" width="19.08984375" bestFit="1" customWidth="1"/>
    <col min="12" max="12" width="8.26953125" bestFit="1" customWidth="1"/>
  </cols>
  <sheetData>
    <row r="3" spans="2:11" x14ac:dyDescent="0.35">
      <c r="B3" s="11" t="s">
        <v>33</v>
      </c>
      <c r="C3" s="8" t="s">
        <v>34</v>
      </c>
      <c r="D3" s="8" t="s">
        <v>35</v>
      </c>
      <c r="E3" s="8" t="s">
        <v>18</v>
      </c>
      <c r="F3" s="8" t="s">
        <v>36</v>
      </c>
      <c r="G3" s="8" t="s">
        <v>70</v>
      </c>
      <c r="H3" s="8" t="s">
        <v>71</v>
      </c>
      <c r="I3" s="8" t="s">
        <v>17</v>
      </c>
      <c r="J3" s="8" t="s">
        <v>69</v>
      </c>
      <c r="K3" s="8" t="s">
        <v>72</v>
      </c>
    </row>
    <row r="4" spans="2:11" x14ac:dyDescent="0.35">
      <c r="B4" s="9">
        <v>45748</v>
      </c>
      <c r="C4" s="2" t="s">
        <v>79</v>
      </c>
      <c r="D4" s="2" t="s">
        <v>80</v>
      </c>
      <c r="E4" s="2" t="s">
        <v>76</v>
      </c>
      <c r="F4" s="2" t="s">
        <v>83</v>
      </c>
      <c r="G4" s="2" t="s">
        <v>84</v>
      </c>
      <c r="H4" s="2" t="s">
        <v>84</v>
      </c>
      <c r="I4" s="2" t="s">
        <v>1</v>
      </c>
      <c r="J4" s="2">
        <v>17227</v>
      </c>
      <c r="K4" s="2" t="s">
        <v>0</v>
      </c>
    </row>
    <row r="5" spans="2:11" x14ac:dyDescent="0.35">
      <c r="B5" s="9">
        <v>45778</v>
      </c>
      <c r="C5" s="2" t="s">
        <v>79</v>
      </c>
      <c r="D5" s="2" t="s">
        <v>80</v>
      </c>
      <c r="E5" s="2" t="s">
        <v>76</v>
      </c>
      <c r="F5" s="2" t="s">
        <v>83</v>
      </c>
      <c r="G5" s="2" t="s">
        <v>84</v>
      </c>
      <c r="H5" s="2" t="s">
        <v>84</v>
      </c>
      <c r="I5" s="2" t="s">
        <v>1</v>
      </c>
      <c r="J5" s="2">
        <v>16670</v>
      </c>
      <c r="K5" s="2" t="s">
        <v>0</v>
      </c>
    </row>
    <row r="6" spans="2:11" x14ac:dyDescent="0.35">
      <c r="B6" s="9">
        <v>45809</v>
      </c>
      <c r="C6" s="2" t="s">
        <v>79</v>
      </c>
      <c r="D6" s="2" t="s">
        <v>80</v>
      </c>
      <c r="E6" s="2" t="s">
        <v>76</v>
      </c>
      <c r="F6" s="2" t="s">
        <v>83</v>
      </c>
      <c r="G6" s="2" t="s">
        <v>84</v>
      </c>
      <c r="H6" s="2" t="s">
        <v>84</v>
      </c>
      <c r="I6" s="2" t="s">
        <v>1</v>
      </c>
      <c r="J6" s="2">
        <v>23978</v>
      </c>
      <c r="K6" s="2" t="s">
        <v>0</v>
      </c>
    </row>
    <row r="7" spans="2:11" x14ac:dyDescent="0.35">
      <c r="B7" s="9">
        <v>45839</v>
      </c>
      <c r="C7" s="2" t="s">
        <v>79</v>
      </c>
      <c r="D7" s="2" t="s">
        <v>80</v>
      </c>
      <c r="E7" s="2" t="s">
        <v>76</v>
      </c>
      <c r="F7" s="2" t="s">
        <v>83</v>
      </c>
      <c r="G7" s="2" t="s">
        <v>84</v>
      </c>
      <c r="H7" s="2" t="s">
        <v>84</v>
      </c>
      <c r="I7" s="2" t="s">
        <v>1</v>
      </c>
      <c r="J7" s="2">
        <v>19291</v>
      </c>
      <c r="K7" s="2" t="s">
        <v>0</v>
      </c>
    </row>
    <row r="8" spans="2:11" x14ac:dyDescent="0.35">
      <c r="B8" s="9">
        <v>45870</v>
      </c>
      <c r="C8" s="2" t="s">
        <v>79</v>
      </c>
      <c r="D8" s="2" t="s">
        <v>80</v>
      </c>
      <c r="E8" s="2" t="s">
        <v>76</v>
      </c>
      <c r="F8" s="2" t="s">
        <v>83</v>
      </c>
      <c r="G8" s="2" t="s">
        <v>84</v>
      </c>
      <c r="H8" s="2" t="s">
        <v>84</v>
      </c>
      <c r="I8" s="2" t="s">
        <v>1</v>
      </c>
      <c r="J8" s="2">
        <v>19291</v>
      </c>
      <c r="K8" s="2" t="s">
        <v>0</v>
      </c>
    </row>
    <row r="9" spans="2:11" x14ac:dyDescent="0.35">
      <c r="B9" s="9">
        <v>45748</v>
      </c>
      <c r="C9" s="2" t="s">
        <v>86</v>
      </c>
      <c r="D9" s="2" t="s">
        <v>87</v>
      </c>
      <c r="E9" s="2" t="s">
        <v>8</v>
      </c>
      <c r="F9" s="2" t="s">
        <v>88</v>
      </c>
      <c r="G9" s="2" t="s">
        <v>73</v>
      </c>
      <c r="H9" s="2" t="s">
        <v>89</v>
      </c>
      <c r="I9" s="2" t="s">
        <v>21</v>
      </c>
      <c r="J9" s="2">
        <v>27254</v>
      </c>
      <c r="K9" s="2" t="s">
        <v>22</v>
      </c>
    </row>
    <row r="10" spans="2:11" x14ac:dyDescent="0.35">
      <c r="B10" s="9">
        <v>45778</v>
      </c>
      <c r="C10" s="2" t="s">
        <v>86</v>
      </c>
      <c r="D10" s="2" t="s">
        <v>87</v>
      </c>
      <c r="E10" s="2" t="s">
        <v>8</v>
      </c>
      <c r="F10" s="2" t="s">
        <v>88</v>
      </c>
      <c r="G10" s="2" t="s">
        <v>73</v>
      </c>
      <c r="H10" s="2" t="s">
        <v>89</v>
      </c>
      <c r="I10" s="2" t="s">
        <v>21</v>
      </c>
      <c r="J10" s="2">
        <v>27254</v>
      </c>
      <c r="K10" s="2" t="s">
        <v>22</v>
      </c>
    </row>
    <row r="11" spans="2:11" x14ac:dyDescent="0.35">
      <c r="B11" s="9">
        <v>45809</v>
      </c>
      <c r="C11" s="2" t="s">
        <v>86</v>
      </c>
      <c r="D11" s="2" t="s">
        <v>87</v>
      </c>
      <c r="E11" s="2" t="s">
        <v>8</v>
      </c>
      <c r="F11" s="2" t="s">
        <v>88</v>
      </c>
      <c r="G11" s="2" t="s">
        <v>73</v>
      </c>
      <c r="H11" s="2" t="s">
        <v>89</v>
      </c>
      <c r="I11" s="2" t="s">
        <v>21</v>
      </c>
      <c r="J11" s="2">
        <v>34688</v>
      </c>
      <c r="K11" s="2" t="s">
        <v>22</v>
      </c>
    </row>
    <row r="12" spans="2:11" x14ac:dyDescent="0.35">
      <c r="B12" s="9">
        <v>45839</v>
      </c>
      <c r="C12" s="2" t="s">
        <v>86</v>
      </c>
      <c r="D12" s="2" t="s">
        <v>87</v>
      </c>
      <c r="E12" s="2" t="s">
        <v>8</v>
      </c>
      <c r="F12" s="2" t="s">
        <v>88</v>
      </c>
      <c r="G12" s="2" t="s">
        <v>73</v>
      </c>
      <c r="H12" s="2" t="s">
        <v>89</v>
      </c>
      <c r="I12" s="2" t="s">
        <v>21</v>
      </c>
      <c r="J12" s="2">
        <v>29732</v>
      </c>
      <c r="K12" s="2" t="s">
        <v>22</v>
      </c>
    </row>
    <row r="13" spans="2:11" x14ac:dyDescent="0.35">
      <c r="B13" s="9">
        <v>45870</v>
      </c>
      <c r="C13" s="2" t="s">
        <v>86</v>
      </c>
      <c r="D13" s="2" t="s">
        <v>87</v>
      </c>
      <c r="E13" s="2" t="s">
        <v>8</v>
      </c>
      <c r="F13" s="2" t="s">
        <v>88</v>
      </c>
      <c r="G13" s="2" t="s">
        <v>73</v>
      </c>
      <c r="H13" s="2" t="s">
        <v>89</v>
      </c>
      <c r="I13" s="2" t="s">
        <v>21</v>
      </c>
      <c r="J13" s="2">
        <v>29732</v>
      </c>
      <c r="K13" s="2" t="s">
        <v>22</v>
      </c>
    </row>
    <row r="14" spans="2:11" x14ac:dyDescent="0.35">
      <c r="B14" s="9">
        <v>45748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73</v>
      </c>
      <c r="H14" s="2" t="s">
        <v>78</v>
      </c>
      <c r="I14" s="2" t="s">
        <v>24</v>
      </c>
      <c r="J14" s="2">
        <v>26230</v>
      </c>
      <c r="K14" s="2" t="s">
        <v>23</v>
      </c>
    </row>
    <row r="15" spans="2:11" x14ac:dyDescent="0.35">
      <c r="B15" s="9">
        <v>45748</v>
      </c>
      <c r="C15" s="2" t="s">
        <v>81</v>
      </c>
      <c r="D15" s="2" t="s">
        <v>82</v>
      </c>
      <c r="E15" s="2" t="s">
        <v>76</v>
      </c>
      <c r="F15" s="2" t="s">
        <v>85</v>
      </c>
      <c r="G15" s="2" t="s">
        <v>73</v>
      </c>
      <c r="H15" s="2" t="s">
        <v>78</v>
      </c>
      <c r="I15" s="2" t="s">
        <v>24</v>
      </c>
      <c r="J15" s="2">
        <v>14700</v>
      </c>
      <c r="K15" s="2" t="s">
        <v>23</v>
      </c>
    </row>
    <row r="16" spans="2:11" x14ac:dyDescent="0.35">
      <c r="B16" s="9">
        <v>45778</v>
      </c>
      <c r="C16" s="2" t="s">
        <v>74</v>
      </c>
      <c r="D16" s="2" t="s">
        <v>75</v>
      </c>
      <c r="E16" s="2" t="s">
        <v>76</v>
      </c>
      <c r="F16" s="2" t="s">
        <v>77</v>
      </c>
      <c r="G16" s="2" t="s">
        <v>73</v>
      </c>
      <c r="H16" s="2" t="s">
        <v>78</v>
      </c>
      <c r="I16" s="2" t="s">
        <v>24</v>
      </c>
      <c r="J16" s="2">
        <v>26230</v>
      </c>
      <c r="K16" s="2" t="s">
        <v>23</v>
      </c>
    </row>
    <row r="17" spans="2:11" x14ac:dyDescent="0.35">
      <c r="B17" s="9">
        <v>45778</v>
      </c>
      <c r="C17" s="2" t="s">
        <v>81</v>
      </c>
      <c r="D17" s="2" t="s">
        <v>82</v>
      </c>
      <c r="E17" s="2" t="s">
        <v>76</v>
      </c>
      <c r="F17" s="2" t="s">
        <v>85</v>
      </c>
      <c r="G17" s="2" t="s">
        <v>73</v>
      </c>
      <c r="H17" s="2" t="s">
        <v>78</v>
      </c>
      <c r="I17" s="2" t="s">
        <v>24</v>
      </c>
      <c r="J17" s="2">
        <v>14700</v>
      </c>
      <c r="K17" s="2" t="s">
        <v>23</v>
      </c>
    </row>
    <row r="18" spans="2:11" x14ac:dyDescent="0.35">
      <c r="B18" s="9">
        <v>45809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73</v>
      </c>
      <c r="H18" s="2" t="s">
        <v>78</v>
      </c>
      <c r="I18" s="2" t="s">
        <v>24</v>
      </c>
      <c r="J18" s="2">
        <v>33388</v>
      </c>
      <c r="K18" s="2" t="s">
        <v>23</v>
      </c>
    </row>
    <row r="19" spans="2:11" x14ac:dyDescent="0.35">
      <c r="B19" s="9">
        <v>45809</v>
      </c>
      <c r="C19" s="2" t="s">
        <v>81</v>
      </c>
      <c r="D19" s="2" t="s">
        <v>82</v>
      </c>
      <c r="E19" s="2" t="s">
        <v>76</v>
      </c>
      <c r="F19" s="2" t="s">
        <v>85</v>
      </c>
      <c r="G19" s="2" t="s">
        <v>73</v>
      </c>
      <c r="H19" s="2" t="s">
        <v>78</v>
      </c>
      <c r="I19" s="2" t="s">
        <v>24</v>
      </c>
      <c r="J19" s="2">
        <v>17349</v>
      </c>
      <c r="K19" s="2" t="s">
        <v>23</v>
      </c>
    </row>
    <row r="20" spans="2:11" x14ac:dyDescent="0.35">
      <c r="B20" s="9">
        <v>45839</v>
      </c>
      <c r="C20" s="2" t="s">
        <v>74</v>
      </c>
      <c r="D20" s="2" t="s">
        <v>75</v>
      </c>
      <c r="E20" s="2" t="s">
        <v>76</v>
      </c>
      <c r="F20" s="2" t="s">
        <v>77</v>
      </c>
      <c r="G20" s="2" t="s">
        <v>73</v>
      </c>
      <c r="H20" s="2" t="s">
        <v>78</v>
      </c>
      <c r="I20" s="2" t="s">
        <v>24</v>
      </c>
      <c r="J20" s="2">
        <v>28616</v>
      </c>
      <c r="K20" s="2" t="s">
        <v>23</v>
      </c>
    </row>
    <row r="21" spans="2:11" x14ac:dyDescent="0.35">
      <c r="B21" s="9">
        <v>45839</v>
      </c>
      <c r="C21" s="2" t="s">
        <v>81</v>
      </c>
      <c r="D21" s="2" t="s">
        <v>82</v>
      </c>
      <c r="E21" s="2" t="s">
        <v>76</v>
      </c>
      <c r="F21" s="2" t="s">
        <v>85</v>
      </c>
      <c r="G21" s="2" t="s">
        <v>73</v>
      </c>
      <c r="H21" s="2" t="s">
        <v>78</v>
      </c>
      <c r="I21" s="2" t="s">
        <v>24</v>
      </c>
      <c r="J21" s="2">
        <v>15583</v>
      </c>
      <c r="K21" s="2" t="s">
        <v>23</v>
      </c>
    </row>
    <row r="22" spans="2:11" x14ac:dyDescent="0.35">
      <c r="B22" s="9">
        <v>45870</v>
      </c>
      <c r="C22" s="2" t="s">
        <v>74</v>
      </c>
      <c r="D22" s="2" t="s">
        <v>75</v>
      </c>
      <c r="E22" s="2" t="s">
        <v>76</v>
      </c>
      <c r="F22" s="2" t="s">
        <v>77</v>
      </c>
      <c r="G22" s="2" t="s">
        <v>73</v>
      </c>
      <c r="H22" s="2" t="s">
        <v>78</v>
      </c>
      <c r="I22" s="2" t="s">
        <v>24</v>
      </c>
      <c r="J22" s="2">
        <v>28616</v>
      </c>
      <c r="K22" s="2" t="s">
        <v>23</v>
      </c>
    </row>
    <row r="23" spans="2:11" x14ac:dyDescent="0.35">
      <c r="B23" s="9">
        <v>45870</v>
      </c>
      <c r="C23" s="2" t="s">
        <v>81</v>
      </c>
      <c r="D23" s="2" t="s">
        <v>82</v>
      </c>
      <c r="E23" s="2" t="s">
        <v>76</v>
      </c>
      <c r="F23" s="2" t="s">
        <v>85</v>
      </c>
      <c r="G23" s="2" t="s">
        <v>73</v>
      </c>
      <c r="H23" s="2" t="s">
        <v>78</v>
      </c>
      <c r="I23" s="2" t="s">
        <v>24</v>
      </c>
      <c r="J23" s="2">
        <v>15583</v>
      </c>
      <c r="K23" s="2" t="s">
        <v>23</v>
      </c>
    </row>
    <row r="24" spans="2:11" x14ac:dyDescent="0.35">
      <c r="B24" s="9">
        <v>45748</v>
      </c>
      <c r="C24" s="2" t="s">
        <v>90</v>
      </c>
      <c r="D24" s="2" t="s">
        <v>91</v>
      </c>
      <c r="E24" s="2" t="s">
        <v>29</v>
      </c>
      <c r="F24" s="2" t="s">
        <v>83</v>
      </c>
      <c r="G24" s="2" t="s">
        <v>73</v>
      </c>
      <c r="H24" s="2" t="s">
        <v>92</v>
      </c>
      <c r="I24" s="2" t="s">
        <v>27</v>
      </c>
      <c r="J24" s="2">
        <v>19746</v>
      </c>
      <c r="K24" s="2" t="s">
        <v>28</v>
      </c>
    </row>
    <row r="25" spans="2:11" x14ac:dyDescent="0.35">
      <c r="B25" s="9">
        <v>45778</v>
      </c>
      <c r="C25" s="2" t="s">
        <v>90</v>
      </c>
      <c r="D25" s="2" t="s">
        <v>91</v>
      </c>
      <c r="E25" s="2" t="s">
        <v>29</v>
      </c>
      <c r="F25" s="2" t="s">
        <v>83</v>
      </c>
      <c r="G25" s="2" t="s">
        <v>73</v>
      </c>
      <c r="H25" s="2" t="s">
        <v>92</v>
      </c>
      <c r="I25" s="2" t="s">
        <v>27</v>
      </c>
      <c r="J25" s="2">
        <v>19746</v>
      </c>
      <c r="K25" s="2" t="s">
        <v>28</v>
      </c>
    </row>
    <row r="26" spans="2:11" x14ac:dyDescent="0.35">
      <c r="B26" s="9">
        <v>45809</v>
      </c>
      <c r="C26" s="2" t="s">
        <v>90</v>
      </c>
      <c r="D26" s="2" t="s">
        <v>91</v>
      </c>
      <c r="E26" s="2" t="s">
        <v>29</v>
      </c>
      <c r="F26" s="2" t="s">
        <v>83</v>
      </c>
      <c r="G26" s="2" t="s">
        <v>73</v>
      </c>
      <c r="H26" s="2" t="s">
        <v>92</v>
      </c>
      <c r="I26" s="2" t="s">
        <v>27</v>
      </c>
      <c r="J26" s="2">
        <v>26864</v>
      </c>
      <c r="K26" s="2" t="s">
        <v>28</v>
      </c>
    </row>
    <row r="27" spans="2:11" x14ac:dyDescent="0.35">
      <c r="B27" s="9">
        <v>45839</v>
      </c>
      <c r="C27" s="2" t="s">
        <v>90</v>
      </c>
      <c r="D27" s="2" t="s">
        <v>91</v>
      </c>
      <c r="E27" s="2" t="s">
        <v>29</v>
      </c>
      <c r="F27" s="2" t="s">
        <v>83</v>
      </c>
      <c r="G27" s="2" t="s">
        <v>73</v>
      </c>
      <c r="H27" s="2" t="s">
        <v>92</v>
      </c>
      <c r="I27" s="2" t="s">
        <v>27</v>
      </c>
      <c r="J27" s="2">
        <v>22119</v>
      </c>
      <c r="K27" s="2" t="s">
        <v>28</v>
      </c>
    </row>
    <row r="28" spans="2:11" x14ac:dyDescent="0.35">
      <c r="B28" s="9">
        <v>45870</v>
      </c>
      <c r="C28" s="2" t="s">
        <v>90</v>
      </c>
      <c r="D28" s="2" t="s">
        <v>91</v>
      </c>
      <c r="E28" s="2" t="s">
        <v>29</v>
      </c>
      <c r="F28" s="2" t="s">
        <v>83</v>
      </c>
      <c r="G28" s="2" t="s">
        <v>73</v>
      </c>
      <c r="H28" s="2" t="s">
        <v>92</v>
      </c>
      <c r="I28" s="2" t="s">
        <v>27</v>
      </c>
      <c r="J28" s="2">
        <v>22119</v>
      </c>
      <c r="K28" s="2" t="s">
        <v>28</v>
      </c>
    </row>
  </sheetData>
  <autoFilter ref="A3:K28" xr:uid="{D99ACD6C-9DE5-4C8E-B44B-391A866A9703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Incorrect Cost centers</vt:lpstr>
      <vt:lpstr>PEIPL</vt:lpstr>
      <vt:lpstr>PEGEPL</vt:lpstr>
      <vt:lpstr>PEL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Borra Prasanna (IND)</dc:creator>
  <cp:lastModifiedBy>Teja Kolliboyina (IND)</cp:lastModifiedBy>
  <dcterms:created xsi:type="dcterms:W3CDTF">2025-10-15T08:02:41Z</dcterms:created>
  <dcterms:modified xsi:type="dcterms:W3CDTF">2025-10-22T13:50:29Z</dcterms:modified>
</cp:coreProperties>
</file>