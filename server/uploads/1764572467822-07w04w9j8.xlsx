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C6EA6C63-4B2C-44A1-9F07-9056A437F82D}" xr6:coauthVersionLast="47" xr6:coauthVersionMax="47" xr10:uidLastSave="{00000000-0000-0000-0000-000000000000}"/>
  <bookViews>
    <workbookView xWindow="700" yWindow="700" windowWidth="19180" windowHeight="10060" xr2:uid="{5D6610E9-9FB6-4972-B9BE-1A86A5200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F12" i="1"/>
  <c r="A12" i="1"/>
  <c r="F8" i="1"/>
  <c r="F7" i="1"/>
  <c r="F6" i="1"/>
  <c r="A6" i="1"/>
  <c r="A8" i="1" s="1"/>
  <c r="A9" i="1" s="1"/>
</calcChain>
</file>

<file path=xl/sharedStrings.xml><?xml version="1.0" encoding="utf-8"?>
<sst xmlns="http://schemas.openxmlformats.org/spreadsheetml/2006/main" count="19" uniqueCount="19">
  <si>
    <t>No of Workers as per Contractor Registration Certificate</t>
  </si>
  <si>
    <t>No of Workers as per CLRA Certificate of PEPPL</t>
  </si>
  <si>
    <t>Actual deployment</t>
  </si>
  <si>
    <t>Month</t>
  </si>
  <si>
    <t>AKHIL ENTERPRISES</t>
  </si>
  <si>
    <t>Contractor</t>
  </si>
  <si>
    <t>GLITZCORP</t>
  </si>
  <si>
    <t>NIJA MANPOWER SERVICES</t>
  </si>
  <si>
    <t>SRI LAXMI GANAPATHI ENTERPRISES</t>
  </si>
  <si>
    <t>Registered under Shop and Establishment Act</t>
  </si>
  <si>
    <t>Certificate expired on 28-06-25</t>
  </si>
  <si>
    <t>Sl. No.</t>
  </si>
  <si>
    <t>PREMIER ENERGIES PHOTOVOLTAIC PRIVATE LIMITED</t>
  </si>
  <si>
    <t>Check PEIPL has more than 300 workers anytime</t>
  </si>
  <si>
    <t>JVG MANAGEMENT CONSULTING PRIVATE LIMITED</t>
  </si>
  <si>
    <t xml:space="preserve">No. of Workers working in PEPPL for 15 days or more </t>
  </si>
  <si>
    <t>SVL MANPOWER SOLUTIONS PRIVATE LIMITED</t>
  </si>
  <si>
    <t>SRI VENKATESHWARA MANPOWER SERVICES</t>
  </si>
  <si>
    <t>No details available in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</si>
</sst>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" fontId="2" fillId="0" borderId="5" xfId="0" applyNumberFormat="1" applyFont="1" applyBorder="1" applyAlignment="1">
      <alignment horizontal="center" vertical="center"/>
    </xf>
    <xf numFmtId="17" fontId="2" fillId="0" borderId="6" xfId="0" applyNumberFormat="1" applyFont="1" applyBorder="1" applyAlignment="1">
      <alignment horizontal="center" vertical="center"/>
    </xf>
    <xf numFmtId="17" fontId="2" fillId="0" borderId="7" xfId="0" applyNumberFormat="1" applyFont="1" applyBorder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/>
    </xf>
    <xf numFmtId="17" fontId="2" fillId="0" borderId="9" xfId="0" applyNumberFormat="1" applyFont="1" applyBorder="1" applyAlignment="1">
      <alignment horizontal="center" vertical="center"/>
    </xf>
    <xf numFmtId="17" fontId="2" fillId="0" borderId="1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4C0B-5C06-4DE9-9934-7C83FADE5787}">
  <dimension ref="A1:G21"/>
  <sheetViews>
    <sheetView showGridLines="0" tabSelected="1" workbookViewId="0">
      <selection activeCell="B3" sqref="B3"/>
    </sheetView>
  </sheetViews>
  <sheetFormatPr defaultColWidth="9.1796875" defaultRowHeight="12.5" x14ac:dyDescent="0.25"/>
  <cols>
    <col min="1" max="1" width="4.1796875" style="1" customWidth="1"/>
    <col min="2" max="2" width="28.1796875" style="2" customWidth="1"/>
    <col min="3" max="3" width="21.26953125" style="8" customWidth="1"/>
    <col min="4" max="4" width="18.1796875" style="8" customWidth="1"/>
    <col min="5" max="5" width="7" style="3" bestFit="1" customWidth="1"/>
    <col min="6" max="6" width="26.453125" style="3" customWidth="1"/>
    <col min="7" max="16384" width="9.1796875" style="1"/>
  </cols>
  <sheetData>
    <row r="1" spans="1:7" x14ac:dyDescent="0.25">
      <c r="A1" s="13" t="s">
        <v>12</v>
      </c>
    </row>
    <row r="2" spans="1:7" s="3" customFormat="1" x14ac:dyDescent="0.35">
      <c r="B2" s="2"/>
      <c r="C2" s="6"/>
      <c r="D2" s="6"/>
      <c r="E2" s="16" t="s">
        <v>2</v>
      </c>
      <c r="F2" s="16"/>
    </row>
    <row r="3" spans="1:7" s="3" customFormat="1" ht="45" customHeight="1" x14ac:dyDescent="0.35">
      <c r="A3" s="7" t="s">
        <v>11</v>
      </c>
      <c r="B3" s="4" t="s">
        <v>5</v>
      </c>
      <c r="C3" s="7" t="s">
        <v>0</v>
      </c>
      <c r="D3" s="7" t="s">
        <v>1</v>
      </c>
      <c r="E3" s="4" t="s">
        <v>3</v>
      </c>
      <c r="F3" s="7" t="s">
        <v>15</v>
      </c>
    </row>
    <row r="4" spans="1:7" x14ac:dyDescent="0.25">
      <c r="A4" s="29">
        <v>1</v>
      </c>
      <c r="B4" s="29" t="s">
        <v>4</v>
      </c>
      <c r="C4" s="15">
        <v>60</v>
      </c>
      <c r="D4" s="15">
        <v>120</v>
      </c>
      <c r="E4" s="9">
        <v>45778</v>
      </c>
      <c r="F4" s="5">
        <v>191</v>
      </c>
    </row>
    <row r="5" spans="1:7" x14ac:dyDescent="0.25">
      <c r="A5" s="29"/>
      <c r="B5" s="29"/>
      <c r="C5" s="15"/>
      <c r="D5" s="15"/>
      <c r="E5" s="9">
        <v>45839</v>
      </c>
      <c r="F5" s="5">
        <v>223</v>
      </c>
    </row>
    <row r="6" spans="1:7" x14ac:dyDescent="0.25">
      <c r="A6" s="17">
        <f>A4+1</f>
        <v>2</v>
      </c>
      <c r="B6" s="17" t="s">
        <v>6</v>
      </c>
      <c r="C6" s="19">
        <v>150</v>
      </c>
      <c r="D6" s="19">
        <v>400</v>
      </c>
      <c r="E6" s="9">
        <v>45536</v>
      </c>
      <c r="F6" s="5">
        <f>136+239</f>
        <v>375</v>
      </c>
    </row>
    <row r="7" spans="1:7" x14ac:dyDescent="0.25">
      <c r="A7" s="18"/>
      <c r="B7" s="18"/>
      <c r="C7" s="20"/>
      <c r="D7" s="20"/>
      <c r="E7" s="9">
        <v>45566</v>
      </c>
      <c r="F7" s="5">
        <f>158+225</f>
        <v>383</v>
      </c>
    </row>
    <row r="8" spans="1:7" ht="30" customHeight="1" x14ac:dyDescent="0.25">
      <c r="A8" s="10">
        <f>A6+1</f>
        <v>3</v>
      </c>
      <c r="B8" s="12" t="s">
        <v>14</v>
      </c>
      <c r="C8" s="11">
        <v>50</v>
      </c>
      <c r="D8" s="11">
        <v>50</v>
      </c>
      <c r="E8" s="9">
        <v>45839</v>
      </c>
      <c r="F8" s="5">
        <f>27+27</f>
        <v>54</v>
      </c>
    </row>
    <row r="9" spans="1:7" x14ac:dyDescent="0.25">
      <c r="A9" s="17">
        <f>A8+1</f>
        <v>4</v>
      </c>
      <c r="B9" s="31" t="s">
        <v>7</v>
      </c>
      <c r="C9" s="19">
        <v>40</v>
      </c>
      <c r="D9" s="19">
        <v>250</v>
      </c>
      <c r="E9" s="9">
        <v>45778</v>
      </c>
      <c r="F9" s="5">
        <v>252</v>
      </c>
    </row>
    <row r="10" spans="1:7" x14ac:dyDescent="0.25">
      <c r="A10" s="18"/>
      <c r="B10" s="32"/>
      <c r="C10" s="33"/>
      <c r="D10" s="33"/>
      <c r="E10" s="9">
        <v>45809</v>
      </c>
      <c r="F10" s="5">
        <v>270</v>
      </c>
    </row>
    <row r="11" spans="1:7" s="3" customFormat="1" ht="25" x14ac:dyDescent="0.35">
      <c r="A11" s="10">
        <v>5</v>
      </c>
      <c r="B11" s="12" t="s">
        <v>8</v>
      </c>
      <c r="C11" s="14">
        <v>100</v>
      </c>
      <c r="D11" s="11">
        <v>140</v>
      </c>
      <c r="E11" s="9">
        <v>45809</v>
      </c>
      <c r="F11" s="5">
        <v>102</v>
      </c>
      <c r="G11" s="3" t="s">
        <v>9</v>
      </c>
    </row>
    <row r="12" spans="1:7" ht="15" customHeight="1" x14ac:dyDescent="0.25">
      <c r="A12" s="17">
        <f>A11+1</f>
        <v>6</v>
      </c>
      <c r="B12" s="31" t="s">
        <v>16</v>
      </c>
      <c r="C12" s="19">
        <v>35</v>
      </c>
      <c r="D12" s="19">
        <v>20</v>
      </c>
      <c r="E12" s="9">
        <v>45413</v>
      </c>
      <c r="F12" s="5">
        <f>33</f>
        <v>33</v>
      </c>
      <c r="G12" s="1" t="s">
        <v>10</v>
      </c>
    </row>
    <row r="13" spans="1:7" x14ac:dyDescent="0.25">
      <c r="A13" s="18"/>
      <c r="B13" s="32"/>
      <c r="C13" s="20"/>
      <c r="D13" s="20"/>
      <c r="E13" s="9">
        <v>45444</v>
      </c>
      <c r="F13" s="5">
        <v>35</v>
      </c>
    </row>
    <row r="14" spans="1:7" ht="15" customHeight="1" x14ac:dyDescent="0.25">
      <c r="A14" s="17">
        <f t="shared" ref="A14" si="0">A12+1</f>
        <v>7</v>
      </c>
      <c r="B14" s="27" t="s">
        <v>17</v>
      </c>
      <c r="C14" s="19">
        <v>150</v>
      </c>
      <c r="D14" s="19">
        <v>75</v>
      </c>
      <c r="E14" s="21" t="s">
        <v>18</v>
      </c>
      <c r="F14" s="22"/>
    </row>
    <row r="15" spans="1:7" x14ac:dyDescent="0.25">
      <c r="A15" s="18"/>
      <c r="B15" s="27"/>
      <c r="C15" s="20"/>
      <c r="D15" s="20"/>
      <c r="E15" s="23"/>
      <c r="F15" s="24"/>
    </row>
    <row r="16" spans="1:7" x14ac:dyDescent="0.25">
      <c r="A16" s="30"/>
      <c r="B16" s="27"/>
      <c r="C16" s="28"/>
      <c r="D16" s="28"/>
      <c r="E16" s="25"/>
      <c r="F16" s="26"/>
    </row>
    <row r="21" spans="6:6" x14ac:dyDescent="0.25">
      <c r="F21" s="3" t="s">
        <v>13</v>
      </c>
    </row>
  </sheetData>
  <mergeCells count="22">
    <mergeCell ref="E14:F16"/>
    <mergeCell ref="B14:B16"/>
    <mergeCell ref="C14:C16"/>
    <mergeCell ref="D14:D16"/>
    <mergeCell ref="A4:A5"/>
    <mergeCell ref="A6:A7"/>
    <mergeCell ref="A9:A10"/>
    <mergeCell ref="A12:A13"/>
    <mergeCell ref="A14:A16"/>
    <mergeCell ref="B12:B13"/>
    <mergeCell ref="C12:C13"/>
    <mergeCell ref="D12:D13"/>
    <mergeCell ref="B9:B10"/>
    <mergeCell ref="C9:C10"/>
    <mergeCell ref="D9:D10"/>
    <mergeCell ref="B4:B5"/>
    <mergeCell ref="C4:C5"/>
    <mergeCell ref="D4:D5"/>
    <mergeCell ref="E2:F2"/>
    <mergeCell ref="B6:B7"/>
    <mergeCell ref="C6:C7"/>
    <mergeCell ref="D6:D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Shah (IND)</dc:creator>
  <cp:lastModifiedBy>Borra Prasanna (IND)</cp:lastModifiedBy>
  <dcterms:created xsi:type="dcterms:W3CDTF">2025-10-14T13:36:04Z</dcterms:created>
  <dcterms:modified xsi:type="dcterms:W3CDTF">2025-12-01T07:00:34Z</dcterms:modified>
</cp:coreProperties>
</file>