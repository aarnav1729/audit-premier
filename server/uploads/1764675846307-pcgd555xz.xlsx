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dminpel-my.sharepoint.com/personal/mukul_b_premierenergies_com/Documents/Documents/1. Naidupeth - 4GW Cell Topcon Phase 1/# Tracker + MSP/Wrench - 25 Nov Data/"/>
    </mc:Choice>
  </mc:AlternateContent>
  <xr:revisionPtr revIDLastSave="7180" documentId="8_{DE6D6B65-762C-407E-9397-5995238CA153}" xr6:coauthVersionLast="47" xr6:coauthVersionMax="47" xr10:uidLastSave="{9897AF28-8EAB-4BA8-B2AB-3B6A52B2059E}"/>
  <bookViews>
    <workbookView xWindow="-108" yWindow="-108" windowWidth="23256" windowHeight="12456" tabRatio="715" firstSheet="1" activeTab="1" xr2:uid="{278F01E0-4816-487E-AFB4-EB9B463D082F}"/>
  </bookViews>
  <sheets>
    <sheet name="Master - Civil + Utilities" sheetId="20" state="hidden" r:id="rId1"/>
    <sheet name="Utilities-P3" sheetId="18" r:id="rId2"/>
    <sheet name="Utilities-P2" sheetId="27" state="hidden" r:id="rId3"/>
    <sheet name="Civil-P2" sheetId="19" r:id="rId4"/>
    <sheet name="Civil -P11" sheetId="17" state="hidden" r:id="rId5"/>
    <sheet name="Utility Meeting" sheetId="15" state="hidden" r:id="rId6"/>
    <sheet name="Utilities -P1" sheetId="8" state="hidden" r:id="rId7"/>
    <sheet name="Civil - P1" sheetId="9" state="hidden" r:id="rId8"/>
    <sheet name="Process Tools -P2" sheetId="28" r:id="rId9"/>
    <sheet name="Process Tools" sheetId="22" r:id="rId10"/>
    <sheet name="Dry Type Transformer" sheetId="16" r:id="rId11"/>
    <sheet name="EP - PEB" sheetId="10" state="hidden" r:id="rId12"/>
    <sheet name="Critical Drawings" sheetId="13"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0">#REF!</definedName>
    <definedName name="\a">'[1]P&amp;LG'!#REF!</definedName>
    <definedName name="\A123">'[1]P&amp;LG'!#REF!</definedName>
    <definedName name="______________________________________abc123" hidden="1">#REF!</definedName>
    <definedName name="_____________________________abc123" hidden="1">#REF!</definedName>
    <definedName name="____________________________abc123" hidden="1">#REF!</definedName>
    <definedName name="__________________________abc123" hidden="1">#REF!</definedName>
    <definedName name="__________________abc123" hidden="1">#REF!</definedName>
    <definedName name="_________________abc123" hidden="1">#REF!</definedName>
    <definedName name="________________abc123" hidden="1">#REF!</definedName>
    <definedName name="_______________abc123" hidden="1">#REF!</definedName>
    <definedName name="_______abc123" hidden="1">#REF!</definedName>
    <definedName name="______abc123" hidden="1">#REF!</definedName>
    <definedName name="____abc123" hidden="1">#REF!</definedName>
    <definedName name="___INDEX_SHEET___ASAP_Utilities">#REF!</definedName>
    <definedName name="___PG2">#REF!</definedName>
    <definedName name="___PG3">#REF!</definedName>
    <definedName name="___PG4">#REF!</definedName>
    <definedName name="__abc123" hidden="1">#REF!</definedName>
    <definedName name="__ra4">'[2]R.A.'!$I$237</definedName>
    <definedName name="_AAA1">[3]POLY!$E$9:$E$214</definedName>
    <definedName name="_abc123" hidden="1">#REF!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Exp1">[4]Exp!#REF!</definedName>
    <definedName name="_Fill" hidden="1">#REF!</definedName>
    <definedName name="_xlnm._FilterDatabase" hidden="1">#REF!</definedName>
    <definedName name="_lb1">#REF!</definedName>
    <definedName name="_lb2">#REF!</definedName>
    <definedName name="_mm1">#REF!</definedName>
    <definedName name="_mm2">#REF!</definedName>
    <definedName name="_mm3">#REF!</definedName>
    <definedName name="_Order1" hidden="1">0</definedName>
    <definedName name="_PEX1">#REF!</definedName>
    <definedName name="_PLO1">#REF!</definedName>
    <definedName name="_pms3" hidden="1">{"'Bill No. 7'!$A$1:$G$32"}</definedName>
    <definedName name="_PRN1">#REF!</definedName>
    <definedName name="_PV1">[5]MISC!#REF!</definedName>
    <definedName name="_PV2">#REF!</definedName>
    <definedName name="_ra4">'[2]R.A.'!$I$237</definedName>
    <definedName name="_ts1">#REF!</definedName>
    <definedName name="_ts2">#REF!</definedName>
    <definedName name="a">#REF!</definedName>
    <definedName name="A_123">#REF!</definedName>
    <definedName name="A_value">#REF!</definedName>
    <definedName name="A_valueneu">#REF!</definedName>
    <definedName name="aa">'[6]Recon-Coal'!#REF!</definedName>
    <definedName name="aaa">#REF!</definedName>
    <definedName name="aaaa">#REF!</definedName>
    <definedName name="aaaaa">#REF!</definedName>
    <definedName name="aaaaaa">#REF!</definedName>
    <definedName name="aaaaaaa">#REF!</definedName>
    <definedName name="AAAAASDF">#REF!</definedName>
    <definedName name="aADSFASF">#REF!</definedName>
    <definedName name="ABC">#REF!</definedName>
    <definedName name="action">#REF!</definedName>
    <definedName name="Actual">(PeriodInActual*(#REF!&gt;0))*PeriodInPlan</definedName>
    <definedName name="ActualBeyond">PeriodInActual*(#REF!&gt;0)</definedName>
    <definedName name="adf">#REF!</definedName>
    <definedName name="Admin">#REF!</definedName>
    <definedName name="adsfasd">#REF!</definedName>
    <definedName name="ADSFASDF">#REF!</definedName>
    <definedName name="afhsdfh">#REF!</definedName>
    <definedName name="ageos">#REF!</definedName>
    <definedName name="agestock">#REF!</definedName>
    <definedName name="ALL">#REF!</definedName>
    <definedName name="ALL___0">#REF!</definedName>
    <definedName name="aman" hidden="1">{"'Sheet1'!$A$5:$E$42"}</definedName>
    <definedName name="anadty">#REF!</definedName>
    <definedName name="anaspun">#REF!</definedName>
    <definedName name="AS">#REF!</definedName>
    <definedName name="asd" hidden="1">#REF!</definedName>
    <definedName name="asdb">#REF!</definedName>
    <definedName name="asdf">#REF!</definedName>
    <definedName name="asdfas">#REF!</definedName>
    <definedName name="asdfasdf" hidden="1">#REF!</definedName>
    <definedName name="asdfasdfasdfasdf">#REF!</definedName>
    <definedName name="asdfgsddhsd">#REF!</definedName>
    <definedName name="asdfsadfs">#REF!</definedName>
    <definedName name="ASFASV">#REF!</definedName>
    <definedName name="asfghsdfh">#REF!</definedName>
    <definedName name="ass">#REF!</definedName>
    <definedName name="b">#REF!</definedName>
    <definedName name="B_1">#REF!</definedName>
    <definedName name="B_value">#REF!</definedName>
    <definedName name="B_valuenue">#REF!</definedName>
    <definedName name="Back_to_Summary">[7]Emp.Cost!#REF!</definedName>
    <definedName name="basia_1">#REF!</definedName>
    <definedName name="basis">#REF!</definedName>
    <definedName name="basis___0">#REF!</definedName>
    <definedName name="basis_2">#REF!</definedName>
    <definedName name="basis_3">#REF!</definedName>
    <definedName name="basis_4">#REF!</definedName>
    <definedName name="BB">'[6]Recon-Coal'!#REF!</definedName>
    <definedName name="BCVBXCV">#REF!</definedName>
    <definedName name="Beg_Bal">'[8]Amortization Table'!$C$18:$C$377</definedName>
    <definedName name="BETA_CURR_SELECTED">[9]Data!$K$8</definedName>
    <definedName name="BETA_OVERRIDE_FIELDS">[9]Data!$J$4:$J$7</definedName>
    <definedName name="BETA_OVERRIDE_VALUES">[9]Data!$K$4:$K$7</definedName>
    <definedName name="bf">#REF!</definedName>
    <definedName name="bn">#REF!</definedName>
    <definedName name="bnh">#REF!</definedName>
    <definedName name="bnsdbsd">#REF!</definedName>
    <definedName name="budget">[10]Sheet1!$B$3:$E$47</definedName>
    <definedName name="BuiltIn_AutoFilter___1">#REF!</definedName>
    <definedName name="BuiltIn_AutoFilter___1___0">#REF!</definedName>
    <definedName name="BuiltIn_AutoFilter___1___16">#REF!</definedName>
    <definedName name="BuiltIn_AutoFilter___25">#REF!</definedName>
    <definedName name="BuiltIn_AutoFilter___3">#REF!</definedName>
    <definedName name="BuiltIn_AutoFilter___3_1">#REF!</definedName>
    <definedName name="BuiltIn_AutoFilter___35">#REF!</definedName>
    <definedName name="BuiltIn_AutoFilter___35___0">#REF!</definedName>
    <definedName name="BuiltIn_AutoFilter___35___8">#REF!</definedName>
    <definedName name="BuiltIn_AutoFilter___35_1">#REF!</definedName>
    <definedName name="BuiltIn_AutoFilter___9">#REF!</definedName>
    <definedName name="BuiltIn_Print_Area">#REF!</definedName>
    <definedName name="BuiltIn_Print_Area___0">#REF!</definedName>
    <definedName name="BuiltIn_Print_Area___0___0">#REF!</definedName>
    <definedName name="BuiltIn_Print_Area___0___0___0">NA()</definedName>
    <definedName name="BuiltIn_Print_Area___0___0___0___0">"$"</definedName>
    <definedName name="BuiltIn_Print_Area___0___0___0___0___0">"$"</definedName>
    <definedName name="BuiltIn_Print_Area___0___0___0___0___0___0">#REF!</definedName>
    <definedName name="BuiltIn_Print_Area___0___0___8">"$"</definedName>
    <definedName name="BuiltIn_Print_Area___0___33">"$"</definedName>
    <definedName name="BuiltIn_Print_Area___1___1">#REF!</definedName>
    <definedName name="BuiltIn_Print_Area___1___1___0">#REF!</definedName>
    <definedName name="Builtin_print_area_1">#REF!</definedName>
    <definedName name="BuiltIn_Print_Titles">#REF!</definedName>
    <definedName name="BuiltIn_Print_Titles___0">#REF!</definedName>
    <definedName name="BuiltIn_Test_Copy">#REF!</definedName>
    <definedName name="BUTIBORI">#REF!</definedName>
    <definedName name="bv">'[11]foundation(V)'!#REF!</definedName>
    <definedName name="C_1">#REF!</definedName>
    <definedName name="C_value">#REF!</definedName>
    <definedName name="C_valueneu">#REF!</definedName>
    <definedName name="case1">#REF!</definedName>
    <definedName name="case2">#REF!</definedName>
    <definedName name="case3">#REF!</definedName>
    <definedName name="case4">#REF!</definedName>
    <definedName name="case5">#REF!</definedName>
    <definedName name="cc">'[6]Recon-Coal'!#REF!</definedName>
    <definedName name="CHIPS">#REF!</definedName>
    <definedName name="CHIPS___0">#REF!</definedName>
    <definedName name="cml_emp">[7]Emp.Cost!#REF!</definedName>
    <definedName name="cmr_cmp">[7]Emp.Cost!#REF!</definedName>
    <definedName name="Com_Emp">[7]Emp.Cost!#REF!</definedName>
    <definedName name="COMBER">#REF!</definedName>
    <definedName name="Company">#REF!</definedName>
    <definedName name="compdty">#REF!</definedName>
    <definedName name="compspun">#REF!</definedName>
    <definedName name="CONS">#REF!</definedName>
    <definedName name="_xlnm.Consolidate_Area">#N/A</definedName>
    <definedName name="ContEx3">[12]Cont!#REF!</definedName>
    <definedName name="ContEx4">[12]Cont!#REF!</definedName>
    <definedName name="ContEx5">[12]Cont!#REF!</definedName>
    <definedName name="ContLo1">#REF!</definedName>
    <definedName name="ContLo2">#REF!</definedName>
    <definedName name="ContLo3">#REF!</definedName>
    <definedName name="ContLo4">#REF!</definedName>
    <definedName name="ContLo5">#REF!</definedName>
    <definedName name="COVER">#REF!</definedName>
    <definedName name="CPP">#REF!</definedName>
    <definedName name="_xlnm.Criteria">#REF!</definedName>
    <definedName name="cshcrdt">#REF!</definedName>
    <definedName name="cust">#REF!</definedName>
    <definedName name="Customer_nr">#REF!</definedName>
    <definedName name="d">'[13]Analy_7-10'!#REF!</definedName>
    <definedName name="D_">#REF!</definedName>
    <definedName name="D_1">#REF!</definedName>
    <definedName name="d_m">[14]IKB3!$I$138</definedName>
    <definedName name="dafgh" hidden="1">#REF!</definedName>
    <definedName name="dat">#REF!</definedName>
    <definedName name="DATA">#REF!</definedName>
    <definedName name="DATA_0001" hidden="1">#REF!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_xlnm.Database">#REF!</definedName>
    <definedName name="dd1___6">[15]Pulses!$A$1:$S$311</definedName>
    <definedName name="decfbp">[15]Pulses!$A$1:$S$311</definedName>
    <definedName name="DEM">[16]Intaccrual!#REF!</definedName>
    <definedName name="dfgsdg">#REF!</definedName>
    <definedName name="dfhj">#REF!</definedName>
    <definedName name="dfhjdfj" hidden="1">#REF!</definedName>
    <definedName name="dfhsdfgh">#REF!</definedName>
    <definedName name="DGFHDH">#REF!</definedName>
    <definedName name="DGHDFH" hidden="1">#REF!</definedName>
    <definedName name="dghjd" hidden="1">#REF!</definedName>
    <definedName name="dghk">#REF!</definedName>
    <definedName name="dghkl" hidden="1">{"'Bill No. 7'!$A$1:$G$32"}</definedName>
    <definedName name="dghsdgh" hidden="1">#REF!</definedName>
    <definedName name="DILIP">[3]POLY!#REF!</definedName>
    <definedName name="direct">#REF!</definedName>
    <definedName name="Display_Week">#REF!</definedName>
    <definedName name="djkl">#REF!</definedName>
    <definedName name="DM">#REF!</definedName>
    <definedName name="DOLLAR">#REF!</definedName>
    <definedName name="DP">#REF!</definedName>
    <definedName name="dsdghsdfh">#REF!</definedName>
    <definedName name="dsfhsdfgh" hidden="1">#REF!</definedName>
    <definedName name="dsfhsdjsd">#REF!</definedName>
    <definedName name="dtjhy">#REF!</definedName>
    <definedName name="e">'[17]MHC-T2-Engine'!#REF!</definedName>
    <definedName name="eighteen_pct">#REF!</definedName>
    <definedName name="eighteen_pctneu">#REF!</definedName>
    <definedName name="End_Bal">'[8]Amortization Table'!$I$18:$I$377</definedName>
    <definedName name="environmentalcost">#N/A</definedName>
    <definedName name="eu_ro">[14]DEG!$H$169</definedName>
    <definedName name="EUR">[16]Intaccrual!#REF!</definedName>
    <definedName name="EURBOR">[16]Intaccrual!#REF!</definedName>
    <definedName name="EURIBOR">#REF!</definedName>
    <definedName name="EURO">#REF!</definedName>
    <definedName name="EWFGTWERT">#REF!</definedName>
    <definedName name="Excel_BuiltIn_Database_5">[15]Pulses!$A$1:$S$311</definedName>
    <definedName name="Exchange">'[18]w11-admin wrk'!$H$3</definedName>
    <definedName name="exit" hidden="1">#REF!</definedName>
    <definedName name="Export">#REF!</definedName>
    <definedName name="Extra_Pay">'[8]Amortization Table'!$E$18:$E$377</definedName>
    <definedName name="_xlnm.Extract">#REF!</definedName>
    <definedName name="F">[19]Analy!#REF!</definedName>
    <definedName name="FDY">#REF!</definedName>
    <definedName name="FDY___0">#REF!</definedName>
    <definedName name="fgghdfgh">#REF!</definedName>
    <definedName name="fgh">#REF!</definedName>
    <definedName name="FGHDFH">#REF!</definedName>
    <definedName name="fghfh" hidden="1">#REF!</definedName>
    <definedName name="FGHJDFGH">#REF!</definedName>
    <definedName name="FGHJFG" hidden="1">#REF!</definedName>
    <definedName name="fgjdfj">#REF!</definedName>
    <definedName name="FGJHDFH">#REF!</definedName>
    <definedName name="FGJHFGJH">#REF!</definedName>
    <definedName name="fgk">#REF!</definedName>
    <definedName name="FGSDFG">#REF!</definedName>
    <definedName name="FHDGH" hidden="1">#REF!</definedName>
    <definedName name="FHJFDG" hidden="1">#REF!</definedName>
    <definedName name="FIBOR">#REF!</definedName>
    <definedName name="FixedExp">#REF!</definedName>
    <definedName name="Full_Print">'[8]Amortization Table'!$A$1:$I$377</definedName>
    <definedName name="Funded_DSRA">#N/A</definedName>
    <definedName name="g">#REF!</definedName>
    <definedName name="g___0">#REF!</definedName>
    <definedName name="g___8">#REF!</definedName>
    <definedName name="G_9">#REF!</definedName>
    <definedName name="GainLoss">#REF!</definedName>
    <definedName name="GDFH">#REF!</definedName>
    <definedName name="GDHDGH">#REF!</definedName>
    <definedName name="GDHSDH">#REF!</definedName>
    <definedName name="GENERAL">#REF!</definedName>
    <definedName name="ghdf">#REF!</definedName>
    <definedName name="GHDFGH">#REF!</definedName>
    <definedName name="GHDGH">#REF!</definedName>
    <definedName name="ghj">'[6]Recon-Coal'!#REF!</definedName>
    <definedName name="GHJFGJ" hidden="1">#REF!</definedName>
    <definedName name="GHJFGJH" hidden="1">#REF!</definedName>
    <definedName name="ghjj">#REF!</definedName>
    <definedName name="ghkkl" hidden="1">#REF!</definedName>
    <definedName name="gjk">#REF!</definedName>
    <definedName name="gk">#REF!</definedName>
    <definedName name="GKGJK">#REF!</definedName>
    <definedName name="GLANCE">#REF!</definedName>
    <definedName name="H">'[20]UNIT-II'!#REF!</definedName>
    <definedName name="hafgg">#REF!</definedName>
    <definedName name="HArdik">#REF!</definedName>
    <definedName name="Head">#REF!</definedName>
    <definedName name="Header">#REF!</definedName>
    <definedName name="Header_Row">ROW(#REF!)</definedName>
    <definedName name="HFJFGJH">#REF!</definedName>
    <definedName name="hgjfhj">#REF!</definedName>
    <definedName name="hgjl">#REF!</definedName>
    <definedName name="hh">#REF!</definedName>
    <definedName name="hj">#REF!</definedName>
    <definedName name="HJFGJH">#REF!</definedName>
    <definedName name="HJFGJHG" hidden="1">#REF!</definedName>
    <definedName name="hjgh">#REF!</definedName>
    <definedName name="HJH" hidden="1">#REF!</definedName>
    <definedName name="HTML_CodePage" hidden="1">1252</definedName>
    <definedName name="HTML_Control" hidden="1">{"'Sheet1'!$A$5:$E$42"}</definedName>
    <definedName name="HTML_Control1" hidden="1">{"'Sheet1'!$A$1:$J$125"}</definedName>
    <definedName name="HTML_Description" hidden="1">""</definedName>
    <definedName name="HTML_Email" hidden="1">"modak.b@indorama-ind.com"</definedName>
    <definedName name="HTML_Header" hidden="1">"Class-wise Depreciation Rates"</definedName>
    <definedName name="HTML_LastUpdate" hidden="1">"12/3/99"</definedName>
    <definedName name="HTML_LineAfter" hidden="1">TRUE</definedName>
    <definedName name="HTML_LineBefore" hidden="1">TRUE</definedName>
    <definedName name="HTML_Name" hidden="1">"Chandrakant Modak"</definedName>
    <definedName name="HTML_OBDlg2" hidden="1">TRUE</definedName>
    <definedName name="HTML_OBDlg4" hidden="1">TRUE</definedName>
    <definedName name="HTML_OS" hidden="1">0</definedName>
    <definedName name="HTML_PathFile" hidden="1">"C:\My Documents\AssetMatrix.html"</definedName>
    <definedName name="HTML_Title" hidden="1">"Assets Matrix"</definedName>
    <definedName name="IDC_Pasted">[21]IDC_Phase_I!$H$204:$AF$204</definedName>
    <definedName name="IKB_1">#REF!</definedName>
    <definedName name="IKB_2">#REF!</definedName>
    <definedName name="IKB_4">#REF!</definedName>
    <definedName name="IKB_5">#REF!</definedName>
    <definedName name="IKB_7">#REF!</definedName>
    <definedName name="index">#REF!</definedName>
    <definedName name="INFRA">#REF!</definedName>
    <definedName name="Inhouse" hidden="1">#REF!</definedName>
    <definedName name="Int">'[8]Amortization Table'!$H$18:$H$377</definedName>
    <definedName name="intdty">#REF!</definedName>
    <definedName name="Interest_Rate">'[22]Amortization Table'!$D$7</definedName>
    <definedName name="Interestss">[23]Key_Assume_Common!$D$8</definedName>
    <definedName name="IntroPrintArea" hidden="1">#REF!</definedName>
    <definedName name="intspun">#REF!</definedName>
    <definedName name="inttrgtdty">#REF!</definedName>
    <definedName name="inttrgtspun">#REF!</definedName>
    <definedName name="ISBL_K">#REF!</definedName>
    <definedName name="J">#REF!</definedName>
    <definedName name="jcb">#REF!</definedName>
    <definedName name="jhjk">#REF!</definedName>
    <definedName name="Jin">#REF!</definedName>
    <definedName name="Jinal">'[24]Extra Item'!#REF!</definedName>
    <definedName name="jk">#REF!</definedName>
    <definedName name="jkdv\">#REF!</definedName>
    <definedName name="JKGHJK" hidden="1">#REF!</definedName>
    <definedName name="JKGJK" hidden="1">#REF!</definedName>
    <definedName name="jklg">#REF!</definedName>
    <definedName name="k">#REF!</definedName>
    <definedName name="kkkk">#REF!</definedName>
    <definedName name="kwh">#REF!</definedName>
    <definedName name="L">[19]Analy!#REF!</definedName>
    <definedName name="l1_">[25]foundation!#REF!</definedName>
    <definedName name="LAND_DEV">#REF!</definedName>
    <definedName name="Last_Row">#N/A</definedName>
    <definedName name="LC">[19]Analy!#REF!</definedName>
    <definedName name="LEAVE_ALLOFF1">[26]REQUEST!$D$16</definedName>
    <definedName name="LEAVE_ALLRAT">[26]REQUEST!$D$17</definedName>
    <definedName name="LIBOR">[27]Intaccrual!#REF!</definedName>
    <definedName name="LICENSE">#REF!</definedName>
    <definedName name="lmit">[28]NSR_E!#REF!</definedName>
    <definedName name="Loan_Amount">#REF!</definedName>
    <definedName name="Loan_Amountneu">#REF!</definedName>
    <definedName name="Loan_Start">'[8]Amortization Table'!$D$10</definedName>
    <definedName name="Loan_Years">'[8]Amortization Table'!$D$8</definedName>
    <definedName name="Look1Area">#REF!</definedName>
    <definedName name="Look2Area">#REF!</definedName>
    <definedName name="Look3Area">#REF!</definedName>
    <definedName name="Look4Area">#REF!</definedName>
    <definedName name="look4dime">#REF!</definedName>
    <definedName name="Look5Area">#REF!</definedName>
    <definedName name="m">#REF!</definedName>
    <definedName name="M40Cem">[29]Assumption!$N$4</definedName>
    <definedName name="M40FA">[29]Assumption!$N$5</definedName>
    <definedName name="macre1">NA()</definedName>
    <definedName name="Macro1">NA()</definedName>
    <definedName name="Macro3">NA()</definedName>
    <definedName name="main">#REF!</definedName>
    <definedName name="MAIN_01">[30]A!$D$38:$CO$63</definedName>
    <definedName name="manoj">#REF!</definedName>
    <definedName name="MAR">#REF!</definedName>
    <definedName name="MARGIN">#REF!</definedName>
    <definedName name="mars">#REF!</definedName>
    <definedName name="mhjj" hidden="1">{"'Bill No. 7'!$A$1:$G$32"}</definedName>
    <definedName name="MONTH_NO">[31]REFERENCE!$B$3</definedName>
    <definedName name="N">[19]Analy!#REF!</definedName>
    <definedName name="NDEM">[32]Intaccrual!#REF!</definedName>
    <definedName name="Neuror">[32]Intaccrual!#REF!</definedName>
    <definedName name="newprod">#REF!</definedName>
    <definedName name="Notes">#REF!</definedName>
    <definedName name="Now">#REF!</definedName>
    <definedName name="Ntreasury">[32]SBU!#REF!</definedName>
    <definedName name="Number_of_Payments" localSheetId="4">MATCH(0.01,[33]!End_Bal,-1)+1</definedName>
    <definedName name="Number_of_Payments" localSheetId="3">MATCH(0.01,[33]!End_Bal,-1)+1</definedName>
    <definedName name="Number_of_Payments" localSheetId="0">MATCH(0.01,[33]!End_Bal,-1)+1</definedName>
    <definedName name="Number_of_Payments" localSheetId="9">MATCH(0.01,[33]!End_Bal,-1)+1</definedName>
    <definedName name="Number_of_Payments" localSheetId="8">MATCH(0.01,[33]!End_Bal,-1)+1</definedName>
    <definedName name="Number_of_Payments" localSheetId="2">MATCH(0.01,[33]!End_Bal,-1)+1</definedName>
    <definedName name="Number_of_Payments" localSheetId="1">MATCH(0.01,[33]!End_Bal,-1)+1</definedName>
    <definedName name="Number_of_Payments" localSheetId="5">MATCH(0.01,[33]!End_Bal,-1)+1</definedName>
    <definedName name="Number_of_Payments">MATCH(0.01,[33]!End_Bal,-1)+1</definedName>
    <definedName name="ofcablescost">#N/A</definedName>
    <definedName name="OperisTopLeft">#REF!</definedName>
    <definedName name="OSBL_K">#REF!</definedName>
    <definedName name="osdty">#REF!</definedName>
    <definedName name="osexprt">#REF!</definedName>
    <definedName name="osfdy">#REF!</definedName>
    <definedName name="osspun">#REF!</definedName>
    <definedName name="page1">#REF!</definedName>
    <definedName name="page2">#REF!</definedName>
    <definedName name="page3">#REF!</definedName>
    <definedName name="Pay_Num">'[8]Amortization Table'!$A$18:$A$377</definedName>
    <definedName name="PAYROLL">[34]Working!$A$3:$G$36</definedName>
    <definedName name="PC">#REF!</definedName>
    <definedName name="PC_Pasted">[21]IDC_Phase_I!$G$155:$AF$155</definedName>
    <definedName name="PDVT">#REF!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planvsact">#REF!</definedName>
    <definedName name="PLFIN">#REF!</definedName>
    <definedName name="PLPRODUCT">#REF!</definedName>
    <definedName name="PMIX">#REF!</definedName>
    <definedName name="POLY">#REF!</definedName>
    <definedName name="poo">#REF!</definedName>
    <definedName name="portdues">[35]Key_Assumption!$I$184</definedName>
    <definedName name="POWER">#REF!</definedName>
    <definedName name="POY">#REF!</definedName>
    <definedName name="POYBE">#REF!</definedName>
    <definedName name="POYBE___0">#REF!</definedName>
    <definedName name="PPMIX">#REF!</definedName>
    <definedName name="pppp">'[1]P&amp;LG'!#REF!</definedName>
    <definedName name="Prakash">#REF!</definedName>
    <definedName name="PRDN">#REF!</definedName>
    <definedName name="preisfaktor">#REF!</definedName>
    <definedName name="PREOPS">#REF!</definedName>
    <definedName name="pricecomp">#REF!</definedName>
    <definedName name="Princ">'[8]Amortization Table'!$G$18:$G$377</definedName>
    <definedName name="PRINT">#REF!</definedName>
    <definedName name="_xlnm.Print_Area">#REF!</definedName>
    <definedName name="Print_Area_MI">#REF!</definedName>
    <definedName name="Print_Area01">#REF!</definedName>
    <definedName name="Print_Area02">#REF!</definedName>
    <definedName name="_xlnm.Print_Titles">#N/A</definedName>
    <definedName name="Print_Titles_MI">#REF!</definedName>
    <definedName name="PRINT1">#REF!</definedName>
    <definedName name="prodndty">#REF!</definedName>
    <definedName name="prodnspun">#REF!</definedName>
    <definedName name="PROFIT">#REF!</definedName>
    <definedName name="proj">#REF!</definedName>
    <definedName name="PROJECT_COST">#REF!</definedName>
    <definedName name="Project_Start">#REF!</definedName>
    <definedName name="PSF">#REF!</definedName>
    <definedName name="PSF___0">#REF!</definedName>
    <definedName name="Q">[19]Analy!#REF!</definedName>
    <definedName name="qtyex">#REF!</definedName>
    <definedName name="R_">[19]Analy!#REF!</definedName>
    <definedName name="Rajeev">[36]Rail_Summary!$4:$5</definedName>
    <definedName name="rashmi">[37]StatutoryApprovals!$3:$3</definedName>
    <definedName name="Rate">#REF!</definedName>
    <definedName name="rate0">[38]SUMMARY!$A$3:$E$1159</definedName>
    <definedName name="RawData">#REF!</definedName>
    <definedName name="RawHeader">#REF!</definedName>
    <definedName name="region">#REF!</definedName>
    <definedName name="regiondty">#REF!</definedName>
    <definedName name="regionytd">#REF!</definedName>
    <definedName name="Rencl">'[39]M B-QtyRecn'!#REF!</definedName>
    <definedName name="RenclAll">'[39]M B-QtyRecn'!#REF!</definedName>
    <definedName name="RM">#REF!</definedName>
    <definedName name="RM___0">#REF!</definedName>
    <definedName name="RMRT">#REF!</definedName>
    <definedName name="Rs_Lacs">'[40]INDORAMA Group June 02'!#REF!</definedName>
    <definedName name="rtyi">#REF!</definedName>
    <definedName name="s">#REF!</definedName>
    <definedName name="SADFASF">#REF!</definedName>
    <definedName name="SAN">#REF!</definedName>
    <definedName name="SAN___0">#REF!</definedName>
    <definedName name="SAN___8">#REF!</definedName>
    <definedName name="sapan" hidden="1">{"'Sheet1'!$A$5:$E$42"}</definedName>
    <definedName name="sasa">#REF!</definedName>
    <definedName name="SC">[19]Analy!#REF!</definedName>
    <definedName name="scf">#REF!</definedName>
    <definedName name="Scheduled_Extra_Payments">'[8]Amortization Table'!$D$11</definedName>
    <definedName name="Scheduled_Monthly_Payment">'[8]Amortization Table'!$H$6</definedName>
    <definedName name="sddfhsdfg">#REF!</definedName>
    <definedName name="SDFAGSAG">#REF!</definedName>
    <definedName name="sdfasdf">#REF!</definedName>
    <definedName name="sdfg">#REF!</definedName>
    <definedName name="sdfga">#REF!</definedName>
    <definedName name="sdfghsdf">#REF!</definedName>
    <definedName name="sdfghsdg">#REF!</definedName>
    <definedName name="SDFGSADG">#REF!</definedName>
    <definedName name="SDFGSDFG">#REF!</definedName>
    <definedName name="sdfgsdh">#REF!</definedName>
    <definedName name="sdghsdfh">#REF!</definedName>
    <definedName name="sdghsdh">#REF!</definedName>
    <definedName name="sdhsdfh" hidden="1">#REF!</definedName>
    <definedName name="sdhsdhd">#REF!</definedName>
    <definedName name="SecI">#REF!</definedName>
    <definedName name="SecII">#REF!</definedName>
    <definedName name="SecIII">#REF!</definedName>
    <definedName name="SellingExp">#REF!</definedName>
    <definedName name="set_off">#REF!</definedName>
    <definedName name="SFDGSFG">#REF!</definedName>
    <definedName name="sfgafg">#REF!</definedName>
    <definedName name="sfghsdhfsdjs">#REF!</definedName>
    <definedName name="SFGSDFG">#REF!</definedName>
    <definedName name="SFGSDFGQ">#REF!</definedName>
    <definedName name="sghsdgh">#REF!</definedName>
    <definedName name="SIW">#REF!</definedName>
    <definedName name="SIWneu">#REF!</definedName>
    <definedName name="sixty_pct">#REF!</definedName>
    <definedName name="sixty_pctneu">#REF!</definedName>
    <definedName name="spun">[41]AnnexIII!$O$5</definedName>
    <definedName name="spundisp">#REF!</definedName>
    <definedName name="SREX">#REF!</definedName>
    <definedName name="SRLC">#REF!</definedName>
    <definedName name="ss">#REF!</definedName>
    <definedName name="ssdfg">#REF!</definedName>
    <definedName name="ssfbgdfb">#REF!</definedName>
    <definedName name="SSGSAFD">#REF!</definedName>
    <definedName name="sss">[25]foundation!#REF!</definedName>
    <definedName name="stckdty">#REF!</definedName>
    <definedName name="stckspun">#REF!</definedName>
    <definedName name="STD_FORMAT">#REF!</definedName>
    <definedName name="STORES">[42]Stores!$A$7:$F$23</definedName>
    <definedName name="str_emp">[7]Emp.Cost!#REF!</definedName>
    <definedName name="STRAT__UP">#REF!</definedName>
    <definedName name="summ">#REF!</definedName>
    <definedName name="SUMM_K">#REF!</definedName>
    <definedName name="SummAll">#REF!</definedName>
    <definedName name="SummED">#REF!</definedName>
    <definedName name="summplan">#REF!</definedName>
    <definedName name="suresh">#REF!</definedName>
    <definedName name="T">[19]Analy!#REF!</definedName>
    <definedName name="taxes">#REF!</definedName>
    <definedName name="TaxTV">10%</definedName>
    <definedName name="TaxXL">5%</definedName>
    <definedName name="tdjk">#REF!</definedName>
    <definedName name="Technical" hidden="1">{"'Bill No. 7'!$A$1:$G$32"}</definedName>
    <definedName name="temp">#REF!</definedName>
    <definedName name="TemplatePrintArea">#REF!</definedName>
    <definedName name="TEST0">#REF!</definedName>
    <definedName name="TEST1">#REF!</definedName>
    <definedName name="TEST2">#REF!</definedName>
    <definedName name="TESTHKEY">#REF!</definedName>
    <definedName name="TESTKEYS">#REF!</definedName>
    <definedName name="TESTVKEY">#REF!</definedName>
    <definedName name="testy">#REF!</definedName>
    <definedName name="TFO">#REF!</definedName>
    <definedName name="TitleRegion..BO60">#REF!</definedName>
    <definedName name="Total_Equity">[21]IDC_Phase_I!$F$210</definedName>
    <definedName name="Total_Equity_Pasted">[21]IDC_Phase_I!$G$210</definedName>
    <definedName name="Total_Pay">'[8]Amortization Table'!$F$18:$F$377</definedName>
    <definedName name="travel">#REF!</definedName>
    <definedName name="Treasury">[16]SBU!#REF!</definedName>
    <definedName name="trial">#REF!</definedName>
    <definedName name="trial2">#REF!</definedName>
    <definedName name="TRIAL3">#REF!</definedName>
    <definedName name="tushar">#REF!</definedName>
    <definedName name="twentytwo_pct">#REF!</definedName>
    <definedName name="twentytwo_pctneu">#REF!</definedName>
    <definedName name="u_sd">[14]ifcw!$I$90</definedName>
    <definedName name="UD">[16]Intaccrual!#REF!</definedName>
    <definedName name="UNIT">[16]tdint!$C$237</definedName>
    <definedName name="unnamed">#REF!</definedName>
    <definedName name="unnamed_1">"$mobilelist.$b$"</definedName>
    <definedName name="unnamed_2">#REF!</definedName>
    <definedName name="Unrealised">#REF!</definedName>
    <definedName name="USD">#REF!</definedName>
    <definedName name="variance">#REF!</definedName>
    <definedName name="vbsdd">#REF!</definedName>
    <definedName name="vizag">'[43]CIS MAIN BERTH-1'!$A$1:$AI$873</definedName>
    <definedName name="WBMAX">#REF!</definedName>
    <definedName name="weeklydty">#REF!</definedName>
    <definedName name="weeklyspun">#REF!</definedName>
    <definedName name="WIPCOST">[28]TOT_COST!#REF!</definedName>
    <definedName name="WORKER">#REF!</definedName>
    <definedName name="x">#REF!</definedName>
    <definedName name="xud">[32]Intaccrual!#REF!</definedName>
    <definedName name="xxxx">#REF!</definedName>
    <definedName name="Y">#REF!</definedName>
    <definedName name="z">'[13]Analy_7-10'!#REF!</definedName>
    <definedName name="zxgsdfg" hidden="1">{"'Bill No. 7'!$A$1:$G$32"}</definedName>
    <definedName name="zzz">'[44]Main Sheet'!$1:$1048576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27" l="1"/>
  <c r="K81" i="20" l="1"/>
  <c r="K44" i="18" l="1"/>
  <c r="Q12" i="17"/>
  <c r="R3" i="17"/>
  <c r="C6" i="16"/>
  <c r="D6" i="16" s="1"/>
  <c r="D8" i="16" s="1"/>
  <c r="C8" i="16"/>
  <c r="B8" i="16"/>
  <c r="C5" i="16"/>
  <c r="D7" i="16"/>
  <c r="D5" i="16"/>
  <c r="R5" i="9"/>
  <c r="A5" i="15"/>
  <c r="A6" i="15"/>
  <c r="A7" i="15"/>
  <c r="A8" i="15" s="1"/>
  <c r="A9" i="15" s="1"/>
  <c r="A10" i="15" s="1"/>
  <c r="A11" i="15" s="1"/>
  <c r="A12" i="15" s="1"/>
  <c r="A13" i="15" s="1"/>
  <c r="A14" i="15" s="1"/>
  <c r="A15" i="15" s="1"/>
  <c r="A16" i="15" s="1"/>
  <c r="A17" i="15" s="1"/>
  <c r="A3" i="15"/>
  <c r="A4" i="15" s="1"/>
  <c r="R12" i="9"/>
  <c r="A4" i="13"/>
  <c r="A5" i="13"/>
  <c r="A6" i="13" s="1"/>
  <c r="A7" i="13" s="1"/>
  <c r="A8" i="13" s="1"/>
  <c r="A9" i="13" s="1"/>
  <c r="A10" i="13" s="1"/>
  <c r="A11" i="13" s="1"/>
  <c r="A12" i="13" s="1"/>
  <c r="A13" i="13" s="1"/>
  <c r="A14" i="13" s="1"/>
  <c r="A15" i="13" s="1"/>
  <c r="A16" i="13" s="1"/>
  <c r="A17" i="13" s="1"/>
  <c r="A18" i="13" s="1"/>
  <c r="A19" i="13" s="1"/>
  <c r="A20" i="13" s="1"/>
  <c r="A21" i="13" s="1"/>
  <c r="A22" i="13" s="1"/>
  <c r="A23" i="13" s="1"/>
  <c r="A24" i="13" s="1"/>
  <c r="S3" i="9"/>
  <c r="R3" i="9"/>
  <c r="A3" i="13"/>
  <c r="A18" i="15" l="1"/>
  <c r="A19" i="15" s="1"/>
  <c r="A20" i="15" s="1"/>
  <c r="A21" i="15" s="1"/>
  <c r="A22" i="15" s="1"/>
  <c r="A23" i="15" s="1"/>
</calcChain>
</file>

<file path=xl/sharedStrings.xml><?xml version="1.0" encoding="utf-8"?>
<sst xmlns="http://schemas.openxmlformats.org/spreadsheetml/2006/main" count="2931" uniqueCount="530">
  <si>
    <t>Vendor</t>
  </si>
  <si>
    <t>Package</t>
  </si>
  <si>
    <t>ETP</t>
  </si>
  <si>
    <t>Chemical System</t>
  </si>
  <si>
    <t>Compressors</t>
  </si>
  <si>
    <t>Cooling System</t>
  </si>
  <si>
    <t>Gas Yard</t>
  </si>
  <si>
    <t>Negotiation</t>
  </si>
  <si>
    <t>PO release</t>
  </si>
  <si>
    <t>Bullk Gas System</t>
  </si>
  <si>
    <t>Process Cooling Water (PCW)</t>
  </si>
  <si>
    <t>Exhaust System</t>
  </si>
  <si>
    <t>HVAC System</t>
  </si>
  <si>
    <t>Chemical Drain Piping</t>
  </si>
  <si>
    <t>Electrical System</t>
  </si>
  <si>
    <t>Fire System</t>
  </si>
  <si>
    <t>Facility System</t>
  </si>
  <si>
    <t>Vendor Name</t>
  </si>
  <si>
    <t>ETP Shed</t>
  </si>
  <si>
    <t>N2 Yard</t>
  </si>
  <si>
    <t>Admin</t>
  </si>
  <si>
    <t>Canteen</t>
  </si>
  <si>
    <t xml:space="preserve">Hr / Admin </t>
  </si>
  <si>
    <t>CDA/PCW/Chiller Yard</t>
  </si>
  <si>
    <t>HV Electrical - DG Set</t>
  </si>
  <si>
    <t>HV Electrical - AMF Panel</t>
  </si>
  <si>
    <t>HV Electical - Bus Bar</t>
  </si>
  <si>
    <t>HV Electrical - HV Cable</t>
  </si>
  <si>
    <t>LV Electrical - LV Panel</t>
  </si>
  <si>
    <t>LV Electrical - BUS Duct &amp; Support</t>
  </si>
  <si>
    <t>LV Electrical - UPS System</t>
  </si>
  <si>
    <t>LV Electrical - Cable Tray</t>
  </si>
  <si>
    <t>LV Electrical - Lugs and Terminal</t>
  </si>
  <si>
    <t>LV Electrical - Earthing</t>
  </si>
  <si>
    <t>Fire Hydrant System</t>
  </si>
  <si>
    <t>Fire Sprinkler System</t>
  </si>
  <si>
    <t>CCTV and Server</t>
  </si>
  <si>
    <t>Boom Barrier and Access System</t>
  </si>
  <si>
    <t xml:space="preserve">Other </t>
  </si>
  <si>
    <t>Fire Alarm System</t>
  </si>
  <si>
    <t>Building</t>
  </si>
  <si>
    <t>Cell Building 1</t>
  </si>
  <si>
    <t>FG Shed</t>
  </si>
  <si>
    <t>Scrap &amp; Logistics Shed</t>
  </si>
  <si>
    <t>EPACK</t>
  </si>
  <si>
    <t>BHEEMA</t>
  </si>
  <si>
    <t>Remarks</t>
  </si>
  <si>
    <t>Conceptual dwg from VMS</t>
  </si>
  <si>
    <t>Approval on concept dwg by Premier to Vendor</t>
  </si>
  <si>
    <t>Conceptual dwg from Vendor to VMS / Premier</t>
  </si>
  <si>
    <t>STAAD file submission by Vendor for review to Premier</t>
  </si>
  <si>
    <t>Staad file approved by Premier/VMS</t>
  </si>
  <si>
    <t>Anchor bolts plan submission by Vendor to Premier</t>
  </si>
  <si>
    <t>Final GA dwg confirmation by Premier to Vendor</t>
  </si>
  <si>
    <t>Final GA dwg submission by Vendor to Premier</t>
  </si>
  <si>
    <t>Anchor bolts plan confirmation  by Premier to Vendor</t>
  </si>
  <si>
    <t>Water Package</t>
  </si>
  <si>
    <t>Gas and Chemical Package</t>
  </si>
  <si>
    <t>UPW</t>
  </si>
  <si>
    <t>ZLD</t>
  </si>
  <si>
    <t>STP</t>
  </si>
  <si>
    <t>Membrane</t>
  </si>
  <si>
    <t>DI Water</t>
  </si>
  <si>
    <t>RFQ float</t>
  </si>
  <si>
    <t>Offer Receipt</t>
  </si>
  <si>
    <t>Chillers</t>
  </si>
  <si>
    <t>ATLASCOPCO</t>
  </si>
  <si>
    <t>CDA</t>
  </si>
  <si>
    <t>CDA Piping</t>
  </si>
  <si>
    <t>DYNAMIX</t>
  </si>
  <si>
    <t>AARON</t>
  </si>
  <si>
    <t>UHP Technologies</t>
  </si>
  <si>
    <t>S.No.</t>
  </si>
  <si>
    <t>Drawing</t>
  </si>
  <si>
    <t>Release Date</t>
  </si>
  <si>
    <t>Process</t>
  </si>
  <si>
    <t>Civil</t>
  </si>
  <si>
    <t>PEB</t>
  </si>
  <si>
    <t>SRR</t>
  </si>
  <si>
    <t>Epack</t>
  </si>
  <si>
    <t>CSR</t>
  </si>
  <si>
    <t>Bheema</t>
  </si>
  <si>
    <t>Bulk Gas Generation</t>
  </si>
  <si>
    <t>Chemical Yard</t>
  </si>
  <si>
    <t>Basic Engg</t>
  </si>
  <si>
    <t>Detail Engg</t>
  </si>
  <si>
    <t>Solid Lime Handling System</t>
  </si>
  <si>
    <t>Liquid Lime Handling System</t>
  </si>
  <si>
    <t>Planned Progress</t>
  </si>
  <si>
    <t>Actual Progress</t>
  </si>
  <si>
    <t>Commercial</t>
  </si>
  <si>
    <t>Target Date</t>
  </si>
  <si>
    <t>Main Building (Admin)</t>
  </si>
  <si>
    <t>Execution Update</t>
  </si>
  <si>
    <t>Planned 
Start Date</t>
  </si>
  <si>
    <t>Planned 
End 
Date</t>
  </si>
  <si>
    <t>Projected / Actual Completion Date</t>
  </si>
  <si>
    <t>Done</t>
  </si>
  <si>
    <t>HR/Safety/
IT/Admin</t>
  </si>
  <si>
    <t>Cell Building 
Phase 1</t>
  </si>
  <si>
    <t>Cell Building 
Phase 2</t>
  </si>
  <si>
    <t>FG/RM 
Shed</t>
  </si>
  <si>
    <t>Gas 
Yard</t>
  </si>
  <si>
    <t>Chemical 
Yard</t>
  </si>
  <si>
    <t>N2 
Yard</t>
  </si>
  <si>
    <t>CDA/PCW 
Yard</t>
  </si>
  <si>
    <t xml:space="preserve">Yet to Start </t>
  </si>
  <si>
    <t>Compound Wall</t>
  </si>
  <si>
    <t>MOM</t>
  </si>
  <si>
    <t>Utility</t>
  </si>
  <si>
    <t>Responsibility</t>
  </si>
  <si>
    <t>Ravi</t>
  </si>
  <si>
    <t>BOQ of Fans, scrubbers etc. to be given to Praveen</t>
  </si>
  <si>
    <t>Misc.</t>
  </si>
  <si>
    <t>Exhaust Design and wetting will be done by ATE</t>
  </si>
  <si>
    <t>Progress meeting with ATE on Monday</t>
  </si>
  <si>
    <t>Rahul</t>
  </si>
  <si>
    <t>GDS, CDS, HVAC, PCW, HVAC loads</t>
  </si>
  <si>
    <t>Info</t>
  </si>
  <si>
    <t>Electrical</t>
  </si>
  <si>
    <t>Water balancing dwg inputs to be shared to VMS</t>
  </si>
  <si>
    <t>HSD system routing</t>
  </si>
  <si>
    <t>Chemical spillages from CDS yard to be treated - Plan/Layout</t>
  </si>
  <si>
    <t>Scrubber dwgs and new vendor for Drains</t>
  </si>
  <si>
    <t>Inox Air</t>
  </si>
  <si>
    <t>Adv Payment</t>
  </si>
  <si>
    <t>HV Electrical - 11 HV Panel</t>
  </si>
  <si>
    <t>LV Electrical - Transformer LV
(11KV to 400V/ 433V)</t>
  </si>
  <si>
    <t xml:space="preserve">Door &amp; Shutter </t>
  </si>
  <si>
    <t xml:space="preserve">Epoxy </t>
  </si>
  <si>
    <t>Lift Material</t>
  </si>
  <si>
    <t xml:space="preserve">Lift for Human </t>
  </si>
  <si>
    <t>Docklever</t>
  </si>
  <si>
    <t>Rack and System</t>
  </si>
  <si>
    <t>Air Shower</t>
  </si>
  <si>
    <t>Acc</t>
  </si>
  <si>
    <t>Soft Starter for compressor</t>
  </si>
  <si>
    <t>RFQ under Preparation</t>
  </si>
  <si>
    <t>RFQ Under Preparation</t>
  </si>
  <si>
    <t>Jakson</t>
  </si>
  <si>
    <t>Yet to Start</t>
  </si>
  <si>
    <t xml:space="preserve">Canteen
Building </t>
  </si>
  <si>
    <t>Design Under Evaluation</t>
  </si>
  <si>
    <t>Execution Work Started at Site</t>
  </si>
  <si>
    <t>Other Activities</t>
  </si>
  <si>
    <t xml:space="preserve">Peripheral Drain Network </t>
  </si>
  <si>
    <t xml:space="preserve">Drain 
Network </t>
  </si>
  <si>
    <t>Sewage 
Network</t>
  </si>
  <si>
    <t>Road Network 
Inside</t>
  </si>
  <si>
    <t>Main 
Gates</t>
  </si>
  <si>
    <t xml:space="preserve">Weight 
Bridge </t>
  </si>
  <si>
    <t>ETP 
Shed &amp; Tank</t>
  </si>
  <si>
    <t xml:space="preserve">Commisioning will will complleyed by 12 Sep 
Government License Target by 25 Sep </t>
  </si>
  <si>
    <t>Tulaman</t>
  </si>
  <si>
    <t>Execution Started at Site</t>
  </si>
  <si>
    <t xml:space="preserve">Design Ready </t>
  </si>
  <si>
    <t>Gandhi Automation</t>
  </si>
  <si>
    <r>
      <t xml:space="preserve">Zone 1: </t>
    </r>
    <r>
      <rPr>
        <b/>
        <sz val="11"/>
        <color theme="1"/>
        <rFont val="Calibri"/>
        <family val="2"/>
      </rPr>
      <t>50%</t>
    </r>
    <r>
      <rPr>
        <sz val="11"/>
        <color theme="1"/>
        <rFont val="Calibri"/>
        <family val="2"/>
      </rPr>
      <t xml:space="preserve"> 
Zone 2 : </t>
    </r>
    <r>
      <rPr>
        <b/>
        <sz val="11"/>
        <color theme="1"/>
        <rFont val="Calibri"/>
        <family val="2"/>
      </rPr>
      <t>69%</t>
    </r>
    <r>
      <rPr>
        <sz val="11"/>
        <color theme="1"/>
        <rFont val="Calibri"/>
        <family val="2"/>
      </rPr>
      <t xml:space="preserve"> 
Zone 3: </t>
    </r>
    <r>
      <rPr>
        <b/>
        <sz val="11"/>
        <color theme="1"/>
        <rFont val="Calibri"/>
        <family val="2"/>
      </rPr>
      <t>61%</t>
    </r>
  </si>
  <si>
    <t>Color Shed sample will ready by 18th Sep</t>
  </si>
  <si>
    <t>PEB Material Inspection at Factory done on 13 Sep. 
Tank Foundation Progress : 29% 
ETP Shed Foundation Progress: 28.3%</t>
  </si>
  <si>
    <t>Anchor Bolt Received at Site.
PEB Struture will Start Delivery at Site from 20 Sep</t>
  </si>
  <si>
    <t>Drawing/Approval</t>
  </si>
  <si>
    <t xml:space="preserve"> Concept Drawing</t>
  </si>
  <si>
    <t xml:space="preserve"> STAAD Drawing</t>
  </si>
  <si>
    <t xml:space="preserve"> Anchor Bolt Drawing</t>
  </si>
  <si>
    <t xml:space="preserve"> GA Drawing</t>
  </si>
  <si>
    <t xml:space="preserve"> Foundation Drawing</t>
  </si>
  <si>
    <t xml:space="preserve"> Basic Engg</t>
  </si>
  <si>
    <t xml:space="preserve"> RFQ float</t>
  </si>
  <si>
    <t xml:space="preserve"> Offer Receipt</t>
  </si>
  <si>
    <t xml:space="preserve"> Negotiation</t>
  </si>
  <si>
    <t xml:space="preserve"> PO release</t>
  </si>
  <si>
    <t xml:space="preserve"> Advance Payment</t>
  </si>
  <si>
    <t xml:space="preserve"> Mobilization</t>
  </si>
  <si>
    <t>Order Placed for Main Shed and FG / RM Shed</t>
  </si>
  <si>
    <t>RFQ for FG/ RM under Preparation</t>
  </si>
  <si>
    <t xml:space="preserve">Concept under Development </t>
  </si>
  <si>
    <t>RFQ Raised for Main Shed / Scrap Yard</t>
  </si>
  <si>
    <t xml:space="preserve">PNG Gas </t>
  </si>
  <si>
    <t>Think  Gas</t>
  </si>
  <si>
    <t>200 / 11 KVA Sub Station</t>
  </si>
  <si>
    <t>LV Electrical - Lighting Inside</t>
  </si>
  <si>
    <t>LV Electrical - Area Lighting</t>
  </si>
  <si>
    <t>Basic Design Started</t>
  </si>
  <si>
    <t>HV Electrical - Transformer HV
220/ 11 KVA - 50 MVA</t>
  </si>
  <si>
    <t>HV Electrical - Transformer HV
220/ 33 KVA - 50 MVA</t>
  </si>
  <si>
    <t xml:space="preserve">RFQ Floated </t>
  </si>
  <si>
    <t>Interior</t>
  </si>
  <si>
    <t>Grapid</t>
  </si>
  <si>
    <t>RFQ Floated</t>
  </si>
  <si>
    <t xml:space="preserve">Architectural Drawing have been Shared. 
Strutural Input will be shared by 24th Sep </t>
  </si>
  <si>
    <t>Awaiting Architectual Drawing - Traget by 25th Sep</t>
  </si>
  <si>
    <t>Vertex
VVRR</t>
  </si>
  <si>
    <t>Turn Key Solution</t>
  </si>
  <si>
    <t>Material Order Released
Site Execution Started</t>
  </si>
  <si>
    <t xml:space="preserve">Clean Room </t>
  </si>
  <si>
    <t>Dry Type Transformer</t>
  </si>
  <si>
    <t>Total Quantity</t>
  </si>
  <si>
    <t>Hitachi - 2500KVA</t>
  </si>
  <si>
    <t>Volt Amp - 2500KVA</t>
  </si>
  <si>
    <t>TMC - 2500KVA</t>
  </si>
  <si>
    <t>Make</t>
  </si>
  <si>
    <t>RM/FG shed - toilet location &amp; dwgs</t>
  </si>
  <si>
    <t xml:space="preserve">Total </t>
  </si>
  <si>
    <t xml:space="preserve">11KV/400V </t>
  </si>
  <si>
    <t xml:space="preserve">11KV/433V </t>
  </si>
  <si>
    <t xml:space="preserve">Procurement
Team </t>
  </si>
  <si>
    <t>Praveen</t>
  </si>
  <si>
    <t>Kumar</t>
  </si>
  <si>
    <t>Raju</t>
  </si>
  <si>
    <t>Other Elements</t>
  </si>
  <si>
    <t>Kiran</t>
  </si>
  <si>
    <t>P&amp;ID</t>
  </si>
  <si>
    <t>PNG Piping</t>
  </si>
  <si>
    <t>Under Basic Design Stage</t>
  </si>
  <si>
    <t xml:space="preserve">Under Manufacturing </t>
  </si>
  <si>
    <t>Make- Up Tank</t>
  </si>
  <si>
    <t xml:space="preserve">Under Manufacturing and Foundation Drawing </t>
  </si>
  <si>
    <t>Yet to Finalize</t>
  </si>
  <si>
    <t>Under Technico Commercial Evaluation</t>
  </si>
  <si>
    <t>Detail Designing under progress</t>
  </si>
  <si>
    <t>VVRR/ Vertex</t>
  </si>
  <si>
    <t>GA Drawing</t>
  </si>
  <si>
    <t>Scrap &amp; Logistics 
Shed / Admin</t>
  </si>
  <si>
    <t>Commission
Target Date</t>
  </si>
  <si>
    <t xml:space="preserve">Complete Box Target by 30 Oct </t>
  </si>
  <si>
    <t>Steel Fab Engg</t>
  </si>
  <si>
    <t>Commercial Closed</t>
  </si>
  <si>
    <t>Carrier</t>
  </si>
  <si>
    <t>Pophen</t>
  </si>
  <si>
    <t>1) Bharat Bijlee - 1Qty
2) TMC - 2 Qty</t>
  </si>
  <si>
    <t>1) TMC - 1 Qty</t>
  </si>
  <si>
    <t>1) TMC -  8 + 0 Qty
2) Volt Amp -20 + 8 Qty 
3) Hitachi - 0 + 19 Qty</t>
  </si>
  <si>
    <t>GA Drawing under preparation</t>
  </si>
  <si>
    <t>Under GA Drawing Preparation from Vendor</t>
  </si>
  <si>
    <t>Manufacturing Clearance Given - Drawing Re Submitted</t>
  </si>
  <si>
    <t>Major Lead Item Order - Construction Started</t>
  </si>
  <si>
    <t>Under Finalization of MDL</t>
  </si>
  <si>
    <t xml:space="preserve">Under manufacturing </t>
  </si>
  <si>
    <t>Engineering Discusion with ATE and Vendor</t>
  </si>
  <si>
    <t xml:space="preserve">PO Awaited </t>
  </si>
  <si>
    <t>Poly Cab</t>
  </si>
  <si>
    <t>Inspection
Target Date</t>
  </si>
  <si>
    <t>Material 
Delivery
Target Date</t>
  </si>
  <si>
    <t>Installation
Target Date</t>
  </si>
  <si>
    <t>Engineering Target Date</t>
  </si>
  <si>
    <t>Manufacturing 
Clerance</t>
  </si>
  <si>
    <t>Completed</t>
  </si>
  <si>
    <t xml:space="preserve">Execution Pan will be shared by 10 Oct </t>
  </si>
  <si>
    <t>Execution % Completed</t>
  </si>
  <si>
    <t>Engineering % Completion</t>
  </si>
  <si>
    <t>Fan Filter Unit</t>
  </si>
  <si>
    <t>Mayair International</t>
  </si>
  <si>
    <t>PO Awarded</t>
  </si>
  <si>
    <t xml:space="preserve">Di Water Piping </t>
  </si>
  <si>
    <t xml:space="preserve">Other Water Piping </t>
  </si>
  <si>
    <t xml:space="preserve">Bulk Gas Piping </t>
  </si>
  <si>
    <t>GAS Package</t>
  </si>
  <si>
    <t>Air Package</t>
  </si>
  <si>
    <t>Fire Package</t>
  </si>
  <si>
    <t>LV Package</t>
  </si>
  <si>
    <t>NA</t>
  </si>
  <si>
    <t>Completed
13-10-2025</t>
  </si>
  <si>
    <t>RFQ Floated
25-10-2025</t>
  </si>
  <si>
    <t>RFQ to Rec.
16 Oct 25</t>
  </si>
  <si>
    <t>Completed
24 Sep 25</t>
  </si>
  <si>
    <t>Completed
07-10-2025</t>
  </si>
  <si>
    <t>Completed
25-09-2025</t>
  </si>
  <si>
    <t>RFQ to Rec.
18 Oct 25</t>
  </si>
  <si>
    <t>RFQ to Rec.
25 Oct 25</t>
  </si>
  <si>
    <t>RFQ to Rec.
30 Nov 25</t>
  </si>
  <si>
    <t>Packages</t>
  </si>
  <si>
    <t xml:space="preserve">CDA - Pre- Receiver Piping </t>
  </si>
  <si>
    <t>Air-Compressors</t>
  </si>
  <si>
    <t>Dryer</t>
  </si>
  <si>
    <t>RFQ to Rec.
17-10-2025</t>
  </si>
  <si>
    <t xml:space="preserve">CDA - Post Receiver Piping </t>
  </si>
  <si>
    <t>Receiver Tank</t>
  </si>
  <si>
    <t xml:space="preserve">Cooling Tower &amp; Piping </t>
  </si>
  <si>
    <t>Technical to be shared</t>
  </si>
  <si>
    <t>Heat Exchanger</t>
  </si>
  <si>
    <t xml:space="preserve">Primary Piping </t>
  </si>
  <si>
    <t>Secondary Piping</t>
  </si>
  <si>
    <t>Process Cooling Water
(PCW)</t>
  </si>
  <si>
    <t xml:space="preserve">DI Water Piping </t>
  </si>
  <si>
    <t>PEN</t>
  </si>
  <si>
    <t>Chemical Yard spill Drain Piping</t>
  </si>
  <si>
    <t>Process Effluent ( 4 Stream) Piping</t>
  </si>
  <si>
    <t>Scrubber Drain Piping</t>
  </si>
  <si>
    <t>Drain from CDS Distribution( Tbox etc)</t>
  </si>
  <si>
    <t xml:space="preserve">Solid Lime Handling System Dosing </t>
  </si>
  <si>
    <t>Liquid Lime Handling System Dosing</t>
  </si>
  <si>
    <t>RFQ to Rec. 
16-10-2025</t>
  </si>
  <si>
    <t>Auxillary Work ( Exh, Elec etc)</t>
  </si>
  <si>
    <t>Blower for Yard</t>
  </si>
  <si>
    <t>Exhuast - Blower</t>
  </si>
  <si>
    <t>Exhuast  - Scrubber</t>
  </si>
  <si>
    <t>Exhaust - Plastic Ducting</t>
  </si>
  <si>
    <t>Exhaust  - Metallic Ducting</t>
  </si>
  <si>
    <t>Wall &amp; Ceiling Panel</t>
  </si>
  <si>
    <t>Clean room</t>
  </si>
  <si>
    <t xml:space="preserve">Doors </t>
  </si>
  <si>
    <t>Air Showers</t>
  </si>
  <si>
    <t>Epoxy Flooring</t>
  </si>
  <si>
    <t>Chillers (PCW / HVAC)</t>
  </si>
  <si>
    <t>HVAC</t>
  </si>
  <si>
    <t>AHUs</t>
  </si>
  <si>
    <t>Low Side</t>
  </si>
  <si>
    <t>Pump (PCW/HVAC)</t>
  </si>
  <si>
    <t>High Side</t>
  </si>
  <si>
    <t>Raw Water Storage &amp; Softner</t>
  </si>
  <si>
    <t>Fire Pump system</t>
  </si>
  <si>
    <t>BMS</t>
  </si>
  <si>
    <t>Chemical 
Package</t>
  </si>
  <si>
    <t>Exhaust</t>
  </si>
  <si>
    <t>Foundation Drg
18 Oct 25</t>
  </si>
  <si>
    <t>Completed 
28 Sep 2025</t>
  </si>
  <si>
    <t>Foundation Drg
17 Oct 25</t>
  </si>
  <si>
    <t>Priority</t>
  </si>
  <si>
    <t>Sign Pending
15-10-2025</t>
  </si>
  <si>
    <t>PO Pending 
16-10-2025</t>
  </si>
  <si>
    <t>PO Pending
30-10-2025</t>
  </si>
  <si>
    <t>Quantification
30-10-2025</t>
  </si>
  <si>
    <t>RFQ to Rec.
30-10-2025</t>
  </si>
  <si>
    <t>Design
Owner</t>
  </si>
  <si>
    <t>Madhusudan</t>
  </si>
  <si>
    <t>Vivek</t>
  </si>
  <si>
    <t>Shekar</t>
  </si>
  <si>
    <t>Younus</t>
  </si>
  <si>
    <t>Gates</t>
  </si>
  <si>
    <r>
      <rPr>
        <b/>
        <sz val="12"/>
        <color theme="1"/>
        <rFont val="Calibri"/>
        <family val="2"/>
      </rPr>
      <t>Order Status</t>
    </r>
    <r>
      <rPr>
        <b/>
        <sz val="10"/>
        <color theme="1"/>
        <rFont val="Calibri"/>
        <family val="2"/>
      </rPr>
      <t xml:space="preserve">
</t>
    </r>
    <r>
      <rPr>
        <sz val="10"/>
        <color theme="1"/>
        <rFont val="Calibri"/>
        <family val="2"/>
      </rPr>
      <t>- RFQ
-Offer Receipt
- Negotiation
- PO Release
- Adv Payment</t>
    </r>
  </si>
  <si>
    <r>
      <rPr>
        <b/>
        <sz val="12"/>
        <color theme="1"/>
        <rFont val="Calibri"/>
        <family val="2"/>
      </rPr>
      <t>Detail Engg</t>
    </r>
    <r>
      <rPr>
        <b/>
        <sz val="10"/>
        <color theme="1"/>
        <rFont val="Calibri"/>
        <family val="2"/>
      </rPr>
      <t xml:space="preserve">
</t>
    </r>
    <r>
      <rPr>
        <sz val="10"/>
        <color theme="1"/>
        <rFont val="Calibri"/>
        <family val="2"/>
      </rPr>
      <t>- P&amp;ID 
- GA Drg 
- Foundation Drg</t>
    </r>
  </si>
  <si>
    <r>
      <rPr>
        <b/>
        <sz val="12"/>
        <color theme="1"/>
        <rFont val="Calibri"/>
        <family val="2"/>
      </rPr>
      <t>Manufacturing</t>
    </r>
    <r>
      <rPr>
        <sz val="10"/>
        <color theme="1"/>
        <rFont val="Calibri"/>
        <family val="2"/>
      </rPr>
      <t xml:space="preserve">
- Clerance</t>
    </r>
  </si>
  <si>
    <r>
      <rPr>
        <b/>
        <sz val="12"/>
        <color theme="1"/>
        <rFont val="Calibri"/>
        <family val="2"/>
      </rPr>
      <t>Material 
Delivery at Site</t>
    </r>
    <r>
      <rPr>
        <sz val="10"/>
        <color theme="1"/>
        <rFont val="Calibri"/>
        <family val="2"/>
      </rPr>
      <t xml:space="preserve">
Start Target Date</t>
    </r>
  </si>
  <si>
    <r>
      <rPr>
        <b/>
        <sz val="12"/>
        <color theme="1"/>
        <rFont val="Calibri"/>
        <family val="2"/>
      </rPr>
      <t>Tool Move In &amp; Installation</t>
    </r>
    <r>
      <rPr>
        <b/>
        <sz val="10"/>
        <color theme="1"/>
        <rFont val="Calibri"/>
        <family val="2"/>
      </rPr>
      <t xml:space="preserve">
</t>
    </r>
    <r>
      <rPr>
        <sz val="10"/>
        <color theme="1"/>
        <rFont val="Calibri"/>
        <family val="2"/>
      </rPr>
      <t>Target Date</t>
    </r>
  </si>
  <si>
    <r>
      <rPr>
        <b/>
        <sz val="12"/>
        <color theme="1"/>
        <rFont val="Calibri"/>
        <family val="2"/>
      </rPr>
      <t>Hook Up &amp; Commission</t>
    </r>
    <r>
      <rPr>
        <sz val="10"/>
        <color theme="1"/>
        <rFont val="Calibri"/>
        <family val="2"/>
      </rPr>
      <t xml:space="preserve">
Target Date</t>
    </r>
  </si>
  <si>
    <r>
      <rPr>
        <b/>
        <sz val="12"/>
        <color theme="1"/>
        <rFont val="Calibri"/>
        <family val="2"/>
      </rPr>
      <t>Progress</t>
    </r>
    <r>
      <rPr>
        <sz val="10"/>
        <color theme="1"/>
        <rFont val="Calibri"/>
        <family val="2"/>
      </rPr>
      <t xml:space="preserve">
10% - Order Finalize
20% - Detail Engg Completion
30% - Manufacturing
60% - Delivery
80% Installation
95% - Commision
100% - Handover Operation</t>
    </r>
  </si>
  <si>
    <t xml:space="preserve">Civil Drawing </t>
  </si>
  <si>
    <r>
      <t xml:space="preserve">PEB Progress
</t>
    </r>
    <r>
      <rPr>
        <sz val="10"/>
        <color theme="1"/>
        <rFont val="Calibri"/>
        <family val="2"/>
      </rPr>
      <t>- Primary 
- Secondary
- Alignment
- Roofing
- Wall
- Guttering
- Mazzemine</t>
    </r>
  </si>
  <si>
    <r>
      <t xml:space="preserve">Civil Progress
</t>
    </r>
    <r>
      <rPr>
        <sz val="10"/>
        <color theme="1"/>
        <rFont val="Calibri"/>
        <family val="2"/>
      </rPr>
      <t>- Footing
- PCC
- Back Fiiling 
- Plinth beam
- Anchor Bolt
- GSB 
- PCC 
- VDF</t>
    </r>
  </si>
  <si>
    <r>
      <rPr>
        <b/>
        <sz val="12"/>
        <color theme="1"/>
        <rFont val="Calibri"/>
        <family val="2"/>
      </rPr>
      <t xml:space="preserve">Accessories
</t>
    </r>
    <r>
      <rPr>
        <sz val="10"/>
        <color theme="1"/>
        <rFont val="Calibri"/>
        <family val="2"/>
      </rPr>
      <t xml:space="preserve">- Door
- Shutter
- Dock Leveler
- Lift </t>
    </r>
  </si>
  <si>
    <r>
      <rPr>
        <b/>
        <sz val="12"/>
        <color theme="1"/>
        <rFont val="Calibri"/>
        <family val="2"/>
      </rPr>
      <t>PEB Drawing</t>
    </r>
    <r>
      <rPr>
        <b/>
        <sz val="10"/>
        <color theme="1"/>
        <rFont val="Calibri"/>
        <family val="2"/>
      </rPr>
      <t xml:space="preserve">
</t>
    </r>
  </si>
  <si>
    <t>RajaShekar</t>
  </si>
  <si>
    <t>Main Building - Phase 1</t>
  </si>
  <si>
    <t>Main Building - Phase 2</t>
  </si>
  <si>
    <r>
      <t xml:space="preserve">Civil - </t>
    </r>
    <r>
      <rPr>
        <b/>
        <sz val="12"/>
        <color theme="1"/>
        <rFont val="Calibri"/>
        <family val="2"/>
      </rPr>
      <t>SRR</t>
    </r>
    <r>
      <rPr>
        <sz val="12"/>
        <color theme="1"/>
        <rFont val="Calibri"/>
        <family val="2"/>
      </rPr>
      <t xml:space="preserve">
PEB - </t>
    </r>
    <r>
      <rPr>
        <b/>
        <sz val="12"/>
        <color theme="1"/>
        <rFont val="Calibri"/>
        <family val="2"/>
      </rPr>
      <t>Epack</t>
    </r>
  </si>
  <si>
    <t>FG/RM Shed</t>
  </si>
  <si>
    <r>
      <t xml:space="preserve">Civil - </t>
    </r>
    <r>
      <rPr>
        <b/>
        <sz val="12"/>
        <color theme="1"/>
        <rFont val="Calibri"/>
        <family val="2"/>
      </rPr>
      <t>CSR</t>
    </r>
    <r>
      <rPr>
        <sz val="12"/>
        <color theme="1"/>
        <rFont val="Calibri"/>
        <family val="2"/>
      </rPr>
      <t xml:space="preserve">
PEB - </t>
    </r>
    <r>
      <rPr>
        <b/>
        <sz val="12"/>
        <color theme="1"/>
        <rFont val="Calibri"/>
        <family val="2"/>
      </rPr>
      <t>Bheema</t>
    </r>
  </si>
  <si>
    <t>ETP (Tank + Shed)</t>
  </si>
  <si>
    <r>
      <t>Civil -</t>
    </r>
    <r>
      <rPr>
        <b/>
        <sz val="12"/>
        <color theme="1"/>
        <rFont val="Calibri"/>
        <family val="2"/>
      </rPr>
      <t xml:space="preserve"> CSR</t>
    </r>
    <r>
      <rPr>
        <sz val="12"/>
        <color theme="1"/>
        <rFont val="Calibri"/>
        <family val="2"/>
      </rPr>
      <t xml:space="preserve">  
PEB - </t>
    </r>
    <r>
      <rPr>
        <b/>
        <sz val="12"/>
        <color theme="1"/>
        <rFont val="Calibri"/>
        <family val="2"/>
      </rPr>
      <t>Bheema</t>
    </r>
  </si>
  <si>
    <r>
      <t xml:space="preserve">Civil - </t>
    </r>
    <r>
      <rPr>
        <b/>
        <sz val="12"/>
        <color theme="1"/>
        <rFont val="Calibri"/>
        <family val="2"/>
      </rPr>
      <t>SRR</t>
    </r>
    <r>
      <rPr>
        <sz val="12"/>
        <color theme="1"/>
        <rFont val="Calibri"/>
        <family val="2"/>
      </rPr>
      <t xml:space="preserve"> 
PEB - </t>
    </r>
    <r>
      <rPr>
        <b/>
        <sz val="12"/>
        <color theme="1"/>
        <rFont val="Calibri"/>
        <family val="2"/>
      </rPr>
      <t>Steel Fab Engg</t>
    </r>
  </si>
  <si>
    <r>
      <t xml:space="preserve">Civil - </t>
    </r>
    <r>
      <rPr>
        <b/>
        <sz val="12"/>
        <color theme="1"/>
        <rFont val="Calibri"/>
        <family val="2"/>
      </rPr>
      <t>SRR</t>
    </r>
    <r>
      <rPr>
        <sz val="12"/>
        <color theme="1"/>
        <rFont val="Calibri"/>
        <family val="2"/>
      </rPr>
      <t xml:space="preserve"> 
PEB - NA</t>
    </r>
  </si>
  <si>
    <t xml:space="preserve">N2 Yard </t>
  </si>
  <si>
    <t xml:space="preserve">Civil -  
PEB - </t>
  </si>
  <si>
    <t>PCW/ Compressor Yard</t>
  </si>
  <si>
    <t>Scrap Yard / Staff Building</t>
  </si>
  <si>
    <t>Admin Building</t>
  </si>
  <si>
    <t>Canteen Building</t>
  </si>
  <si>
    <t>Security / HR Building</t>
  </si>
  <si>
    <t>DockLever</t>
  </si>
  <si>
    <t>Door &amp; Shutter</t>
  </si>
  <si>
    <t>Main Shed</t>
  </si>
  <si>
    <t xml:space="preserve"> FG</t>
  </si>
  <si>
    <t xml:space="preserve"> Scrap Yard</t>
  </si>
  <si>
    <t>PCW / CDA</t>
  </si>
  <si>
    <t>HR Building</t>
  </si>
  <si>
    <t>Chemical Shed</t>
  </si>
  <si>
    <t>Lift</t>
  </si>
  <si>
    <t>Scrap Yard</t>
  </si>
  <si>
    <t>Hoist</t>
  </si>
  <si>
    <r>
      <rPr>
        <b/>
        <sz val="12"/>
        <color theme="1"/>
        <rFont val="Calibri"/>
        <family val="2"/>
      </rPr>
      <t>Progress</t>
    </r>
    <r>
      <rPr>
        <sz val="10"/>
        <color theme="1"/>
        <rFont val="Calibri"/>
        <family val="2"/>
      </rPr>
      <t xml:space="preserve">
10% - Order Finalize
20% - PEB Drawing
30% - Civil Drawing
40% - Material Delivery
90% - Execution
95% - Accessories
100% - Handover</t>
    </r>
  </si>
  <si>
    <t xml:space="preserve">Raju </t>
  </si>
  <si>
    <t xml:space="preserve">Pheripheral Drain </t>
  </si>
  <si>
    <t>Road</t>
  </si>
  <si>
    <t xml:space="preserve">HT Trench </t>
  </si>
  <si>
    <r>
      <t xml:space="preserve">Civil - </t>
    </r>
    <r>
      <rPr>
        <b/>
        <sz val="12"/>
        <color theme="1"/>
        <rFont val="Calibri"/>
        <family val="2"/>
      </rPr>
      <t>SRR</t>
    </r>
    <r>
      <rPr>
        <sz val="12"/>
        <color theme="1"/>
        <rFont val="Calibri"/>
        <family val="2"/>
      </rPr>
      <t xml:space="preserve">
PEB - </t>
    </r>
    <r>
      <rPr>
        <b/>
        <sz val="12"/>
        <color theme="1"/>
        <rFont val="Calibri"/>
        <family val="2"/>
      </rPr>
      <t>Epack</t>
    </r>
    <r>
      <rPr>
        <sz val="12"/>
        <color theme="1"/>
        <rFont val="Calibri"/>
        <family val="2"/>
      </rPr>
      <t xml:space="preserve">
Interior </t>
    </r>
    <r>
      <rPr>
        <b/>
        <sz val="12"/>
        <color theme="1"/>
        <rFont val="Calibri"/>
        <family val="2"/>
      </rPr>
      <t>- Grapid</t>
    </r>
  </si>
  <si>
    <t>Civil -  
PEB - NA
Interior - Grapid</t>
  </si>
  <si>
    <t>Civil -  
PEB - 
Interior - Grapid</t>
  </si>
  <si>
    <t xml:space="preserve">ETP </t>
  </si>
  <si>
    <t>Main Building</t>
  </si>
  <si>
    <t xml:space="preserve">Any </t>
  </si>
  <si>
    <t>Sub Station</t>
  </si>
  <si>
    <t>VVRR Electrical</t>
  </si>
  <si>
    <r>
      <t xml:space="preserve">Civil - </t>
    </r>
    <r>
      <rPr>
        <b/>
        <sz val="12"/>
        <color theme="1"/>
        <rFont val="Calibri"/>
        <family val="2"/>
      </rPr>
      <t>CSR</t>
    </r>
    <r>
      <rPr>
        <sz val="12"/>
        <color theme="1"/>
        <rFont val="Calibri"/>
        <family val="2"/>
      </rPr>
      <t xml:space="preserve">
PEB - NA
Interior - </t>
    </r>
    <r>
      <rPr>
        <b/>
        <sz val="12"/>
        <color theme="1"/>
        <rFont val="Calibri"/>
        <family val="2"/>
      </rPr>
      <t>Grapid</t>
    </r>
  </si>
  <si>
    <t>LV Electrical - Cable</t>
  </si>
  <si>
    <t>RajaShekar N</t>
  </si>
  <si>
    <t>Chemical Trench</t>
  </si>
  <si>
    <t>Pipe Bridge</t>
  </si>
  <si>
    <t>Strom Water Trench</t>
  </si>
  <si>
    <t>Entry (4 Path)</t>
  </si>
  <si>
    <t>Civil - SRR</t>
  </si>
  <si>
    <t>Land Leveling and Jungle Clerance</t>
  </si>
  <si>
    <t>Cooler Water Bridge</t>
  </si>
  <si>
    <t xml:space="preserve">Water Tank </t>
  </si>
  <si>
    <t xml:space="preserve">Civil </t>
  </si>
  <si>
    <t>Civil 
Interior - Grapid</t>
  </si>
  <si>
    <t>Civil - 
PEB -</t>
  </si>
  <si>
    <t>NH3(Ammonia) - Decanting System</t>
  </si>
  <si>
    <t>RFQ to Rec. 
15-11-2025</t>
  </si>
  <si>
    <t>PO Pending
30 Nov 25</t>
  </si>
  <si>
    <t xml:space="preserve">Inside Shed </t>
  </si>
  <si>
    <t>HV Packages</t>
  </si>
  <si>
    <t>Zone</t>
  </si>
  <si>
    <t>LandScape</t>
  </si>
  <si>
    <t xml:space="preserve">Parking </t>
  </si>
  <si>
    <t xml:space="preserve">Civil 
PEB - </t>
  </si>
  <si>
    <t xml:space="preserve">1) Security Wing  
2) HR Wing  
3) OHC &amp; Creche Wing </t>
  </si>
  <si>
    <t>Order [RFQ,Offer Receipt, Negotiation, PO Release, Adv Payment]</t>
  </si>
  <si>
    <t>Detail Engineering</t>
  </si>
  <si>
    <t>Manufacturing [ Clerance, Start ]</t>
  </si>
  <si>
    <t>Material Dispatch at Site</t>
  </si>
  <si>
    <t>Material Primary Installation</t>
  </si>
  <si>
    <t>15 Feb 26 
15 Jun 26</t>
  </si>
  <si>
    <t>15 Jan 26
15 May 26</t>
  </si>
  <si>
    <t>30 Jan 26
30 May 26</t>
  </si>
  <si>
    <t>Design
5 Nov 25</t>
  </si>
  <si>
    <t>Foundation Drg
28 Oct 25</t>
  </si>
  <si>
    <t>Completed
19 Oct 25</t>
  </si>
  <si>
    <t>10 Dec 25
20 Jan 26</t>
  </si>
  <si>
    <t>Civil Drawing to be Shared from Membrane</t>
  </si>
  <si>
    <t>Completed
18 Oct 25</t>
  </si>
  <si>
    <t>Design 
5 Nov 25</t>
  </si>
  <si>
    <t>Reitz</t>
  </si>
  <si>
    <t>Completed
19-10-2025</t>
  </si>
  <si>
    <t>10 Dec 25
Onwards</t>
  </si>
  <si>
    <t>15 Dec 25 
Onwards</t>
  </si>
  <si>
    <t>20 Dec 25
Onwards</t>
  </si>
  <si>
    <t>1 Feb 26
Onwards</t>
  </si>
  <si>
    <t>15 Feb 26 
Onwards</t>
  </si>
  <si>
    <t>Auxillary
 Activity</t>
  </si>
  <si>
    <t>Lecon</t>
  </si>
  <si>
    <t>RFQ Received - Vendor evaluation in Process</t>
  </si>
  <si>
    <t>Manufacturing Started</t>
  </si>
  <si>
    <t xml:space="preserve"> Vendor Negoitiation in Process</t>
  </si>
  <si>
    <t>Completed
24 Oct 25</t>
  </si>
  <si>
    <t xml:space="preserve">Detail Engineering under Discusion </t>
  </si>
  <si>
    <t>RFQ to be floated to Vendor</t>
  </si>
  <si>
    <t>Procure
Owner</t>
  </si>
  <si>
    <t>Manufacturing Started and Under Final Technical Closure</t>
  </si>
  <si>
    <t>Viva Solar</t>
  </si>
  <si>
    <t>Load/Unload Automation</t>
  </si>
  <si>
    <t>Inline BSG Removal &amp; Real Polish </t>
  </si>
  <si>
    <t>Inline PSG Removal &amp; RCA</t>
  </si>
  <si>
    <t>Boron Diffusion  </t>
  </si>
  <si>
    <t>PECVD Automation (1 By 1) Front</t>
  </si>
  <si>
    <t>LPCVD</t>
  </si>
  <si>
    <t>LPCVD Automation (1 By 1)</t>
  </si>
  <si>
    <t>PoCl3 Diffusion</t>
  </si>
  <si>
    <t>ALD</t>
  </si>
  <si>
    <t>Front-PECVD</t>
  </si>
  <si>
    <t>Rear PECVD</t>
  </si>
  <si>
    <t>PECVD Automation (1 By 1)</t>
  </si>
  <si>
    <t>LECO</t>
  </si>
  <si>
    <t>Inline Tester &amp; Sorter</t>
  </si>
  <si>
    <t>Offline Tester &amp; Sorter</t>
  </si>
  <si>
    <t>AGV Charging Satation</t>
  </si>
  <si>
    <t>PoCl3 Diffusion Quartz Boat Cleaning Mac</t>
  </si>
  <si>
    <t>LPCVD Quartz Boat Cleaning Machine </t>
  </si>
  <si>
    <t>Quartz tube Cleaning Machine </t>
  </si>
  <si>
    <t>Rework Tool &amp; Automation </t>
  </si>
  <si>
    <t>Graphite Boat Cleaning</t>
  </si>
  <si>
    <t>Quartz Boats For Diffusion </t>
  </si>
  <si>
    <t>Aluminium Boats For ALD</t>
  </si>
  <si>
    <t>Graphite Boats For PECVD</t>
  </si>
  <si>
    <t>Automation Packaging Line</t>
  </si>
  <si>
    <t>Batch Texture</t>
  </si>
  <si>
    <t>Boron Diffusion Quartz Boat Cleaning Mac</t>
  </si>
  <si>
    <t xml:space="preserve">Process Tool </t>
  </si>
  <si>
    <t>Meibao</t>
  </si>
  <si>
    <t>Exhuast  - Scrubber
( Damper - Exhaust Fan)</t>
  </si>
  <si>
    <t>Temprary Drain are executed for de water purpose</t>
  </si>
  <si>
    <t>UHP is the Pre vendor 
- Commerical Evaluation in under process</t>
  </si>
  <si>
    <t>Completed
29-10-2025</t>
  </si>
  <si>
    <t>Completed
30 Oct 25</t>
  </si>
  <si>
    <t>Completed
26 Oct 25</t>
  </si>
  <si>
    <t>Under Manufacturing and Packaging Process</t>
  </si>
  <si>
    <t>s</t>
  </si>
  <si>
    <t>VVRR Electrical
Vertex</t>
  </si>
  <si>
    <t>UPW / ETP / ZLD / STP / Di Water</t>
  </si>
  <si>
    <t>Bulk Gas Generation ( N2 &amp; O)</t>
  </si>
  <si>
    <t>Luftet</t>
  </si>
  <si>
    <t>UPW / ETP / ZLD / STP / DI Water</t>
  </si>
  <si>
    <t>Hydrant/Sprinkler/Alarm/Pump System</t>
  </si>
  <si>
    <t>Wall &amp; Ceiling Panel &amp; Door</t>
  </si>
  <si>
    <t>RFQ to Float
30 Nov 25</t>
  </si>
  <si>
    <t xml:space="preserve">Details of fan and drawing is shared. </t>
  </si>
  <si>
    <t>Blue Star</t>
  </si>
  <si>
    <t xml:space="preserve">RP &amp; BS </t>
  </si>
  <si>
    <t xml:space="preserve">New Architect is to be OnBoarded </t>
  </si>
  <si>
    <t>Design Ready Waiting for Peripheral design activity to be completed to start of execution</t>
  </si>
  <si>
    <r>
      <t xml:space="preserve">Civil 
Interior - </t>
    </r>
    <r>
      <rPr>
        <strike/>
        <sz val="12"/>
        <color theme="1"/>
        <rFont val="Calibri"/>
        <family val="2"/>
      </rPr>
      <t>Grapid</t>
    </r>
  </si>
  <si>
    <t>Foundation Work Started</t>
  </si>
  <si>
    <t>Sheetiing &amp; Torquing to be completed by 30th Nov</t>
  </si>
  <si>
    <t>SRR Work Scoep target to be completed by 30th Nov</t>
  </si>
  <si>
    <t>Target to Complete Sheeting &amp; VDF by 30th Nov</t>
  </si>
  <si>
    <t xml:space="preserve">EPack - Erection Started 
SRR - Blasting Started </t>
  </si>
  <si>
    <t>Target for 1st Slab Lift by 30 Nov</t>
  </si>
  <si>
    <t xml:space="preserve">Foundation </t>
  </si>
  <si>
    <t>Civil Work in Progress 
PEB material will be at Site targeted by 25th Nov.</t>
  </si>
  <si>
    <t>Paint Work Started.</t>
  </si>
  <si>
    <t xml:space="preserve">Design under detail Engineering target to close by 25th Nov </t>
  </si>
  <si>
    <t>Inside cell building Execution started. Network area design under development Target by 25th Nov</t>
  </si>
  <si>
    <t xml:space="preserve">Target to Close to Design Concept by 25th Nov </t>
  </si>
  <si>
    <t>Completed
14 Nov 25</t>
  </si>
  <si>
    <t>Blue Star / Surekha</t>
  </si>
  <si>
    <t>Target 
30 Nov 25</t>
  </si>
  <si>
    <t>RFQ Floated under Commerical and Scope Evaluation</t>
  </si>
  <si>
    <t>Viva Solar(Linyan)</t>
  </si>
  <si>
    <t>SCZ Global L.L.C.-Fz</t>
  </si>
  <si>
    <t>THERMAL TOOLS</t>
  </si>
  <si>
    <t>WET TOOLS</t>
  </si>
  <si>
    <t>AUXILLIARIES TOOLS</t>
  </si>
  <si>
    <t>CELL MANUFACTURING EQUIPMENT</t>
  </si>
  <si>
    <t>Process Tool Set 1</t>
  </si>
  <si>
    <t>Process Tool Set 2</t>
  </si>
  <si>
    <t>Civil -  
PEB - NA
Interior -</t>
  </si>
  <si>
    <t xml:space="preserve">Civil -  
PEB - 
Interior </t>
  </si>
  <si>
    <t>Completed
19 Nov 25</t>
  </si>
  <si>
    <t>Manufacturing activities have commenced.</t>
  </si>
  <si>
    <r>
      <t xml:space="preserve">Completed, </t>
    </r>
    <r>
      <rPr>
        <b/>
        <sz val="10"/>
        <color rgb="FF000000"/>
        <rFont val="Calibri"/>
        <family val="2"/>
      </rPr>
      <t>"milestone achieved”</t>
    </r>
  </si>
  <si>
    <t>Material dispatch has commenced in batches.</t>
  </si>
  <si>
    <t xml:space="preserve">Water Balance Diagram Received </t>
  </si>
  <si>
    <t>Chemical System 
- HF, HCL, NaOH, H2O2, TEX, POL,a-Si</t>
  </si>
  <si>
    <r>
      <rPr>
        <b/>
        <sz val="12"/>
        <color theme="1"/>
        <rFont val="Calibri"/>
        <family val="2"/>
      </rPr>
      <t>Installation</t>
    </r>
    <r>
      <rPr>
        <b/>
        <sz val="10"/>
        <color theme="1"/>
        <rFont val="Calibri"/>
        <family val="2"/>
      </rPr>
      <t xml:space="preserve">
</t>
    </r>
    <r>
      <rPr>
        <sz val="10"/>
        <color theme="1"/>
        <rFont val="Calibri"/>
        <family val="2"/>
      </rPr>
      <t>Start Target Date</t>
    </r>
  </si>
  <si>
    <t>The RFQ is currently under preparation.</t>
  </si>
  <si>
    <t>Techno-commercial documentation is being prepared.</t>
  </si>
  <si>
    <t>Development of manufacturing-related engineering is in progress</t>
  </si>
  <si>
    <t xml:space="preserve">Tool Move in </t>
  </si>
  <si>
    <t>Material 
Delivery at Site</t>
  </si>
  <si>
    <t>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</si>
</sst>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ddd\,\ m/d/yyyy"/>
    <numFmt numFmtId="165" formatCode="m/d/yy;@"/>
  </numFmts>
  <fonts count="27"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b/>
      <sz val="10"/>
      <color theme="1"/>
      <name val="Calibri"/>
      <family val="2"/>
    </font>
    <font>
      <sz val="11"/>
      <color theme="1"/>
      <name val="Aptos Narrow"/>
      <family val="2"/>
      <scheme val="minor"/>
    </font>
    <font>
      <b/>
      <sz val="14"/>
      <color theme="1"/>
      <name val="Calibri"/>
      <family val="2"/>
    </font>
    <font>
      <b/>
      <sz val="16"/>
      <color theme="1"/>
      <name val="Calibri"/>
      <family val="2"/>
    </font>
    <font>
      <sz val="10"/>
      <color theme="1"/>
      <name val="Calibri"/>
      <family val="2"/>
    </font>
    <font>
      <sz val="10"/>
      <color rgb="FF000000"/>
      <name val="Calibri"/>
      <family val="2"/>
    </font>
    <font>
      <sz val="12"/>
      <color theme="1"/>
      <name val="Calibri"/>
      <family val="2"/>
    </font>
    <font>
      <b/>
      <sz val="12"/>
      <color theme="1"/>
      <name val="Calibri"/>
      <family val="2"/>
    </font>
    <font>
      <b/>
      <sz val="42"/>
      <color theme="7"/>
      <name val="Aptos Display"/>
      <family val="2"/>
      <scheme val="major"/>
    </font>
    <font>
      <sz val="11"/>
      <color theme="1" tint="0.24994659260841701"/>
      <name val="Aptos Display"/>
      <family val="2"/>
      <scheme val="major"/>
    </font>
    <font>
      <b/>
      <sz val="11"/>
      <color theme="1" tint="0.24994659260841701"/>
      <name val="Aptos Narrow"/>
      <family val="2"/>
      <scheme val="minor"/>
    </font>
    <font>
      <i/>
      <sz val="11"/>
      <color theme="7"/>
      <name val="Aptos Narrow"/>
      <family val="2"/>
      <scheme val="minor"/>
    </font>
    <font>
      <sz val="12"/>
      <color theme="1" tint="0.24994659260841701"/>
      <name val="Aptos Display"/>
      <family val="2"/>
      <scheme val="major"/>
    </font>
    <font>
      <sz val="14"/>
      <color theme="1" tint="0.24994659260841701"/>
      <name val="Aptos Narrow"/>
      <family val="2"/>
      <scheme val="minor"/>
    </font>
    <font>
      <b/>
      <sz val="11"/>
      <color theme="1" tint="0.34998626667073579"/>
      <name val="Aptos Narrow"/>
      <family val="2"/>
      <scheme val="minor"/>
    </font>
    <font>
      <b/>
      <sz val="13"/>
      <color theme="7"/>
      <name val="Aptos Display"/>
      <family val="2"/>
      <scheme val="major"/>
    </font>
    <font>
      <b/>
      <sz val="13"/>
      <color theme="1" tint="0.24994659260841701"/>
      <name val="Aptos Display"/>
      <family val="2"/>
      <scheme val="major"/>
    </font>
    <font>
      <sz val="11"/>
      <color theme="0"/>
      <name val="Aptos Narrow"/>
      <family val="2"/>
      <scheme val="minor"/>
    </font>
    <font>
      <b/>
      <sz val="22"/>
      <color theme="1" tint="0.34998626667073579"/>
      <name val="Aptos Display"/>
      <family val="2"/>
      <scheme val="major"/>
    </font>
    <font>
      <sz val="14"/>
      <color theme="1"/>
      <name val="Aptos Narrow"/>
      <family val="2"/>
      <scheme val="minor"/>
    </font>
    <font>
      <u/>
      <sz val="11"/>
      <color indexed="12"/>
      <name val="Arial"/>
      <family val="2"/>
    </font>
    <font>
      <strike/>
      <sz val="12"/>
      <color theme="1"/>
      <name val="Calibri"/>
      <family val="2"/>
    </font>
    <font>
      <b/>
      <sz val="10"/>
      <color rgb="FF000000"/>
      <name val="Calibri"/>
      <family val="2"/>
    </font>
  </fonts>
  <fills count="22">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style="thick">
        <color theme="0"/>
      </left>
      <right style="thick">
        <color theme="0"/>
      </right>
      <top style="thick">
        <color theme="0"/>
      </top>
      <bottom style="thick">
        <color theme="0"/>
      </bottom>
      <diagonal/>
    </border>
    <border>
      <left/>
      <right/>
      <top/>
      <bottom style="thin">
        <color theme="7"/>
      </bottom>
      <diagonal/>
    </border>
    <border>
      <left style="thin">
        <color indexed="64"/>
      </left>
      <right style="thin">
        <color indexed="64"/>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medium">
        <color theme="0" tint="-0.14996795556505021"/>
      </top>
      <bottom style="medium">
        <color theme="0" tint="-0.14996795556505021"/>
      </bottom>
      <diagonal/>
    </border>
  </borders>
  <cellStyleXfs count="31">
    <xf numFmtId="0" fontId="0" fillId="0" borderId="0"/>
    <xf numFmtId="9" fontId="5" fillId="0" borderId="0" applyFont="0" applyFill="0" applyBorder="0" applyAlignment="0" applyProtection="0"/>
    <xf numFmtId="0" fontId="12" fillId="0" borderId="0" applyNumberFormat="0" applyFill="0" applyBorder="0" applyProtection="0">
      <alignment vertical="center"/>
    </xf>
    <xf numFmtId="0" fontId="13" fillId="0" borderId="0" applyNumberFormat="0" applyFill="0" applyBorder="0" applyProtection="0">
      <alignment horizontal="center" vertical="center"/>
    </xf>
    <xf numFmtId="0" fontId="12" fillId="0" borderId="0" applyNumberFormat="0" applyFill="0" applyBorder="0" applyAlignment="0" applyProtection="0"/>
    <xf numFmtId="0" fontId="14" fillId="15" borderId="8" applyNumberFormat="0" applyProtection="0">
      <alignment horizontal="left" vertical="center"/>
    </xf>
    <xf numFmtId="0" fontId="15" fillId="0" borderId="0" applyNumberFormat="0" applyFill="0" applyBorder="0" applyProtection="0">
      <alignment vertical="center"/>
    </xf>
    <xf numFmtId="43" fontId="13" fillId="0" borderId="0" applyFont="0" applyFill="0" applyBorder="0" applyAlignment="0" applyProtection="0"/>
    <xf numFmtId="1" fontId="16" fillId="15" borderId="8">
      <alignment horizontal="center" vertical="center"/>
    </xf>
    <xf numFmtId="0" fontId="13" fillId="16" borderId="9" applyNumberFormat="0" applyFont="0" applyAlignment="0">
      <alignment horizontal="center"/>
    </xf>
    <xf numFmtId="0" fontId="17" fillId="0" borderId="0" applyNumberFormat="0" applyFill="0" applyBorder="0" applyProtection="0">
      <alignment horizontal="left" vertical="center"/>
    </xf>
    <xf numFmtId="0" fontId="13" fillId="17" borderId="10" applyNumberFormat="0" applyFont="0" applyAlignment="0">
      <alignment horizontal="center"/>
    </xf>
    <xf numFmtId="0" fontId="13" fillId="18" borderId="10" applyNumberFormat="0" applyFont="0" applyAlignment="0">
      <alignment horizontal="center"/>
    </xf>
    <xf numFmtId="0" fontId="13" fillId="19" borderId="10" applyNumberFormat="0" applyFont="0" applyAlignment="0">
      <alignment horizontal="center"/>
    </xf>
    <xf numFmtId="0" fontId="13" fillId="20" borderId="10" applyNumberFormat="0" applyFont="0" applyAlignment="0">
      <alignment horizontal="center"/>
    </xf>
    <xf numFmtId="0" fontId="18" fillId="0" borderId="0" applyFill="0" applyProtection="0">
      <alignment vertical="center"/>
    </xf>
    <xf numFmtId="0" fontId="18" fillId="0" borderId="0" applyFill="0" applyProtection="0">
      <alignment horizontal="center" vertical="center" wrapText="1"/>
    </xf>
    <xf numFmtId="0" fontId="18" fillId="0" borderId="0" applyFill="0" applyProtection="0">
      <alignment horizontal="left"/>
    </xf>
    <xf numFmtId="3" fontId="18" fillId="0" borderId="11" applyFill="0" applyProtection="0">
      <alignment horizontal="center"/>
    </xf>
    <xf numFmtId="9" fontId="19" fillId="0" borderId="0" applyFill="0" applyBorder="0" applyProtection="0">
      <alignment horizontal="center" vertical="center"/>
    </xf>
    <xf numFmtId="0" fontId="20" fillId="0" borderId="0" applyFill="0" applyBorder="0" applyProtection="0">
      <alignment horizontal="left" wrapText="1"/>
    </xf>
    <xf numFmtId="0" fontId="21" fillId="0" borderId="0"/>
    <xf numFmtId="0" fontId="22" fillId="0" borderId="0" applyNumberFormat="0" applyFill="0" applyBorder="0" applyAlignment="0" applyProtection="0"/>
    <xf numFmtId="0" fontId="5" fillId="0" borderId="0" applyNumberFormat="0" applyFill="0" applyProtection="0">
      <alignment horizontal="right" indent="1"/>
    </xf>
    <xf numFmtId="164" fontId="5" fillId="0" borderId="14">
      <alignment horizontal="center" vertical="center"/>
    </xf>
    <xf numFmtId="0" fontId="23" fillId="0" borderId="0" applyNumberFormat="0" applyFill="0" applyAlignment="0" applyProtection="0"/>
    <xf numFmtId="0" fontId="23" fillId="0" borderId="0" applyNumberFormat="0" applyFill="0" applyProtection="0">
      <alignment vertical="top"/>
    </xf>
    <xf numFmtId="0" fontId="24" fillId="0" borderId="0" applyNumberFormat="0" applyFill="0" applyBorder="0" applyAlignment="0" applyProtection="0">
      <alignment vertical="top"/>
      <protection locked="0"/>
    </xf>
    <xf numFmtId="0" fontId="5" fillId="0" borderId="15" applyFill="0">
      <alignment horizontal="center" vertical="center"/>
    </xf>
    <xf numFmtId="0" fontId="5" fillId="0" borderId="15" applyFill="0">
      <alignment horizontal="left" vertical="center" indent="2"/>
    </xf>
    <xf numFmtId="165" fontId="5" fillId="0" borderId="15" applyFill="0">
      <alignment horizontal="center" vertical="center"/>
    </xf>
  </cellStyleXfs>
  <cellXfs count="181">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left" vertical="center"/>
    </xf>
    <xf numFmtId="0" fontId="3"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4"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15" fontId="3" fillId="3" borderId="1" xfId="0" applyNumberFormat="1" applyFont="1" applyFill="1" applyBorder="1" applyAlignment="1">
      <alignment horizontal="center" vertical="center"/>
    </xf>
    <xf numFmtId="15" fontId="3" fillId="4" borderId="1" xfId="0" applyNumberFormat="1" applyFont="1" applyFill="1" applyBorder="1" applyAlignment="1">
      <alignment horizontal="center" vertical="center"/>
    </xf>
    <xf numFmtId="15" fontId="3" fillId="0" borderId="1" xfId="0" applyNumberFormat="1" applyFont="1" applyBorder="1" applyAlignment="1">
      <alignment horizontal="center" vertical="center"/>
    </xf>
    <xf numFmtId="0" fontId="2" fillId="2" borderId="1" xfId="0" applyFont="1" applyFill="1" applyBorder="1" applyAlignment="1">
      <alignment vertical="center"/>
    </xf>
    <xf numFmtId="0" fontId="3" fillId="0" borderId="1" xfId="0" applyFont="1" applyBorder="1" applyAlignment="1">
      <alignment horizontal="left" vertical="center" wrapText="1"/>
    </xf>
    <xf numFmtId="0" fontId="2" fillId="2" borderId="1" xfId="0" applyFont="1" applyFill="1" applyBorder="1" applyAlignment="1">
      <alignment vertical="center" wrapText="1"/>
    </xf>
    <xf numFmtId="9" fontId="3" fillId="0" borderId="1" xfId="1" applyFont="1" applyBorder="1" applyAlignment="1">
      <alignment horizontal="center" vertical="center"/>
    </xf>
    <xf numFmtId="15" fontId="3" fillId="8" borderId="1" xfId="0" applyNumberFormat="1" applyFont="1" applyFill="1" applyBorder="1" applyAlignment="1">
      <alignment horizontal="center" vertical="center"/>
    </xf>
    <xf numFmtId="0" fontId="3" fillId="8" borderId="1" xfId="0" applyFont="1" applyFill="1" applyBorder="1" applyAlignment="1">
      <alignment horizontal="center" vertical="center"/>
    </xf>
    <xf numFmtId="0" fontId="0" fillId="0" borderId="1" xfId="0" applyBorder="1"/>
    <xf numFmtId="15" fontId="0" fillId="0" borderId="1" xfId="0" applyNumberFormat="1" applyBorder="1" applyAlignment="1">
      <alignment horizontal="center" vertical="center"/>
    </xf>
    <xf numFmtId="0" fontId="2" fillId="7" borderId="1" xfId="0" applyFont="1" applyFill="1" applyBorder="1" applyAlignment="1">
      <alignment horizontal="center" vertical="center" textRotation="90" wrapText="1"/>
    </xf>
    <xf numFmtId="0" fontId="3" fillId="7" borderId="1" xfId="0" applyFont="1" applyFill="1" applyBorder="1" applyAlignment="1">
      <alignment horizontal="center" vertical="center"/>
    </xf>
    <xf numFmtId="0" fontId="2" fillId="0" borderId="0" xfId="0" applyFont="1" applyAlignment="1">
      <alignment horizontal="center" vertical="center"/>
    </xf>
    <xf numFmtId="0" fontId="3" fillId="6"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16" fontId="3" fillId="7"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wrapText="1"/>
    </xf>
    <xf numFmtId="0" fontId="0" fillId="0" borderId="2" xfId="0" applyBorder="1" applyAlignment="1">
      <alignment vertical="center"/>
    </xf>
    <xf numFmtId="0" fontId="3" fillId="9" borderId="1" xfId="0" applyFont="1" applyFill="1" applyBorder="1" applyAlignment="1">
      <alignment horizontal="center" vertical="center"/>
    </xf>
    <xf numFmtId="9" fontId="3" fillId="9" borderId="1" xfId="1" applyFont="1" applyFill="1" applyBorder="1" applyAlignment="1">
      <alignment horizontal="center" vertical="center"/>
    </xf>
    <xf numFmtId="0" fontId="3" fillId="0" borderId="1" xfId="0" applyFont="1" applyBorder="1" applyAlignment="1">
      <alignment horizontal="left" vertical="center"/>
    </xf>
    <xf numFmtId="9" fontId="3" fillId="8" borderId="1" xfId="1" applyFont="1" applyFill="1" applyBorder="1" applyAlignment="1">
      <alignment horizontal="center" vertical="center"/>
    </xf>
    <xf numFmtId="15" fontId="3" fillId="6" borderId="1" xfId="0" applyNumberFormat="1" applyFont="1" applyFill="1" applyBorder="1" applyAlignment="1">
      <alignment horizontal="center" vertical="center"/>
    </xf>
    <xf numFmtId="0" fontId="3" fillId="0" borderId="0" xfId="0" applyFont="1" applyAlignment="1">
      <alignment horizontal="center" vertical="center"/>
    </xf>
    <xf numFmtId="9" fontId="3" fillId="0" borderId="1" xfId="0" applyNumberFormat="1" applyFont="1" applyBorder="1" applyAlignment="1">
      <alignment horizontal="center" vertical="center"/>
    </xf>
    <xf numFmtId="9" fontId="3" fillId="4" borderId="1" xfId="1" applyFont="1" applyFill="1" applyBorder="1" applyAlignment="1">
      <alignment horizontal="center" vertical="center"/>
    </xf>
    <xf numFmtId="15" fontId="3"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0" fontId="2" fillId="2" borderId="1" xfId="0" applyFont="1" applyFill="1" applyBorder="1" applyAlignment="1">
      <alignment horizontal="left" textRotation="90" wrapText="1"/>
    </xf>
    <xf numFmtId="0" fontId="0" fillId="0" borderId="1" xfId="0" applyBorder="1" applyAlignment="1">
      <alignment horizontal="center" vertical="center" wrapText="1"/>
    </xf>
    <xf numFmtId="0" fontId="1" fillId="9" borderId="1" xfId="0" applyFont="1" applyFill="1" applyBorder="1" applyAlignment="1">
      <alignment horizontal="center" vertical="center" wrapText="1"/>
    </xf>
    <xf numFmtId="0" fontId="1" fillId="9" borderId="1" xfId="0" applyFont="1" applyFill="1" applyBorder="1" applyAlignment="1">
      <alignment horizontal="left" vertical="center" wrapText="1"/>
    </xf>
    <xf numFmtId="0" fontId="4" fillId="5" borderId="1" xfId="0" applyFont="1" applyFill="1" applyBorder="1" applyAlignment="1">
      <alignment vertical="center"/>
    </xf>
    <xf numFmtId="0" fontId="8" fillId="5"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0" borderId="1" xfId="0" applyFont="1" applyBorder="1" applyAlignment="1">
      <alignment horizontal="left" vertical="center" wrapText="1"/>
    </xf>
    <xf numFmtId="16" fontId="8" fillId="7" borderId="1" xfId="0" applyNumberFormat="1" applyFont="1" applyFill="1" applyBorder="1" applyAlignment="1">
      <alignment horizontal="center" vertical="center" wrapText="1"/>
    </xf>
    <xf numFmtId="15" fontId="4" fillId="4" borderId="1" xfId="0" applyNumberFormat="1" applyFont="1" applyFill="1" applyBorder="1" applyAlignment="1">
      <alignment horizontal="center" vertical="center" wrapText="1"/>
    </xf>
    <xf numFmtId="16" fontId="4" fillId="4" borderId="1" xfId="0" applyNumberFormat="1" applyFont="1" applyFill="1" applyBorder="1" applyAlignment="1">
      <alignment horizontal="center" vertical="center" wrapText="1"/>
    </xf>
    <xf numFmtId="15" fontId="4" fillId="6" borderId="1" xfId="0" applyNumberFormat="1" applyFont="1" applyFill="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lignment vertical="center" wrapText="1"/>
    </xf>
    <xf numFmtId="0" fontId="8" fillId="4" borderId="1" xfId="0" applyFont="1" applyFill="1" applyBorder="1" applyAlignment="1">
      <alignment horizontal="center" vertical="center"/>
    </xf>
    <xf numFmtId="0" fontId="8" fillId="0" borderId="1" xfId="0" applyFont="1" applyBorder="1" applyAlignment="1">
      <alignment horizontal="center" vertical="center"/>
    </xf>
    <xf numFmtId="16" fontId="8" fillId="7"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0" fontId="9" fillId="0" borderId="1" xfId="0" applyFont="1" applyBorder="1" applyAlignment="1">
      <alignment vertical="center" wrapText="1"/>
    </xf>
    <xf numFmtId="0" fontId="8" fillId="0" borderId="1" xfId="0" applyFont="1" applyBorder="1" applyAlignment="1">
      <alignment horizontal="center" vertical="center" wrapText="1"/>
    </xf>
    <xf numFmtId="0" fontId="4" fillId="5"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4" fillId="2" borderId="1" xfId="0" applyFont="1" applyFill="1" applyBorder="1" applyAlignment="1">
      <alignment horizontal="center" textRotation="90" wrapText="1"/>
    </xf>
    <xf numFmtId="16" fontId="8" fillId="7" borderId="1" xfId="0" applyNumberFormat="1" applyFont="1" applyFill="1" applyBorder="1" applyAlignment="1">
      <alignment vertical="center"/>
    </xf>
    <xf numFmtId="0" fontId="8" fillId="4" borderId="1" xfId="0" applyFont="1" applyFill="1" applyBorder="1" applyAlignment="1">
      <alignment horizontal="left" vertical="center" wrapText="1"/>
    </xf>
    <xf numFmtId="16" fontId="4" fillId="0" borderId="1" xfId="0" applyNumberFormat="1" applyFont="1" applyBorder="1" applyAlignment="1">
      <alignment horizontal="center" vertical="center"/>
    </xf>
    <xf numFmtId="15" fontId="4" fillId="0" borderId="1" xfId="0" applyNumberFormat="1" applyFont="1" applyBorder="1" applyAlignment="1">
      <alignment horizontal="center" vertical="center"/>
    </xf>
    <xf numFmtId="9" fontId="4" fillId="0" borderId="1" xfId="0" applyNumberFormat="1" applyFont="1" applyBorder="1" applyAlignment="1">
      <alignment horizontal="center" vertical="center"/>
    </xf>
    <xf numFmtId="16" fontId="8" fillId="4" borderId="1" xfId="0" applyNumberFormat="1" applyFont="1" applyFill="1" applyBorder="1" applyAlignment="1">
      <alignment horizontal="center" vertical="center" wrapText="1"/>
    </xf>
    <xf numFmtId="0" fontId="4" fillId="2" borderId="1" xfId="0" applyFont="1" applyFill="1" applyBorder="1" applyAlignment="1">
      <alignment horizontal="left" vertical="top" wrapText="1"/>
    </xf>
    <xf numFmtId="15" fontId="8" fillId="0" borderId="1" xfId="0" applyNumberFormat="1" applyFont="1" applyBorder="1" applyAlignment="1">
      <alignment horizontal="center" vertical="center"/>
    </xf>
    <xf numFmtId="15" fontId="8" fillId="12" borderId="1" xfId="0" applyNumberFormat="1" applyFont="1" applyFill="1" applyBorder="1" applyAlignment="1">
      <alignment horizontal="center" vertical="center"/>
    </xf>
    <xf numFmtId="15" fontId="8" fillId="13" borderId="1" xfId="0" applyNumberFormat="1" applyFont="1" applyFill="1" applyBorder="1" applyAlignment="1">
      <alignment horizontal="center" vertical="center" wrapText="1"/>
    </xf>
    <xf numFmtId="15" fontId="8" fillId="13" borderId="1" xfId="0" applyNumberFormat="1" applyFont="1" applyFill="1" applyBorder="1" applyAlignment="1">
      <alignment horizontal="center" vertical="center"/>
    </xf>
    <xf numFmtId="16" fontId="8" fillId="14" borderId="1" xfId="0" applyNumberFormat="1" applyFont="1" applyFill="1" applyBorder="1" applyAlignment="1">
      <alignment horizontal="center" vertical="center" wrapText="1"/>
    </xf>
    <xf numFmtId="15" fontId="8" fillId="14" borderId="1" xfId="0" applyNumberFormat="1" applyFont="1" applyFill="1" applyBorder="1" applyAlignment="1">
      <alignment horizontal="center" vertical="center" wrapText="1"/>
    </xf>
    <xf numFmtId="9" fontId="3" fillId="0" borderId="1" xfId="1" applyFont="1" applyFill="1" applyBorder="1" applyAlignment="1">
      <alignment horizontal="center" vertical="center"/>
    </xf>
    <xf numFmtId="16" fontId="8" fillId="13" borderId="1" xfId="0" applyNumberFormat="1" applyFont="1" applyFill="1" applyBorder="1" applyAlignment="1">
      <alignment horizontal="center" vertical="center" wrapText="1"/>
    </xf>
    <xf numFmtId="0" fontId="8" fillId="2"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10" fillId="11" borderId="1" xfId="0" applyFont="1" applyFill="1" applyBorder="1" applyAlignment="1">
      <alignment vertical="center"/>
    </xf>
    <xf numFmtId="0" fontId="10" fillId="5" borderId="1" xfId="0" applyFont="1" applyFill="1" applyBorder="1" applyAlignment="1">
      <alignment horizontal="center" vertical="center" wrapText="1"/>
    </xf>
    <xf numFmtId="0" fontId="10" fillId="5" borderId="1" xfId="0" applyFont="1" applyFill="1" applyBorder="1" applyAlignment="1">
      <alignment vertical="center"/>
    </xf>
    <xf numFmtId="0" fontId="10" fillId="11" borderId="1" xfId="0" applyFont="1" applyFill="1" applyBorder="1" applyAlignment="1">
      <alignment horizontal="center" vertical="center"/>
    </xf>
    <xf numFmtId="9" fontId="10" fillId="5" borderId="1" xfId="0" applyNumberFormat="1" applyFont="1" applyFill="1" applyBorder="1" applyAlignment="1">
      <alignment horizontal="center" vertical="center"/>
    </xf>
    <xf numFmtId="9" fontId="10" fillId="5" borderId="1" xfId="0" applyNumberFormat="1" applyFont="1" applyFill="1" applyBorder="1" applyAlignment="1">
      <alignment vertical="center"/>
    </xf>
    <xf numFmtId="9" fontId="10" fillId="5" borderId="1" xfId="0" applyNumberFormat="1" applyFont="1" applyFill="1" applyBorder="1" applyAlignment="1">
      <alignment horizontal="center" vertical="center" wrapText="1"/>
    </xf>
    <xf numFmtId="0" fontId="10" fillId="5" borderId="1" xfId="0" applyFont="1" applyFill="1" applyBorder="1" applyAlignment="1">
      <alignment horizontal="center" vertical="center"/>
    </xf>
    <xf numFmtId="0" fontId="10" fillId="5" borderId="6" xfId="0" applyFont="1" applyFill="1" applyBorder="1" applyAlignment="1">
      <alignment horizontal="center" vertical="center"/>
    </xf>
    <xf numFmtId="0" fontId="10" fillId="5" borderId="1" xfId="0" applyFont="1" applyFill="1" applyBorder="1" applyAlignment="1">
      <alignment vertical="center" wrapText="1"/>
    </xf>
    <xf numFmtId="0" fontId="10" fillId="5" borderId="1" xfId="0" applyFont="1" applyFill="1" applyBorder="1" applyAlignment="1">
      <alignment horizontal="left" vertical="center" wrapText="1"/>
    </xf>
    <xf numFmtId="0" fontId="10" fillId="5" borderId="1" xfId="0" applyFont="1" applyFill="1" applyBorder="1" applyAlignment="1">
      <alignment horizontal="left" vertical="center"/>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9" fontId="11" fillId="0" borderId="1" xfId="0" applyNumberFormat="1" applyFont="1" applyBorder="1" applyAlignment="1">
      <alignment horizontal="center" vertical="center"/>
    </xf>
    <xf numFmtId="9" fontId="10" fillId="0" borderId="1" xfId="0" applyNumberFormat="1" applyFont="1" applyBorder="1" applyAlignment="1">
      <alignment horizontal="center" vertical="center"/>
    </xf>
    <xf numFmtId="9" fontId="10" fillId="0" borderId="1" xfId="1" applyFont="1" applyBorder="1" applyAlignment="1">
      <alignment horizontal="center" vertical="center"/>
    </xf>
    <xf numFmtId="0" fontId="11" fillId="2"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10" fillId="5" borderId="5" xfId="0" applyFont="1" applyFill="1" applyBorder="1" applyAlignment="1">
      <alignment horizontal="center" vertical="center"/>
    </xf>
    <xf numFmtId="0" fontId="10" fillId="5" borderId="5" xfId="0" applyFont="1" applyFill="1" applyBorder="1" applyAlignment="1">
      <alignment horizontal="left" vertical="center"/>
    </xf>
    <xf numFmtId="0" fontId="10" fillId="5" borderId="5" xfId="0" applyFont="1" applyFill="1" applyBorder="1" applyAlignment="1">
      <alignment horizontal="center" vertical="center" wrapText="1"/>
    </xf>
    <xf numFmtId="15" fontId="8" fillId="13" borderId="5" xfId="0" applyNumberFormat="1" applyFont="1" applyFill="1" applyBorder="1" applyAlignment="1">
      <alignment horizontal="center" vertical="center" wrapText="1"/>
    </xf>
    <xf numFmtId="15" fontId="8" fillId="0" borderId="5" xfId="0" applyNumberFormat="1" applyFont="1" applyBorder="1" applyAlignment="1">
      <alignment horizontal="center" vertical="center"/>
    </xf>
    <xf numFmtId="0" fontId="8" fillId="0" borderId="5" xfId="0" applyFont="1" applyBorder="1" applyAlignment="1">
      <alignment vertical="center"/>
    </xf>
    <xf numFmtId="9" fontId="10" fillId="0" borderId="5" xfId="1" applyFont="1" applyBorder="1" applyAlignment="1">
      <alignment horizontal="center" vertical="center"/>
    </xf>
    <xf numFmtId="0" fontId="8" fillId="0" borderId="5"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10" fillId="0" borderId="1"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center" vertical="center" wrapText="1"/>
    </xf>
    <xf numFmtId="0" fontId="3" fillId="5" borderId="1" xfId="0" applyFont="1" applyFill="1" applyBorder="1" applyAlignment="1">
      <alignment vertical="center"/>
    </xf>
    <xf numFmtId="15" fontId="3" fillId="0" borderId="1" xfId="0" applyNumberFormat="1" applyFont="1" applyBorder="1" applyAlignment="1">
      <alignment vertical="center"/>
    </xf>
    <xf numFmtId="0" fontId="3" fillId="5" borderId="1" xfId="0" applyFont="1" applyFill="1" applyBorder="1" applyAlignment="1">
      <alignment horizontal="left" vertical="center" wrapText="1"/>
    </xf>
    <xf numFmtId="0" fontId="3" fillId="14" borderId="1" xfId="0" applyFont="1" applyFill="1" applyBorder="1" applyAlignment="1">
      <alignment vertical="center"/>
    </xf>
    <xf numFmtId="0" fontId="8" fillId="14" borderId="1" xfId="0" applyFont="1" applyFill="1" applyBorder="1" applyAlignment="1">
      <alignment horizontal="center" vertical="center"/>
    </xf>
    <xf numFmtId="0" fontId="10" fillId="11" borderId="1" xfId="0" applyFont="1" applyFill="1" applyBorder="1" applyAlignment="1">
      <alignment vertical="center" wrapText="1"/>
    </xf>
    <xf numFmtId="15" fontId="8" fillId="0" borderId="1" xfId="0" applyNumberFormat="1" applyFont="1" applyBorder="1" applyAlignment="1">
      <alignment horizontal="center" vertical="center" wrapText="1"/>
    </xf>
    <xf numFmtId="0" fontId="8" fillId="13" borderId="1" xfId="0" applyFont="1" applyFill="1" applyBorder="1" applyAlignment="1">
      <alignment horizontal="center" vertical="center" wrapText="1"/>
    </xf>
    <xf numFmtId="0" fontId="8" fillId="13" borderId="1" xfId="0" applyFont="1" applyFill="1" applyBorder="1" applyAlignment="1">
      <alignment horizontal="center" vertical="center"/>
    </xf>
    <xf numFmtId="0" fontId="3" fillId="13" borderId="1" xfId="0" applyFont="1" applyFill="1" applyBorder="1" applyAlignment="1">
      <alignment vertical="center"/>
    </xf>
    <xf numFmtId="15" fontId="8" fillId="21" borderId="1" xfId="0" applyNumberFormat="1" applyFont="1" applyFill="1" applyBorder="1" applyAlignment="1">
      <alignment horizontal="center" vertical="center" wrapText="1"/>
    </xf>
    <xf numFmtId="0" fontId="3" fillId="5" borderId="0" xfId="0" applyFont="1" applyFill="1" applyAlignment="1">
      <alignment horizontal="center" vertical="center"/>
    </xf>
    <xf numFmtId="0" fontId="2"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5" borderId="7"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1" borderId="1" xfId="0" applyFont="1" applyFill="1" applyBorder="1" applyAlignment="1">
      <alignment horizontal="center" vertical="center"/>
    </xf>
    <xf numFmtId="0" fontId="3" fillId="11" borderId="5"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12" xfId="0" applyFont="1" applyFill="1" applyBorder="1" applyAlignment="1">
      <alignment horizontal="center" vertical="center"/>
    </xf>
    <xf numFmtId="0" fontId="3" fillId="5" borderId="6"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6" fillId="2" borderId="1" xfId="0" applyFont="1" applyFill="1" applyBorder="1" applyAlignment="1">
      <alignment horizontal="center" vertical="center" textRotation="90" wrapText="1"/>
    </xf>
    <xf numFmtId="0" fontId="6" fillId="2" borderId="1" xfId="0" applyFont="1" applyFill="1" applyBorder="1" applyAlignment="1">
      <alignment horizontal="center" vertical="center" textRotation="90"/>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15" fontId="3" fillId="0" borderId="5" xfId="0" applyNumberFormat="1" applyFont="1" applyBorder="1" applyAlignment="1">
      <alignment horizontal="center" vertical="center"/>
    </xf>
    <xf numFmtId="15" fontId="3" fillId="0" borderId="6" xfId="0" applyNumberFormat="1" applyFont="1" applyBorder="1" applyAlignment="1">
      <alignment horizontal="center" vertical="center"/>
    </xf>
    <xf numFmtId="9" fontId="3" fillId="0" borderId="5" xfId="1" applyFont="1" applyBorder="1" applyAlignment="1">
      <alignment horizontal="center" vertical="center"/>
    </xf>
    <xf numFmtId="9" fontId="3" fillId="0" borderId="6" xfId="1" applyFont="1" applyBorder="1" applyAlignment="1">
      <alignment horizontal="center"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7" fillId="2" borderId="1" xfId="0" applyFont="1" applyFill="1" applyBorder="1" applyAlignment="1">
      <alignment horizontal="left" vertical="center" wrapText="1"/>
    </xf>
    <xf numFmtId="0" fontId="0" fillId="0" borderId="3" xfId="0" applyBorder="1" applyAlignment="1">
      <alignment horizontal="center" vertical="center"/>
    </xf>
    <xf numFmtId="0" fontId="0" fillId="0" borderId="2" xfId="0" applyBorder="1" applyAlignment="1">
      <alignment horizontal="center" vertical="center"/>
    </xf>
    <xf numFmtId="16" fontId="8" fillId="4" borderId="1" xfId="0" applyNumberFormat="1" applyFont="1" applyFill="1" applyBorder="1" applyAlignment="1">
      <alignment horizontal="center" vertical="center" wrapText="1"/>
    </xf>
    <xf numFmtId="0" fontId="3" fillId="0" borderId="7" xfId="0" applyFont="1" applyBorder="1" applyAlignment="1">
      <alignment horizontal="center" vertical="center" wrapText="1"/>
    </xf>
    <xf numFmtId="16" fontId="3" fillId="7" borderId="5" xfId="0" applyNumberFormat="1" applyFont="1" applyFill="1" applyBorder="1" applyAlignment="1">
      <alignment horizontal="center" vertical="center"/>
    </xf>
    <xf numFmtId="16" fontId="3" fillId="7" borderId="6" xfId="0" applyNumberFormat="1" applyFont="1" applyFill="1" applyBorder="1" applyAlignment="1">
      <alignment horizontal="center" vertical="center"/>
    </xf>
    <xf numFmtId="16" fontId="3" fillId="7"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0" fontId="3" fillId="11" borderId="13" xfId="0" applyFont="1" applyFill="1" applyBorder="1" applyAlignment="1">
      <alignment horizontal="center" vertical="center" wrapText="1"/>
    </xf>
    <xf numFmtId="0" fontId="3" fillId="11" borderId="0" xfId="0" applyFont="1" applyFill="1" applyAlignment="1">
      <alignment horizontal="center" vertical="center" wrapText="1"/>
    </xf>
    <xf numFmtId="0" fontId="3" fillId="5" borderId="13" xfId="0" applyFont="1" applyFill="1" applyBorder="1" applyAlignment="1">
      <alignment horizontal="center" vertical="center" wrapText="1"/>
    </xf>
    <xf numFmtId="0" fontId="3" fillId="5" borderId="0" xfId="0" applyFont="1" applyFill="1" applyAlignment="1">
      <alignment horizontal="center" vertical="center" wrapText="1"/>
    </xf>
    <xf numFmtId="0" fontId="1" fillId="0" borderId="0" xfId="0" applyFont="1" applyAlignment="1">
      <alignment horizontal="center"/>
    </xf>
  </cellXfs>
  <cellStyles count="31">
    <cellStyle name="% complete" xfId="12" xr:uid="{C71FF2CD-63CC-49F8-A1BD-7E430EFDE1DB}"/>
    <cellStyle name="% complete (beyond plan) legend" xfId="14" xr:uid="{4CBD6D79-A0AC-4A80-94D7-5485197F9B6F}"/>
    <cellStyle name="Activity" xfId="20" xr:uid="{44B33610-5C0D-4831-A27E-DBB934975941}"/>
    <cellStyle name="Actual (beyond plan) legend" xfId="13" xr:uid="{930D0E09-B71F-4760-9BCD-6ABB94D8D556}"/>
    <cellStyle name="Actual legend" xfId="11" xr:uid="{1882A7DD-090B-4F7A-ADFA-E380AC52FE83}"/>
    <cellStyle name="Comma 2" xfId="7" xr:uid="{27443C51-82D5-4B1E-AD07-5306220337E8}"/>
    <cellStyle name="Date" xfId="30" xr:uid="{46F5640C-95F4-4855-B889-E70EA7FEF815}"/>
    <cellStyle name="Explanatory Text 2" xfId="6" xr:uid="{6FE69F2A-4BBD-4B96-B79D-03630CC84BF4}"/>
    <cellStyle name="Heading 1 2" xfId="4" xr:uid="{BF17D799-C174-47FB-97A9-ADAB4D361BFE}"/>
    <cellStyle name="Heading 1 3" xfId="25" xr:uid="{C99D0201-E430-486E-8CDD-CB8777660271}"/>
    <cellStyle name="Heading 2 2" xfId="15" xr:uid="{699CA74A-783A-47F3-A9FF-15CD9F3B6B35}"/>
    <cellStyle name="Heading 2 3" xfId="26" xr:uid="{5BBAAB6C-4945-4A34-90CE-17F1D718CD20}"/>
    <cellStyle name="Heading 3 2" xfId="16" xr:uid="{78FDF647-33DA-4426-A155-1FBCEB3EE0FB}"/>
    <cellStyle name="Heading 3 3" xfId="23" xr:uid="{DBFE7642-D9B5-4A62-B692-AB65FB657DA7}"/>
    <cellStyle name="Heading 4 2" xfId="17" xr:uid="{C3DC3568-8A9B-41A5-83F7-4AD038C12004}"/>
    <cellStyle name="Hyperlink 2" xfId="27" xr:uid="{5CD92A8A-9F2D-40F3-90B9-261BF6951061}"/>
    <cellStyle name="Label" xfId="10" xr:uid="{F59D0E03-61DB-4653-ACB8-4E9B175A437D}"/>
    <cellStyle name="Name" xfId="28" xr:uid="{E1E80775-E709-49D5-AFAB-D26759489BE1}"/>
    <cellStyle name="Normal" xfId="0" builtinId="0"/>
    <cellStyle name="Normal 2" xfId="3" xr:uid="{657531DC-7A59-43A6-8D3C-355193595C57}"/>
    <cellStyle name="Percent" xfId="1" builtinId="5"/>
    <cellStyle name="Percent Complete" xfId="19" xr:uid="{5CD6A8D5-FE0B-48A2-AE29-CCD6433DC2E9}"/>
    <cellStyle name="Period Headers" xfId="18" xr:uid="{1EB5CEA0-171D-4EF5-A5A4-639BE331F5EA}"/>
    <cellStyle name="Period Highlight Control" xfId="5" xr:uid="{1D57116C-BC26-40FE-9BBD-6FE03F2A97E6}"/>
    <cellStyle name="Period Value" xfId="8" xr:uid="{35F41E87-7A7D-4FEB-BB27-FC8047DD9268}"/>
    <cellStyle name="Plan legend" xfId="9" xr:uid="{CCB9D769-009B-4904-B374-6D1C0DC8CCA8}"/>
    <cellStyle name="Project Start" xfId="24" xr:uid="{A9AE1ADE-AFEA-41D5-803D-C362A7C75BFC}"/>
    <cellStyle name="Task" xfId="29" xr:uid="{CE22274A-06FA-4AF9-AA30-F746FB396359}"/>
    <cellStyle name="Title 2" xfId="2" xr:uid="{9D1EFB1D-218A-4A93-871B-B3564D420C0A}"/>
    <cellStyle name="Title 3" xfId="22" xr:uid="{A0F3826C-70FC-464D-A351-B97E53F64244}"/>
    <cellStyle name="zHiddenText" xfId="21" xr:uid="{16E4B70F-636D-418A-8BFF-2569BF75C2E7}"/>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externalLink" Target="externalLinks/externalLink26.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42" Type="http://schemas.openxmlformats.org/officeDocument/2006/relationships/externalLink" Target="externalLinks/externalLink29.xml"/><Relationship Id="rId47" Type="http://schemas.openxmlformats.org/officeDocument/2006/relationships/externalLink" Target="externalLinks/externalLink34.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9" Type="http://schemas.openxmlformats.org/officeDocument/2006/relationships/externalLink" Target="externalLinks/externalLink1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53" Type="http://schemas.openxmlformats.org/officeDocument/2006/relationships/externalLink" Target="externalLinks/externalLink40.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56" Type="http://schemas.openxmlformats.org/officeDocument/2006/relationships/externalLink" Target="externalLinks/externalLink43.xml"/><Relationship Id="rId8" Type="http://schemas.openxmlformats.org/officeDocument/2006/relationships/worksheet" Target="worksheets/sheet8.xml"/><Relationship Id="rId51" Type="http://schemas.openxmlformats.org/officeDocument/2006/relationships/externalLink" Target="externalLinks/externalLink3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externalLink" Target="externalLinks/externalLink33.xml"/><Relationship Id="rId59" Type="http://schemas.openxmlformats.org/officeDocument/2006/relationships/styles" Target="styles.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54" Type="http://schemas.openxmlformats.org/officeDocument/2006/relationships/externalLink" Target="externalLinks/externalLink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externalLink" Target="externalLinks/externalLink36.xml"/><Relationship Id="rId5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externalLink" Target="externalLinks/externalLink18.xml"/><Relationship Id="rId44" Type="http://schemas.openxmlformats.org/officeDocument/2006/relationships/externalLink" Target="externalLinks/externalLink31.xml"/><Relationship Id="rId52" Type="http://schemas.openxmlformats.org/officeDocument/2006/relationships/externalLink" Target="externalLinks/externalLink39.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PLNT\finance\Sapan%20c\2005-2006\Balance%20Sheet%20Files\gapl\Annual%20Accounts_2003-04\DYNAMIC-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mcedt105\e\Widening\PAVE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FIXASSET\2005-2006\FURN-FIXT\ADDITION%20UPTO%20JUN-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nand\audit\Documents%20and%20Settings\ModakC\Local%20Settings\Temporary%20Internet%20Files\Content.IE5\S5CLIFC9\Val%2030June03%20FIFO%20Old%20Rat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nand\audit\WINDOWS\TEMP\UII_MA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pl_server\jrao\adani\Monthly%20MIS%20Report%202002-03\Monthly%20MIS%20November'02\Monthly%20Review%20MIS%20Report%20-%20Nov'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Budget%202017-18\Budget%20FY%2017-18_Revision%201\Mundra%20SSU%20Budget%202016-17\SSU%20Budget\Custom\Custom%20Cell-Opex%20-%2016-17%20-%20Copy-%20F..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6.26.67\back%20of%20mr.%20rajiv\Budget%202010-11\Budget%20200310\Budget%20Received%20-%202010-11\RORO%2008-03-20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ocuments%20and%20Settings\Mayank\Application%20Data\Microsoft\Excel\xbta%20(version%2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Y:\Users\mp5360\AppData\Local\Temp\Rar$DI47.0793\Users\30008973\AppData\Local\Temp\notes4BFC50\Cargo%20Budget%202012-13%2007121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purva\d\Manglore\estimatep2\mk10-30\boq-325.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dorama\commercial\WINDOWS\TEMP\WOINVESTBUDGET00-01t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agarjuna\vol4\CONTRACT\BRIDG106\PACKAGE4\PAK4BOQ.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Omprakash1\C\TEMP\March%2003\Interest%20for%20the%20year%2003-0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hankarm\C\Documents%20and%20Settings\hiren\Local%20Settings\Temporary%20Internet%20Files\Content.IE5\GG87HUS9\2004-05\Treasury\PC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Kartar\c\Audit%20IVth%20Qtr%2003-04\AUDIT%20MAR04\TEMP\Proj5Y%20PSF%20now.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Users\mp5360\AppData\Local\Temp\Rar$DI47.0793\old%20deta%20c\mp5890.adani\Desktop\Budget%202011-12\R-2%20Opex%20Budget%20of%20ES_%202011-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ers\30010991\AppData\Roaming\Microsoft\Excel\Budget%2012-13%20Documents\BUSINESS\Shipping\budget%20and%20working%202012-13_rks_14%2003%2012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umar\c\Program%20Files\Ramdas\Ramdassystem\Tender\Other%20Tenders\TWAD\tanj\tanjor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ndorama\commercial\MIS\LT\WIPSep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DOCUME~1\HARESH~1\LOCALS~1\Temp\notesFD0EB8\Murmagao%20port\Mormugao%20port%20mode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Corpo%20F%20&amp;%20A\Budget\Budget%2013-14\Budget%20Tracker.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diotbox\krutik\Documents%20and%20Settings\sunny\Local%20Settings\Temporary%20Internet%20Files\Content.IE5\4XEJ0PAF\SILO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Y:\Users\mp5360\AppData\Local\Temp\Rar$DI47.0793\My%20Documents\Vivek\IPC\Package-1\Ipc-6\Package-1-ipc-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t102310\back%20of%20mr.%20rajiv\DOCUME~1\admin\LOCALS~1\Temp\notes6030C8\PMC%20Corrected%20BoQ%20-%20Bridge%20Major%20(1-95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IMS\Barber%20Marine%20Team\BMT%20BUDGETS_06\BSMKUL_06\GROUP%201\OPER06\ALML06_5_BGMOL_DEC%20NEW%20SCALE%20APRIL%202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artar\c\Audit%20IVth%20Qtr%2003-04\AUDIT%20MAR04\nishit\TDP-INTERNAL\TERM%20DEBT%20PROFILE%20FOR%20PNB%20as%20on%2017.07.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nand\audit\Documents%20and%20Settings\ModakC\Local%20Settings\Temporary%20Internet%20Files\Content.IE5\S5CLIFC9\SVAL_30%2006%202003%20F.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Mukesh%20Choudhary\Laptop%20Backup\WorkSchedule-lates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raveenl\c\dty\mb9900\MBDTY_01_F.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Accounts\Month%20End\2012\2012%2002%20February\Forecasts\2012%20APBDATA%20E02.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Users\MP6045\AppData\Local\Temp\notesC4E059\Yagnik\tax02\Proj5Y%20PSF%20no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Users\anprabhakar\AppData\Local\Microsoft\Windows\INetCache\Content.Outlook\HQ1ZCCZ5\Tushar\Hazira\Schedule\Fuse%20Report\Acumen%20Fuse.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ilesh\D%20Drive\D%20Drive\Financial%20Reports%2006-07\I%20-%20December%2006\DOCUME~1\pramod\LOCALS~1\Temp\pl-dep-jan-0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6.26.67\back%20of%20mr.%20rajiv\MIS09-10\CT2%20Budget%20H2%2009-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6.20.250\back%20of%20mr.%20rajiv\Monthly%20MIS\Monthly%20MIS%20Report%202007%20-%2008\April-2007\Monthly%20MIS-Apr-07.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0.6.26.67\back%20of%20mr.%20rajiv\Monthly%20MIS\Monthly%20MIS%20Report%202007%20-%2008\d)%20Jul-2007\Monthly%20MIS-Jul-07(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t102310\back%20of%20mr.%20rajiv\DOCUME~1\admin\LOCALS~1\Temp\notes6030C8\Rate%20Analysis%20(nh%206).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nand\audit\Stk-Val\03-04\Qtr%20I\Valu%20300602%20FIF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nand\audit\WIN.000\TEMP\Recasted%20P&amp;L%20%2002-03-Q1-after%20adj%20(2107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nand\audit\Kartarbackup\casset\WORKING%20CAPITAL%20MAY02%20SPUN%20&amp;%20DTY.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Niyogis\c\eudora\attach\WOINVESTBUDGET00-01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Users\lenovo\AppData\Local\Temp\smb:\planing2\Desktop\ragav-24%20submit\DOCUME~1\30001261\LOCALS~1\Temp\Rar$DI05.828\21ST%20RA%20February-30.03.201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Users\30014684\AppData\Local\Microsoft\Windows\Temporary%20Internet%20Files\Content.Outlook\30R7UOI0\Audit%20Efforts%20Working%20-%20FY%202015-16%20_APSEZL-Co-Sourcing_Master_11.03.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G"/>
      <sheetName val="P&amp;LG"/>
      <sheetName val="Main Body"/>
      <sheetName val="gpratio"/>
      <sheetName val="Fixed Assets"/>
      <sheetName val="Cashflow"/>
      <sheetName val="WorkingofCashFlow"/>
      <sheetName val="145A"/>
      <sheetName val="Annexure-Cenvat"/>
      <sheetName val="R.M.Consumed"/>
      <sheetName val="P_LG"/>
      <sheetName val="BUDGET-2014-15"/>
      <sheetName val="E&amp;I_Marine_Summary"/>
      <sheetName val="p&amp;m"/>
      <sheetName val="Tax working "/>
      <sheetName val="Cash Flow - Q1"/>
      <sheetName val="Summary in Chairman Dasboard"/>
      <sheetName val="Organisation"/>
      <sheetName val="ANALYSIS"/>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Lead"/>
      <sheetName val="BHANDUP"/>
      <sheetName val="P&amp;LG"/>
    </sheetNames>
    <sheetDataSet>
      <sheetData sheetId="0" refreshError="1"/>
      <sheetData sheetId="1" refreshError="1"/>
      <sheetData sheetId="2" refreshError="1"/>
      <sheetData sheetId="3" refreshError="1"/>
      <sheetData sheetId="4" refreshError="1">
        <row r="237">
          <cell r="I237">
            <v>9.5399999999999991</v>
          </cell>
        </row>
      </sheetData>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Addition"/>
      <sheetName val="Sheet2"/>
      <sheetName val="POLY"/>
      <sheetName val="DTY"/>
      <sheetName val="SPUN"/>
      <sheetName val="R.A."/>
      <sheetName val=""/>
    </sheetNames>
    <sheetDataSet>
      <sheetData sheetId="0" refreshError="1"/>
      <sheetData sheetId="1" refreshError="1"/>
      <sheetData sheetId="2" refreshError="1">
        <row r="9">
          <cell r="E9">
            <v>530000001975</v>
          </cell>
        </row>
        <row r="10">
          <cell r="E10">
            <v>620000000348</v>
          </cell>
        </row>
        <row r="12">
          <cell r="E12">
            <v>610000000938</v>
          </cell>
        </row>
        <row r="13">
          <cell r="E13">
            <v>610000000937</v>
          </cell>
        </row>
        <row r="14">
          <cell r="E14">
            <v>610000000903</v>
          </cell>
        </row>
        <row r="15">
          <cell r="E15">
            <v>610000000910</v>
          </cell>
        </row>
        <row r="16">
          <cell r="E16">
            <v>610000000911</v>
          </cell>
        </row>
        <row r="17">
          <cell r="E17">
            <v>610000000912</v>
          </cell>
        </row>
        <row r="18">
          <cell r="E18">
            <v>610000000913</v>
          </cell>
        </row>
        <row r="19">
          <cell r="E19">
            <v>610000000914</v>
          </cell>
        </row>
        <row r="20">
          <cell r="E20">
            <v>610000000915</v>
          </cell>
        </row>
        <row r="21">
          <cell r="E21">
            <v>610000000916</v>
          </cell>
        </row>
        <row r="22">
          <cell r="E22">
            <v>610000000917</v>
          </cell>
        </row>
        <row r="23">
          <cell r="E23">
            <v>610000000918</v>
          </cell>
        </row>
        <row r="24">
          <cell r="E24">
            <v>610000000919</v>
          </cell>
        </row>
        <row r="25">
          <cell r="E25">
            <v>610000000920</v>
          </cell>
        </row>
        <row r="26">
          <cell r="E26">
            <v>610000000921</v>
          </cell>
        </row>
        <row r="27">
          <cell r="E27">
            <v>610000000922</v>
          </cell>
        </row>
        <row r="28">
          <cell r="E28">
            <v>610000000923</v>
          </cell>
        </row>
        <row r="29">
          <cell r="E29">
            <v>610000000924</v>
          </cell>
        </row>
        <row r="30">
          <cell r="E30">
            <v>610000000941</v>
          </cell>
        </row>
        <row r="32">
          <cell r="E32">
            <v>600000001169</v>
          </cell>
        </row>
        <row r="33">
          <cell r="E33">
            <v>600000001251</v>
          </cell>
        </row>
        <row r="34">
          <cell r="E34">
            <v>600000001167</v>
          </cell>
        </row>
        <row r="35">
          <cell r="E35">
            <v>600000001168</v>
          </cell>
        </row>
        <row r="36">
          <cell r="E36">
            <v>600000001152</v>
          </cell>
        </row>
        <row r="37">
          <cell r="E37">
            <v>600000001217</v>
          </cell>
        </row>
        <row r="38">
          <cell r="E38">
            <v>600000001143</v>
          </cell>
        </row>
        <row r="39">
          <cell r="E39">
            <v>600000001166</v>
          </cell>
        </row>
        <row r="41">
          <cell r="E41">
            <v>510000001153</v>
          </cell>
        </row>
        <row r="42">
          <cell r="E42">
            <v>510000001094</v>
          </cell>
        </row>
        <row r="43">
          <cell r="E43">
            <v>510000001096</v>
          </cell>
        </row>
        <row r="47">
          <cell r="E47">
            <v>620000000350</v>
          </cell>
        </row>
        <row r="48">
          <cell r="E48">
            <v>530000001961</v>
          </cell>
        </row>
        <row r="49">
          <cell r="E49">
            <v>530000001976</v>
          </cell>
        </row>
        <row r="50">
          <cell r="E50">
            <v>530000001977</v>
          </cell>
        </row>
        <row r="51">
          <cell r="E51">
            <v>530000001968</v>
          </cell>
        </row>
        <row r="52">
          <cell r="E52">
            <v>530000001969</v>
          </cell>
        </row>
        <row r="53">
          <cell r="E53">
            <v>620000000339</v>
          </cell>
        </row>
        <row r="54">
          <cell r="E54">
            <v>620000000340</v>
          </cell>
        </row>
        <row r="55">
          <cell r="E55">
            <v>620000000351</v>
          </cell>
        </row>
        <row r="56">
          <cell r="E56">
            <v>530000001970</v>
          </cell>
        </row>
        <row r="57">
          <cell r="E57">
            <v>620000000343</v>
          </cell>
        </row>
        <row r="58">
          <cell r="E58">
            <v>530000001972</v>
          </cell>
        </row>
        <row r="59">
          <cell r="E59">
            <v>530000001973</v>
          </cell>
        </row>
        <row r="60">
          <cell r="E60">
            <v>530000001974</v>
          </cell>
        </row>
        <row r="61">
          <cell r="E61">
            <v>530000001966</v>
          </cell>
        </row>
        <row r="62">
          <cell r="E62">
            <v>530000001962</v>
          </cell>
        </row>
        <row r="63">
          <cell r="E63">
            <v>530000001963</v>
          </cell>
        </row>
        <row r="64">
          <cell r="E64">
            <v>620000000332</v>
          </cell>
        </row>
        <row r="65">
          <cell r="E65">
            <v>620000000330</v>
          </cell>
        </row>
        <row r="66">
          <cell r="E66">
            <v>530000001982</v>
          </cell>
        </row>
        <row r="67">
          <cell r="E67">
            <v>620000000347</v>
          </cell>
        </row>
        <row r="68">
          <cell r="E68">
            <v>620000000337</v>
          </cell>
        </row>
        <row r="69">
          <cell r="E69">
            <v>620000000338</v>
          </cell>
        </row>
        <row r="70">
          <cell r="E70">
            <v>530000001964</v>
          </cell>
        </row>
        <row r="71">
          <cell r="E71">
            <v>530000001965</v>
          </cell>
        </row>
        <row r="72">
          <cell r="E72">
            <v>620000000333</v>
          </cell>
        </row>
        <row r="73">
          <cell r="E73">
            <v>620000000334</v>
          </cell>
        </row>
        <row r="74">
          <cell r="E74">
            <v>620000000335</v>
          </cell>
        </row>
        <row r="75">
          <cell r="E75">
            <v>620000000336</v>
          </cell>
        </row>
        <row r="76">
          <cell r="E76">
            <v>620000000341</v>
          </cell>
        </row>
        <row r="77">
          <cell r="E77">
            <v>620000000342</v>
          </cell>
        </row>
        <row r="78">
          <cell r="E78">
            <v>620000000331</v>
          </cell>
        </row>
        <row r="80">
          <cell r="E80">
            <v>610000000962</v>
          </cell>
        </row>
        <row r="81">
          <cell r="E81">
            <v>610000000953</v>
          </cell>
        </row>
        <row r="82">
          <cell r="E82">
            <v>610000000986</v>
          </cell>
        </row>
        <row r="83">
          <cell r="E83">
            <v>610000000987</v>
          </cell>
        </row>
        <row r="84">
          <cell r="E84">
            <v>610000000946</v>
          </cell>
        </row>
        <row r="85">
          <cell r="E85">
            <v>610000000961</v>
          </cell>
        </row>
        <row r="86">
          <cell r="E86">
            <v>610000000989</v>
          </cell>
        </row>
        <row r="87">
          <cell r="E87">
            <v>610000000943</v>
          </cell>
        </row>
        <row r="88">
          <cell r="E88">
            <v>610000000954</v>
          </cell>
        </row>
        <row r="89">
          <cell r="E89">
            <v>610000000939</v>
          </cell>
        </row>
        <row r="90">
          <cell r="E90">
            <v>610000000971</v>
          </cell>
        </row>
        <row r="91">
          <cell r="E91">
            <v>610000000950</v>
          </cell>
        </row>
        <row r="92">
          <cell r="E92">
            <v>610000000949</v>
          </cell>
        </row>
        <row r="93">
          <cell r="E93">
            <v>610000000952</v>
          </cell>
        </row>
        <row r="94">
          <cell r="E94">
            <v>610000000958</v>
          </cell>
        </row>
        <row r="95">
          <cell r="E95">
            <v>610000000959</v>
          </cell>
        </row>
        <row r="96">
          <cell r="E96">
            <v>610000000942</v>
          </cell>
        </row>
        <row r="97">
          <cell r="E97">
            <v>610000000988</v>
          </cell>
        </row>
        <row r="98">
          <cell r="E98">
            <v>610000000981</v>
          </cell>
        </row>
        <row r="99">
          <cell r="E99">
            <v>610000000983</v>
          </cell>
        </row>
        <row r="100">
          <cell r="E100">
            <v>610000000984</v>
          </cell>
        </row>
        <row r="101">
          <cell r="E101">
            <v>610000000955</v>
          </cell>
        </row>
        <row r="102">
          <cell r="E102">
            <v>610000000957</v>
          </cell>
        </row>
        <row r="103">
          <cell r="E103">
            <v>610000000964</v>
          </cell>
        </row>
        <row r="104">
          <cell r="E104">
            <v>610000000982</v>
          </cell>
        </row>
        <row r="105">
          <cell r="E105">
            <v>610000000963</v>
          </cell>
        </row>
        <row r="106">
          <cell r="E106">
            <v>610000000948</v>
          </cell>
        </row>
        <row r="107">
          <cell r="E107">
            <v>610000000966</v>
          </cell>
        </row>
        <row r="108">
          <cell r="E108">
            <v>610000000960</v>
          </cell>
        </row>
        <row r="109">
          <cell r="E109">
            <v>610000000977</v>
          </cell>
        </row>
        <row r="110">
          <cell r="E110">
            <v>610000000951</v>
          </cell>
        </row>
        <row r="111">
          <cell r="E111">
            <v>610000000973</v>
          </cell>
        </row>
        <row r="112">
          <cell r="E112">
            <v>610000000974</v>
          </cell>
        </row>
        <row r="113">
          <cell r="E113">
            <v>610000000978</v>
          </cell>
        </row>
        <row r="114">
          <cell r="E114">
            <v>610000000947</v>
          </cell>
        </row>
        <row r="116">
          <cell r="E116">
            <v>600000001246</v>
          </cell>
        </row>
        <row r="117">
          <cell r="E117">
            <v>600000001247</v>
          </cell>
        </row>
        <row r="118">
          <cell r="E118">
            <v>600000001248</v>
          </cell>
        </row>
        <row r="119">
          <cell r="E119">
            <v>600000001249</v>
          </cell>
        </row>
        <row r="120">
          <cell r="E120">
            <v>600000001230</v>
          </cell>
        </row>
        <row r="121">
          <cell r="E121">
            <v>600000001202</v>
          </cell>
        </row>
        <row r="122">
          <cell r="E122">
            <v>600000001203</v>
          </cell>
        </row>
        <row r="123">
          <cell r="E123">
            <v>600000001207</v>
          </cell>
        </row>
        <row r="124">
          <cell r="E124">
            <v>600000001210</v>
          </cell>
        </row>
        <row r="125">
          <cell r="E125">
            <v>600000001213</v>
          </cell>
        </row>
        <row r="126">
          <cell r="E126">
            <v>600000001214</v>
          </cell>
        </row>
        <row r="127">
          <cell r="E127">
            <v>600000001185</v>
          </cell>
        </row>
        <row r="128">
          <cell r="E128">
            <v>600000001186</v>
          </cell>
        </row>
        <row r="129">
          <cell r="E129">
            <v>600000001200</v>
          </cell>
        </row>
        <row r="130">
          <cell r="E130">
            <v>600000001192</v>
          </cell>
        </row>
        <row r="131">
          <cell r="E131">
            <v>600000001193</v>
          </cell>
        </row>
        <row r="132">
          <cell r="E132">
            <v>600000001199</v>
          </cell>
        </row>
        <row r="133">
          <cell r="E133">
            <v>600000001187</v>
          </cell>
        </row>
        <row r="134">
          <cell r="E134">
            <v>600000001212</v>
          </cell>
        </row>
        <row r="135">
          <cell r="E135">
            <v>600000001235</v>
          </cell>
        </row>
        <row r="136">
          <cell r="E136">
            <v>600000001232</v>
          </cell>
        </row>
        <row r="137">
          <cell r="E137">
            <v>600000001201</v>
          </cell>
        </row>
        <row r="138">
          <cell r="E138">
            <v>600000001206</v>
          </cell>
        </row>
        <row r="139">
          <cell r="E139">
            <v>600000001208</v>
          </cell>
        </row>
        <row r="140">
          <cell r="E140">
            <v>600000001209</v>
          </cell>
        </row>
        <row r="141">
          <cell r="E141">
            <v>600000001234</v>
          </cell>
        </row>
        <row r="142">
          <cell r="E142">
            <v>600000001194</v>
          </cell>
        </row>
        <row r="143">
          <cell r="E143">
            <v>600000001195</v>
          </cell>
        </row>
        <row r="144">
          <cell r="E144">
            <v>600000001196</v>
          </cell>
        </row>
        <row r="145">
          <cell r="E145">
            <v>600000001220</v>
          </cell>
        </row>
        <row r="146">
          <cell r="E146">
            <v>600000001211</v>
          </cell>
        </row>
        <row r="147">
          <cell r="E147">
            <v>600000001198</v>
          </cell>
        </row>
        <row r="148">
          <cell r="E148">
            <v>600000001197</v>
          </cell>
        </row>
        <row r="149">
          <cell r="E149">
            <v>600000001204</v>
          </cell>
        </row>
        <row r="150">
          <cell r="E150">
            <v>600000001205</v>
          </cell>
        </row>
        <row r="151">
          <cell r="E151">
            <v>600000001218</v>
          </cell>
        </row>
        <row r="152">
          <cell r="E152">
            <v>600000001219</v>
          </cell>
        </row>
        <row r="153">
          <cell r="E153">
            <v>600000001190</v>
          </cell>
        </row>
        <row r="154">
          <cell r="E154">
            <v>600000001191</v>
          </cell>
        </row>
        <row r="155">
          <cell r="E155">
            <v>600000001245</v>
          </cell>
        </row>
        <row r="156">
          <cell r="E156">
            <v>600000001228</v>
          </cell>
        </row>
        <row r="157">
          <cell r="E157">
            <v>600000001229</v>
          </cell>
        </row>
        <row r="158">
          <cell r="E158">
            <v>600000001233</v>
          </cell>
        </row>
        <row r="159">
          <cell r="E159">
            <v>600000001189</v>
          </cell>
        </row>
        <row r="161">
          <cell r="E161">
            <v>510000001174</v>
          </cell>
        </row>
        <row r="162">
          <cell r="E162">
            <v>510000001131</v>
          </cell>
        </row>
        <row r="163">
          <cell r="E163">
            <v>510000001160</v>
          </cell>
        </row>
        <row r="164">
          <cell r="E164">
            <v>510000001140</v>
          </cell>
        </row>
        <row r="165">
          <cell r="E165">
            <v>510000001141</v>
          </cell>
        </row>
        <row r="166">
          <cell r="E166">
            <v>510000001143</v>
          </cell>
        </row>
        <row r="167">
          <cell r="E167">
            <v>510000001144</v>
          </cell>
        </row>
        <row r="168">
          <cell r="E168">
            <v>510000001124</v>
          </cell>
        </row>
        <row r="169">
          <cell r="E169">
            <v>510000001125</v>
          </cell>
        </row>
        <row r="170">
          <cell r="E170">
            <v>510000001126</v>
          </cell>
        </row>
        <row r="171">
          <cell r="E171">
            <v>510000001150</v>
          </cell>
        </row>
        <row r="172">
          <cell r="E172">
            <v>510000001151</v>
          </cell>
        </row>
        <row r="173">
          <cell r="E173">
            <v>510000001135</v>
          </cell>
        </row>
        <row r="174">
          <cell r="E174">
            <v>510000001136</v>
          </cell>
        </row>
        <row r="175">
          <cell r="E175">
            <v>510000001132</v>
          </cell>
        </row>
        <row r="176">
          <cell r="E176">
            <v>510000001130</v>
          </cell>
        </row>
        <row r="177">
          <cell r="E177">
            <v>510000001163</v>
          </cell>
        </row>
        <row r="178">
          <cell r="E178">
            <v>510000001164</v>
          </cell>
        </row>
        <row r="179">
          <cell r="E179">
            <v>510000001165</v>
          </cell>
        </row>
        <row r="180">
          <cell r="E180">
            <v>510000001166</v>
          </cell>
        </row>
        <row r="181">
          <cell r="E181">
            <v>510000001167</v>
          </cell>
        </row>
        <row r="182">
          <cell r="E182">
            <v>510000001168</v>
          </cell>
        </row>
        <row r="183">
          <cell r="E183">
            <v>510000001169</v>
          </cell>
        </row>
        <row r="184">
          <cell r="E184">
            <v>510000001170</v>
          </cell>
        </row>
        <row r="185">
          <cell r="E185">
            <v>510000001142</v>
          </cell>
        </row>
        <row r="186">
          <cell r="E186">
            <v>510000001158</v>
          </cell>
        </row>
        <row r="187">
          <cell r="E187">
            <v>510000001159</v>
          </cell>
        </row>
        <row r="188">
          <cell r="E188">
            <v>510000001133</v>
          </cell>
        </row>
        <row r="189">
          <cell r="E189">
            <v>510000001134</v>
          </cell>
        </row>
        <row r="190">
          <cell r="E190">
            <v>510000001137</v>
          </cell>
        </row>
        <row r="191">
          <cell r="E191">
            <v>510000001145</v>
          </cell>
        </row>
        <row r="192">
          <cell r="E192">
            <v>510000001146</v>
          </cell>
        </row>
        <row r="193">
          <cell r="E193">
            <v>510000001147</v>
          </cell>
        </row>
        <row r="194">
          <cell r="E194">
            <v>510000001127</v>
          </cell>
        </row>
        <row r="195">
          <cell r="E195">
            <v>510000001128</v>
          </cell>
        </row>
        <row r="196">
          <cell r="E196">
            <v>510000001129</v>
          </cell>
        </row>
        <row r="197">
          <cell r="E197">
            <v>510000001172</v>
          </cell>
        </row>
        <row r="198">
          <cell r="E198">
            <v>510000001173</v>
          </cell>
        </row>
        <row r="199">
          <cell r="E199">
            <v>510000001154</v>
          </cell>
        </row>
        <row r="200">
          <cell r="E200">
            <v>510000001155</v>
          </cell>
        </row>
        <row r="201">
          <cell r="E201">
            <v>510000001156</v>
          </cell>
        </row>
        <row r="202">
          <cell r="E202">
            <v>510000001152</v>
          </cell>
        </row>
        <row r="203">
          <cell r="E203">
            <v>510000001148</v>
          </cell>
        </row>
        <row r="204">
          <cell r="E204">
            <v>510000001117</v>
          </cell>
        </row>
        <row r="205">
          <cell r="E205">
            <v>510000001118</v>
          </cell>
        </row>
        <row r="206">
          <cell r="E206">
            <v>510000001119</v>
          </cell>
        </row>
        <row r="207">
          <cell r="E207">
            <v>510000001120</v>
          </cell>
        </row>
        <row r="208">
          <cell r="E208">
            <v>510000001121</v>
          </cell>
        </row>
        <row r="209">
          <cell r="E209">
            <v>510000001122</v>
          </cell>
        </row>
        <row r="210">
          <cell r="E210">
            <v>510000001123</v>
          </cell>
        </row>
      </sheetData>
      <sheetData sheetId="3" refreshError="1"/>
      <sheetData sheetId="4" refreshError="1"/>
      <sheetData sheetId="5" refreshError="1"/>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sheetName val="FG"/>
      <sheetName val="Cost"/>
      <sheetName val="WIP"/>
      <sheetName val="Depot"/>
      <sheetName val="Exp"/>
      <sheetName val="M B"/>
      <sheetName val="Price"/>
      <sheetName val="Che-Pack"/>
      <sheetName val="More then 365 days stock"/>
      <sheetName val="BRM"/>
      <sheetName val="Yarn"/>
      <sheetName val="POY New Stk"/>
      <sheetName val="POY Data"/>
      <sheetName val="DP"/>
      <sheetName val="S Exp"/>
      <sheetName val="Val 30June03 FIFO Old Ratio"/>
      <sheetName val="POLY"/>
      <sheetName val=""/>
      <sheetName val="Key_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P&amp;L"/>
      <sheetName val="TECH "/>
      <sheetName val="MISC"/>
      <sheetName val="CONT"/>
      <sheetName val="YARN_REC"/>
      <sheetName val="R.M_COST"/>
      <sheetName val="CNT_WISE_RM_VAR"/>
      <sheetName val="STAGE_WISE"/>
      <sheetName val="RF_STOP "/>
      <sheetName val="PRODUCT_MIX"/>
      <sheetName val="SPEED "/>
      <sheetName val="HANK "/>
      <sheetName val="BONDA "/>
      <sheetName val="R_M&amp;P_M_VAR"/>
      <sheetName val="SALE_VAR"/>
      <sheetName val="PACK_COST"/>
      <sheetName val="INV_LOSS&amp;WASTE"/>
      <sheetName val="STORE"/>
      <sheetName val="UNIT-II"/>
      <sheetName val="PointNo.5"/>
      <sheetName val="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Bird Eye View"/>
      <sheetName val="Cargo Share"/>
      <sheetName val="Trend Analysis"/>
      <sheetName val="Berthwise POC Indicators"/>
      <sheetName val="Cargowise Indicator"/>
      <sheetName val="Berthwise1"/>
      <sheetName val="Pre-Berthing Delay"/>
      <sheetName val="Average Discharge"/>
      <sheetName val="Storage"/>
      <sheetName val="Dry Activity"/>
      <sheetName val="Dry-Ops Analysis"/>
      <sheetName val="Shortage"/>
      <sheetName val="Occupancy"/>
      <sheetName val="Liq-Work"/>
      <sheetName val="Liquid Facility"/>
      <sheetName val="Rail perfor"/>
      <sheetName val="Fire &amp; Safety"/>
      <sheetName val="Mundraport"/>
      <sheetName val="Variation"/>
      <sheetName val="Cargowise Per MT"/>
      <sheetName val="Cargowise berth occupancy"/>
      <sheetName val="Vessel Wise"/>
      <sheetName val="std"/>
      <sheetName val="AEL-NonAEL"/>
      <sheetName val="Marine summary"/>
      <sheetName val="Berth Fin Indicators"/>
      <sheetName val="Marine-variation"/>
      <sheetName val="Dry Summary"/>
      <sheetName val="Recon-Coal"/>
      <sheetName val="Dry Cargo-THC"/>
      <sheetName val="Wheat Activity"/>
      <sheetName val="Liquid "/>
      <sheetName val="Rail-Summary"/>
      <sheetName val="Ratios"/>
      <sheetName val="RAIL"/>
      <sheetName val="HRD-Graph"/>
      <sheetName val="HRD Welfare Scheme"/>
      <sheetName val="HRD Training"/>
      <sheetName val="HRD Leave Status"/>
      <sheetName val="Administration"/>
      <sheetName val="Insurance"/>
      <sheetName val="Project-Summary"/>
      <sheetName val="Electricity"/>
      <sheetName val="FOH Expenses"/>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 Budget 16-17. (2)"/>
      <sheetName val="10-11Summary"/>
      <sheetName val="Emp.Cost"/>
      <sheetName val="ContractualCharges"/>
      <sheetName val="Vehicle Expeses"/>
      <sheetName val="Accomodation"/>
      <sheetName val="Electricity"/>
      <sheetName val="Print- Stati-NBP"/>
      <sheetName val="Cost Recovery"/>
      <sheetName val="Telephone&amp; Int."/>
      <sheetName val="Catering Exp"/>
      <sheetName val="Misc.Exp."/>
      <sheetName val="Custom Cell - Vehicl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cost of project"/>
      <sheetName val="key assumption"/>
      <sheetName val="revenue"/>
      <sheetName val="Manpower justification"/>
      <sheetName val="manpower"/>
      <sheetName val="Employee"/>
      <sheetName val="costs"/>
      <sheetName val="profit_loss"/>
      <sheetName val="P&amp;L with Marine"/>
      <sheetName val="Fixed Assets"/>
      <sheetName val="admin "/>
      <sheetName val="Amortization Table"/>
      <sheetName val="SAP entries"/>
      <sheetName val="MIS Format"/>
      <sheetName val="Vehicle consumption"/>
      <sheetName val="Loading rate required"/>
      <sheetName val="Sheet1"/>
      <sheetName val="Main Summary Sheet"/>
      <sheetName val="Sheet2"/>
      <sheetName val="Sheet3"/>
      <sheetName val="1. Final SOP"/>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Loan Calculator</v>
          </cell>
        </row>
        <row r="5">
          <cell r="B5" t="str">
            <v>Enter Values</v>
          </cell>
          <cell r="F5" t="str">
            <v>Loan Summary</v>
          </cell>
        </row>
        <row r="6">
          <cell r="C6" t="str">
            <v>Loan Amount</v>
          </cell>
          <cell r="D6">
            <v>3964650000</v>
          </cell>
          <cell r="G6" t="str">
            <v>Scheduled Payment</v>
          </cell>
          <cell r="H6">
            <v>55741172.697126448</v>
          </cell>
        </row>
        <row r="7">
          <cell r="C7" t="str">
            <v>Annual Interest Rate</v>
          </cell>
          <cell r="D7">
            <v>0.115</v>
          </cell>
          <cell r="G7" t="str">
            <v>Scheduled Number of Payments</v>
          </cell>
          <cell r="H7">
            <v>120</v>
          </cell>
        </row>
        <row r="8">
          <cell r="C8" t="str">
            <v>Loan Period in Years</v>
          </cell>
          <cell r="D8">
            <v>10</v>
          </cell>
          <cell r="G8" t="str">
            <v>Actual Number of Payments</v>
          </cell>
          <cell r="H8">
            <v>120</v>
          </cell>
        </row>
        <row r="9">
          <cell r="C9" t="str">
            <v>Number of Payments Per Year</v>
          </cell>
          <cell r="D9">
            <v>12</v>
          </cell>
          <cell r="G9" t="str">
            <v>Total Early Payments</v>
          </cell>
          <cell r="H9">
            <v>0</v>
          </cell>
        </row>
        <row r="10">
          <cell r="C10" t="str">
            <v>Start Date of Loan</v>
          </cell>
          <cell r="D10">
            <v>39873</v>
          </cell>
          <cell r="G10" t="str">
            <v>Total Interest</v>
          </cell>
          <cell r="H10">
            <v>2724290723.6551676</v>
          </cell>
        </row>
        <row r="11">
          <cell r="C11" t="str">
            <v>Optional Extra Payments</v>
          </cell>
        </row>
        <row r="13">
          <cell r="B13" t="str">
            <v>Lender Name:</v>
          </cell>
        </row>
        <row r="16">
          <cell r="A16" t="str">
            <v>PmtNo.</v>
          </cell>
          <cell r="B16" t="str">
            <v>Payment Date</v>
          </cell>
          <cell r="C16" t="str">
            <v>Beginning Balance</v>
          </cell>
          <cell r="D16" t="str">
            <v>Scheduled Payment</v>
          </cell>
          <cell r="E16" t="str">
            <v>Extra Payment</v>
          </cell>
          <cell r="F16" t="str">
            <v>Total Payment</v>
          </cell>
          <cell r="G16" t="str">
            <v>Principal</v>
          </cell>
          <cell r="H16" t="str">
            <v>Interest</v>
          </cell>
          <cell r="I16" t="str">
            <v>Ending Balance</v>
          </cell>
        </row>
        <row r="18">
          <cell r="A18">
            <v>1</v>
          </cell>
          <cell r="B18">
            <v>39904</v>
          </cell>
          <cell r="C18">
            <v>3964650000</v>
          </cell>
          <cell r="D18">
            <v>55741172.697126448</v>
          </cell>
          <cell r="E18">
            <v>0</v>
          </cell>
          <cell r="F18">
            <v>55741172.697126448</v>
          </cell>
          <cell r="G18">
            <v>17746610.197126441</v>
          </cell>
          <cell r="H18">
            <v>37994562.500000007</v>
          </cell>
          <cell r="I18">
            <v>3946903389.8028736</v>
          </cell>
        </row>
        <row r="19">
          <cell r="A19">
            <v>2</v>
          </cell>
          <cell r="B19">
            <v>39934</v>
          </cell>
          <cell r="C19">
            <v>3946903389.8028736</v>
          </cell>
          <cell r="D19">
            <v>55741172.697126448</v>
          </cell>
          <cell r="E19">
            <v>0</v>
          </cell>
          <cell r="F19">
            <v>55741172.697126448</v>
          </cell>
          <cell r="G19">
            <v>17916681.87818224</v>
          </cell>
          <cell r="H19">
            <v>37824490.818944208</v>
          </cell>
          <cell r="I19">
            <v>3928986707.9246912</v>
          </cell>
        </row>
        <row r="20">
          <cell r="A20">
            <v>3</v>
          </cell>
          <cell r="B20">
            <v>39965</v>
          </cell>
          <cell r="C20">
            <v>3928986707.9246912</v>
          </cell>
          <cell r="D20">
            <v>55741172.697126448</v>
          </cell>
          <cell r="E20">
            <v>0</v>
          </cell>
          <cell r="F20">
            <v>55741172.697126448</v>
          </cell>
          <cell r="G20">
            <v>18088383.412848152</v>
          </cell>
          <cell r="H20">
            <v>37652789.284278296</v>
          </cell>
          <cell r="I20">
            <v>3910898324.5118432</v>
          </cell>
        </row>
        <row r="21">
          <cell r="A21">
            <v>4</v>
          </cell>
          <cell r="B21">
            <v>39995</v>
          </cell>
          <cell r="C21">
            <v>3910898324.5118432</v>
          </cell>
          <cell r="D21">
            <v>55741172.697126448</v>
          </cell>
          <cell r="E21">
            <v>0</v>
          </cell>
          <cell r="F21">
            <v>55741172.697126448</v>
          </cell>
          <cell r="G21">
            <v>18261730.420554616</v>
          </cell>
          <cell r="H21">
            <v>37479442.276571833</v>
          </cell>
          <cell r="I21">
            <v>3892636594.0912886</v>
          </cell>
        </row>
        <row r="22">
          <cell r="A22">
            <v>5</v>
          </cell>
          <cell r="B22">
            <v>40026</v>
          </cell>
          <cell r="C22">
            <v>3892636594.0912886</v>
          </cell>
          <cell r="D22">
            <v>55741172.697126448</v>
          </cell>
          <cell r="E22">
            <v>0</v>
          </cell>
          <cell r="F22">
            <v>55741172.697126448</v>
          </cell>
          <cell r="G22">
            <v>18436738.670418262</v>
          </cell>
          <cell r="H22">
            <v>37304434.026708186</v>
          </cell>
          <cell r="I22">
            <v>3874199855.4208703</v>
          </cell>
        </row>
        <row r="23">
          <cell r="A23">
            <v>6</v>
          </cell>
          <cell r="B23">
            <v>40057</v>
          </cell>
          <cell r="C23">
            <v>3874199855.4208703</v>
          </cell>
          <cell r="D23">
            <v>55741172.697126448</v>
          </cell>
          <cell r="E23">
            <v>0</v>
          </cell>
          <cell r="F23">
            <v>55741172.697126448</v>
          </cell>
          <cell r="G23">
            <v>18613424.08267644</v>
          </cell>
          <cell r="H23">
            <v>37127748.614450008</v>
          </cell>
          <cell r="I23">
            <v>3855586431.3381939</v>
          </cell>
        </row>
        <row r="24">
          <cell r="A24">
            <v>7</v>
          </cell>
          <cell r="B24">
            <v>40087</v>
          </cell>
          <cell r="C24">
            <v>3855586431.3381939</v>
          </cell>
          <cell r="D24">
            <v>55741172.697126448</v>
          </cell>
          <cell r="E24">
            <v>0</v>
          </cell>
          <cell r="F24">
            <v>55741172.697126448</v>
          </cell>
          <cell r="G24">
            <v>18791802.730135418</v>
          </cell>
          <cell r="H24">
            <v>36949369.96699103</v>
          </cell>
          <cell r="I24">
            <v>3836794628.6080585</v>
          </cell>
        </row>
        <row r="25">
          <cell r="A25">
            <v>8</v>
          </cell>
          <cell r="B25">
            <v>40118</v>
          </cell>
          <cell r="C25">
            <v>3836794628.6080585</v>
          </cell>
          <cell r="D25">
            <v>55741172.697126448</v>
          </cell>
          <cell r="E25">
            <v>0</v>
          </cell>
          <cell r="F25">
            <v>55741172.697126448</v>
          </cell>
          <cell r="G25">
            <v>18971890.839632548</v>
          </cell>
          <cell r="H25">
            <v>36769281.8574939</v>
          </cell>
          <cell r="I25">
            <v>3817822737.7684259</v>
          </cell>
        </row>
        <row r="26">
          <cell r="A26">
            <v>9</v>
          </cell>
          <cell r="B26">
            <v>40148</v>
          </cell>
          <cell r="C26">
            <v>3817822737.7684259</v>
          </cell>
          <cell r="D26">
            <v>55741172.697126448</v>
          </cell>
          <cell r="E26">
            <v>0</v>
          </cell>
          <cell r="F26">
            <v>55741172.697126448</v>
          </cell>
          <cell r="G26">
            <v>19153704.793512367</v>
          </cell>
          <cell r="H26">
            <v>36587467.903614081</v>
          </cell>
          <cell r="I26">
            <v>3798669032.9749136</v>
          </cell>
        </row>
        <row r="27">
          <cell r="A27">
            <v>10</v>
          </cell>
          <cell r="B27">
            <v>40179</v>
          </cell>
          <cell r="C27">
            <v>3798669032.9749136</v>
          </cell>
          <cell r="D27">
            <v>55741172.697126448</v>
          </cell>
          <cell r="E27">
            <v>0</v>
          </cell>
          <cell r="F27">
            <v>55741172.697126448</v>
          </cell>
          <cell r="G27">
            <v>19337261.13111686</v>
          </cell>
          <cell r="H27">
            <v>36403911.566009589</v>
          </cell>
          <cell r="I27">
            <v>3779331771.8437967</v>
          </cell>
        </row>
        <row r="28">
          <cell r="A28">
            <v>11</v>
          </cell>
          <cell r="B28">
            <v>40210</v>
          </cell>
          <cell r="C28">
            <v>3779331771.8437967</v>
          </cell>
          <cell r="D28">
            <v>55741172.697126448</v>
          </cell>
          <cell r="E28">
            <v>0</v>
          </cell>
          <cell r="F28">
            <v>55741172.697126448</v>
          </cell>
          <cell r="G28">
            <v>19522576.550290063</v>
          </cell>
          <cell r="H28">
            <v>36218596.146836385</v>
          </cell>
          <cell r="I28">
            <v>3759809195.2935066</v>
          </cell>
        </row>
        <row r="29">
          <cell r="A29">
            <v>12</v>
          </cell>
          <cell r="B29">
            <v>40238</v>
          </cell>
          <cell r="C29">
            <v>3759809195.2935066</v>
          </cell>
          <cell r="D29">
            <v>55741172.697126448</v>
          </cell>
          <cell r="E29">
            <v>0</v>
          </cell>
          <cell r="F29">
            <v>55741172.697126448</v>
          </cell>
          <cell r="G29">
            <v>19709667.908897005</v>
          </cell>
          <cell r="H29">
            <v>36031504.788229443</v>
          </cell>
          <cell r="I29">
            <v>3740099527.3846097</v>
          </cell>
        </row>
        <row r="30">
          <cell r="A30">
            <v>13</v>
          </cell>
          <cell r="B30">
            <v>40269</v>
          </cell>
          <cell r="C30">
            <v>3740099527.3846097</v>
          </cell>
          <cell r="D30">
            <v>55741172.697126448</v>
          </cell>
          <cell r="E30">
            <v>0</v>
          </cell>
          <cell r="F30">
            <v>55741172.697126448</v>
          </cell>
          <cell r="G30">
            <v>19898552.226357274</v>
          </cell>
          <cell r="H30">
            <v>35842620.470769174</v>
          </cell>
          <cell r="I30">
            <v>3720200975.1582522</v>
          </cell>
        </row>
        <row r="31">
          <cell r="A31">
            <v>14</v>
          </cell>
          <cell r="B31">
            <v>40299</v>
          </cell>
          <cell r="C31">
            <v>3720200975.1582522</v>
          </cell>
          <cell r="D31">
            <v>55741172.697126448</v>
          </cell>
          <cell r="E31">
            <v>0</v>
          </cell>
          <cell r="F31">
            <v>55741172.697126448</v>
          </cell>
          <cell r="G31">
            <v>20089246.685193196</v>
          </cell>
          <cell r="H31">
            <v>35651926.011933252</v>
          </cell>
          <cell r="I31">
            <v>3700111728.4730592</v>
          </cell>
        </row>
        <row r="32">
          <cell r="A32">
            <v>15</v>
          </cell>
          <cell r="B32">
            <v>40330</v>
          </cell>
          <cell r="C32">
            <v>3700111728.4730592</v>
          </cell>
          <cell r="D32">
            <v>55741172.697126448</v>
          </cell>
          <cell r="E32">
            <v>0</v>
          </cell>
          <cell r="F32">
            <v>55741172.697126448</v>
          </cell>
          <cell r="G32">
            <v>20281768.632592961</v>
          </cell>
          <cell r="H32">
            <v>35459404.064533487</v>
          </cell>
          <cell r="I32">
            <v>3679829959.840466</v>
          </cell>
        </row>
        <row r="33">
          <cell r="A33">
            <v>16</v>
          </cell>
          <cell r="B33">
            <v>40360</v>
          </cell>
          <cell r="C33">
            <v>3679829959.840466</v>
          </cell>
          <cell r="D33">
            <v>55741172.697126448</v>
          </cell>
          <cell r="E33">
            <v>0</v>
          </cell>
          <cell r="F33">
            <v>55741172.697126448</v>
          </cell>
          <cell r="G33">
            <v>20476135.581988648</v>
          </cell>
          <cell r="H33">
            <v>35265037.115137801</v>
          </cell>
          <cell r="I33">
            <v>3659353824.2584772</v>
          </cell>
        </row>
        <row r="34">
          <cell r="A34">
            <v>17</v>
          </cell>
          <cell r="B34">
            <v>40391</v>
          </cell>
          <cell r="C34">
            <v>3659353824.2584772</v>
          </cell>
          <cell r="D34">
            <v>55741172.697126448</v>
          </cell>
          <cell r="E34">
            <v>0</v>
          </cell>
          <cell r="F34">
            <v>55741172.697126448</v>
          </cell>
          <cell r="G34">
            <v>20672365.214649372</v>
          </cell>
          <cell r="H34">
            <v>35068807.482477076</v>
          </cell>
          <cell r="I34">
            <v>3638681459.043828</v>
          </cell>
        </row>
        <row r="35">
          <cell r="A35">
            <v>18</v>
          </cell>
          <cell r="B35">
            <v>40422</v>
          </cell>
          <cell r="C35">
            <v>3638681459.043828</v>
          </cell>
          <cell r="D35">
            <v>55741172.697126448</v>
          </cell>
          <cell r="E35">
            <v>0</v>
          </cell>
          <cell r="F35">
            <v>55741172.697126448</v>
          </cell>
          <cell r="G35">
            <v>20870475.381289758</v>
          </cell>
          <cell r="H35">
            <v>34870697.31583669</v>
          </cell>
          <cell r="I35">
            <v>3617810983.6625381</v>
          </cell>
        </row>
        <row r="36">
          <cell r="A36">
            <v>19</v>
          </cell>
          <cell r="B36">
            <v>40452</v>
          </cell>
          <cell r="C36">
            <v>3617810983.6625381</v>
          </cell>
          <cell r="D36">
            <v>55741172.697126448</v>
          </cell>
          <cell r="E36">
            <v>0</v>
          </cell>
          <cell r="F36">
            <v>55741172.697126448</v>
          </cell>
          <cell r="G36">
            <v>21070484.103693791</v>
          </cell>
          <cell r="H36">
            <v>34670688.593432657</v>
          </cell>
          <cell r="I36">
            <v>3596740499.5588441</v>
          </cell>
        </row>
        <row r="37">
          <cell r="A37">
            <v>20</v>
          </cell>
          <cell r="B37">
            <v>40483</v>
          </cell>
          <cell r="C37">
            <v>3596740499.5588441</v>
          </cell>
          <cell r="D37">
            <v>55741172.697126448</v>
          </cell>
          <cell r="E37">
            <v>0</v>
          </cell>
          <cell r="F37">
            <v>55741172.697126448</v>
          </cell>
          <cell r="G37">
            <v>21272409.576354191</v>
          </cell>
          <cell r="H37">
            <v>34468763.120772257</v>
          </cell>
          <cell r="I37">
            <v>3575468089.9824901</v>
          </cell>
        </row>
        <row r="38">
          <cell r="A38">
            <v>21</v>
          </cell>
          <cell r="B38">
            <v>40513</v>
          </cell>
          <cell r="C38">
            <v>3575468089.9824901</v>
          </cell>
          <cell r="D38">
            <v>55741172.697126448</v>
          </cell>
          <cell r="E38">
            <v>0</v>
          </cell>
          <cell r="F38">
            <v>55741172.697126448</v>
          </cell>
          <cell r="G38">
            <v>21476270.168127581</v>
          </cell>
          <cell r="H38">
            <v>34264902.528998867</v>
          </cell>
          <cell r="I38">
            <v>3553991819.8143625</v>
          </cell>
        </row>
        <row r="39">
          <cell r="A39">
            <v>22</v>
          </cell>
          <cell r="B39">
            <v>40544</v>
          </cell>
          <cell r="C39">
            <v>3553991819.8143625</v>
          </cell>
          <cell r="D39">
            <v>55741172.697126448</v>
          </cell>
          <cell r="E39">
            <v>0</v>
          </cell>
          <cell r="F39">
            <v>55741172.697126448</v>
          </cell>
          <cell r="G39">
            <v>21682084.423905469</v>
          </cell>
          <cell r="H39">
            <v>34059088.273220979</v>
          </cell>
          <cell r="I39">
            <v>3532309735.3904572</v>
          </cell>
        </row>
        <row r="40">
          <cell r="A40">
            <v>23</v>
          </cell>
          <cell r="B40">
            <v>40575</v>
          </cell>
          <cell r="C40">
            <v>3532309735.3904572</v>
          </cell>
          <cell r="D40">
            <v>55741172.697126448</v>
          </cell>
          <cell r="E40">
            <v>0</v>
          </cell>
          <cell r="F40">
            <v>55741172.697126448</v>
          </cell>
          <cell r="G40">
            <v>21889871.066301234</v>
          </cell>
          <cell r="H40">
            <v>33851301.630825214</v>
          </cell>
          <cell r="I40">
            <v>3510419864.3241558</v>
          </cell>
        </row>
        <row r="41">
          <cell r="A41">
            <v>24</v>
          </cell>
          <cell r="B41">
            <v>40603</v>
          </cell>
          <cell r="C41">
            <v>3510419864.3241558</v>
          </cell>
          <cell r="D41">
            <v>55741172.697126448</v>
          </cell>
          <cell r="E41">
            <v>0</v>
          </cell>
          <cell r="F41">
            <v>55741172.697126448</v>
          </cell>
          <cell r="G41">
            <v>22099648.997353286</v>
          </cell>
          <cell r="H41">
            <v>33641523.699773163</v>
          </cell>
          <cell r="I41">
            <v>3488320215.3268027</v>
          </cell>
        </row>
        <row r="42">
          <cell r="A42">
            <v>25</v>
          </cell>
          <cell r="B42">
            <v>40634</v>
          </cell>
          <cell r="C42">
            <v>3488320215.3268027</v>
          </cell>
          <cell r="D42">
            <v>55741172.697126448</v>
          </cell>
          <cell r="E42">
            <v>0</v>
          </cell>
          <cell r="F42">
            <v>55741172.697126448</v>
          </cell>
          <cell r="G42">
            <v>22311437.300244588</v>
          </cell>
          <cell r="H42">
            <v>33429735.39688186</v>
          </cell>
          <cell r="I42">
            <v>3466008778.0265579</v>
          </cell>
        </row>
        <row r="43">
          <cell r="A43">
            <v>26</v>
          </cell>
          <cell r="B43">
            <v>40664</v>
          </cell>
          <cell r="C43">
            <v>3466008778.0265579</v>
          </cell>
          <cell r="D43">
            <v>55741172.697126448</v>
          </cell>
          <cell r="E43">
            <v>0</v>
          </cell>
          <cell r="F43">
            <v>55741172.697126448</v>
          </cell>
          <cell r="G43">
            <v>22525255.241038602</v>
          </cell>
          <cell r="H43">
            <v>33215917.456087846</v>
          </cell>
          <cell r="I43">
            <v>3443483522.7855191</v>
          </cell>
        </row>
        <row r="44">
          <cell r="A44">
            <v>27</v>
          </cell>
          <cell r="B44">
            <v>40695</v>
          </cell>
          <cell r="C44">
            <v>3443483522.7855191</v>
          </cell>
          <cell r="D44">
            <v>55741172.697126448</v>
          </cell>
          <cell r="E44">
            <v>0</v>
          </cell>
          <cell r="F44">
            <v>55741172.697126448</v>
          </cell>
          <cell r="G44">
            <v>22741122.270431887</v>
          </cell>
          <cell r="H44">
            <v>33000050.426694561</v>
          </cell>
          <cell r="I44">
            <v>3420742400.5150871</v>
          </cell>
        </row>
        <row r="45">
          <cell r="A45">
            <v>28</v>
          </cell>
          <cell r="B45">
            <v>40725</v>
          </cell>
          <cell r="C45">
            <v>3420742400.5150871</v>
          </cell>
          <cell r="D45">
            <v>55741172.697126448</v>
          </cell>
          <cell r="E45">
            <v>0</v>
          </cell>
          <cell r="F45">
            <v>55741172.697126448</v>
          </cell>
          <cell r="G45">
            <v>22959058.025523528</v>
          </cell>
          <cell r="H45">
            <v>32782114.67160292</v>
          </cell>
          <cell r="I45">
            <v>3397783342.4895635</v>
          </cell>
        </row>
        <row r="46">
          <cell r="A46">
            <v>29</v>
          </cell>
          <cell r="B46">
            <v>40756</v>
          </cell>
          <cell r="C46">
            <v>3397783342.4895635</v>
          </cell>
          <cell r="D46">
            <v>55741172.697126448</v>
          </cell>
          <cell r="E46">
            <v>0</v>
          </cell>
          <cell r="F46">
            <v>55741172.697126448</v>
          </cell>
          <cell r="G46">
            <v>23179082.331601467</v>
          </cell>
          <cell r="H46">
            <v>32562090.365524981</v>
          </cell>
          <cell r="I46">
            <v>3374604260.1579618</v>
          </cell>
        </row>
        <row r="47">
          <cell r="A47">
            <v>30</v>
          </cell>
          <cell r="B47">
            <v>40787</v>
          </cell>
          <cell r="C47">
            <v>3374604260.1579618</v>
          </cell>
          <cell r="D47">
            <v>55741172.697126448</v>
          </cell>
          <cell r="E47">
            <v>0</v>
          </cell>
          <cell r="F47">
            <v>55741172.697126448</v>
          </cell>
          <cell r="G47">
            <v>23401215.203945979</v>
          </cell>
          <cell r="H47">
            <v>32339957.493180469</v>
          </cell>
          <cell r="I47">
            <v>3351203044.9540157</v>
          </cell>
        </row>
        <row r="48">
          <cell r="A48">
            <v>31</v>
          </cell>
          <cell r="B48">
            <v>40817</v>
          </cell>
          <cell r="C48">
            <v>3351203044.9540157</v>
          </cell>
          <cell r="D48">
            <v>55741172.697126448</v>
          </cell>
          <cell r="E48">
            <v>0</v>
          </cell>
          <cell r="F48">
            <v>55741172.697126448</v>
          </cell>
          <cell r="G48">
            <v>23625476.849650461</v>
          </cell>
          <cell r="H48">
            <v>32115695.847475987</v>
          </cell>
          <cell r="I48">
            <v>3327577568.1043653</v>
          </cell>
        </row>
        <row r="49">
          <cell r="A49">
            <v>32</v>
          </cell>
          <cell r="B49">
            <v>40848</v>
          </cell>
          <cell r="C49">
            <v>3327577568.1043653</v>
          </cell>
          <cell r="D49">
            <v>55741172.697126448</v>
          </cell>
          <cell r="E49">
            <v>0</v>
          </cell>
          <cell r="F49">
            <v>55741172.697126448</v>
          </cell>
          <cell r="G49">
            <v>23851887.669459611</v>
          </cell>
          <cell r="H49">
            <v>31889285.027666837</v>
          </cell>
          <cell r="I49">
            <v>3303725680.4349055</v>
          </cell>
        </row>
        <row r="50">
          <cell r="A50">
            <v>33</v>
          </cell>
          <cell r="B50">
            <v>40878</v>
          </cell>
          <cell r="C50">
            <v>3303725680.4349055</v>
          </cell>
          <cell r="D50">
            <v>55741172.697126448</v>
          </cell>
          <cell r="E50">
            <v>0</v>
          </cell>
          <cell r="F50">
            <v>55741172.697126448</v>
          </cell>
          <cell r="G50">
            <v>24080468.259625271</v>
          </cell>
          <cell r="H50">
            <v>31660704.437501177</v>
          </cell>
          <cell r="I50">
            <v>3279645212.1752801</v>
          </cell>
        </row>
        <row r="51">
          <cell r="A51">
            <v>34</v>
          </cell>
          <cell r="B51">
            <v>40909</v>
          </cell>
          <cell r="C51">
            <v>3279645212.1752801</v>
          </cell>
          <cell r="D51">
            <v>55741172.697126448</v>
          </cell>
          <cell r="E51">
            <v>0</v>
          </cell>
          <cell r="F51">
            <v>55741172.697126448</v>
          </cell>
          <cell r="G51">
            <v>24311239.413780015</v>
          </cell>
          <cell r="H51">
            <v>31429933.283346433</v>
          </cell>
          <cell r="I51">
            <v>3255333972.7614999</v>
          </cell>
        </row>
        <row r="52">
          <cell r="A52">
            <v>35</v>
          </cell>
          <cell r="B52">
            <v>40940</v>
          </cell>
          <cell r="C52">
            <v>3255333972.7614999</v>
          </cell>
          <cell r="D52">
            <v>55741172.697126448</v>
          </cell>
          <cell r="E52">
            <v>0</v>
          </cell>
          <cell r="F52">
            <v>55741172.697126448</v>
          </cell>
          <cell r="G52">
            <v>24544222.124828741</v>
          </cell>
          <cell r="H52">
            <v>31196950.572297707</v>
          </cell>
          <cell r="I52">
            <v>3230789750.6366711</v>
          </cell>
        </row>
        <row r="53">
          <cell r="A53">
            <v>36</v>
          </cell>
          <cell r="B53">
            <v>40969</v>
          </cell>
          <cell r="C53">
            <v>3230789750.6366711</v>
          </cell>
          <cell r="D53">
            <v>55741172.697126448</v>
          </cell>
          <cell r="E53">
            <v>0</v>
          </cell>
          <cell r="F53">
            <v>55741172.697126448</v>
          </cell>
          <cell r="G53">
            <v>24779437.586858347</v>
          </cell>
          <cell r="H53">
            <v>30961735.110268101</v>
          </cell>
          <cell r="I53">
            <v>3206010313.0498128</v>
          </cell>
        </row>
        <row r="54">
          <cell r="A54">
            <v>37</v>
          </cell>
          <cell r="B54">
            <v>41000</v>
          </cell>
          <cell r="C54">
            <v>3206010313.0498128</v>
          </cell>
          <cell r="D54">
            <v>55741172.697126448</v>
          </cell>
          <cell r="E54">
            <v>0</v>
          </cell>
          <cell r="F54">
            <v>55741172.697126448</v>
          </cell>
          <cell r="G54">
            <v>25016907.197065741</v>
          </cell>
          <cell r="H54">
            <v>30724265.500060707</v>
          </cell>
          <cell r="I54">
            <v>3180993405.852747</v>
          </cell>
        </row>
        <row r="55">
          <cell r="A55">
            <v>38</v>
          </cell>
          <cell r="B55">
            <v>41030</v>
          </cell>
          <cell r="C55">
            <v>3180993405.852747</v>
          </cell>
          <cell r="D55">
            <v>55741172.697126448</v>
          </cell>
          <cell r="E55">
            <v>0</v>
          </cell>
          <cell r="F55">
            <v>55741172.697126448</v>
          </cell>
          <cell r="G55">
            <v>25256652.557704289</v>
          </cell>
          <cell r="H55">
            <v>30484520.13942216</v>
          </cell>
          <cell r="I55">
            <v>3155736753.2950425</v>
          </cell>
        </row>
        <row r="56">
          <cell r="A56">
            <v>39</v>
          </cell>
          <cell r="B56">
            <v>41061</v>
          </cell>
          <cell r="C56">
            <v>3155736753.2950425</v>
          </cell>
          <cell r="D56">
            <v>55741172.697126448</v>
          </cell>
          <cell r="E56">
            <v>0</v>
          </cell>
          <cell r="F56">
            <v>55741172.697126448</v>
          </cell>
          <cell r="G56">
            <v>25498695.478048954</v>
          </cell>
          <cell r="H56">
            <v>30242477.219077494</v>
          </cell>
          <cell r="I56">
            <v>3130238057.8169937</v>
          </cell>
        </row>
        <row r="57">
          <cell r="A57">
            <v>40</v>
          </cell>
          <cell r="B57">
            <v>41091</v>
          </cell>
          <cell r="C57">
            <v>3130238057.8169937</v>
          </cell>
          <cell r="D57">
            <v>55741172.697126448</v>
          </cell>
          <cell r="E57">
            <v>0</v>
          </cell>
          <cell r="F57">
            <v>55741172.697126448</v>
          </cell>
          <cell r="G57">
            <v>25743057.976380259</v>
          </cell>
          <cell r="H57">
            <v>29998114.720746189</v>
          </cell>
          <cell r="I57">
            <v>3104494999.8406134</v>
          </cell>
        </row>
        <row r="58">
          <cell r="A58">
            <v>41</v>
          </cell>
          <cell r="B58">
            <v>41122</v>
          </cell>
          <cell r="C58">
            <v>3104494999.8406134</v>
          </cell>
          <cell r="D58">
            <v>55741172.697126448</v>
          </cell>
          <cell r="E58">
            <v>0</v>
          </cell>
          <cell r="F58">
            <v>55741172.697126448</v>
          </cell>
          <cell r="G58">
            <v>25989762.281987235</v>
          </cell>
          <cell r="H58">
            <v>29751410.415139213</v>
          </cell>
          <cell r="I58">
            <v>3078505237.5586262</v>
          </cell>
        </row>
        <row r="59">
          <cell r="A59">
            <v>42</v>
          </cell>
          <cell r="B59">
            <v>41153</v>
          </cell>
          <cell r="C59">
            <v>3078505237.5586262</v>
          </cell>
          <cell r="D59">
            <v>55741172.697126448</v>
          </cell>
          <cell r="E59">
            <v>0</v>
          </cell>
          <cell r="F59">
            <v>55741172.697126448</v>
          </cell>
          <cell r="G59">
            <v>26238830.837189615</v>
          </cell>
          <cell r="H59">
            <v>29502341.859936833</v>
          </cell>
          <cell r="I59">
            <v>3052266406.7214365</v>
          </cell>
        </row>
        <row r="60">
          <cell r="A60">
            <v>43</v>
          </cell>
          <cell r="B60">
            <v>41183</v>
          </cell>
          <cell r="C60">
            <v>3052266406.7214365</v>
          </cell>
          <cell r="D60">
            <v>55741172.697126448</v>
          </cell>
          <cell r="E60">
            <v>0</v>
          </cell>
          <cell r="F60">
            <v>55741172.697126448</v>
          </cell>
          <cell r="G60">
            <v>26490286.299379349</v>
          </cell>
          <cell r="H60">
            <v>29250886.397747099</v>
          </cell>
          <cell r="I60">
            <v>3025776120.4220572</v>
          </cell>
        </row>
        <row r="61">
          <cell r="A61">
            <v>44</v>
          </cell>
          <cell r="B61">
            <v>41214</v>
          </cell>
          <cell r="C61">
            <v>3025776120.4220572</v>
          </cell>
          <cell r="D61">
            <v>55741172.697126448</v>
          </cell>
          <cell r="E61">
            <v>0</v>
          </cell>
          <cell r="F61">
            <v>55741172.697126448</v>
          </cell>
          <cell r="G61">
            <v>26744151.543081731</v>
          </cell>
          <cell r="H61">
            <v>28997021.154044718</v>
          </cell>
          <cell r="I61">
            <v>2999031968.8789754</v>
          </cell>
        </row>
        <row r="62">
          <cell r="A62">
            <v>45</v>
          </cell>
          <cell r="B62">
            <v>41244</v>
          </cell>
          <cell r="C62">
            <v>2999031968.8789754</v>
          </cell>
          <cell r="D62">
            <v>55741172.697126448</v>
          </cell>
          <cell r="E62">
            <v>0</v>
          </cell>
          <cell r="F62">
            <v>55741172.697126448</v>
          </cell>
          <cell r="G62">
            <v>27000449.662036266</v>
          </cell>
          <cell r="H62">
            <v>28740723.035090182</v>
          </cell>
          <cell r="I62">
            <v>2972031519.216939</v>
          </cell>
        </row>
        <row r="63">
          <cell r="A63">
            <v>46</v>
          </cell>
          <cell r="B63">
            <v>41275</v>
          </cell>
          <cell r="C63">
            <v>2972031519.216939</v>
          </cell>
          <cell r="D63">
            <v>55741172.697126448</v>
          </cell>
          <cell r="E63">
            <v>0</v>
          </cell>
          <cell r="F63">
            <v>55741172.697126448</v>
          </cell>
          <cell r="G63">
            <v>27259203.971297447</v>
          </cell>
          <cell r="H63">
            <v>28481968.725829002</v>
          </cell>
          <cell r="I63">
            <v>2944772315.2456417</v>
          </cell>
        </row>
        <row r="64">
          <cell r="A64">
            <v>47</v>
          </cell>
          <cell r="B64">
            <v>41306</v>
          </cell>
          <cell r="C64">
            <v>2944772315.2456417</v>
          </cell>
          <cell r="D64">
            <v>55741172.697126448</v>
          </cell>
          <cell r="E64">
            <v>0</v>
          </cell>
          <cell r="F64">
            <v>55741172.697126448</v>
          </cell>
          <cell r="G64">
            <v>27520438.009355713</v>
          </cell>
          <cell r="H64">
            <v>28220734.687770735</v>
          </cell>
          <cell r="I64">
            <v>2917251877.2362862</v>
          </cell>
        </row>
        <row r="65">
          <cell r="A65">
            <v>48</v>
          </cell>
          <cell r="B65">
            <v>41334</v>
          </cell>
          <cell r="C65">
            <v>2917251877.2362862</v>
          </cell>
          <cell r="D65">
            <v>55741172.697126448</v>
          </cell>
          <cell r="E65">
            <v>0</v>
          </cell>
          <cell r="F65">
            <v>55741172.697126448</v>
          </cell>
          <cell r="G65">
            <v>27784175.540278703</v>
          </cell>
          <cell r="H65">
            <v>27956997.156847745</v>
          </cell>
          <cell r="I65">
            <v>2889467701.6960073</v>
          </cell>
        </row>
        <row r="66">
          <cell r="A66">
            <v>49</v>
          </cell>
          <cell r="B66">
            <v>41365</v>
          </cell>
          <cell r="C66">
            <v>2889467701.6960073</v>
          </cell>
          <cell r="D66">
            <v>55741172.697126448</v>
          </cell>
          <cell r="E66">
            <v>0</v>
          </cell>
          <cell r="F66">
            <v>55741172.697126448</v>
          </cell>
          <cell r="G66">
            <v>28050440.555873048</v>
          </cell>
          <cell r="H66">
            <v>27690732.141253401</v>
          </cell>
          <cell r="I66">
            <v>2861417261.1401343</v>
          </cell>
        </row>
        <row r="67">
          <cell r="A67">
            <v>50</v>
          </cell>
          <cell r="B67">
            <v>41395</v>
          </cell>
          <cell r="C67">
            <v>2861417261.1401343</v>
          </cell>
          <cell r="D67">
            <v>55741172.697126448</v>
          </cell>
          <cell r="E67">
            <v>0</v>
          </cell>
          <cell r="F67">
            <v>55741172.697126448</v>
          </cell>
          <cell r="G67">
            <v>28319257.277866825</v>
          </cell>
          <cell r="H67">
            <v>27421915.419259623</v>
          </cell>
          <cell r="I67">
            <v>2833098003.8622675</v>
          </cell>
        </row>
        <row r="68">
          <cell r="A68">
            <v>51</v>
          </cell>
          <cell r="B68">
            <v>41426</v>
          </cell>
          <cell r="C68">
            <v>2833098003.8622675</v>
          </cell>
          <cell r="D68">
            <v>55741172.697126448</v>
          </cell>
          <cell r="E68">
            <v>0</v>
          </cell>
          <cell r="F68">
            <v>55741172.697126448</v>
          </cell>
          <cell r="G68">
            <v>28590650.160113052</v>
          </cell>
          <cell r="H68">
            <v>27150522.537013397</v>
          </cell>
          <cell r="I68">
            <v>2804507353.7021546</v>
          </cell>
        </row>
        <row r="69">
          <cell r="A69">
            <v>52</v>
          </cell>
          <cell r="B69">
            <v>41456</v>
          </cell>
          <cell r="C69">
            <v>2804507353.7021546</v>
          </cell>
          <cell r="D69">
            <v>55741172.697126448</v>
          </cell>
          <cell r="E69">
            <v>0</v>
          </cell>
          <cell r="F69">
            <v>55741172.697126448</v>
          </cell>
          <cell r="G69">
            <v>28864643.890814129</v>
          </cell>
          <cell r="H69">
            <v>26876528.806312319</v>
          </cell>
          <cell r="I69">
            <v>2775642709.8113403</v>
          </cell>
        </row>
        <row r="70">
          <cell r="A70">
            <v>53</v>
          </cell>
          <cell r="B70">
            <v>41487</v>
          </cell>
          <cell r="C70">
            <v>2775642709.8113403</v>
          </cell>
          <cell r="D70">
            <v>55741172.697126448</v>
          </cell>
          <cell r="E70">
            <v>0</v>
          </cell>
          <cell r="F70">
            <v>55741172.697126448</v>
          </cell>
          <cell r="G70">
            <v>29141263.394767772</v>
          </cell>
          <cell r="H70">
            <v>26599909.302358676</v>
          </cell>
          <cell r="I70">
            <v>2746501446.4165726</v>
          </cell>
        </row>
        <row r="71">
          <cell r="A71">
            <v>54</v>
          </cell>
          <cell r="B71">
            <v>41518</v>
          </cell>
          <cell r="C71">
            <v>2746501446.4165726</v>
          </cell>
          <cell r="D71">
            <v>55741172.697126448</v>
          </cell>
          <cell r="E71">
            <v>0</v>
          </cell>
          <cell r="F71">
            <v>55741172.697126448</v>
          </cell>
          <cell r="G71">
            <v>29420533.835634291</v>
          </cell>
          <cell r="H71">
            <v>26320638.861492157</v>
          </cell>
          <cell r="I71">
            <v>2717080912.5809383</v>
          </cell>
        </row>
        <row r="72">
          <cell r="A72">
            <v>55</v>
          </cell>
          <cell r="B72">
            <v>41548</v>
          </cell>
          <cell r="C72">
            <v>2717080912.5809383</v>
          </cell>
          <cell r="D72">
            <v>55741172.697126448</v>
          </cell>
          <cell r="E72">
            <v>0</v>
          </cell>
          <cell r="F72">
            <v>55741172.697126448</v>
          </cell>
          <cell r="G72">
            <v>29702480.618225787</v>
          </cell>
          <cell r="H72">
            <v>26038692.078900661</v>
          </cell>
          <cell r="I72">
            <v>2687378431.9627128</v>
          </cell>
        </row>
        <row r="73">
          <cell r="A73">
            <v>56</v>
          </cell>
          <cell r="B73">
            <v>41579</v>
          </cell>
          <cell r="C73">
            <v>2687378431.9627128</v>
          </cell>
          <cell r="D73">
            <v>55741172.697126448</v>
          </cell>
          <cell r="E73">
            <v>0</v>
          </cell>
          <cell r="F73">
            <v>55741172.697126448</v>
          </cell>
          <cell r="G73">
            <v>29987129.390817117</v>
          </cell>
          <cell r="H73">
            <v>25754043.306309331</v>
          </cell>
          <cell r="I73">
            <v>2657391302.5718956</v>
          </cell>
        </row>
        <row r="74">
          <cell r="A74">
            <v>57</v>
          </cell>
          <cell r="B74">
            <v>41609</v>
          </cell>
          <cell r="C74">
            <v>2657391302.5718956</v>
          </cell>
          <cell r="D74">
            <v>55741172.697126448</v>
          </cell>
          <cell r="E74">
            <v>0</v>
          </cell>
          <cell r="F74">
            <v>55741172.697126448</v>
          </cell>
          <cell r="G74">
            <v>30274506.047479112</v>
          </cell>
          <cell r="H74">
            <v>25466666.649647336</v>
          </cell>
          <cell r="I74">
            <v>2627116796.5244164</v>
          </cell>
        </row>
        <row r="75">
          <cell r="A75">
            <v>58</v>
          </cell>
          <cell r="B75">
            <v>41640</v>
          </cell>
          <cell r="C75">
            <v>2627116796.5244164</v>
          </cell>
          <cell r="D75">
            <v>55741172.697126448</v>
          </cell>
          <cell r="E75">
            <v>0</v>
          </cell>
          <cell r="F75">
            <v>55741172.697126448</v>
          </cell>
          <cell r="G75">
            <v>30564636.730434123</v>
          </cell>
          <cell r="H75">
            <v>25176535.966692325</v>
          </cell>
          <cell r="I75">
            <v>2596552159.7939825</v>
          </cell>
        </row>
        <row r="76">
          <cell r="A76">
            <v>59</v>
          </cell>
          <cell r="B76">
            <v>41671</v>
          </cell>
          <cell r="C76">
            <v>2596552159.7939825</v>
          </cell>
          <cell r="D76">
            <v>55741172.697126448</v>
          </cell>
          <cell r="E76">
            <v>0</v>
          </cell>
          <cell r="F76">
            <v>55741172.697126448</v>
          </cell>
          <cell r="G76">
            <v>30857547.832434114</v>
          </cell>
          <cell r="H76">
            <v>24883624.864692334</v>
          </cell>
          <cell r="I76">
            <v>2565694611.9615483</v>
          </cell>
        </row>
        <row r="77">
          <cell r="A77">
            <v>60</v>
          </cell>
          <cell r="B77">
            <v>41699</v>
          </cell>
          <cell r="C77">
            <v>2565694611.9615483</v>
          </cell>
          <cell r="D77">
            <v>55741172.697126448</v>
          </cell>
          <cell r="E77">
            <v>0</v>
          </cell>
          <cell r="F77">
            <v>55741172.697126448</v>
          </cell>
          <cell r="G77">
            <v>31153265.999161612</v>
          </cell>
          <cell r="H77">
            <v>24587906.697964836</v>
          </cell>
          <cell r="I77">
            <v>2534541345.9623866</v>
          </cell>
        </row>
        <row r="78">
          <cell r="A78">
            <v>61</v>
          </cell>
          <cell r="B78">
            <v>41730</v>
          </cell>
          <cell r="C78">
            <v>2534541345.9623866</v>
          </cell>
          <cell r="D78">
            <v>55741172.697126448</v>
          </cell>
          <cell r="E78">
            <v>0</v>
          </cell>
          <cell r="F78">
            <v>55741172.697126448</v>
          </cell>
          <cell r="G78">
            <v>31451818.131653577</v>
          </cell>
          <cell r="H78">
            <v>24289354.565472871</v>
          </cell>
          <cell r="I78">
            <v>2503089527.8307328</v>
          </cell>
        </row>
        <row r="79">
          <cell r="A79">
            <v>62</v>
          </cell>
          <cell r="B79">
            <v>41760</v>
          </cell>
          <cell r="C79">
            <v>2503089527.8307328</v>
          </cell>
          <cell r="D79">
            <v>55741172.697126448</v>
          </cell>
          <cell r="E79">
            <v>0</v>
          </cell>
          <cell r="F79">
            <v>55741172.697126448</v>
          </cell>
          <cell r="G79">
            <v>31753231.38874859</v>
          </cell>
          <cell r="H79">
            <v>23987941.308377858</v>
          </cell>
          <cell r="I79">
            <v>2471336296.4419842</v>
          </cell>
        </row>
        <row r="80">
          <cell r="A80">
            <v>63</v>
          </cell>
          <cell r="B80">
            <v>41791</v>
          </cell>
          <cell r="C80">
            <v>2471336296.4419842</v>
          </cell>
          <cell r="D80">
            <v>55741172.697126448</v>
          </cell>
          <cell r="E80">
            <v>0</v>
          </cell>
          <cell r="F80">
            <v>55741172.697126448</v>
          </cell>
          <cell r="G80">
            <v>32057533.189557433</v>
          </cell>
          <cell r="H80">
            <v>23683639.507569015</v>
          </cell>
          <cell r="I80">
            <v>2439278763.2524266</v>
          </cell>
        </row>
        <row r="81">
          <cell r="A81">
            <v>64</v>
          </cell>
          <cell r="B81">
            <v>41821</v>
          </cell>
          <cell r="C81">
            <v>2439278763.2524266</v>
          </cell>
          <cell r="D81">
            <v>55741172.697126448</v>
          </cell>
          <cell r="E81">
            <v>0</v>
          </cell>
          <cell r="F81">
            <v>55741172.697126448</v>
          </cell>
          <cell r="G81">
            <v>32364751.215957358</v>
          </cell>
          <cell r="H81">
            <v>23376421.48116909</v>
          </cell>
          <cell r="I81">
            <v>2406914012.0364695</v>
          </cell>
        </row>
        <row r="82">
          <cell r="A82">
            <v>65</v>
          </cell>
          <cell r="B82">
            <v>41852</v>
          </cell>
          <cell r="C82">
            <v>2406914012.0364695</v>
          </cell>
          <cell r="D82">
            <v>55741172.697126448</v>
          </cell>
          <cell r="E82">
            <v>0</v>
          </cell>
          <cell r="F82">
            <v>55741172.697126448</v>
          </cell>
          <cell r="G82">
            <v>32674913.415110279</v>
          </cell>
          <cell r="H82">
            <v>23066259.282016169</v>
          </cell>
          <cell r="I82">
            <v>2374239098.6213593</v>
          </cell>
        </row>
        <row r="83">
          <cell r="A83">
            <v>66</v>
          </cell>
          <cell r="B83">
            <v>41883</v>
          </cell>
          <cell r="C83">
            <v>2374239098.6213593</v>
          </cell>
          <cell r="D83">
            <v>55741172.697126448</v>
          </cell>
          <cell r="E83">
            <v>0</v>
          </cell>
          <cell r="F83">
            <v>55741172.697126448</v>
          </cell>
          <cell r="G83">
            <v>32988048.002005085</v>
          </cell>
          <cell r="H83">
            <v>22753124.695121363</v>
          </cell>
          <cell r="I83">
            <v>2341251050.6193542</v>
          </cell>
        </row>
        <row r="84">
          <cell r="A84">
            <v>67</v>
          </cell>
          <cell r="B84">
            <v>41913</v>
          </cell>
          <cell r="C84">
            <v>2341251050.6193542</v>
          </cell>
          <cell r="D84">
            <v>55741172.697126448</v>
          </cell>
          <cell r="E84">
            <v>0</v>
          </cell>
          <cell r="F84">
            <v>55741172.697126448</v>
          </cell>
          <cell r="G84">
            <v>33304183.462024301</v>
          </cell>
          <cell r="H84">
            <v>22436989.235102147</v>
          </cell>
          <cell r="I84">
            <v>2307946867.15733</v>
          </cell>
        </row>
        <row r="85">
          <cell r="A85">
            <v>68</v>
          </cell>
          <cell r="B85">
            <v>41944</v>
          </cell>
          <cell r="C85">
            <v>2307946867.15733</v>
          </cell>
          <cell r="D85">
            <v>55741172.697126448</v>
          </cell>
          <cell r="E85">
            <v>0</v>
          </cell>
          <cell r="F85">
            <v>55741172.697126448</v>
          </cell>
          <cell r="G85">
            <v>33623348.553535372</v>
          </cell>
          <cell r="H85">
            <v>22117824.14359108</v>
          </cell>
          <cell r="I85">
            <v>2274323518.6037946</v>
          </cell>
        </row>
        <row r="86">
          <cell r="A86">
            <v>69</v>
          </cell>
          <cell r="B86">
            <v>41974</v>
          </cell>
          <cell r="C86">
            <v>2274323518.6037946</v>
          </cell>
          <cell r="D86">
            <v>55741172.697126448</v>
          </cell>
          <cell r="E86">
            <v>0</v>
          </cell>
          <cell r="F86">
            <v>55741172.697126448</v>
          </cell>
          <cell r="G86">
            <v>33945572.310506746</v>
          </cell>
          <cell r="H86">
            <v>21795600.386619698</v>
          </cell>
          <cell r="I86">
            <v>2240377946.2932878</v>
          </cell>
        </row>
        <row r="87">
          <cell r="A87">
            <v>70</v>
          </cell>
          <cell r="B87">
            <v>42005</v>
          </cell>
          <cell r="C87">
            <v>2240377946.2932878</v>
          </cell>
          <cell r="D87">
            <v>55741172.697126448</v>
          </cell>
          <cell r="E87">
            <v>0</v>
          </cell>
          <cell r="F87">
            <v>55741172.697126448</v>
          </cell>
          <cell r="G87">
            <v>34270884.045149103</v>
          </cell>
          <cell r="H87">
            <v>21470288.651977342</v>
          </cell>
          <cell r="I87">
            <v>2206107062.2481384</v>
          </cell>
        </row>
        <row r="88">
          <cell r="A88">
            <v>71</v>
          </cell>
          <cell r="B88">
            <v>42036</v>
          </cell>
          <cell r="C88">
            <v>2206107062.2481384</v>
          </cell>
          <cell r="D88">
            <v>55741172.697126448</v>
          </cell>
          <cell r="E88">
            <v>0</v>
          </cell>
          <cell r="F88">
            <v>55741172.697126448</v>
          </cell>
          <cell r="G88">
            <v>34599313.350581788</v>
          </cell>
          <cell r="H88">
            <v>21141859.346544661</v>
          </cell>
          <cell r="I88">
            <v>2171507748.8975568</v>
          </cell>
        </row>
        <row r="89">
          <cell r="A89">
            <v>72</v>
          </cell>
          <cell r="B89">
            <v>42064</v>
          </cell>
          <cell r="C89">
            <v>2171507748.8975568</v>
          </cell>
          <cell r="D89">
            <v>55741172.697126448</v>
          </cell>
          <cell r="E89">
            <v>0</v>
          </cell>
          <cell r="F89">
            <v>55741172.697126448</v>
          </cell>
          <cell r="G89">
            <v>34930890.103524864</v>
          </cell>
          <cell r="H89">
            <v>20810282.593601588</v>
          </cell>
          <cell r="I89">
            <v>2136576858.7940319</v>
          </cell>
        </row>
        <row r="90">
          <cell r="A90">
            <v>73</v>
          </cell>
          <cell r="B90">
            <v>42095</v>
          </cell>
          <cell r="C90">
            <v>2136576858.7940319</v>
          </cell>
          <cell r="D90">
            <v>55741172.697126448</v>
          </cell>
          <cell r="E90">
            <v>0</v>
          </cell>
          <cell r="F90">
            <v>55741172.697126448</v>
          </cell>
          <cell r="G90">
            <v>35265644.46701698</v>
          </cell>
          <cell r="H90">
            <v>20475528.230109472</v>
          </cell>
          <cell r="I90">
            <v>2101311214.3270149</v>
          </cell>
        </row>
        <row r="91">
          <cell r="A91">
            <v>74</v>
          </cell>
          <cell r="B91">
            <v>42125</v>
          </cell>
          <cell r="C91">
            <v>2101311214.3270149</v>
          </cell>
          <cell r="D91">
            <v>55741172.697126448</v>
          </cell>
          <cell r="E91">
            <v>0</v>
          </cell>
          <cell r="F91">
            <v>55741172.697126448</v>
          </cell>
          <cell r="G91">
            <v>35603606.893159226</v>
          </cell>
          <cell r="H91">
            <v>20137565.803967226</v>
          </cell>
          <cell r="I91">
            <v>2065707607.4338558</v>
          </cell>
        </row>
        <row r="92">
          <cell r="A92">
            <v>75</v>
          </cell>
          <cell r="B92">
            <v>42156</v>
          </cell>
          <cell r="C92">
            <v>2065707607.4338558</v>
          </cell>
          <cell r="D92">
            <v>55741172.697126448</v>
          </cell>
          <cell r="E92">
            <v>0</v>
          </cell>
          <cell r="F92">
            <v>55741172.697126448</v>
          </cell>
          <cell r="G92">
            <v>35944808.12588533</v>
          </cell>
          <cell r="H92">
            <v>19796364.571241118</v>
          </cell>
          <cell r="I92">
            <v>2029762799.3079705</v>
          </cell>
        </row>
        <row r="93">
          <cell r="A93">
            <v>76</v>
          </cell>
          <cell r="B93">
            <v>42186</v>
          </cell>
          <cell r="C93">
            <v>2029762799.3079705</v>
          </cell>
          <cell r="D93">
            <v>55741172.697126448</v>
          </cell>
          <cell r="E93">
            <v>0</v>
          </cell>
          <cell r="F93">
            <v>55741172.697126448</v>
          </cell>
          <cell r="G93">
            <v>36289279.203758396</v>
          </cell>
          <cell r="H93">
            <v>19451893.493368052</v>
          </cell>
          <cell r="I93">
            <v>1993473520.104212</v>
          </cell>
        </row>
        <row r="94">
          <cell r="A94">
            <v>77</v>
          </cell>
          <cell r="B94">
            <v>42217</v>
          </cell>
          <cell r="C94">
            <v>1993473520.104212</v>
          </cell>
          <cell r="D94">
            <v>55741172.697126448</v>
          </cell>
          <cell r="E94">
            <v>0</v>
          </cell>
          <cell r="F94">
            <v>55741172.697126448</v>
          </cell>
          <cell r="G94">
            <v>36637051.462794416</v>
          </cell>
          <cell r="H94">
            <v>19104121.234332033</v>
          </cell>
          <cell r="I94">
            <v>1956836468.6414177</v>
          </cell>
        </row>
        <row r="95">
          <cell r="A95">
            <v>78</v>
          </cell>
          <cell r="B95">
            <v>42248</v>
          </cell>
          <cell r="C95">
            <v>1956836468.6414177</v>
          </cell>
          <cell r="D95">
            <v>55741172.697126448</v>
          </cell>
          <cell r="E95">
            <v>0</v>
          </cell>
          <cell r="F95">
            <v>55741172.697126448</v>
          </cell>
          <cell r="G95">
            <v>36988156.539312862</v>
          </cell>
          <cell r="H95">
            <v>18753016.157813586</v>
          </cell>
          <cell r="I95">
            <v>1919848312.1021049</v>
          </cell>
        </row>
        <row r="96">
          <cell r="A96">
            <v>79</v>
          </cell>
          <cell r="B96">
            <v>42278</v>
          </cell>
          <cell r="C96">
            <v>1919848312.1021049</v>
          </cell>
          <cell r="D96">
            <v>55741172.697126448</v>
          </cell>
          <cell r="E96">
            <v>0</v>
          </cell>
          <cell r="F96">
            <v>55741172.697126448</v>
          </cell>
          <cell r="G96">
            <v>37342626.372814611</v>
          </cell>
          <cell r="H96">
            <v>18398546.324311841</v>
          </cell>
          <cell r="I96">
            <v>1882505685.7292902</v>
          </cell>
        </row>
        <row r="97">
          <cell r="A97">
            <v>80</v>
          </cell>
          <cell r="B97">
            <v>42309</v>
          </cell>
          <cell r="C97">
            <v>1882505685.7292902</v>
          </cell>
          <cell r="D97">
            <v>55741172.697126448</v>
          </cell>
          <cell r="E97">
            <v>0</v>
          </cell>
          <cell r="F97">
            <v>55741172.697126448</v>
          </cell>
          <cell r="G97">
            <v>37700493.208887413</v>
          </cell>
          <cell r="H97">
            <v>18040679.488239031</v>
          </cell>
          <cell r="I97">
            <v>1844805192.5204029</v>
          </cell>
        </row>
        <row r="98">
          <cell r="A98">
            <v>81</v>
          </cell>
          <cell r="B98">
            <v>42339</v>
          </cell>
          <cell r="C98">
            <v>1844805192.5204029</v>
          </cell>
          <cell r="D98">
            <v>55741172.697126448</v>
          </cell>
          <cell r="E98">
            <v>0</v>
          </cell>
          <cell r="F98">
            <v>55741172.697126448</v>
          </cell>
          <cell r="G98">
            <v>38061789.602139249</v>
          </cell>
          <cell r="H98">
            <v>17679383.094987195</v>
          </cell>
          <cell r="I98">
            <v>1806743402.9182637</v>
          </cell>
        </row>
        <row r="99">
          <cell r="A99">
            <v>82</v>
          </cell>
          <cell r="B99">
            <v>42370</v>
          </cell>
          <cell r="C99">
            <v>1806743402.9182637</v>
          </cell>
          <cell r="D99">
            <v>55741172.697126448</v>
          </cell>
          <cell r="E99">
            <v>0</v>
          </cell>
          <cell r="F99">
            <v>55741172.697126448</v>
          </cell>
          <cell r="G99">
            <v>38426548.419159755</v>
          </cell>
          <cell r="H99">
            <v>17314624.277966697</v>
          </cell>
          <cell r="I99">
            <v>1768316854.499104</v>
          </cell>
        </row>
        <row r="100">
          <cell r="A100">
            <v>83</v>
          </cell>
          <cell r="B100">
            <v>42401</v>
          </cell>
          <cell r="C100">
            <v>1768316854.499104</v>
          </cell>
          <cell r="D100">
            <v>55741172.697126448</v>
          </cell>
          <cell r="E100">
            <v>0</v>
          </cell>
          <cell r="F100">
            <v>55741172.697126448</v>
          </cell>
          <cell r="G100">
            <v>38794802.841510035</v>
          </cell>
          <cell r="H100">
            <v>16946369.855616413</v>
          </cell>
          <cell r="I100">
            <v>1729522051.657594</v>
          </cell>
        </row>
        <row r="101">
          <cell r="A101">
            <v>84</v>
          </cell>
          <cell r="B101">
            <v>42430</v>
          </cell>
          <cell r="C101">
            <v>1729522051.657594</v>
          </cell>
          <cell r="D101">
            <v>55741172.697126448</v>
          </cell>
          <cell r="E101">
            <v>0</v>
          </cell>
          <cell r="F101">
            <v>55741172.697126448</v>
          </cell>
          <cell r="G101">
            <v>39166586.36874117</v>
          </cell>
          <cell r="H101">
            <v>16574586.328385277</v>
          </cell>
          <cell r="I101">
            <v>1690355465.2888527</v>
          </cell>
        </row>
        <row r="102">
          <cell r="A102">
            <v>85</v>
          </cell>
          <cell r="B102">
            <v>42461</v>
          </cell>
          <cell r="C102">
            <v>1690355465.2888527</v>
          </cell>
          <cell r="D102">
            <v>55741172.697126448</v>
          </cell>
          <cell r="E102">
            <v>0</v>
          </cell>
          <cell r="F102">
            <v>55741172.697126448</v>
          </cell>
          <cell r="G102">
            <v>39541932.821441606</v>
          </cell>
          <cell r="H102">
            <v>16199239.875684841</v>
          </cell>
          <cell r="I102">
            <v>1650813532.467411</v>
          </cell>
        </row>
        <row r="103">
          <cell r="A103">
            <v>86</v>
          </cell>
          <cell r="B103">
            <v>42491</v>
          </cell>
          <cell r="C103">
            <v>1650813532.467411</v>
          </cell>
          <cell r="D103">
            <v>55741172.697126448</v>
          </cell>
          <cell r="E103">
            <v>0</v>
          </cell>
          <cell r="F103">
            <v>55741172.697126448</v>
          </cell>
          <cell r="G103">
            <v>39920876.344313756</v>
          </cell>
          <cell r="H103">
            <v>15820296.352812691</v>
          </cell>
          <cell r="I103">
            <v>1610892656.1230972</v>
          </cell>
        </row>
        <row r="104">
          <cell r="A104">
            <v>87</v>
          </cell>
          <cell r="B104">
            <v>42522</v>
          </cell>
          <cell r="C104">
            <v>1610892656.1230972</v>
          </cell>
          <cell r="D104">
            <v>55741172.697126448</v>
          </cell>
          <cell r="E104">
            <v>0</v>
          </cell>
          <cell r="F104">
            <v>55741172.697126448</v>
          </cell>
          <cell r="G104">
            <v>40303451.409280099</v>
          </cell>
          <cell r="H104">
            <v>15437721.287846349</v>
          </cell>
          <cell r="I104">
            <v>1570589204.7138171</v>
          </cell>
        </row>
        <row r="105">
          <cell r="A105">
            <v>88</v>
          </cell>
          <cell r="B105">
            <v>42552</v>
          </cell>
          <cell r="C105">
            <v>1570589204.7138171</v>
          </cell>
          <cell r="D105">
            <v>55741172.697126448</v>
          </cell>
          <cell r="E105">
            <v>0</v>
          </cell>
          <cell r="F105">
            <v>55741172.697126448</v>
          </cell>
          <cell r="G105">
            <v>40689692.818619035</v>
          </cell>
          <cell r="H105">
            <v>15051479.878507415</v>
          </cell>
          <cell r="I105">
            <v>1529899511.8951981</v>
          </cell>
        </row>
        <row r="106">
          <cell r="A106">
            <v>89</v>
          </cell>
          <cell r="B106">
            <v>42583</v>
          </cell>
          <cell r="C106">
            <v>1529899511.8951981</v>
          </cell>
          <cell r="D106">
            <v>55741172.697126448</v>
          </cell>
          <cell r="E106">
            <v>0</v>
          </cell>
          <cell r="F106">
            <v>55741172.697126448</v>
          </cell>
          <cell r="G106">
            <v>41079635.708130799</v>
          </cell>
          <cell r="H106">
            <v>14661536.988995649</v>
          </cell>
          <cell r="I106">
            <v>1488819876.1870673</v>
          </cell>
        </row>
        <row r="107">
          <cell r="A107">
            <v>90</v>
          </cell>
          <cell r="B107">
            <v>42614</v>
          </cell>
          <cell r="C107">
            <v>1488819876.1870673</v>
          </cell>
          <cell r="D107">
            <v>55741172.697126448</v>
          </cell>
          <cell r="E107">
            <v>0</v>
          </cell>
          <cell r="F107">
            <v>55741172.697126448</v>
          </cell>
          <cell r="G107">
            <v>41473315.550333716</v>
          </cell>
          <cell r="H107">
            <v>14267857.14679273</v>
          </cell>
          <cell r="I107">
            <v>1447346560.6367335</v>
          </cell>
        </row>
        <row r="108">
          <cell r="A108">
            <v>91</v>
          </cell>
          <cell r="B108">
            <v>42644</v>
          </cell>
          <cell r="C108">
            <v>1447346560.6367335</v>
          </cell>
          <cell r="D108">
            <v>55741172.697126448</v>
          </cell>
          <cell r="E108">
            <v>0</v>
          </cell>
          <cell r="F108">
            <v>55741172.697126448</v>
          </cell>
          <cell r="G108">
            <v>41870768.157691084</v>
          </cell>
          <cell r="H108">
            <v>13870404.539435364</v>
          </cell>
          <cell r="I108">
            <v>1405475792.4790425</v>
          </cell>
        </row>
        <row r="109">
          <cell r="A109">
            <v>92</v>
          </cell>
          <cell r="B109">
            <v>42675</v>
          </cell>
          <cell r="C109">
            <v>1405475792.4790425</v>
          </cell>
          <cell r="D109">
            <v>55741172.697126448</v>
          </cell>
          <cell r="E109">
            <v>0</v>
          </cell>
          <cell r="F109">
            <v>55741172.697126448</v>
          </cell>
          <cell r="G109">
            <v>42272029.685868956</v>
          </cell>
          <cell r="H109">
            <v>13469143.011257492</v>
          </cell>
          <cell r="I109">
            <v>1363203762.7931736</v>
          </cell>
        </row>
        <row r="110">
          <cell r="A110">
            <v>93</v>
          </cell>
          <cell r="B110">
            <v>42705</v>
          </cell>
          <cell r="C110">
            <v>1363203762.7931736</v>
          </cell>
          <cell r="D110">
            <v>55741172.697126448</v>
          </cell>
          <cell r="E110">
            <v>0</v>
          </cell>
          <cell r="F110">
            <v>55741172.697126448</v>
          </cell>
          <cell r="G110">
            <v>42677136.6370252</v>
          </cell>
          <cell r="H110">
            <v>13064036.060101248</v>
          </cell>
          <cell r="I110">
            <v>1320526626.1561484</v>
          </cell>
        </row>
        <row r="111">
          <cell r="A111">
            <v>94</v>
          </cell>
          <cell r="B111">
            <v>42736</v>
          </cell>
          <cell r="C111">
            <v>1320526626.1561484</v>
          </cell>
          <cell r="D111">
            <v>55741172.697126448</v>
          </cell>
          <cell r="E111">
            <v>0</v>
          </cell>
          <cell r="F111">
            <v>55741172.697126448</v>
          </cell>
          <cell r="G111">
            <v>43086125.863130026</v>
          </cell>
          <cell r="H111">
            <v>12655046.833996423</v>
          </cell>
          <cell r="I111">
            <v>1277440500.2930183</v>
          </cell>
        </row>
        <row r="112">
          <cell r="A112">
            <v>95</v>
          </cell>
          <cell r="B112">
            <v>42767</v>
          </cell>
          <cell r="C112">
            <v>1277440500.2930183</v>
          </cell>
          <cell r="D112">
            <v>55741172.697126448</v>
          </cell>
          <cell r="E112">
            <v>0</v>
          </cell>
          <cell r="F112">
            <v>55741172.697126448</v>
          </cell>
          <cell r="G112">
            <v>43499034.569318354</v>
          </cell>
          <cell r="H112">
            <v>12242138.127808094</v>
          </cell>
          <cell r="I112">
            <v>1233941465.7237</v>
          </cell>
        </row>
        <row r="113">
          <cell r="A113">
            <v>96</v>
          </cell>
          <cell r="B113">
            <v>42795</v>
          </cell>
          <cell r="C113">
            <v>1233941465.7237</v>
          </cell>
          <cell r="D113">
            <v>55741172.697126448</v>
          </cell>
          <cell r="E113">
            <v>0</v>
          </cell>
          <cell r="F113">
            <v>55741172.697126448</v>
          </cell>
          <cell r="G113">
            <v>43915900.317274325</v>
          </cell>
          <cell r="H113">
            <v>11825272.379852125</v>
          </cell>
          <cell r="I113">
            <v>1190025565.4064257</v>
          </cell>
        </row>
        <row r="114">
          <cell r="A114">
            <v>97</v>
          </cell>
          <cell r="B114">
            <v>42826</v>
          </cell>
          <cell r="C114">
            <v>1190025565.4064257</v>
          </cell>
          <cell r="D114">
            <v>55741172.697126448</v>
          </cell>
          <cell r="E114">
            <v>0</v>
          </cell>
          <cell r="F114">
            <v>55741172.697126448</v>
          </cell>
          <cell r="G114">
            <v>44336761.028648198</v>
          </cell>
          <cell r="H114">
            <v>11404411.668478249</v>
          </cell>
          <cell r="I114">
            <v>1145688804.3777776</v>
          </cell>
        </row>
        <row r="115">
          <cell r="A115">
            <v>98</v>
          </cell>
          <cell r="B115">
            <v>42856</v>
          </cell>
          <cell r="C115">
            <v>1145688804.3777776</v>
          </cell>
          <cell r="D115">
            <v>55741172.697126448</v>
          </cell>
          <cell r="E115">
            <v>0</v>
          </cell>
          <cell r="F115">
            <v>55741172.697126448</v>
          </cell>
          <cell r="G115">
            <v>44761654.988506079</v>
          </cell>
          <cell r="H115">
            <v>10979517.708620369</v>
          </cell>
          <cell r="I115">
            <v>1100927149.3892715</v>
          </cell>
        </row>
        <row r="116">
          <cell r="A116">
            <v>99</v>
          </cell>
          <cell r="B116">
            <v>42887</v>
          </cell>
          <cell r="C116">
            <v>1100927149.3892715</v>
          </cell>
          <cell r="D116">
            <v>55741172.697126448</v>
          </cell>
          <cell r="E116">
            <v>0</v>
          </cell>
          <cell r="F116">
            <v>55741172.697126448</v>
          </cell>
          <cell r="G116">
            <v>45190620.848812595</v>
          </cell>
          <cell r="H116">
            <v>10550551.848313851</v>
          </cell>
          <cell r="I116">
            <v>1055736528.5404589</v>
          </cell>
        </row>
        <row r="117">
          <cell r="A117">
            <v>100</v>
          </cell>
          <cell r="B117">
            <v>42917</v>
          </cell>
          <cell r="C117">
            <v>1055736528.5404589</v>
          </cell>
          <cell r="D117">
            <v>55741172.697126448</v>
          </cell>
          <cell r="E117">
            <v>0</v>
          </cell>
          <cell r="F117">
            <v>55741172.697126448</v>
          </cell>
          <cell r="G117">
            <v>45623697.631947048</v>
          </cell>
          <cell r="H117">
            <v>10117475.065179398</v>
          </cell>
          <cell r="I117">
            <v>1010112830.9085119</v>
          </cell>
        </row>
        <row r="118">
          <cell r="A118">
            <v>101</v>
          </cell>
          <cell r="B118">
            <v>42948</v>
          </cell>
          <cell r="C118">
            <v>1010112830.9085119</v>
          </cell>
          <cell r="D118">
            <v>55741172.697126448</v>
          </cell>
          <cell r="E118">
            <v>0</v>
          </cell>
          <cell r="F118">
            <v>55741172.697126448</v>
          </cell>
          <cell r="G118">
            <v>46060924.734253213</v>
          </cell>
          <cell r="H118">
            <v>9680247.9628732391</v>
          </cell>
          <cell r="I118">
            <v>964051906.17425871</v>
          </cell>
        </row>
        <row r="119">
          <cell r="A119">
            <v>102</v>
          </cell>
          <cell r="B119">
            <v>42979</v>
          </cell>
          <cell r="C119">
            <v>964051906.17425871</v>
          </cell>
          <cell r="D119">
            <v>55741172.697126448</v>
          </cell>
          <cell r="E119">
            <v>0</v>
          </cell>
          <cell r="F119">
            <v>55741172.697126448</v>
          </cell>
          <cell r="G119">
            <v>46502341.929623134</v>
          </cell>
          <cell r="H119">
            <v>9238830.7675033119</v>
          </cell>
          <cell r="I119">
            <v>917549564.24463558</v>
          </cell>
        </row>
        <row r="120">
          <cell r="A120">
            <v>103</v>
          </cell>
          <cell r="B120">
            <v>43009</v>
          </cell>
          <cell r="C120">
            <v>917549564.24463558</v>
          </cell>
          <cell r="D120">
            <v>55741172.697126448</v>
          </cell>
          <cell r="E120">
            <v>0</v>
          </cell>
          <cell r="F120">
            <v>55741172.697126448</v>
          </cell>
          <cell r="G120">
            <v>46947989.373115361</v>
          </cell>
          <cell r="H120">
            <v>8793183.3240110911</v>
          </cell>
          <cell r="I120">
            <v>870601574.87152028</v>
          </cell>
        </row>
        <row r="121">
          <cell r="A121">
            <v>104</v>
          </cell>
          <cell r="B121">
            <v>43040</v>
          </cell>
          <cell r="C121">
            <v>870601574.87152028</v>
          </cell>
          <cell r="D121">
            <v>55741172.697126448</v>
          </cell>
          <cell r="E121">
            <v>0</v>
          </cell>
          <cell r="F121">
            <v>55741172.697126448</v>
          </cell>
          <cell r="G121">
            <v>47397907.604607709</v>
          </cell>
          <cell r="H121">
            <v>8343265.0925187366</v>
          </cell>
          <cell r="I121">
            <v>823203667.26691258</v>
          </cell>
        </row>
        <row r="122">
          <cell r="A122">
            <v>105</v>
          </cell>
          <cell r="B122">
            <v>43070</v>
          </cell>
          <cell r="C122">
            <v>823203667.26691258</v>
          </cell>
          <cell r="D122">
            <v>55741172.697126448</v>
          </cell>
          <cell r="E122">
            <v>0</v>
          </cell>
          <cell r="F122">
            <v>55741172.697126448</v>
          </cell>
          <cell r="G122">
            <v>47852137.552485205</v>
          </cell>
          <cell r="H122">
            <v>7889035.1446412457</v>
          </cell>
          <cell r="I122">
            <v>775351529.71442735</v>
          </cell>
        </row>
        <row r="123">
          <cell r="A123">
            <v>106</v>
          </cell>
          <cell r="B123">
            <v>43101</v>
          </cell>
          <cell r="C123">
            <v>775351529.71442735</v>
          </cell>
          <cell r="D123">
            <v>55741172.697126448</v>
          </cell>
          <cell r="E123">
            <v>0</v>
          </cell>
          <cell r="F123">
            <v>55741172.697126448</v>
          </cell>
          <cell r="G123">
            <v>48310720.537363186</v>
          </cell>
          <cell r="H123">
            <v>7430452.1597632626</v>
          </cell>
          <cell r="I123">
            <v>727040809.17706418</v>
          </cell>
        </row>
        <row r="124">
          <cell r="A124">
            <v>107</v>
          </cell>
          <cell r="B124">
            <v>43132</v>
          </cell>
          <cell r="C124">
            <v>727040809.17706418</v>
          </cell>
          <cell r="D124">
            <v>55741172.697126448</v>
          </cell>
          <cell r="E124">
            <v>0</v>
          </cell>
          <cell r="F124">
            <v>55741172.697126448</v>
          </cell>
          <cell r="G124">
            <v>48773698.27584625</v>
          </cell>
          <cell r="H124">
            <v>6967474.4212801987</v>
          </cell>
          <cell r="I124">
            <v>678267110.90121794</v>
          </cell>
        </row>
        <row r="125">
          <cell r="A125">
            <v>108</v>
          </cell>
          <cell r="B125">
            <v>43160</v>
          </cell>
          <cell r="C125">
            <v>678267110.90121794</v>
          </cell>
          <cell r="D125">
            <v>55741172.697126448</v>
          </cell>
          <cell r="E125">
            <v>0</v>
          </cell>
          <cell r="F125">
            <v>55741172.697126448</v>
          </cell>
          <cell r="G125">
            <v>49241112.884323105</v>
          </cell>
          <cell r="H125">
            <v>6500059.8128033392</v>
          </cell>
          <cell r="I125">
            <v>629025998.01689482</v>
          </cell>
        </row>
        <row r="126">
          <cell r="A126">
            <v>109</v>
          </cell>
          <cell r="B126">
            <v>43191</v>
          </cell>
          <cell r="C126">
            <v>629025998.01689482</v>
          </cell>
          <cell r="D126">
            <v>55741172.697126448</v>
          </cell>
          <cell r="E126">
            <v>0</v>
          </cell>
          <cell r="F126">
            <v>55741172.697126448</v>
          </cell>
          <cell r="G126">
            <v>49713006.882797875</v>
          </cell>
          <cell r="H126">
            <v>6028165.8143285764</v>
          </cell>
          <cell r="I126">
            <v>579312991.13409698</v>
          </cell>
        </row>
        <row r="127">
          <cell r="A127">
            <v>110</v>
          </cell>
          <cell r="B127">
            <v>43221</v>
          </cell>
          <cell r="C127">
            <v>579312991.13409698</v>
          </cell>
          <cell r="D127">
            <v>55741172.697126448</v>
          </cell>
          <cell r="E127">
            <v>0</v>
          </cell>
          <cell r="F127">
            <v>55741172.697126448</v>
          </cell>
          <cell r="G127">
            <v>50189423.198758021</v>
          </cell>
          <cell r="H127">
            <v>5551749.49836843</v>
          </cell>
          <cell r="I127">
            <v>529123567.93533897</v>
          </cell>
        </row>
        <row r="128">
          <cell r="A128">
            <v>111</v>
          </cell>
          <cell r="B128">
            <v>43252</v>
          </cell>
          <cell r="C128">
            <v>529123567.93533897</v>
          </cell>
          <cell r="D128">
            <v>55741172.697126448</v>
          </cell>
          <cell r="E128">
            <v>0</v>
          </cell>
          <cell r="F128">
            <v>55741172.697126448</v>
          </cell>
          <cell r="G128">
            <v>50670405.171079449</v>
          </cell>
          <cell r="H128">
            <v>5070767.5260469988</v>
          </cell>
          <cell r="I128">
            <v>478453162.76425952</v>
          </cell>
        </row>
        <row r="129">
          <cell r="A129">
            <v>112</v>
          </cell>
          <cell r="B129">
            <v>43282</v>
          </cell>
          <cell r="C129">
            <v>478453162.76425952</v>
          </cell>
          <cell r="D129">
            <v>55741172.697126448</v>
          </cell>
          <cell r="E129">
            <v>0</v>
          </cell>
          <cell r="F129">
            <v>55741172.697126448</v>
          </cell>
          <cell r="G129">
            <v>51155996.553968959</v>
          </cell>
          <cell r="H129">
            <v>4585176.1431574868</v>
          </cell>
          <cell r="I129">
            <v>427297166.21029055</v>
          </cell>
        </row>
        <row r="130">
          <cell r="A130">
            <v>113</v>
          </cell>
          <cell r="B130">
            <v>43313</v>
          </cell>
          <cell r="C130">
            <v>427297166.21029055</v>
          </cell>
          <cell r="D130">
            <v>55741172.697126448</v>
          </cell>
          <cell r="E130">
            <v>0</v>
          </cell>
          <cell r="F130">
            <v>55741172.697126448</v>
          </cell>
          <cell r="G130">
            <v>51646241.520944498</v>
          </cell>
          <cell r="H130">
            <v>4094931.1761819515</v>
          </cell>
          <cell r="I130">
            <v>375650924.68934608</v>
          </cell>
        </row>
        <row r="131">
          <cell r="A131">
            <v>114</v>
          </cell>
          <cell r="B131">
            <v>43344</v>
          </cell>
          <cell r="C131">
            <v>375650924.68934608</v>
          </cell>
          <cell r="D131">
            <v>55741172.697126448</v>
          </cell>
          <cell r="E131">
            <v>0</v>
          </cell>
          <cell r="F131">
            <v>55741172.697126448</v>
          </cell>
          <cell r="G131">
            <v>52141184.668853551</v>
          </cell>
          <cell r="H131">
            <v>3599988.0282729003</v>
          </cell>
          <cell r="I131">
            <v>323509740.02049255</v>
          </cell>
        </row>
        <row r="132">
          <cell r="A132">
            <v>115</v>
          </cell>
          <cell r="B132">
            <v>43374</v>
          </cell>
          <cell r="C132">
            <v>323509740.02049255</v>
          </cell>
          <cell r="D132">
            <v>55741172.697126448</v>
          </cell>
          <cell r="E132">
            <v>0</v>
          </cell>
          <cell r="F132">
            <v>55741172.697126448</v>
          </cell>
          <cell r="G132">
            <v>52640871.021930061</v>
          </cell>
          <cell r="H132">
            <v>3100301.6751963869</v>
          </cell>
          <cell r="I132">
            <v>270868868.99856251</v>
          </cell>
        </row>
        <row r="133">
          <cell r="A133">
            <v>116</v>
          </cell>
          <cell r="B133">
            <v>43405</v>
          </cell>
          <cell r="C133">
            <v>270868868.99856251</v>
          </cell>
          <cell r="D133">
            <v>55741172.697126448</v>
          </cell>
          <cell r="E133">
            <v>0</v>
          </cell>
          <cell r="F133">
            <v>55741172.697126448</v>
          </cell>
          <cell r="G133">
            <v>53145346.035890222</v>
          </cell>
          <cell r="H133">
            <v>2595826.6612362242</v>
          </cell>
          <cell r="I133">
            <v>217723522.96267229</v>
          </cell>
        </row>
        <row r="134">
          <cell r="A134">
            <v>117</v>
          </cell>
          <cell r="B134">
            <v>43435</v>
          </cell>
          <cell r="C134">
            <v>217723522.96267229</v>
          </cell>
          <cell r="D134">
            <v>55741172.697126448</v>
          </cell>
          <cell r="E134">
            <v>0</v>
          </cell>
          <cell r="F134">
            <v>55741172.697126448</v>
          </cell>
          <cell r="G134">
            <v>53654655.602067508</v>
          </cell>
          <cell r="H134">
            <v>2086517.0950589429</v>
          </cell>
          <cell r="I134">
            <v>164068867.36060479</v>
          </cell>
        </row>
        <row r="135">
          <cell r="A135">
            <v>118</v>
          </cell>
          <cell r="B135">
            <v>43466</v>
          </cell>
          <cell r="C135">
            <v>164068867.36060479</v>
          </cell>
          <cell r="D135">
            <v>55741172.697126448</v>
          </cell>
          <cell r="E135">
            <v>0</v>
          </cell>
          <cell r="F135">
            <v>55741172.697126448</v>
          </cell>
          <cell r="G135">
            <v>54168846.051587321</v>
          </cell>
          <cell r="H135">
            <v>1572326.6455391294</v>
          </cell>
          <cell r="I135">
            <v>109900021.30901748</v>
          </cell>
        </row>
        <row r="136">
          <cell r="A136">
            <v>119</v>
          </cell>
          <cell r="B136">
            <v>43497</v>
          </cell>
          <cell r="C136">
            <v>109900021.30901748</v>
          </cell>
          <cell r="D136">
            <v>55741172.697126448</v>
          </cell>
          <cell r="E136">
            <v>0</v>
          </cell>
          <cell r="F136">
            <v>55741172.697126448</v>
          </cell>
          <cell r="G136">
            <v>54687964.159581698</v>
          </cell>
          <cell r="H136">
            <v>1053208.5375447508</v>
          </cell>
          <cell r="I136">
            <v>55212057.149435781</v>
          </cell>
        </row>
        <row r="137">
          <cell r="A137">
            <v>120</v>
          </cell>
          <cell r="B137">
            <v>43525</v>
          </cell>
          <cell r="C137">
            <v>55212057.149435781</v>
          </cell>
          <cell r="D137">
            <v>55741172.697126448</v>
          </cell>
          <cell r="E137">
            <v>0</v>
          </cell>
          <cell r="F137">
            <v>55212057.149435781</v>
          </cell>
          <cell r="G137">
            <v>54682941.601753689</v>
          </cell>
          <cell r="H137">
            <v>529115.54768209287</v>
          </cell>
          <cell r="I137">
            <v>0</v>
          </cell>
        </row>
        <row r="138">
          <cell r="A138">
            <v>121</v>
          </cell>
          <cell r="B138">
            <v>43556</v>
          </cell>
          <cell r="C138">
            <v>0</v>
          </cell>
          <cell r="D138">
            <v>55741172.697126448</v>
          </cell>
          <cell r="E138">
            <v>0</v>
          </cell>
          <cell r="F138">
            <v>0</v>
          </cell>
          <cell r="G138">
            <v>0</v>
          </cell>
          <cell r="H138">
            <v>0</v>
          </cell>
          <cell r="I138">
            <v>0</v>
          </cell>
        </row>
        <row r="139">
          <cell r="A139">
            <v>122</v>
          </cell>
          <cell r="B139">
            <v>43586</v>
          </cell>
          <cell r="C139">
            <v>0</v>
          </cell>
          <cell r="D139">
            <v>55741172.697126448</v>
          </cell>
          <cell r="E139">
            <v>0</v>
          </cell>
          <cell r="F139">
            <v>0</v>
          </cell>
          <cell r="G139">
            <v>0</v>
          </cell>
          <cell r="H139">
            <v>0</v>
          </cell>
          <cell r="I139">
            <v>0</v>
          </cell>
        </row>
        <row r="140">
          <cell r="A140">
            <v>123</v>
          </cell>
          <cell r="B140">
            <v>43617</v>
          </cell>
          <cell r="C140">
            <v>0</v>
          </cell>
          <cell r="D140">
            <v>55741172.697126448</v>
          </cell>
          <cell r="E140">
            <v>0</v>
          </cell>
          <cell r="F140">
            <v>0</v>
          </cell>
          <cell r="G140">
            <v>0</v>
          </cell>
          <cell r="H140">
            <v>0</v>
          </cell>
          <cell r="I140">
            <v>0</v>
          </cell>
        </row>
        <row r="141">
          <cell r="A141">
            <v>124</v>
          </cell>
          <cell r="B141">
            <v>43647</v>
          </cell>
          <cell r="C141">
            <v>0</v>
          </cell>
          <cell r="D141">
            <v>55741172.697126448</v>
          </cell>
          <cell r="E141">
            <v>0</v>
          </cell>
          <cell r="F141">
            <v>0</v>
          </cell>
          <cell r="G141">
            <v>0</v>
          </cell>
          <cell r="H141">
            <v>0</v>
          </cell>
          <cell r="I141">
            <v>0</v>
          </cell>
        </row>
        <row r="142">
          <cell r="A142">
            <v>125</v>
          </cell>
          <cell r="B142">
            <v>43678</v>
          </cell>
          <cell r="C142">
            <v>0</v>
          </cell>
          <cell r="D142">
            <v>55741172.697126448</v>
          </cell>
          <cell r="E142">
            <v>0</v>
          </cell>
          <cell r="F142">
            <v>0</v>
          </cell>
          <cell r="G142">
            <v>0</v>
          </cell>
          <cell r="H142">
            <v>0</v>
          </cell>
          <cell r="I142">
            <v>0</v>
          </cell>
        </row>
        <row r="143">
          <cell r="A143">
            <v>126</v>
          </cell>
          <cell r="B143">
            <v>43709</v>
          </cell>
          <cell r="C143">
            <v>0</v>
          </cell>
          <cell r="D143">
            <v>55741172.697126448</v>
          </cell>
          <cell r="E143">
            <v>0</v>
          </cell>
          <cell r="F143">
            <v>0</v>
          </cell>
          <cell r="G143">
            <v>0</v>
          </cell>
          <cell r="H143">
            <v>0</v>
          </cell>
          <cell r="I143">
            <v>0</v>
          </cell>
        </row>
        <row r="144">
          <cell r="A144">
            <v>127</v>
          </cell>
          <cell r="B144">
            <v>43739</v>
          </cell>
          <cell r="C144">
            <v>0</v>
          </cell>
          <cell r="D144">
            <v>55741172.697126448</v>
          </cell>
          <cell r="E144">
            <v>0</v>
          </cell>
          <cell r="F144">
            <v>0</v>
          </cell>
          <cell r="G144">
            <v>0</v>
          </cell>
          <cell r="H144">
            <v>0</v>
          </cell>
          <cell r="I144">
            <v>0</v>
          </cell>
        </row>
        <row r="145">
          <cell r="A145">
            <v>128</v>
          </cell>
          <cell r="B145">
            <v>43770</v>
          </cell>
          <cell r="C145">
            <v>0</v>
          </cell>
          <cell r="D145">
            <v>55741172.697126448</v>
          </cell>
          <cell r="E145">
            <v>0</v>
          </cell>
          <cell r="F145">
            <v>0</v>
          </cell>
          <cell r="G145">
            <v>0</v>
          </cell>
          <cell r="H145">
            <v>0</v>
          </cell>
          <cell r="I145">
            <v>0</v>
          </cell>
        </row>
        <row r="146">
          <cell r="A146">
            <v>129</v>
          </cell>
          <cell r="B146">
            <v>43800</v>
          </cell>
          <cell r="C146">
            <v>0</v>
          </cell>
          <cell r="D146">
            <v>55741172.697126448</v>
          </cell>
          <cell r="E146">
            <v>0</v>
          </cell>
          <cell r="F146">
            <v>0</v>
          </cell>
          <cell r="G146">
            <v>0</v>
          </cell>
          <cell r="H146">
            <v>0</v>
          </cell>
          <cell r="I146">
            <v>0</v>
          </cell>
        </row>
        <row r="147">
          <cell r="A147">
            <v>130</v>
          </cell>
          <cell r="B147">
            <v>43831</v>
          </cell>
          <cell r="C147">
            <v>0</v>
          </cell>
          <cell r="D147">
            <v>55741172.697126448</v>
          </cell>
          <cell r="E147">
            <v>0</v>
          </cell>
          <cell r="F147">
            <v>0</v>
          </cell>
          <cell r="G147">
            <v>0</v>
          </cell>
          <cell r="H147">
            <v>0</v>
          </cell>
          <cell r="I147">
            <v>0</v>
          </cell>
        </row>
        <row r="148">
          <cell r="A148">
            <v>131</v>
          </cell>
          <cell r="B148">
            <v>43862</v>
          </cell>
          <cell r="C148">
            <v>0</v>
          </cell>
          <cell r="D148">
            <v>55741172.697126448</v>
          </cell>
          <cell r="E148">
            <v>0</v>
          </cell>
          <cell r="F148">
            <v>0</v>
          </cell>
          <cell r="G148">
            <v>0</v>
          </cell>
          <cell r="H148">
            <v>0</v>
          </cell>
          <cell r="I148">
            <v>0</v>
          </cell>
        </row>
        <row r="149">
          <cell r="A149">
            <v>132</v>
          </cell>
          <cell r="B149">
            <v>43891</v>
          </cell>
          <cell r="C149">
            <v>0</v>
          </cell>
          <cell r="D149">
            <v>55741172.697126448</v>
          </cell>
          <cell r="E149">
            <v>0</v>
          </cell>
          <cell r="F149">
            <v>0</v>
          </cell>
          <cell r="G149">
            <v>0</v>
          </cell>
          <cell r="H149">
            <v>0</v>
          </cell>
          <cell r="I149">
            <v>0</v>
          </cell>
        </row>
        <row r="150">
          <cell r="A150">
            <v>133</v>
          </cell>
          <cell r="B150">
            <v>43922</v>
          </cell>
          <cell r="C150">
            <v>0</v>
          </cell>
          <cell r="D150">
            <v>55741172.697126448</v>
          </cell>
          <cell r="E150">
            <v>0</v>
          </cell>
          <cell r="F150">
            <v>0</v>
          </cell>
          <cell r="G150">
            <v>0</v>
          </cell>
          <cell r="H150">
            <v>0</v>
          </cell>
          <cell r="I150">
            <v>0</v>
          </cell>
        </row>
        <row r="151">
          <cell r="A151">
            <v>134</v>
          </cell>
          <cell r="B151">
            <v>43952</v>
          </cell>
          <cell r="C151">
            <v>0</v>
          </cell>
          <cell r="D151">
            <v>55741172.697126448</v>
          </cell>
          <cell r="E151">
            <v>0</v>
          </cell>
          <cell r="F151">
            <v>0</v>
          </cell>
          <cell r="G151">
            <v>0</v>
          </cell>
          <cell r="H151">
            <v>0</v>
          </cell>
          <cell r="I151">
            <v>0</v>
          </cell>
        </row>
        <row r="152">
          <cell r="A152">
            <v>135</v>
          </cell>
          <cell r="B152">
            <v>43983</v>
          </cell>
          <cell r="C152">
            <v>0</v>
          </cell>
          <cell r="D152">
            <v>55741172.697126448</v>
          </cell>
          <cell r="E152">
            <v>0</v>
          </cell>
          <cell r="F152">
            <v>0</v>
          </cell>
          <cell r="G152">
            <v>0</v>
          </cell>
          <cell r="H152">
            <v>0</v>
          </cell>
          <cell r="I152">
            <v>0</v>
          </cell>
        </row>
        <row r="153">
          <cell r="A153">
            <v>136</v>
          </cell>
          <cell r="B153">
            <v>44013</v>
          </cell>
          <cell r="C153">
            <v>0</v>
          </cell>
          <cell r="D153">
            <v>55741172.697126448</v>
          </cell>
          <cell r="E153">
            <v>0</v>
          </cell>
          <cell r="F153">
            <v>0</v>
          </cell>
          <cell r="G153">
            <v>0</v>
          </cell>
          <cell r="H153">
            <v>0</v>
          </cell>
          <cell r="I153">
            <v>0</v>
          </cell>
        </row>
        <row r="154">
          <cell r="A154">
            <v>137</v>
          </cell>
          <cell r="B154">
            <v>44044</v>
          </cell>
          <cell r="C154">
            <v>0</v>
          </cell>
          <cell r="D154">
            <v>55741172.697126448</v>
          </cell>
          <cell r="E154">
            <v>0</v>
          </cell>
          <cell r="F154">
            <v>0</v>
          </cell>
          <cell r="G154">
            <v>0</v>
          </cell>
          <cell r="H154">
            <v>0</v>
          </cell>
          <cell r="I154">
            <v>0</v>
          </cell>
        </row>
        <row r="155">
          <cell r="A155">
            <v>138</v>
          </cell>
          <cell r="B155">
            <v>44075</v>
          </cell>
          <cell r="C155">
            <v>0</v>
          </cell>
          <cell r="D155">
            <v>55741172.697126448</v>
          </cell>
          <cell r="E155">
            <v>0</v>
          </cell>
          <cell r="F155">
            <v>0</v>
          </cell>
          <cell r="G155">
            <v>0</v>
          </cell>
          <cell r="H155">
            <v>0</v>
          </cell>
          <cell r="I155">
            <v>0</v>
          </cell>
        </row>
        <row r="156">
          <cell r="A156">
            <v>139</v>
          </cell>
          <cell r="B156">
            <v>44105</v>
          </cell>
          <cell r="C156">
            <v>0</v>
          </cell>
          <cell r="D156">
            <v>55741172.697126448</v>
          </cell>
          <cell r="E156">
            <v>0</v>
          </cell>
          <cell r="F156">
            <v>0</v>
          </cell>
          <cell r="G156">
            <v>0</v>
          </cell>
          <cell r="H156">
            <v>0</v>
          </cell>
          <cell r="I156">
            <v>0</v>
          </cell>
        </row>
        <row r="157">
          <cell r="A157">
            <v>140</v>
          </cell>
          <cell r="B157">
            <v>44136</v>
          </cell>
          <cell r="C157">
            <v>0</v>
          </cell>
          <cell r="D157">
            <v>55741172.697126448</v>
          </cell>
          <cell r="E157">
            <v>0</v>
          </cell>
          <cell r="F157">
            <v>0</v>
          </cell>
          <cell r="G157">
            <v>0</v>
          </cell>
          <cell r="H157">
            <v>0</v>
          </cell>
          <cell r="I157">
            <v>0</v>
          </cell>
        </row>
        <row r="158">
          <cell r="A158">
            <v>141</v>
          </cell>
          <cell r="B158">
            <v>44166</v>
          </cell>
          <cell r="C158">
            <v>0</v>
          </cell>
          <cell r="D158">
            <v>55741172.697126448</v>
          </cell>
          <cell r="E158">
            <v>0</v>
          </cell>
          <cell r="F158">
            <v>0</v>
          </cell>
          <cell r="G158">
            <v>0</v>
          </cell>
          <cell r="H158">
            <v>0</v>
          </cell>
          <cell r="I158">
            <v>0</v>
          </cell>
        </row>
        <row r="159">
          <cell r="A159">
            <v>142</v>
          </cell>
          <cell r="B159">
            <v>44197</v>
          </cell>
          <cell r="C159">
            <v>0</v>
          </cell>
          <cell r="D159">
            <v>55741172.697126448</v>
          </cell>
          <cell r="E159">
            <v>0</v>
          </cell>
          <cell r="F159">
            <v>0</v>
          </cell>
          <cell r="G159">
            <v>0</v>
          </cell>
          <cell r="H159">
            <v>0</v>
          </cell>
          <cell r="I159">
            <v>0</v>
          </cell>
        </row>
        <row r="160">
          <cell r="A160">
            <v>143</v>
          </cell>
          <cell r="B160">
            <v>44228</v>
          </cell>
          <cell r="C160">
            <v>0</v>
          </cell>
          <cell r="D160">
            <v>55741172.697126448</v>
          </cell>
          <cell r="E160">
            <v>0</v>
          </cell>
          <cell r="F160">
            <v>0</v>
          </cell>
          <cell r="G160">
            <v>0</v>
          </cell>
          <cell r="H160">
            <v>0</v>
          </cell>
          <cell r="I160">
            <v>0</v>
          </cell>
        </row>
        <row r="161">
          <cell r="A161">
            <v>144</v>
          </cell>
          <cell r="B161">
            <v>44256</v>
          </cell>
          <cell r="C161">
            <v>0</v>
          </cell>
          <cell r="D161">
            <v>55741172.697126448</v>
          </cell>
          <cell r="E161">
            <v>0</v>
          </cell>
          <cell r="F161">
            <v>0</v>
          </cell>
          <cell r="G161">
            <v>0</v>
          </cell>
          <cell r="H161">
            <v>0</v>
          </cell>
          <cell r="I161">
            <v>0</v>
          </cell>
        </row>
        <row r="162">
          <cell r="A162">
            <v>145</v>
          </cell>
          <cell r="B162">
            <v>44287</v>
          </cell>
          <cell r="C162">
            <v>0</v>
          </cell>
          <cell r="D162">
            <v>55741172.697126448</v>
          </cell>
          <cell r="E162">
            <v>0</v>
          </cell>
          <cell r="F162">
            <v>0</v>
          </cell>
          <cell r="G162">
            <v>0</v>
          </cell>
          <cell r="H162">
            <v>0</v>
          </cell>
          <cell r="I162">
            <v>0</v>
          </cell>
        </row>
        <row r="163">
          <cell r="A163">
            <v>146</v>
          </cell>
          <cell r="B163">
            <v>44317</v>
          </cell>
          <cell r="C163">
            <v>0</v>
          </cell>
          <cell r="D163">
            <v>55741172.697126448</v>
          </cell>
          <cell r="E163">
            <v>0</v>
          </cell>
          <cell r="F163">
            <v>0</v>
          </cell>
          <cell r="G163">
            <v>0</v>
          </cell>
          <cell r="H163">
            <v>0</v>
          </cell>
          <cell r="I163">
            <v>0</v>
          </cell>
        </row>
        <row r="164">
          <cell r="A164">
            <v>147</v>
          </cell>
          <cell r="B164">
            <v>44348</v>
          </cell>
          <cell r="C164">
            <v>0</v>
          </cell>
          <cell r="D164">
            <v>55741172.697126448</v>
          </cell>
          <cell r="E164">
            <v>0</v>
          </cell>
          <cell r="F164">
            <v>0</v>
          </cell>
          <cell r="G164">
            <v>0</v>
          </cell>
          <cell r="H164">
            <v>0</v>
          </cell>
          <cell r="I164">
            <v>0</v>
          </cell>
        </row>
        <row r="165">
          <cell r="A165">
            <v>148</v>
          </cell>
          <cell r="B165">
            <v>44378</v>
          </cell>
          <cell r="C165">
            <v>0</v>
          </cell>
          <cell r="D165">
            <v>55741172.697126448</v>
          </cell>
          <cell r="E165">
            <v>0</v>
          </cell>
          <cell r="F165">
            <v>0</v>
          </cell>
          <cell r="G165">
            <v>0</v>
          </cell>
          <cell r="H165">
            <v>0</v>
          </cell>
          <cell r="I165">
            <v>0</v>
          </cell>
        </row>
        <row r="166">
          <cell r="A166">
            <v>149</v>
          </cell>
          <cell r="B166">
            <v>44409</v>
          </cell>
          <cell r="C166">
            <v>0</v>
          </cell>
          <cell r="D166">
            <v>55741172.697126448</v>
          </cell>
          <cell r="E166">
            <v>0</v>
          </cell>
          <cell r="F166">
            <v>0</v>
          </cell>
          <cell r="G166">
            <v>0</v>
          </cell>
          <cell r="H166">
            <v>0</v>
          </cell>
          <cell r="I166">
            <v>0</v>
          </cell>
        </row>
        <row r="167">
          <cell r="A167">
            <v>150</v>
          </cell>
          <cell r="B167">
            <v>44440</v>
          </cell>
          <cell r="C167">
            <v>0</v>
          </cell>
          <cell r="D167">
            <v>55741172.697126448</v>
          </cell>
          <cell r="E167">
            <v>0</v>
          </cell>
          <cell r="F167">
            <v>0</v>
          </cell>
          <cell r="G167">
            <v>0</v>
          </cell>
          <cell r="H167">
            <v>0</v>
          </cell>
          <cell r="I167">
            <v>0</v>
          </cell>
        </row>
        <row r="168">
          <cell r="A168">
            <v>151</v>
          </cell>
          <cell r="B168">
            <v>44470</v>
          </cell>
          <cell r="C168">
            <v>0</v>
          </cell>
          <cell r="D168">
            <v>55741172.697126448</v>
          </cell>
          <cell r="E168">
            <v>0</v>
          </cell>
          <cell r="F168">
            <v>0</v>
          </cell>
          <cell r="G168">
            <v>0</v>
          </cell>
          <cell r="H168">
            <v>0</v>
          </cell>
          <cell r="I168">
            <v>0</v>
          </cell>
        </row>
        <row r="169">
          <cell r="A169">
            <v>152</v>
          </cell>
          <cell r="B169">
            <v>44501</v>
          </cell>
          <cell r="C169">
            <v>0</v>
          </cell>
          <cell r="D169">
            <v>55741172.697126448</v>
          </cell>
          <cell r="E169">
            <v>0</v>
          </cell>
          <cell r="F169">
            <v>0</v>
          </cell>
          <cell r="G169">
            <v>0</v>
          </cell>
          <cell r="H169">
            <v>0</v>
          </cell>
          <cell r="I169">
            <v>0</v>
          </cell>
        </row>
        <row r="170">
          <cell r="A170">
            <v>153</v>
          </cell>
          <cell r="B170">
            <v>44531</v>
          </cell>
          <cell r="C170">
            <v>0</v>
          </cell>
          <cell r="D170">
            <v>55741172.697126448</v>
          </cell>
          <cell r="E170">
            <v>0</v>
          </cell>
          <cell r="F170">
            <v>0</v>
          </cell>
          <cell r="G170">
            <v>0</v>
          </cell>
          <cell r="H170">
            <v>0</v>
          </cell>
          <cell r="I170">
            <v>0</v>
          </cell>
        </row>
        <row r="171">
          <cell r="A171">
            <v>154</v>
          </cell>
          <cell r="B171">
            <v>44562</v>
          </cell>
          <cell r="C171">
            <v>0</v>
          </cell>
          <cell r="D171">
            <v>55741172.697126448</v>
          </cell>
          <cell r="E171">
            <v>0</v>
          </cell>
          <cell r="F171">
            <v>0</v>
          </cell>
          <cell r="G171">
            <v>0</v>
          </cell>
          <cell r="H171">
            <v>0</v>
          </cell>
          <cell r="I171">
            <v>0</v>
          </cell>
        </row>
        <row r="172">
          <cell r="A172">
            <v>155</v>
          </cell>
          <cell r="B172">
            <v>44593</v>
          </cell>
          <cell r="C172">
            <v>0</v>
          </cell>
          <cell r="D172">
            <v>55741172.697126448</v>
          </cell>
          <cell r="E172">
            <v>0</v>
          </cell>
          <cell r="F172">
            <v>0</v>
          </cell>
          <cell r="G172">
            <v>0</v>
          </cell>
          <cell r="H172">
            <v>0</v>
          </cell>
          <cell r="I172">
            <v>0</v>
          </cell>
        </row>
        <row r="173">
          <cell r="A173">
            <v>156</v>
          </cell>
          <cell r="B173">
            <v>44621</v>
          </cell>
          <cell r="C173">
            <v>0</v>
          </cell>
          <cell r="D173">
            <v>55741172.697126448</v>
          </cell>
          <cell r="E173">
            <v>0</v>
          </cell>
          <cell r="F173">
            <v>0</v>
          </cell>
          <cell r="G173">
            <v>0</v>
          </cell>
          <cell r="H173">
            <v>0</v>
          </cell>
          <cell r="I173">
            <v>0</v>
          </cell>
        </row>
        <row r="174">
          <cell r="A174">
            <v>157</v>
          </cell>
          <cell r="B174">
            <v>44652</v>
          </cell>
          <cell r="C174">
            <v>0</v>
          </cell>
          <cell r="D174">
            <v>55741172.697126448</v>
          </cell>
          <cell r="E174">
            <v>0</v>
          </cell>
          <cell r="F174">
            <v>0</v>
          </cell>
          <cell r="G174">
            <v>0</v>
          </cell>
          <cell r="H174">
            <v>0</v>
          </cell>
          <cell r="I174">
            <v>0</v>
          </cell>
        </row>
        <row r="175">
          <cell r="A175">
            <v>158</v>
          </cell>
          <cell r="B175">
            <v>44682</v>
          </cell>
          <cell r="C175">
            <v>0</v>
          </cell>
          <cell r="D175">
            <v>55741172.697126448</v>
          </cell>
          <cell r="E175">
            <v>0</v>
          </cell>
          <cell r="F175">
            <v>0</v>
          </cell>
          <cell r="G175">
            <v>0</v>
          </cell>
          <cell r="H175">
            <v>0</v>
          </cell>
          <cell r="I175">
            <v>0</v>
          </cell>
        </row>
        <row r="176">
          <cell r="A176">
            <v>159</v>
          </cell>
          <cell r="B176">
            <v>44713</v>
          </cell>
          <cell r="C176">
            <v>0</v>
          </cell>
          <cell r="D176">
            <v>55741172.697126448</v>
          </cell>
          <cell r="E176">
            <v>0</v>
          </cell>
          <cell r="F176">
            <v>0</v>
          </cell>
          <cell r="G176">
            <v>0</v>
          </cell>
          <cell r="H176">
            <v>0</v>
          </cell>
          <cell r="I176">
            <v>0</v>
          </cell>
        </row>
        <row r="177">
          <cell r="A177">
            <v>160</v>
          </cell>
          <cell r="B177">
            <v>44743</v>
          </cell>
          <cell r="C177">
            <v>0</v>
          </cell>
          <cell r="D177">
            <v>55741172.697126448</v>
          </cell>
          <cell r="E177">
            <v>0</v>
          </cell>
          <cell r="F177">
            <v>0</v>
          </cell>
          <cell r="G177">
            <v>0</v>
          </cell>
          <cell r="H177">
            <v>0</v>
          </cell>
          <cell r="I177">
            <v>0</v>
          </cell>
        </row>
        <row r="178">
          <cell r="A178">
            <v>161</v>
          </cell>
          <cell r="B178">
            <v>44774</v>
          </cell>
          <cell r="C178">
            <v>0</v>
          </cell>
          <cell r="D178">
            <v>55741172.697126448</v>
          </cell>
          <cell r="E178">
            <v>0</v>
          </cell>
          <cell r="F178">
            <v>0</v>
          </cell>
          <cell r="G178">
            <v>0</v>
          </cell>
          <cell r="H178">
            <v>0</v>
          </cell>
          <cell r="I178">
            <v>0</v>
          </cell>
        </row>
        <row r="179">
          <cell r="A179">
            <v>162</v>
          </cell>
          <cell r="B179">
            <v>44805</v>
          </cell>
          <cell r="C179">
            <v>0</v>
          </cell>
          <cell r="D179">
            <v>55741172.697126448</v>
          </cell>
          <cell r="E179">
            <v>0</v>
          </cell>
          <cell r="F179">
            <v>0</v>
          </cell>
          <cell r="G179">
            <v>0</v>
          </cell>
          <cell r="H179">
            <v>0</v>
          </cell>
          <cell r="I179">
            <v>0</v>
          </cell>
        </row>
        <row r="180">
          <cell r="A180">
            <v>163</v>
          </cell>
          <cell r="B180">
            <v>44835</v>
          </cell>
          <cell r="C180">
            <v>0</v>
          </cell>
          <cell r="D180">
            <v>55741172.697126448</v>
          </cell>
          <cell r="E180">
            <v>0</v>
          </cell>
          <cell r="F180">
            <v>0</v>
          </cell>
          <cell r="G180">
            <v>0</v>
          </cell>
          <cell r="H180">
            <v>0</v>
          </cell>
          <cell r="I180">
            <v>0</v>
          </cell>
        </row>
        <row r="181">
          <cell r="A181">
            <v>164</v>
          </cell>
          <cell r="B181">
            <v>44866</v>
          </cell>
          <cell r="C181">
            <v>0</v>
          </cell>
          <cell r="D181">
            <v>55741172.697126448</v>
          </cell>
          <cell r="E181">
            <v>0</v>
          </cell>
          <cell r="F181">
            <v>0</v>
          </cell>
          <cell r="G181">
            <v>0</v>
          </cell>
          <cell r="H181">
            <v>0</v>
          </cell>
          <cell r="I181">
            <v>0</v>
          </cell>
        </row>
        <row r="182">
          <cell r="A182">
            <v>165</v>
          </cell>
          <cell r="B182">
            <v>44896</v>
          </cell>
          <cell r="C182">
            <v>0</v>
          </cell>
          <cell r="D182">
            <v>55741172.697126448</v>
          </cell>
          <cell r="E182">
            <v>0</v>
          </cell>
          <cell r="F182">
            <v>0</v>
          </cell>
          <cell r="G182">
            <v>0</v>
          </cell>
          <cell r="H182">
            <v>0</v>
          </cell>
          <cell r="I182">
            <v>0</v>
          </cell>
        </row>
        <row r="183">
          <cell r="A183">
            <v>166</v>
          </cell>
          <cell r="B183">
            <v>44927</v>
          </cell>
          <cell r="C183">
            <v>0</v>
          </cell>
          <cell r="D183">
            <v>55741172.697126448</v>
          </cell>
          <cell r="E183">
            <v>0</v>
          </cell>
          <cell r="F183">
            <v>0</v>
          </cell>
          <cell r="G183">
            <v>0</v>
          </cell>
          <cell r="H183">
            <v>0</v>
          </cell>
          <cell r="I183">
            <v>0</v>
          </cell>
        </row>
        <row r="184">
          <cell r="A184">
            <v>167</v>
          </cell>
          <cell r="B184">
            <v>44958</v>
          </cell>
          <cell r="C184">
            <v>0</v>
          </cell>
          <cell r="D184">
            <v>55741172.697126448</v>
          </cell>
          <cell r="E184">
            <v>0</v>
          </cell>
          <cell r="F184">
            <v>0</v>
          </cell>
          <cell r="G184">
            <v>0</v>
          </cell>
          <cell r="H184">
            <v>0</v>
          </cell>
          <cell r="I184">
            <v>0</v>
          </cell>
        </row>
        <row r="185">
          <cell r="A185">
            <v>168</v>
          </cell>
          <cell r="B185">
            <v>44986</v>
          </cell>
          <cell r="C185">
            <v>0</v>
          </cell>
          <cell r="D185">
            <v>55741172.697126448</v>
          </cell>
          <cell r="E185">
            <v>0</v>
          </cell>
          <cell r="F185">
            <v>0</v>
          </cell>
          <cell r="G185">
            <v>0</v>
          </cell>
          <cell r="H185">
            <v>0</v>
          </cell>
          <cell r="I185">
            <v>0</v>
          </cell>
        </row>
        <row r="186">
          <cell r="A186">
            <v>169</v>
          </cell>
          <cell r="B186">
            <v>45017</v>
          </cell>
          <cell r="C186">
            <v>0</v>
          </cell>
          <cell r="D186">
            <v>55741172.697126448</v>
          </cell>
          <cell r="E186">
            <v>0</v>
          </cell>
          <cell r="F186">
            <v>0</v>
          </cell>
          <cell r="G186">
            <v>0</v>
          </cell>
          <cell r="H186">
            <v>0</v>
          </cell>
          <cell r="I186">
            <v>0</v>
          </cell>
        </row>
        <row r="187">
          <cell r="A187">
            <v>170</v>
          </cell>
          <cell r="B187">
            <v>45047</v>
          </cell>
          <cell r="C187">
            <v>0</v>
          </cell>
          <cell r="D187">
            <v>55741172.697126448</v>
          </cell>
          <cell r="E187">
            <v>0</v>
          </cell>
          <cell r="F187">
            <v>0</v>
          </cell>
          <cell r="G187">
            <v>0</v>
          </cell>
          <cell r="H187">
            <v>0</v>
          </cell>
          <cell r="I187">
            <v>0</v>
          </cell>
        </row>
        <row r="188">
          <cell r="A188">
            <v>171</v>
          </cell>
          <cell r="B188">
            <v>45078</v>
          </cell>
          <cell r="C188">
            <v>0</v>
          </cell>
          <cell r="D188">
            <v>55741172.697126448</v>
          </cell>
          <cell r="E188">
            <v>0</v>
          </cell>
          <cell r="F188">
            <v>0</v>
          </cell>
          <cell r="G188">
            <v>0</v>
          </cell>
          <cell r="H188">
            <v>0</v>
          </cell>
          <cell r="I188">
            <v>0</v>
          </cell>
        </row>
        <row r="189">
          <cell r="A189">
            <v>172</v>
          </cell>
          <cell r="B189">
            <v>45108</v>
          </cell>
          <cell r="C189">
            <v>0</v>
          </cell>
          <cell r="D189">
            <v>55741172.697126448</v>
          </cell>
          <cell r="E189">
            <v>0</v>
          </cell>
          <cell r="F189">
            <v>0</v>
          </cell>
          <cell r="G189">
            <v>0</v>
          </cell>
          <cell r="H189">
            <v>0</v>
          </cell>
          <cell r="I189">
            <v>0</v>
          </cell>
        </row>
        <row r="190">
          <cell r="A190">
            <v>173</v>
          </cell>
          <cell r="B190">
            <v>45139</v>
          </cell>
          <cell r="C190">
            <v>0</v>
          </cell>
          <cell r="D190">
            <v>55741172.697126448</v>
          </cell>
          <cell r="E190">
            <v>0</v>
          </cell>
          <cell r="F190">
            <v>0</v>
          </cell>
          <cell r="G190">
            <v>0</v>
          </cell>
          <cell r="H190">
            <v>0</v>
          </cell>
          <cell r="I190">
            <v>0</v>
          </cell>
        </row>
        <row r="191">
          <cell r="A191">
            <v>174</v>
          </cell>
          <cell r="B191">
            <v>45170</v>
          </cell>
          <cell r="C191">
            <v>0</v>
          </cell>
          <cell r="D191">
            <v>55741172.697126448</v>
          </cell>
          <cell r="E191">
            <v>0</v>
          </cell>
          <cell r="F191">
            <v>0</v>
          </cell>
          <cell r="G191">
            <v>0</v>
          </cell>
          <cell r="H191">
            <v>0</v>
          </cell>
          <cell r="I191">
            <v>0</v>
          </cell>
        </row>
        <row r="192">
          <cell r="A192">
            <v>175</v>
          </cell>
          <cell r="B192">
            <v>45200</v>
          </cell>
          <cell r="C192">
            <v>0</v>
          </cell>
          <cell r="D192">
            <v>55741172.697126448</v>
          </cell>
          <cell r="E192">
            <v>0</v>
          </cell>
          <cell r="F192">
            <v>0</v>
          </cell>
          <cell r="G192">
            <v>0</v>
          </cell>
          <cell r="H192">
            <v>0</v>
          </cell>
          <cell r="I192">
            <v>0</v>
          </cell>
        </row>
        <row r="193">
          <cell r="A193">
            <v>176</v>
          </cell>
          <cell r="B193">
            <v>45231</v>
          </cell>
          <cell r="C193">
            <v>0</v>
          </cell>
          <cell r="D193">
            <v>55741172.697126448</v>
          </cell>
          <cell r="E193">
            <v>0</v>
          </cell>
          <cell r="F193">
            <v>0</v>
          </cell>
          <cell r="G193">
            <v>0</v>
          </cell>
          <cell r="H193">
            <v>0</v>
          </cell>
          <cell r="I193">
            <v>0</v>
          </cell>
        </row>
        <row r="194">
          <cell r="A194">
            <v>177</v>
          </cell>
          <cell r="B194">
            <v>45261</v>
          </cell>
          <cell r="C194">
            <v>0</v>
          </cell>
          <cell r="D194">
            <v>55741172.697126448</v>
          </cell>
          <cell r="E194">
            <v>0</v>
          </cell>
          <cell r="F194">
            <v>0</v>
          </cell>
          <cell r="G194">
            <v>0</v>
          </cell>
          <cell r="H194">
            <v>0</v>
          </cell>
          <cell r="I194">
            <v>0</v>
          </cell>
        </row>
        <row r="195">
          <cell r="A195">
            <v>178</v>
          </cell>
          <cell r="B195">
            <v>45292</v>
          </cell>
          <cell r="C195">
            <v>0</v>
          </cell>
          <cell r="D195">
            <v>55741172.697126448</v>
          </cell>
          <cell r="E195">
            <v>0</v>
          </cell>
          <cell r="F195">
            <v>0</v>
          </cell>
          <cell r="G195">
            <v>0</v>
          </cell>
          <cell r="H195">
            <v>0</v>
          </cell>
          <cell r="I195">
            <v>0</v>
          </cell>
        </row>
        <row r="196">
          <cell r="A196">
            <v>179</v>
          </cell>
          <cell r="B196">
            <v>45323</v>
          </cell>
          <cell r="C196">
            <v>0</v>
          </cell>
          <cell r="D196">
            <v>55741172.697126448</v>
          </cell>
          <cell r="E196">
            <v>0</v>
          </cell>
          <cell r="F196">
            <v>0</v>
          </cell>
          <cell r="G196">
            <v>0</v>
          </cell>
          <cell r="H196">
            <v>0</v>
          </cell>
          <cell r="I196">
            <v>0</v>
          </cell>
        </row>
        <row r="197">
          <cell r="A197">
            <v>180</v>
          </cell>
          <cell r="B197">
            <v>45352</v>
          </cell>
          <cell r="C197">
            <v>0</v>
          </cell>
          <cell r="D197">
            <v>55741172.697126448</v>
          </cell>
          <cell r="E197">
            <v>0</v>
          </cell>
          <cell r="F197">
            <v>0</v>
          </cell>
          <cell r="G197">
            <v>0</v>
          </cell>
          <cell r="H197">
            <v>0</v>
          </cell>
          <cell r="I197">
            <v>0</v>
          </cell>
        </row>
        <row r="198">
          <cell r="A198">
            <v>181</v>
          </cell>
          <cell r="B198">
            <v>45383</v>
          </cell>
          <cell r="C198">
            <v>0</v>
          </cell>
          <cell r="D198">
            <v>55741172.697126448</v>
          </cell>
          <cell r="E198">
            <v>0</v>
          </cell>
          <cell r="F198">
            <v>0</v>
          </cell>
          <cell r="G198">
            <v>0</v>
          </cell>
          <cell r="H198">
            <v>0</v>
          </cell>
          <cell r="I198">
            <v>0</v>
          </cell>
        </row>
        <row r="199">
          <cell r="A199">
            <v>182</v>
          </cell>
          <cell r="B199">
            <v>45413</v>
          </cell>
          <cell r="C199">
            <v>0</v>
          </cell>
          <cell r="D199">
            <v>55741172.697126448</v>
          </cell>
          <cell r="E199">
            <v>0</v>
          </cell>
          <cell r="F199">
            <v>0</v>
          </cell>
          <cell r="G199">
            <v>0</v>
          </cell>
          <cell r="H199">
            <v>0</v>
          </cell>
          <cell r="I199">
            <v>0</v>
          </cell>
        </row>
        <row r="200">
          <cell r="A200">
            <v>183</v>
          </cell>
          <cell r="B200">
            <v>45444</v>
          </cell>
          <cell r="C200">
            <v>0</v>
          </cell>
          <cell r="D200">
            <v>55741172.697126448</v>
          </cell>
          <cell r="E200">
            <v>0</v>
          </cell>
          <cell r="F200">
            <v>0</v>
          </cell>
          <cell r="G200">
            <v>0</v>
          </cell>
          <cell r="H200">
            <v>0</v>
          </cell>
          <cell r="I200">
            <v>0</v>
          </cell>
        </row>
        <row r="201">
          <cell r="A201">
            <v>184</v>
          </cell>
          <cell r="B201">
            <v>45474</v>
          </cell>
          <cell r="C201">
            <v>0</v>
          </cell>
          <cell r="D201">
            <v>55741172.697126448</v>
          </cell>
          <cell r="E201">
            <v>0</v>
          </cell>
          <cell r="F201">
            <v>0</v>
          </cell>
          <cell r="G201">
            <v>0</v>
          </cell>
          <cell r="H201">
            <v>0</v>
          </cell>
          <cell r="I201">
            <v>0</v>
          </cell>
        </row>
        <row r="202">
          <cell r="A202">
            <v>185</v>
          </cell>
          <cell r="B202">
            <v>45505</v>
          </cell>
          <cell r="C202">
            <v>0</v>
          </cell>
          <cell r="D202">
            <v>55741172.697126448</v>
          </cell>
          <cell r="E202">
            <v>0</v>
          </cell>
          <cell r="F202">
            <v>0</v>
          </cell>
          <cell r="G202">
            <v>0</v>
          </cell>
          <cell r="H202">
            <v>0</v>
          </cell>
          <cell r="I202">
            <v>0</v>
          </cell>
        </row>
        <row r="203">
          <cell r="A203">
            <v>186</v>
          </cell>
          <cell r="B203">
            <v>45536</v>
          </cell>
          <cell r="C203">
            <v>0</v>
          </cell>
          <cell r="D203">
            <v>55741172.697126448</v>
          </cell>
          <cell r="E203">
            <v>0</v>
          </cell>
          <cell r="F203">
            <v>0</v>
          </cell>
          <cell r="G203">
            <v>0</v>
          </cell>
          <cell r="H203">
            <v>0</v>
          </cell>
          <cell r="I203">
            <v>0</v>
          </cell>
        </row>
        <row r="204">
          <cell r="A204">
            <v>187</v>
          </cell>
          <cell r="B204">
            <v>45566</v>
          </cell>
          <cell r="C204">
            <v>0</v>
          </cell>
          <cell r="D204">
            <v>55741172.697126448</v>
          </cell>
          <cell r="E204">
            <v>0</v>
          </cell>
          <cell r="F204">
            <v>0</v>
          </cell>
          <cell r="G204">
            <v>0</v>
          </cell>
          <cell r="H204">
            <v>0</v>
          </cell>
          <cell r="I204">
            <v>0</v>
          </cell>
        </row>
        <row r="205">
          <cell r="A205">
            <v>188</v>
          </cell>
          <cell r="B205">
            <v>45597</v>
          </cell>
          <cell r="C205">
            <v>0</v>
          </cell>
          <cell r="D205">
            <v>55741172.697126448</v>
          </cell>
          <cell r="E205">
            <v>0</v>
          </cell>
          <cell r="F205">
            <v>0</v>
          </cell>
          <cell r="G205">
            <v>0</v>
          </cell>
          <cell r="H205">
            <v>0</v>
          </cell>
          <cell r="I205">
            <v>0</v>
          </cell>
        </row>
        <row r="206">
          <cell r="A206">
            <v>189</v>
          </cell>
          <cell r="B206">
            <v>45627</v>
          </cell>
          <cell r="C206">
            <v>0</v>
          </cell>
          <cell r="D206">
            <v>55741172.697126448</v>
          </cell>
          <cell r="E206">
            <v>0</v>
          </cell>
          <cell r="F206">
            <v>0</v>
          </cell>
          <cell r="G206">
            <v>0</v>
          </cell>
          <cell r="H206">
            <v>0</v>
          </cell>
          <cell r="I206">
            <v>0</v>
          </cell>
        </row>
        <row r="207">
          <cell r="A207">
            <v>190</v>
          </cell>
          <cell r="B207">
            <v>45658</v>
          </cell>
          <cell r="C207">
            <v>0</v>
          </cell>
          <cell r="D207">
            <v>55741172.697126448</v>
          </cell>
          <cell r="E207">
            <v>0</v>
          </cell>
          <cell r="F207">
            <v>0</v>
          </cell>
          <cell r="G207">
            <v>0</v>
          </cell>
          <cell r="H207">
            <v>0</v>
          </cell>
          <cell r="I207">
            <v>0</v>
          </cell>
        </row>
        <row r="208">
          <cell r="A208">
            <v>191</v>
          </cell>
          <cell r="B208">
            <v>45689</v>
          </cell>
          <cell r="C208">
            <v>0</v>
          </cell>
          <cell r="D208">
            <v>55741172.697126448</v>
          </cell>
          <cell r="E208">
            <v>0</v>
          </cell>
          <cell r="F208">
            <v>0</v>
          </cell>
          <cell r="G208">
            <v>0</v>
          </cell>
          <cell r="H208">
            <v>0</v>
          </cell>
          <cell r="I208">
            <v>0</v>
          </cell>
        </row>
        <row r="209">
          <cell r="A209">
            <v>192</v>
          </cell>
          <cell r="B209">
            <v>45717</v>
          </cell>
          <cell r="C209">
            <v>0</v>
          </cell>
          <cell r="D209">
            <v>55741172.697126448</v>
          </cell>
          <cell r="E209">
            <v>0</v>
          </cell>
          <cell r="F209">
            <v>0</v>
          </cell>
          <cell r="G209">
            <v>0</v>
          </cell>
          <cell r="H209">
            <v>0</v>
          </cell>
          <cell r="I209">
            <v>0</v>
          </cell>
        </row>
        <row r="210">
          <cell r="A210">
            <v>193</v>
          </cell>
          <cell r="B210">
            <v>45748</v>
          </cell>
          <cell r="C210">
            <v>0</v>
          </cell>
          <cell r="D210">
            <v>55741172.697126448</v>
          </cell>
          <cell r="E210">
            <v>0</v>
          </cell>
          <cell r="F210">
            <v>0</v>
          </cell>
          <cell r="G210">
            <v>0</v>
          </cell>
          <cell r="H210">
            <v>0</v>
          </cell>
          <cell r="I210">
            <v>0</v>
          </cell>
        </row>
        <row r="211">
          <cell r="A211">
            <v>194</v>
          </cell>
          <cell r="B211">
            <v>45778</v>
          </cell>
          <cell r="C211">
            <v>0</v>
          </cell>
          <cell r="D211">
            <v>55741172.697126448</v>
          </cell>
          <cell r="E211">
            <v>0</v>
          </cell>
          <cell r="F211">
            <v>0</v>
          </cell>
          <cell r="G211">
            <v>0</v>
          </cell>
          <cell r="H211">
            <v>0</v>
          </cell>
          <cell r="I211">
            <v>0</v>
          </cell>
        </row>
        <row r="212">
          <cell r="A212">
            <v>195</v>
          </cell>
          <cell r="B212">
            <v>45809</v>
          </cell>
          <cell r="C212">
            <v>0</v>
          </cell>
          <cell r="D212">
            <v>55741172.697126448</v>
          </cell>
          <cell r="E212">
            <v>0</v>
          </cell>
          <cell r="F212">
            <v>0</v>
          </cell>
          <cell r="G212">
            <v>0</v>
          </cell>
          <cell r="H212">
            <v>0</v>
          </cell>
          <cell r="I212">
            <v>0</v>
          </cell>
        </row>
        <row r="213">
          <cell r="A213">
            <v>196</v>
          </cell>
          <cell r="B213">
            <v>45839</v>
          </cell>
          <cell r="C213">
            <v>0</v>
          </cell>
          <cell r="D213">
            <v>55741172.697126448</v>
          </cell>
          <cell r="E213">
            <v>0</v>
          </cell>
          <cell r="F213">
            <v>0</v>
          </cell>
          <cell r="G213">
            <v>0</v>
          </cell>
          <cell r="H213">
            <v>0</v>
          </cell>
          <cell r="I213">
            <v>0</v>
          </cell>
        </row>
        <row r="214">
          <cell r="A214">
            <v>197</v>
          </cell>
          <cell r="B214">
            <v>45870</v>
          </cell>
          <cell r="C214">
            <v>0</v>
          </cell>
          <cell r="D214">
            <v>55741172.697126448</v>
          </cell>
          <cell r="E214">
            <v>0</v>
          </cell>
          <cell r="F214">
            <v>0</v>
          </cell>
          <cell r="G214">
            <v>0</v>
          </cell>
          <cell r="H214">
            <v>0</v>
          </cell>
          <cell r="I214">
            <v>0</v>
          </cell>
        </row>
        <row r="215">
          <cell r="A215">
            <v>198</v>
          </cell>
          <cell r="B215">
            <v>45901</v>
          </cell>
          <cell r="C215">
            <v>0</v>
          </cell>
          <cell r="D215">
            <v>55741172.697126448</v>
          </cell>
          <cell r="E215">
            <v>0</v>
          </cell>
          <cell r="F215">
            <v>0</v>
          </cell>
          <cell r="G215">
            <v>0</v>
          </cell>
          <cell r="H215">
            <v>0</v>
          </cell>
          <cell r="I215">
            <v>0</v>
          </cell>
        </row>
        <row r="216">
          <cell r="A216">
            <v>199</v>
          </cell>
          <cell r="B216">
            <v>45931</v>
          </cell>
          <cell r="C216">
            <v>0</v>
          </cell>
          <cell r="D216">
            <v>55741172.697126448</v>
          </cell>
          <cell r="E216">
            <v>0</v>
          </cell>
          <cell r="F216">
            <v>0</v>
          </cell>
          <cell r="G216">
            <v>0</v>
          </cell>
          <cell r="H216">
            <v>0</v>
          </cell>
          <cell r="I216">
            <v>0</v>
          </cell>
        </row>
        <row r="217">
          <cell r="A217">
            <v>200</v>
          </cell>
          <cell r="B217">
            <v>45962</v>
          </cell>
          <cell r="C217">
            <v>0</v>
          </cell>
          <cell r="D217">
            <v>55741172.697126448</v>
          </cell>
          <cell r="E217">
            <v>0</v>
          </cell>
          <cell r="F217">
            <v>0</v>
          </cell>
          <cell r="G217">
            <v>0</v>
          </cell>
          <cell r="H217">
            <v>0</v>
          </cell>
          <cell r="I217">
            <v>0</v>
          </cell>
        </row>
        <row r="218">
          <cell r="A218">
            <v>201</v>
          </cell>
          <cell r="B218">
            <v>45992</v>
          </cell>
          <cell r="C218">
            <v>0</v>
          </cell>
          <cell r="D218">
            <v>55741172.697126448</v>
          </cell>
          <cell r="E218">
            <v>0</v>
          </cell>
          <cell r="F218">
            <v>0</v>
          </cell>
          <cell r="G218">
            <v>0</v>
          </cell>
          <cell r="H218">
            <v>0</v>
          </cell>
          <cell r="I218">
            <v>0</v>
          </cell>
        </row>
        <row r="219">
          <cell r="A219">
            <v>202</v>
          </cell>
          <cell r="B219">
            <v>46023</v>
          </cell>
          <cell r="C219">
            <v>0</v>
          </cell>
          <cell r="D219">
            <v>55741172.697126448</v>
          </cell>
          <cell r="E219">
            <v>0</v>
          </cell>
          <cell r="F219">
            <v>0</v>
          </cell>
          <cell r="G219">
            <v>0</v>
          </cell>
          <cell r="H219">
            <v>0</v>
          </cell>
          <cell r="I219">
            <v>0</v>
          </cell>
        </row>
        <row r="220">
          <cell r="A220">
            <v>203</v>
          </cell>
          <cell r="B220">
            <v>46054</v>
          </cell>
          <cell r="C220">
            <v>0</v>
          </cell>
          <cell r="D220">
            <v>55741172.697126448</v>
          </cell>
          <cell r="E220">
            <v>0</v>
          </cell>
          <cell r="F220">
            <v>0</v>
          </cell>
          <cell r="G220">
            <v>0</v>
          </cell>
          <cell r="H220">
            <v>0</v>
          </cell>
          <cell r="I220">
            <v>0</v>
          </cell>
        </row>
        <row r="221">
          <cell r="A221">
            <v>204</v>
          </cell>
          <cell r="B221">
            <v>46082</v>
          </cell>
          <cell r="C221">
            <v>0</v>
          </cell>
          <cell r="D221">
            <v>55741172.697126448</v>
          </cell>
          <cell r="E221">
            <v>0</v>
          </cell>
          <cell r="F221">
            <v>0</v>
          </cell>
          <cell r="G221">
            <v>0</v>
          </cell>
          <cell r="H221">
            <v>0</v>
          </cell>
          <cell r="I221">
            <v>0</v>
          </cell>
        </row>
        <row r="222">
          <cell r="A222">
            <v>205</v>
          </cell>
          <cell r="B222">
            <v>46113</v>
          </cell>
          <cell r="C222">
            <v>0</v>
          </cell>
          <cell r="D222">
            <v>55741172.697126448</v>
          </cell>
          <cell r="E222">
            <v>0</v>
          </cell>
          <cell r="F222">
            <v>0</v>
          </cell>
          <cell r="G222">
            <v>0</v>
          </cell>
          <cell r="H222">
            <v>0</v>
          </cell>
          <cell r="I222">
            <v>0</v>
          </cell>
        </row>
        <row r="223">
          <cell r="A223">
            <v>206</v>
          </cell>
          <cell r="B223">
            <v>46143</v>
          </cell>
          <cell r="C223">
            <v>0</v>
          </cell>
          <cell r="D223">
            <v>55741172.697126448</v>
          </cell>
          <cell r="E223">
            <v>0</v>
          </cell>
          <cell r="F223">
            <v>0</v>
          </cell>
          <cell r="G223">
            <v>0</v>
          </cell>
          <cell r="H223">
            <v>0</v>
          </cell>
          <cell r="I223">
            <v>0</v>
          </cell>
        </row>
        <row r="224">
          <cell r="A224">
            <v>207</v>
          </cell>
          <cell r="B224">
            <v>46174</v>
          </cell>
          <cell r="C224">
            <v>0</v>
          </cell>
          <cell r="D224">
            <v>55741172.697126448</v>
          </cell>
          <cell r="E224">
            <v>0</v>
          </cell>
          <cell r="F224">
            <v>0</v>
          </cell>
          <cell r="G224">
            <v>0</v>
          </cell>
          <cell r="H224">
            <v>0</v>
          </cell>
          <cell r="I224">
            <v>0</v>
          </cell>
        </row>
        <row r="225">
          <cell r="A225">
            <v>208</v>
          </cell>
          <cell r="B225">
            <v>46204</v>
          </cell>
          <cell r="C225">
            <v>0</v>
          </cell>
          <cell r="D225">
            <v>55741172.697126448</v>
          </cell>
          <cell r="E225">
            <v>0</v>
          </cell>
          <cell r="F225">
            <v>0</v>
          </cell>
          <cell r="G225">
            <v>0</v>
          </cell>
          <cell r="H225">
            <v>0</v>
          </cell>
          <cell r="I225">
            <v>0</v>
          </cell>
        </row>
        <row r="226">
          <cell r="A226">
            <v>209</v>
          </cell>
          <cell r="B226">
            <v>46235</v>
          </cell>
          <cell r="C226">
            <v>0</v>
          </cell>
          <cell r="D226">
            <v>55741172.697126448</v>
          </cell>
          <cell r="E226">
            <v>0</v>
          </cell>
          <cell r="F226">
            <v>0</v>
          </cell>
          <cell r="G226">
            <v>0</v>
          </cell>
          <cell r="H226">
            <v>0</v>
          </cell>
          <cell r="I226">
            <v>0</v>
          </cell>
        </row>
        <row r="227">
          <cell r="A227">
            <v>210</v>
          </cell>
          <cell r="B227">
            <v>46266</v>
          </cell>
          <cell r="C227">
            <v>0</v>
          </cell>
          <cell r="D227">
            <v>55741172.697126448</v>
          </cell>
          <cell r="E227">
            <v>0</v>
          </cell>
          <cell r="F227">
            <v>0</v>
          </cell>
          <cell r="G227">
            <v>0</v>
          </cell>
          <cell r="H227">
            <v>0</v>
          </cell>
          <cell r="I227">
            <v>0</v>
          </cell>
        </row>
        <row r="228">
          <cell r="A228">
            <v>211</v>
          </cell>
          <cell r="B228">
            <v>46296</v>
          </cell>
          <cell r="C228">
            <v>0</v>
          </cell>
          <cell r="D228">
            <v>55741172.697126448</v>
          </cell>
          <cell r="E228">
            <v>0</v>
          </cell>
          <cell r="F228">
            <v>0</v>
          </cell>
          <cell r="G228">
            <v>0</v>
          </cell>
          <cell r="H228">
            <v>0</v>
          </cell>
          <cell r="I228">
            <v>0</v>
          </cell>
        </row>
        <row r="229">
          <cell r="A229">
            <v>212</v>
          </cell>
          <cell r="B229">
            <v>46327</v>
          </cell>
          <cell r="C229">
            <v>0</v>
          </cell>
          <cell r="D229">
            <v>55741172.697126448</v>
          </cell>
          <cell r="E229">
            <v>0</v>
          </cell>
          <cell r="F229">
            <v>0</v>
          </cell>
          <cell r="G229">
            <v>0</v>
          </cell>
          <cell r="H229">
            <v>0</v>
          </cell>
          <cell r="I229">
            <v>0</v>
          </cell>
        </row>
        <row r="230">
          <cell r="A230">
            <v>213</v>
          </cell>
          <cell r="B230">
            <v>46357</v>
          </cell>
          <cell r="C230">
            <v>0</v>
          </cell>
          <cell r="D230">
            <v>55741172.697126448</v>
          </cell>
          <cell r="E230">
            <v>0</v>
          </cell>
          <cell r="F230">
            <v>0</v>
          </cell>
          <cell r="G230">
            <v>0</v>
          </cell>
          <cell r="H230">
            <v>0</v>
          </cell>
          <cell r="I230">
            <v>0</v>
          </cell>
        </row>
        <row r="231">
          <cell r="A231">
            <v>214</v>
          </cell>
          <cell r="B231">
            <v>46388</v>
          </cell>
          <cell r="C231">
            <v>0</v>
          </cell>
          <cell r="D231">
            <v>55741172.697126448</v>
          </cell>
          <cell r="E231">
            <v>0</v>
          </cell>
          <cell r="F231">
            <v>0</v>
          </cell>
          <cell r="G231">
            <v>0</v>
          </cell>
          <cell r="H231">
            <v>0</v>
          </cell>
          <cell r="I231">
            <v>0</v>
          </cell>
        </row>
        <row r="232">
          <cell r="A232">
            <v>215</v>
          </cell>
          <cell r="B232">
            <v>46419</v>
          </cell>
          <cell r="C232">
            <v>0</v>
          </cell>
          <cell r="D232">
            <v>55741172.697126448</v>
          </cell>
          <cell r="E232">
            <v>0</v>
          </cell>
          <cell r="F232">
            <v>0</v>
          </cell>
          <cell r="G232">
            <v>0</v>
          </cell>
          <cell r="H232">
            <v>0</v>
          </cell>
          <cell r="I232">
            <v>0</v>
          </cell>
        </row>
        <row r="233">
          <cell r="A233">
            <v>216</v>
          </cell>
          <cell r="B233">
            <v>46447</v>
          </cell>
          <cell r="C233">
            <v>0</v>
          </cell>
          <cell r="D233">
            <v>55741172.697126448</v>
          </cell>
          <cell r="E233">
            <v>0</v>
          </cell>
          <cell r="F233">
            <v>0</v>
          </cell>
          <cell r="G233">
            <v>0</v>
          </cell>
          <cell r="H233">
            <v>0</v>
          </cell>
          <cell r="I233">
            <v>0</v>
          </cell>
        </row>
        <row r="234">
          <cell r="A234">
            <v>217</v>
          </cell>
          <cell r="B234">
            <v>46478</v>
          </cell>
          <cell r="C234">
            <v>0</v>
          </cell>
          <cell r="D234">
            <v>55741172.697126448</v>
          </cell>
          <cell r="E234">
            <v>0</v>
          </cell>
          <cell r="F234">
            <v>0</v>
          </cell>
          <cell r="G234">
            <v>0</v>
          </cell>
          <cell r="H234">
            <v>0</v>
          </cell>
          <cell r="I234">
            <v>0</v>
          </cell>
        </row>
        <row r="235">
          <cell r="A235">
            <v>218</v>
          </cell>
          <cell r="B235">
            <v>46508</v>
          </cell>
          <cell r="C235">
            <v>0</v>
          </cell>
          <cell r="D235">
            <v>55741172.697126448</v>
          </cell>
          <cell r="E235">
            <v>0</v>
          </cell>
          <cell r="F235">
            <v>0</v>
          </cell>
          <cell r="G235">
            <v>0</v>
          </cell>
          <cell r="H235">
            <v>0</v>
          </cell>
          <cell r="I235">
            <v>0</v>
          </cell>
        </row>
        <row r="236">
          <cell r="A236">
            <v>219</v>
          </cell>
          <cell r="B236">
            <v>46539</v>
          </cell>
          <cell r="C236">
            <v>0</v>
          </cell>
          <cell r="D236">
            <v>55741172.697126448</v>
          </cell>
          <cell r="E236">
            <v>0</v>
          </cell>
          <cell r="F236">
            <v>0</v>
          </cell>
          <cell r="G236">
            <v>0</v>
          </cell>
          <cell r="H236">
            <v>0</v>
          </cell>
          <cell r="I236">
            <v>0</v>
          </cell>
        </row>
        <row r="237">
          <cell r="A237">
            <v>220</v>
          </cell>
          <cell r="B237">
            <v>46569</v>
          </cell>
          <cell r="C237">
            <v>0</v>
          </cell>
          <cell r="D237">
            <v>55741172.697126448</v>
          </cell>
          <cell r="E237">
            <v>0</v>
          </cell>
          <cell r="F237">
            <v>0</v>
          </cell>
          <cell r="G237">
            <v>0</v>
          </cell>
          <cell r="H237">
            <v>0</v>
          </cell>
          <cell r="I237">
            <v>0</v>
          </cell>
        </row>
        <row r="238">
          <cell r="A238">
            <v>221</v>
          </cell>
          <cell r="B238">
            <v>46600</v>
          </cell>
          <cell r="C238">
            <v>0</v>
          </cell>
          <cell r="D238">
            <v>55741172.697126448</v>
          </cell>
          <cell r="E238">
            <v>0</v>
          </cell>
          <cell r="F238">
            <v>0</v>
          </cell>
          <cell r="G238">
            <v>0</v>
          </cell>
          <cell r="H238">
            <v>0</v>
          </cell>
          <cell r="I238">
            <v>0</v>
          </cell>
        </row>
        <row r="239">
          <cell r="A239">
            <v>222</v>
          </cell>
          <cell r="B239">
            <v>46631</v>
          </cell>
          <cell r="C239">
            <v>0</v>
          </cell>
          <cell r="D239">
            <v>55741172.697126448</v>
          </cell>
          <cell r="E239">
            <v>0</v>
          </cell>
          <cell r="F239">
            <v>0</v>
          </cell>
          <cell r="G239">
            <v>0</v>
          </cell>
          <cell r="H239">
            <v>0</v>
          </cell>
          <cell r="I239">
            <v>0</v>
          </cell>
        </row>
        <row r="240">
          <cell r="A240">
            <v>223</v>
          </cell>
          <cell r="B240">
            <v>46661</v>
          </cell>
          <cell r="C240">
            <v>0</v>
          </cell>
          <cell r="D240">
            <v>55741172.697126448</v>
          </cell>
          <cell r="E240">
            <v>0</v>
          </cell>
          <cell r="F240">
            <v>0</v>
          </cell>
          <cell r="G240">
            <v>0</v>
          </cell>
          <cell r="H240">
            <v>0</v>
          </cell>
          <cell r="I240">
            <v>0</v>
          </cell>
        </row>
        <row r="241">
          <cell r="A241">
            <v>224</v>
          </cell>
          <cell r="B241">
            <v>46692</v>
          </cell>
          <cell r="C241">
            <v>0</v>
          </cell>
          <cell r="D241">
            <v>55741172.697126448</v>
          </cell>
          <cell r="E241">
            <v>0</v>
          </cell>
          <cell r="F241">
            <v>0</v>
          </cell>
          <cell r="G241">
            <v>0</v>
          </cell>
          <cell r="H241">
            <v>0</v>
          </cell>
          <cell r="I241">
            <v>0</v>
          </cell>
        </row>
        <row r="242">
          <cell r="A242">
            <v>225</v>
          </cell>
          <cell r="B242">
            <v>46722</v>
          </cell>
          <cell r="C242">
            <v>0</v>
          </cell>
          <cell r="D242">
            <v>55741172.697126448</v>
          </cell>
          <cell r="E242">
            <v>0</v>
          </cell>
          <cell r="F242">
            <v>0</v>
          </cell>
          <cell r="G242">
            <v>0</v>
          </cell>
          <cell r="H242">
            <v>0</v>
          </cell>
          <cell r="I242">
            <v>0</v>
          </cell>
        </row>
        <row r="243">
          <cell r="A243">
            <v>226</v>
          </cell>
          <cell r="B243">
            <v>46753</v>
          </cell>
          <cell r="C243">
            <v>0</v>
          </cell>
          <cell r="D243">
            <v>55741172.697126448</v>
          </cell>
          <cell r="E243">
            <v>0</v>
          </cell>
          <cell r="F243">
            <v>0</v>
          </cell>
          <cell r="G243">
            <v>0</v>
          </cell>
          <cell r="H243">
            <v>0</v>
          </cell>
          <cell r="I243">
            <v>0</v>
          </cell>
        </row>
        <row r="244">
          <cell r="A244">
            <v>227</v>
          </cell>
          <cell r="B244">
            <v>46784</v>
          </cell>
          <cell r="C244">
            <v>0</v>
          </cell>
          <cell r="D244">
            <v>55741172.697126448</v>
          </cell>
          <cell r="E244">
            <v>0</v>
          </cell>
          <cell r="F244">
            <v>0</v>
          </cell>
          <cell r="G244">
            <v>0</v>
          </cell>
          <cell r="H244">
            <v>0</v>
          </cell>
          <cell r="I244">
            <v>0</v>
          </cell>
        </row>
        <row r="245">
          <cell r="A245">
            <v>228</v>
          </cell>
          <cell r="B245">
            <v>46813</v>
          </cell>
          <cell r="C245">
            <v>0</v>
          </cell>
          <cell r="D245">
            <v>55741172.697126448</v>
          </cell>
          <cell r="E245">
            <v>0</v>
          </cell>
          <cell r="F245">
            <v>0</v>
          </cell>
          <cell r="G245">
            <v>0</v>
          </cell>
          <cell r="H245">
            <v>0</v>
          </cell>
          <cell r="I245">
            <v>0</v>
          </cell>
        </row>
        <row r="246">
          <cell r="A246">
            <v>229</v>
          </cell>
          <cell r="B246">
            <v>46844</v>
          </cell>
          <cell r="C246">
            <v>0</v>
          </cell>
          <cell r="D246">
            <v>55741172.697126448</v>
          </cell>
          <cell r="E246">
            <v>0</v>
          </cell>
          <cell r="F246">
            <v>0</v>
          </cell>
          <cell r="G246">
            <v>0</v>
          </cell>
          <cell r="H246">
            <v>0</v>
          </cell>
          <cell r="I246">
            <v>0</v>
          </cell>
        </row>
        <row r="247">
          <cell r="A247">
            <v>230</v>
          </cell>
          <cell r="B247">
            <v>46874</v>
          </cell>
          <cell r="C247">
            <v>0</v>
          </cell>
          <cell r="D247">
            <v>55741172.697126448</v>
          </cell>
          <cell r="E247">
            <v>0</v>
          </cell>
          <cell r="F247">
            <v>0</v>
          </cell>
          <cell r="G247">
            <v>0</v>
          </cell>
          <cell r="H247">
            <v>0</v>
          </cell>
          <cell r="I247">
            <v>0</v>
          </cell>
        </row>
        <row r="248">
          <cell r="A248">
            <v>231</v>
          </cell>
          <cell r="B248">
            <v>46905</v>
          </cell>
          <cell r="C248">
            <v>0</v>
          </cell>
          <cell r="D248">
            <v>55741172.697126448</v>
          </cell>
          <cell r="E248">
            <v>0</v>
          </cell>
          <cell r="F248">
            <v>0</v>
          </cell>
          <cell r="G248">
            <v>0</v>
          </cell>
          <cell r="H248">
            <v>0</v>
          </cell>
          <cell r="I248">
            <v>0</v>
          </cell>
        </row>
        <row r="249">
          <cell r="A249">
            <v>232</v>
          </cell>
          <cell r="B249">
            <v>46935</v>
          </cell>
          <cell r="C249">
            <v>0</v>
          </cell>
          <cell r="D249">
            <v>55741172.697126448</v>
          </cell>
          <cell r="E249">
            <v>0</v>
          </cell>
          <cell r="F249">
            <v>0</v>
          </cell>
          <cell r="G249">
            <v>0</v>
          </cell>
          <cell r="H249">
            <v>0</v>
          </cell>
          <cell r="I249">
            <v>0</v>
          </cell>
        </row>
        <row r="250">
          <cell r="A250">
            <v>233</v>
          </cell>
          <cell r="B250">
            <v>46966</v>
          </cell>
          <cell r="C250">
            <v>0</v>
          </cell>
          <cell r="D250">
            <v>55741172.697126448</v>
          </cell>
          <cell r="E250">
            <v>0</v>
          </cell>
          <cell r="F250">
            <v>0</v>
          </cell>
          <cell r="G250">
            <v>0</v>
          </cell>
          <cell r="H250">
            <v>0</v>
          </cell>
          <cell r="I250">
            <v>0</v>
          </cell>
        </row>
        <row r="251">
          <cell r="A251">
            <v>234</v>
          </cell>
          <cell r="B251">
            <v>46997</v>
          </cell>
          <cell r="C251">
            <v>0</v>
          </cell>
          <cell r="D251">
            <v>55741172.697126448</v>
          </cell>
          <cell r="E251">
            <v>0</v>
          </cell>
          <cell r="F251">
            <v>0</v>
          </cell>
          <cell r="G251">
            <v>0</v>
          </cell>
          <cell r="H251">
            <v>0</v>
          </cell>
          <cell r="I251">
            <v>0</v>
          </cell>
        </row>
        <row r="252">
          <cell r="A252">
            <v>235</v>
          </cell>
          <cell r="B252">
            <v>47027</v>
          </cell>
          <cell r="C252">
            <v>0</v>
          </cell>
          <cell r="D252">
            <v>55741172.697126448</v>
          </cell>
          <cell r="E252">
            <v>0</v>
          </cell>
          <cell r="F252">
            <v>0</v>
          </cell>
          <cell r="G252">
            <v>0</v>
          </cell>
          <cell r="H252">
            <v>0</v>
          </cell>
          <cell r="I252">
            <v>0</v>
          </cell>
        </row>
        <row r="253">
          <cell r="A253">
            <v>236</v>
          </cell>
          <cell r="B253">
            <v>47058</v>
          </cell>
          <cell r="C253">
            <v>0</v>
          </cell>
          <cell r="D253">
            <v>55741172.697126448</v>
          </cell>
          <cell r="E253">
            <v>0</v>
          </cell>
          <cell r="F253">
            <v>0</v>
          </cell>
          <cell r="G253">
            <v>0</v>
          </cell>
          <cell r="H253">
            <v>0</v>
          </cell>
          <cell r="I253">
            <v>0</v>
          </cell>
        </row>
        <row r="254">
          <cell r="A254">
            <v>237</v>
          </cell>
          <cell r="B254">
            <v>47088</v>
          </cell>
          <cell r="C254">
            <v>0</v>
          </cell>
          <cell r="D254">
            <v>55741172.697126448</v>
          </cell>
          <cell r="E254">
            <v>0</v>
          </cell>
          <cell r="F254">
            <v>0</v>
          </cell>
          <cell r="G254">
            <v>0</v>
          </cell>
          <cell r="H254">
            <v>0</v>
          </cell>
          <cell r="I254">
            <v>0</v>
          </cell>
        </row>
        <row r="255">
          <cell r="A255">
            <v>238</v>
          </cell>
          <cell r="B255">
            <v>47119</v>
          </cell>
          <cell r="C255">
            <v>0</v>
          </cell>
          <cell r="D255">
            <v>55741172.697126448</v>
          </cell>
          <cell r="E255">
            <v>0</v>
          </cell>
          <cell r="F255">
            <v>0</v>
          </cell>
          <cell r="G255">
            <v>0</v>
          </cell>
          <cell r="H255">
            <v>0</v>
          </cell>
          <cell r="I255">
            <v>0</v>
          </cell>
        </row>
        <row r="256">
          <cell r="A256">
            <v>239</v>
          </cell>
          <cell r="B256">
            <v>47150</v>
          </cell>
          <cell r="C256">
            <v>0</v>
          </cell>
          <cell r="D256">
            <v>55741172.697126448</v>
          </cell>
          <cell r="E256">
            <v>0</v>
          </cell>
          <cell r="F256">
            <v>0</v>
          </cell>
          <cell r="G256">
            <v>0</v>
          </cell>
          <cell r="H256">
            <v>0</v>
          </cell>
          <cell r="I256">
            <v>0</v>
          </cell>
        </row>
        <row r="257">
          <cell r="A257">
            <v>240</v>
          </cell>
          <cell r="B257">
            <v>47178</v>
          </cell>
          <cell r="C257">
            <v>0</v>
          </cell>
          <cell r="D257">
            <v>55741172.697126448</v>
          </cell>
          <cell r="E257">
            <v>0</v>
          </cell>
          <cell r="F257">
            <v>0</v>
          </cell>
          <cell r="G257">
            <v>0</v>
          </cell>
          <cell r="H257">
            <v>0</v>
          </cell>
          <cell r="I257">
            <v>0</v>
          </cell>
        </row>
        <row r="258">
          <cell r="A258">
            <v>241</v>
          </cell>
          <cell r="B258">
            <v>47209</v>
          </cell>
          <cell r="C258">
            <v>0</v>
          </cell>
          <cell r="D258">
            <v>55741172.697126448</v>
          </cell>
          <cell r="E258">
            <v>0</v>
          </cell>
          <cell r="F258">
            <v>0</v>
          </cell>
          <cell r="G258">
            <v>0</v>
          </cell>
          <cell r="H258">
            <v>0</v>
          </cell>
          <cell r="I258">
            <v>0</v>
          </cell>
        </row>
        <row r="259">
          <cell r="A259">
            <v>242</v>
          </cell>
          <cell r="B259">
            <v>47239</v>
          </cell>
          <cell r="C259">
            <v>0</v>
          </cell>
          <cell r="D259">
            <v>55741172.697126448</v>
          </cell>
          <cell r="E259">
            <v>0</v>
          </cell>
          <cell r="F259">
            <v>0</v>
          </cell>
          <cell r="G259">
            <v>0</v>
          </cell>
          <cell r="H259">
            <v>0</v>
          </cell>
          <cell r="I259">
            <v>0</v>
          </cell>
        </row>
        <row r="260">
          <cell r="A260">
            <v>243</v>
          </cell>
          <cell r="B260">
            <v>47270</v>
          </cell>
          <cell r="C260">
            <v>0</v>
          </cell>
          <cell r="D260">
            <v>55741172.697126448</v>
          </cell>
          <cell r="E260">
            <v>0</v>
          </cell>
          <cell r="F260">
            <v>0</v>
          </cell>
          <cell r="G260">
            <v>0</v>
          </cell>
          <cell r="H260">
            <v>0</v>
          </cell>
          <cell r="I260">
            <v>0</v>
          </cell>
        </row>
        <row r="261">
          <cell r="A261">
            <v>244</v>
          </cell>
          <cell r="B261">
            <v>47300</v>
          </cell>
          <cell r="C261">
            <v>0</v>
          </cell>
          <cell r="D261">
            <v>55741172.697126448</v>
          </cell>
          <cell r="E261">
            <v>0</v>
          </cell>
          <cell r="F261">
            <v>0</v>
          </cell>
          <cell r="G261">
            <v>0</v>
          </cell>
          <cell r="H261">
            <v>0</v>
          </cell>
          <cell r="I261">
            <v>0</v>
          </cell>
        </row>
        <row r="262">
          <cell r="A262">
            <v>245</v>
          </cell>
          <cell r="B262">
            <v>47331</v>
          </cell>
          <cell r="C262">
            <v>0</v>
          </cell>
          <cell r="D262">
            <v>55741172.697126448</v>
          </cell>
          <cell r="E262">
            <v>0</v>
          </cell>
          <cell r="F262">
            <v>0</v>
          </cell>
          <cell r="G262">
            <v>0</v>
          </cell>
          <cell r="H262">
            <v>0</v>
          </cell>
          <cell r="I262">
            <v>0</v>
          </cell>
        </row>
        <row r="263">
          <cell r="A263">
            <v>246</v>
          </cell>
          <cell r="B263">
            <v>47362</v>
          </cell>
          <cell r="C263">
            <v>0</v>
          </cell>
          <cell r="D263">
            <v>55741172.697126448</v>
          </cell>
          <cell r="E263">
            <v>0</v>
          </cell>
          <cell r="F263">
            <v>0</v>
          </cell>
          <cell r="G263">
            <v>0</v>
          </cell>
          <cell r="H263">
            <v>0</v>
          </cell>
          <cell r="I263">
            <v>0</v>
          </cell>
        </row>
        <row r="264">
          <cell r="A264">
            <v>247</v>
          </cell>
          <cell r="B264">
            <v>47392</v>
          </cell>
          <cell r="C264">
            <v>0</v>
          </cell>
          <cell r="D264">
            <v>55741172.697126448</v>
          </cell>
          <cell r="E264">
            <v>0</v>
          </cell>
          <cell r="F264">
            <v>0</v>
          </cell>
          <cell r="G264">
            <v>0</v>
          </cell>
          <cell r="H264">
            <v>0</v>
          </cell>
          <cell r="I264">
            <v>0</v>
          </cell>
        </row>
        <row r="265">
          <cell r="A265">
            <v>248</v>
          </cell>
          <cell r="B265">
            <v>47423</v>
          </cell>
          <cell r="C265">
            <v>0</v>
          </cell>
          <cell r="D265">
            <v>55741172.697126448</v>
          </cell>
          <cell r="E265">
            <v>0</v>
          </cell>
          <cell r="F265">
            <v>0</v>
          </cell>
          <cell r="G265">
            <v>0</v>
          </cell>
          <cell r="H265">
            <v>0</v>
          </cell>
          <cell r="I265">
            <v>0</v>
          </cell>
        </row>
        <row r="266">
          <cell r="A266">
            <v>249</v>
          </cell>
          <cell r="B266">
            <v>47453</v>
          </cell>
          <cell r="C266">
            <v>0</v>
          </cell>
          <cell r="D266">
            <v>55741172.697126448</v>
          </cell>
          <cell r="E266">
            <v>0</v>
          </cell>
          <cell r="F266">
            <v>0</v>
          </cell>
          <cell r="G266">
            <v>0</v>
          </cell>
          <cell r="H266">
            <v>0</v>
          </cell>
          <cell r="I266">
            <v>0</v>
          </cell>
        </row>
        <row r="267">
          <cell r="A267">
            <v>250</v>
          </cell>
          <cell r="B267">
            <v>47484</v>
          </cell>
          <cell r="C267">
            <v>0</v>
          </cell>
          <cell r="D267">
            <v>55741172.697126448</v>
          </cell>
          <cell r="E267">
            <v>0</v>
          </cell>
          <cell r="F267">
            <v>0</v>
          </cell>
          <cell r="G267">
            <v>0</v>
          </cell>
          <cell r="H267">
            <v>0</v>
          </cell>
          <cell r="I267">
            <v>0</v>
          </cell>
        </row>
        <row r="268">
          <cell r="A268">
            <v>251</v>
          </cell>
          <cell r="B268">
            <v>47515</v>
          </cell>
          <cell r="C268">
            <v>0</v>
          </cell>
          <cell r="D268">
            <v>55741172.697126448</v>
          </cell>
          <cell r="E268">
            <v>0</v>
          </cell>
          <cell r="F268">
            <v>0</v>
          </cell>
          <cell r="G268">
            <v>0</v>
          </cell>
          <cell r="H268">
            <v>0</v>
          </cell>
          <cell r="I268">
            <v>0</v>
          </cell>
        </row>
        <row r="269">
          <cell r="A269">
            <v>252</v>
          </cell>
          <cell r="B269">
            <v>47543</v>
          </cell>
          <cell r="C269">
            <v>0</v>
          </cell>
          <cell r="D269">
            <v>55741172.697126448</v>
          </cell>
          <cell r="E269">
            <v>0</v>
          </cell>
          <cell r="F269">
            <v>0</v>
          </cell>
          <cell r="G269">
            <v>0</v>
          </cell>
          <cell r="H269">
            <v>0</v>
          </cell>
          <cell r="I269">
            <v>0</v>
          </cell>
        </row>
        <row r="270">
          <cell r="A270">
            <v>253</v>
          </cell>
          <cell r="B270">
            <v>47574</v>
          </cell>
          <cell r="C270">
            <v>0</v>
          </cell>
          <cell r="D270">
            <v>55741172.697126448</v>
          </cell>
          <cell r="E270">
            <v>0</v>
          </cell>
          <cell r="F270">
            <v>0</v>
          </cell>
          <cell r="G270">
            <v>0</v>
          </cell>
          <cell r="H270">
            <v>0</v>
          </cell>
          <cell r="I270">
            <v>0</v>
          </cell>
        </row>
        <row r="271">
          <cell r="A271">
            <v>254</v>
          </cell>
          <cell r="B271">
            <v>47604</v>
          </cell>
          <cell r="C271">
            <v>0</v>
          </cell>
          <cell r="D271">
            <v>55741172.697126448</v>
          </cell>
          <cell r="E271">
            <v>0</v>
          </cell>
          <cell r="F271">
            <v>0</v>
          </cell>
          <cell r="G271">
            <v>0</v>
          </cell>
          <cell r="H271">
            <v>0</v>
          </cell>
          <cell r="I271">
            <v>0</v>
          </cell>
        </row>
        <row r="272">
          <cell r="A272">
            <v>255</v>
          </cell>
          <cell r="B272">
            <v>47635</v>
          </cell>
          <cell r="C272">
            <v>0</v>
          </cell>
          <cell r="D272">
            <v>55741172.697126448</v>
          </cell>
          <cell r="E272">
            <v>0</v>
          </cell>
          <cell r="F272">
            <v>0</v>
          </cell>
          <cell r="G272">
            <v>0</v>
          </cell>
          <cell r="H272">
            <v>0</v>
          </cell>
          <cell r="I272">
            <v>0</v>
          </cell>
        </row>
        <row r="273">
          <cell r="A273">
            <v>256</v>
          </cell>
          <cell r="B273">
            <v>47665</v>
          </cell>
          <cell r="C273">
            <v>0</v>
          </cell>
          <cell r="D273">
            <v>55741172.697126448</v>
          </cell>
          <cell r="E273">
            <v>0</v>
          </cell>
          <cell r="F273">
            <v>0</v>
          </cell>
          <cell r="G273">
            <v>0</v>
          </cell>
          <cell r="H273">
            <v>0</v>
          </cell>
          <cell r="I273">
            <v>0</v>
          </cell>
        </row>
        <row r="274">
          <cell r="A274">
            <v>257</v>
          </cell>
          <cell r="B274">
            <v>47696</v>
          </cell>
          <cell r="C274">
            <v>0</v>
          </cell>
          <cell r="D274">
            <v>55741172.697126448</v>
          </cell>
          <cell r="E274">
            <v>0</v>
          </cell>
          <cell r="F274">
            <v>0</v>
          </cell>
          <cell r="G274">
            <v>0</v>
          </cell>
          <cell r="H274">
            <v>0</v>
          </cell>
          <cell r="I274">
            <v>0</v>
          </cell>
        </row>
        <row r="275">
          <cell r="A275">
            <v>258</v>
          </cell>
          <cell r="B275">
            <v>47727</v>
          </cell>
          <cell r="C275">
            <v>0</v>
          </cell>
          <cell r="D275">
            <v>55741172.697126448</v>
          </cell>
          <cell r="E275">
            <v>0</v>
          </cell>
          <cell r="F275">
            <v>0</v>
          </cell>
          <cell r="G275">
            <v>0</v>
          </cell>
          <cell r="H275">
            <v>0</v>
          </cell>
          <cell r="I275">
            <v>0</v>
          </cell>
        </row>
        <row r="276">
          <cell r="A276">
            <v>259</v>
          </cell>
          <cell r="B276">
            <v>47757</v>
          </cell>
          <cell r="C276">
            <v>0</v>
          </cell>
          <cell r="D276">
            <v>55741172.697126448</v>
          </cell>
          <cell r="E276">
            <v>0</v>
          </cell>
          <cell r="F276">
            <v>0</v>
          </cell>
          <cell r="G276">
            <v>0</v>
          </cell>
          <cell r="H276">
            <v>0</v>
          </cell>
          <cell r="I276">
            <v>0</v>
          </cell>
        </row>
        <row r="277">
          <cell r="A277">
            <v>260</v>
          </cell>
          <cell r="B277">
            <v>47788</v>
          </cell>
          <cell r="C277">
            <v>0</v>
          </cell>
          <cell r="D277">
            <v>55741172.697126448</v>
          </cell>
          <cell r="E277">
            <v>0</v>
          </cell>
          <cell r="F277">
            <v>0</v>
          </cell>
          <cell r="G277">
            <v>0</v>
          </cell>
          <cell r="H277">
            <v>0</v>
          </cell>
          <cell r="I277">
            <v>0</v>
          </cell>
        </row>
        <row r="278">
          <cell r="A278">
            <v>261</v>
          </cell>
          <cell r="B278">
            <v>47818</v>
          </cell>
          <cell r="C278">
            <v>0</v>
          </cell>
          <cell r="D278">
            <v>55741172.697126448</v>
          </cell>
          <cell r="E278">
            <v>0</v>
          </cell>
          <cell r="F278">
            <v>0</v>
          </cell>
          <cell r="G278">
            <v>0</v>
          </cell>
          <cell r="H278">
            <v>0</v>
          </cell>
          <cell r="I278">
            <v>0</v>
          </cell>
        </row>
        <row r="279">
          <cell r="A279">
            <v>262</v>
          </cell>
          <cell r="B279">
            <v>47849</v>
          </cell>
          <cell r="C279">
            <v>0</v>
          </cell>
          <cell r="D279">
            <v>55741172.697126448</v>
          </cell>
          <cell r="E279">
            <v>0</v>
          </cell>
          <cell r="F279">
            <v>0</v>
          </cell>
          <cell r="G279">
            <v>0</v>
          </cell>
          <cell r="H279">
            <v>0</v>
          </cell>
          <cell r="I279">
            <v>0</v>
          </cell>
        </row>
        <row r="280">
          <cell r="A280">
            <v>263</v>
          </cell>
          <cell r="B280">
            <v>47880</v>
          </cell>
          <cell r="C280">
            <v>0</v>
          </cell>
          <cell r="D280">
            <v>55741172.697126448</v>
          </cell>
          <cell r="E280">
            <v>0</v>
          </cell>
          <cell r="F280">
            <v>0</v>
          </cell>
          <cell r="G280">
            <v>0</v>
          </cell>
          <cell r="H280">
            <v>0</v>
          </cell>
          <cell r="I280">
            <v>0</v>
          </cell>
        </row>
        <row r="281">
          <cell r="A281">
            <v>264</v>
          </cell>
          <cell r="B281">
            <v>47908</v>
          </cell>
          <cell r="C281">
            <v>0</v>
          </cell>
          <cell r="D281">
            <v>55741172.697126448</v>
          </cell>
          <cell r="E281">
            <v>0</v>
          </cell>
          <cell r="F281">
            <v>0</v>
          </cell>
          <cell r="G281">
            <v>0</v>
          </cell>
          <cell r="H281">
            <v>0</v>
          </cell>
          <cell r="I281">
            <v>0</v>
          </cell>
        </row>
        <row r="282">
          <cell r="A282">
            <v>265</v>
          </cell>
          <cell r="B282">
            <v>47939</v>
          </cell>
          <cell r="C282">
            <v>0</v>
          </cell>
          <cell r="D282">
            <v>55741172.697126448</v>
          </cell>
          <cell r="E282">
            <v>0</v>
          </cell>
          <cell r="F282">
            <v>0</v>
          </cell>
          <cell r="G282">
            <v>0</v>
          </cell>
          <cell r="H282">
            <v>0</v>
          </cell>
          <cell r="I282">
            <v>0</v>
          </cell>
        </row>
        <row r="283">
          <cell r="A283">
            <v>266</v>
          </cell>
          <cell r="B283">
            <v>47969</v>
          </cell>
          <cell r="C283">
            <v>0</v>
          </cell>
          <cell r="D283">
            <v>55741172.697126448</v>
          </cell>
          <cell r="E283">
            <v>0</v>
          </cell>
          <cell r="F283">
            <v>0</v>
          </cell>
          <cell r="G283">
            <v>0</v>
          </cell>
          <cell r="H283">
            <v>0</v>
          </cell>
          <cell r="I283">
            <v>0</v>
          </cell>
        </row>
        <row r="284">
          <cell r="A284">
            <v>267</v>
          </cell>
          <cell r="B284">
            <v>48000</v>
          </cell>
          <cell r="C284">
            <v>0</v>
          </cell>
          <cell r="D284">
            <v>55741172.697126448</v>
          </cell>
          <cell r="E284">
            <v>0</v>
          </cell>
          <cell r="F284">
            <v>0</v>
          </cell>
          <cell r="G284">
            <v>0</v>
          </cell>
          <cell r="H284">
            <v>0</v>
          </cell>
          <cell r="I284">
            <v>0</v>
          </cell>
        </row>
        <row r="285">
          <cell r="A285">
            <v>268</v>
          </cell>
          <cell r="B285">
            <v>48030</v>
          </cell>
          <cell r="C285">
            <v>0</v>
          </cell>
          <cell r="D285">
            <v>55741172.697126448</v>
          </cell>
          <cell r="E285">
            <v>0</v>
          </cell>
          <cell r="F285">
            <v>0</v>
          </cell>
          <cell r="G285">
            <v>0</v>
          </cell>
          <cell r="H285">
            <v>0</v>
          </cell>
          <cell r="I285">
            <v>0</v>
          </cell>
        </row>
        <row r="286">
          <cell r="A286">
            <v>269</v>
          </cell>
          <cell r="B286">
            <v>48061</v>
          </cell>
          <cell r="C286">
            <v>0</v>
          </cell>
          <cell r="D286">
            <v>55741172.697126448</v>
          </cell>
          <cell r="E286">
            <v>0</v>
          </cell>
          <cell r="F286">
            <v>0</v>
          </cell>
          <cell r="G286">
            <v>0</v>
          </cell>
          <cell r="H286">
            <v>0</v>
          </cell>
          <cell r="I286">
            <v>0</v>
          </cell>
        </row>
        <row r="287">
          <cell r="A287">
            <v>270</v>
          </cell>
          <cell r="B287">
            <v>48092</v>
          </cell>
          <cell r="C287">
            <v>0</v>
          </cell>
          <cell r="D287">
            <v>55741172.697126448</v>
          </cell>
          <cell r="E287">
            <v>0</v>
          </cell>
          <cell r="F287">
            <v>0</v>
          </cell>
          <cell r="G287">
            <v>0</v>
          </cell>
          <cell r="H287">
            <v>0</v>
          </cell>
          <cell r="I287">
            <v>0</v>
          </cell>
        </row>
        <row r="288">
          <cell r="A288">
            <v>271</v>
          </cell>
          <cell r="B288">
            <v>48122</v>
          </cell>
          <cell r="C288">
            <v>0</v>
          </cell>
          <cell r="D288">
            <v>55741172.697126448</v>
          </cell>
          <cell r="E288">
            <v>0</v>
          </cell>
          <cell r="F288">
            <v>0</v>
          </cell>
          <cell r="G288">
            <v>0</v>
          </cell>
          <cell r="H288">
            <v>0</v>
          </cell>
          <cell r="I288">
            <v>0</v>
          </cell>
        </row>
        <row r="289">
          <cell r="A289">
            <v>272</v>
          </cell>
          <cell r="B289">
            <v>48153</v>
          </cell>
          <cell r="C289">
            <v>0</v>
          </cell>
          <cell r="D289">
            <v>55741172.697126448</v>
          </cell>
          <cell r="E289">
            <v>0</v>
          </cell>
          <cell r="F289">
            <v>0</v>
          </cell>
          <cell r="G289">
            <v>0</v>
          </cell>
          <cell r="H289">
            <v>0</v>
          </cell>
          <cell r="I289">
            <v>0</v>
          </cell>
        </row>
        <row r="290">
          <cell r="A290">
            <v>273</v>
          </cell>
          <cell r="B290">
            <v>48183</v>
          </cell>
          <cell r="C290">
            <v>0</v>
          </cell>
          <cell r="D290">
            <v>55741172.697126448</v>
          </cell>
          <cell r="E290">
            <v>0</v>
          </cell>
          <cell r="F290">
            <v>0</v>
          </cell>
          <cell r="G290">
            <v>0</v>
          </cell>
          <cell r="H290">
            <v>0</v>
          </cell>
          <cell r="I290">
            <v>0</v>
          </cell>
        </row>
        <row r="291">
          <cell r="A291">
            <v>274</v>
          </cell>
          <cell r="B291">
            <v>48214</v>
          </cell>
          <cell r="C291">
            <v>0</v>
          </cell>
          <cell r="D291">
            <v>55741172.697126448</v>
          </cell>
          <cell r="E291">
            <v>0</v>
          </cell>
          <cell r="F291">
            <v>0</v>
          </cell>
          <cell r="G291">
            <v>0</v>
          </cell>
          <cell r="H291">
            <v>0</v>
          </cell>
          <cell r="I291">
            <v>0</v>
          </cell>
        </row>
        <row r="292">
          <cell r="A292">
            <v>275</v>
          </cell>
          <cell r="B292">
            <v>48245</v>
          </cell>
          <cell r="C292">
            <v>0</v>
          </cell>
          <cell r="D292">
            <v>55741172.697126448</v>
          </cell>
          <cell r="E292">
            <v>0</v>
          </cell>
          <cell r="F292">
            <v>0</v>
          </cell>
          <cell r="G292">
            <v>0</v>
          </cell>
          <cell r="H292">
            <v>0</v>
          </cell>
          <cell r="I292">
            <v>0</v>
          </cell>
        </row>
        <row r="293">
          <cell r="A293">
            <v>276</v>
          </cell>
          <cell r="B293">
            <v>48274</v>
          </cell>
          <cell r="C293">
            <v>0</v>
          </cell>
          <cell r="D293">
            <v>55741172.697126448</v>
          </cell>
          <cell r="E293">
            <v>0</v>
          </cell>
          <cell r="F293">
            <v>0</v>
          </cell>
          <cell r="G293">
            <v>0</v>
          </cell>
          <cell r="H293">
            <v>0</v>
          </cell>
          <cell r="I293">
            <v>0</v>
          </cell>
        </row>
        <row r="294">
          <cell r="A294">
            <v>277</v>
          </cell>
          <cell r="B294">
            <v>48305</v>
          </cell>
          <cell r="C294">
            <v>0</v>
          </cell>
          <cell r="D294">
            <v>55741172.697126448</v>
          </cell>
          <cell r="E294">
            <v>0</v>
          </cell>
          <cell r="F294">
            <v>0</v>
          </cell>
          <cell r="G294">
            <v>0</v>
          </cell>
          <cell r="H294">
            <v>0</v>
          </cell>
          <cell r="I294">
            <v>0</v>
          </cell>
        </row>
        <row r="295">
          <cell r="A295">
            <v>278</v>
          </cell>
          <cell r="B295">
            <v>48335</v>
          </cell>
          <cell r="C295">
            <v>0</v>
          </cell>
          <cell r="D295">
            <v>55741172.697126448</v>
          </cell>
          <cell r="E295">
            <v>0</v>
          </cell>
          <cell r="F295">
            <v>0</v>
          </cell>
          <cell r="G295">
            <v>0</v>
          </cell>
          <cell r="H295">
            <v>0</v>
          </cell>
          <cell r="I295">
            <v>0</v>
          </cell>
        </row>
        <row r="296">
          <cell r="A296">
            <v>279</v>
          </cell>
          <cell r="B296">
            <v>48366</v>
          </cell>
          <cell r="C296">
            <v>0</v>
          </cell>
          <cell r="D296">
            <v>55741172.697126448</v>
          </cell>
          <cell r="E296">
            <v>0</v>
          </cell>
          <cell r="F296">
            <v>0</v>
          </cell>
          <cell r="G296">
            <v>0</v>
          </cell>
          <cell r="H296">
            <v>0</v>
          </cell>
          <cell r="I296">
            <v>0</v>
          </cell>
        </row>
        <row r="297">
          <cell r="A297">
            <v>280</v>
          </cell>
          <cell r="B297">
            <v>48396</v>
          </cell>
          <cell r="C297">
            <v>0</v>
          </cell>
          <cell r="D297">
            <v>55741172.697126448</v>
          </cell>
          <cell r="E297">
            <v>0</v>
          </cell>
          <cell r="F297">
            <v>0</v>
          </cell>
          <cell r="G297">
            <v>0</v>
          </cell>
          <cell r="H297">
            <v>0</v>
          </cell>
          <cell r="I297">
            <v>0</v>
          </cell>
        </row>
        <row r="298">
          <cell r="A298">
            <v>281</v>
          </cell>
          <cell r="B298">
            <v>48427</v>
          </cell>
          <cell r="C298">
            <v>0</v>
          </cell>
          <cell r="D298">
            <v>55741172.697126448</v>
          </cell>
          <cell r="E298">
            <v>0</v>
          </cell>
          <cell r="F298">
            <v>0</v>
          </cell>
          <cell r="G298">
            <v>0</v>
          </cell>
          <cell r="H298">
            <v>0</v>
          </cell>
          <cell r="I298">
            <v>0</v>
          </cell>
        </row>
        <row r="299">
          <cell r="A299">
            <v>282</v>
          </cell>
          <cell r="B299">
            <v>48458</v>
          </cell>
          <cell r="C299">
            <v>0</v>
          </cell>
          <cell r="D299">
            <v>55741172.697126448</v>
          </cell>
          <cell r="E299">
            <v>0</v>
          </cell>
          <cell r="F299">
            <v>0</v>
          </cell>
          <cell r="G299">
            <v>0</v>
          </cell>
          <cell r="H299">
            <v>0</v>
          </cell>
          <cell r="I299">
            <v>0</v>
          </cell>
        </row>
        <row r="300">
          <cell r="A300">
            <v>283</v>
          </cell>
          <cell r="B300">
            <v>48488</v>
          </cell>
          <cell r="C300">
            <v>0</v>
          </cell>
          <cell r="D300">
            <v>55741172.697126448</v>
          </cell>
          <cell r="E300">
            <v>0</v>
          </cell>
          <cell r="F300">
            <v>0</v>
          </cell>
          <cell r="G300">
            <v>0</v>
          </cell>
          <cell r="H300">
            <v>0</v>
          </cell>
          <cell r="I300">
            <v>0</v>
          </cell>
        </row>
        <row r="301">
          <cell r="A301">
            <v>284</v>
          </cell>
          <cell r="B301">
            <v>48519</v>
          </cell>
          <cell r="C301">
            <v>0</v>
          </cell>
          <cell r="D301">
            <v>55741172.697126448</v>
          </cell>
          <cell r="E301">
            <v>0</v>
          </cell>
          <cell r="F301">
            <v>0</v>
          </cell>
          <cell r="G301">
            <v>0</v>
          </cell>
          <cell r="H301">
            <v>0</v>
          </cell>
          <cell r="I301">
            <v>0</v>
          </cell>
        </row>
        <row r="302">
          <cell r="A302">
            <v>285</v>
          </cell>
          <cell r="B302">
            <v>48549</v>
          </cell>
          <cell r="C302">
            <v>0</v>
          </cell>
          <cell r="D302">
            <v>55741172.697126448</v>
          </cell>
          <cell r="E302">
            <v>0</v>
          </cell>
          <cell r="F302">
            <v>0</v>
          </cell>
          <cell r="G302">
            <v>0</v>
          </cell>
          <cell r="H302">
            <v>0</v>
          </cell>
          <cell r="I302">
            <v>0</v>
          </cell>
        </row>
        <row r="303">
          <cell r="A303">
            <v>286</v>
          </cell>
          <cell r="B303">
            <v>48580</v>
          </cell>
          <cell r="C303">
            <v>0</v>
          </cell>
          <cell r="D303">
            <v>55741172.697126448</v>
          </cell>
          <cell r="E303">
            <v>0</v>
          </cell>
          <cell r="F303">
            <v>0</v>
          </cell>
          <cell r="G303">
            <v>0</v>
          </cell>
          <cell r="H303">
            <v>0</v>
          </cell>
          <cell r="I303">
            <v>0</v>
          </cell>
        </row>
        <row r="304">
          <cell r="A304">
            <v>287</v>
          </cell>
          <cell r="B304">
            <v>48611</v>
          </cell>
          <cell r="C304">
            <v>0</v>
          </cell>
          <cell r="D304">
            <v>55741172.697126448</v>
          </cell>
          <cell r="E304">
            <v>0</v>
          </cell>
          <cell r="F304">
            <v>0</v>
          </cell>
          <cell r="G304">
            <v>0</v>
          </cell>
          <cell r="H304">
            <v>0</v>
          </cell>
          <cell r="I304">
            <v>0</v>
          </cell>
        </row>
        <row r="305">
          <cell r="A305">
            <v>288</v>
          </cell>
          <cell r="B305">
            <v>48639</v>
          </cell>
          <cell r="C305">
            <v>0</v>
          </cell>
          <cell r="D305">
            <v>55741172.697126448</v>
          </cell>
          <cell r="E305">
            <v>0</v>
          </cell>
          <cell r="F305">
            <v>0</v>
          </cell>
          <cell r="G305">
            <v>0</v>
          </cell>
          <cell r="H305">
            <v>0</v>
          </cell>
          <cell r="I305">
            <v>0</v>
          </cell>
        </row>
        <row r="306">
          <cell r="A306">
            <v>289</v>
          </cell>
          <cell r="B306">
            <v>48670</v>
          </cell>
          <cell r="C306">
            <v>0</v>
          </cell>
          <cell r="D306">
            <v>55741172.697126448</v>
          </cell>
          <cell r="E306">
            <v>0</v>
          </cell>
          <cell r="F306">
            <v>0</v>
          </cell>
          <cell r="G306">
            <v>0</v>
          </cell>
          <cell r="H306">
            <v>0</v>
          </cell>
          <cell r="I306">
            <v>0</v>
          </cell>
        </row>
        <row r="307">
          <cell r="A307">
            <v>290</v>
          </cell>
          <cell r="B307">
            <v>48700</v>
          </cell>
          <cell r="C307">
            <v>0</v>
          </cell>
          <cell r="D307">
            <v>55741172.697126448</v>
          </cell>
          <cell r="E307">
            <v>0</v>
          </cell>
          <cell r="F307">
            <v>0</v>
          </cell>
          <cell r="G307">
            <v>0</v>
          </cell>
          <cell r="H307">
            <v>0</v>
          </cell>
          <cell r="I307">
            <v>0</v>
          </cell>
        </row>
        <row r="308">
          <cell r="A308">
            <v>291</v>
          </cell>
          <cell r="B308">
            <v>48731</v>
          </cell>
          <cell r="C308">
            <v>0</v>
          </cell>
          <cell r="D308">
            <v>55741172.697126448</v>
          </cell>
          <cell r="E308">
            <v>0</v>
          </cell>
          <cell r="F308">
            <v>0</v>
          </cell>
          <cell r="G308">
            <v>0</v>
          </cell>
          <cell r="H308">
            <v>0</v>
          </cell>
          <cell r="I308">
            <v>0</v>
          </cell>
        </row>
        <row r="309">
          <cell r="A309">
            <v>292</v>
          </cell>
          <cell r="B309">
            <v>48761</v>
          </cell>
          <cell r="C309">
            <v>0</v>
          </cell>
          <cell r="D309">
            <v>55741172.697126448</v>
          </cell>
          <cell r="E309">
            <v>0</v>
          </cell>
          <cell r="F309">
            <v>0</v>
          </cell>
          <cell r="G309">
            <v>0</v>
          </cell>
          <cell r="H309">
            <v>0</v>
          </cell>
          <cell r="I309">
            <v>0</v>
          </cell>
        </row>
        <row r="310">
          <cell r="A310">
            <v>293</v>
          </cell>
          <cell r="B310">
            <v>48792</v>
          </cell>
          <cell r="C310">
            <v>0</v>
          </cell>
          <cell r="D310">
            <v>55741172.697126448</v>
          </cell>
          <cell r="E310">
            <v>0</v>
          </cell>
          <cell r="F310">
            <v>0</v>
          </cell>
          <cell r="G310">
            <v>0</v>
          </cell>
          <cell r="H310">
            <v>0</v>
          </cell>
          <cell r="I310">
            <v>0</v>
          </cell>
        </row>
        <row r="311">
          <cell r="A311">
            <v>294</v>
          </cell>
          <cell r="B311">
            <v>48823</v>
          </cell>
          <cell r="C311">
            <v>0</v>
          </cell>
          <cell r="D311">
            <v>55741172.697126448</v>
          </cell>
          <cell r="E311">
            <v>0</v>
          </cell>
          <cell r="F311">
            <v>0</v>
          </cell>
          <cell r="G311">
            <v>0</v>
          </cell>
          <cell r="H311">
            <v>0</v>
          </cell>
          <cell r="I311">
            <v>0</v>
          </cell>
        </row>
        <row r="312">
          <cell r="A312">
            <v>295</v>
          </cell>
          <cell r="B312">
            <v>48853</v>
          </cell>
          <cell r="C312">
            <v>0</v>
          </cell>
          <cell r="D312">
            <v>55741172.697126448</v>
          </cell>
          <cell r="E312">
            <v>0</v>
          </cell>
          <cell r="F312">
            <v>0</v>
          </cell>
          <cell r="G312">
            <v>0</v>
          </cell>
          <cell r="H312">
            <v>0</v>
          </cell>
          <cell r="I312">
            <v>0</v>
          </cell>
        </row>
        <row r="313">
          <cell r="A313">
            <v>296</v>
          </cell>
          <cell r="B313">
            <v>48884</v>
          </cell>
          <cell r="C313">
            <v>0</v>
          </cell>
          <cell r="D313">
            <v>55741172.697126448</v>
          </cell>
          <cell r="E313">
            <v>0</v>
          </cell>
          <cell r="F313">
            <v>0</v>
          </cell>
          <cell r="G313">
            <v>0</v>
          </cell>
          <cell r="H313">
            <v>0</v>
          </cell>
          <cell r="I313">
            <v>0</v>
          </cell>
        </row>
        <row r="314">
          <cell r="A314">
            <v>297</v>
          </cell>
          <cell r="B314">
            <v>48914</v>
          </cell>
          <cell r="C314">
            <v>0</v>
          </cell>
          <cell r="D314">
            <v>55741172.697126448</v>
          </cell>
          <cell r="E314">
            <v>0</v>
          </cell>
          <cell r="F314">
            <v>0</v>
          </cell>
          <cell r="G314">
            <v>0</v>
          </cell>
          <cell r="H314">
            <v>0</v>
          </cell>
          <cell r="I314">
            <v>0</v>
          </cell>
        </row>
        <row r="315">
          <cell r="A315">
            <v>298</v>
          </cell>
          <cell r="B315">
            <v>48945</v>
          </cell>
          <cell r="C315">
            <v>0</v>
          </cell>
          <cell r="D315">
            <v>55741172.697126448</v>
          </cell>
          <cell r="E315">
            <v>0</v>
          </cell>
          <cell r="F315">
            <v>0</v>
          </cell>
          <cell r="G315">
            <v>0</v>
          </cell>
          <cell r="H315">
            <v>0</v>
          </cell>
          <cell r="I315">
            <v>0</v>
          </cell>
        </row>
        <row r="316">
          <cell r="A316">
            <v>299</v>
          </cell>
          <cell r="B316">
            <v>48976</v>
          </cell>
          <cell r="C316">
            <v>0</v>
          </cell>
          <cell r="D316">
            <v>55741172.697126448</v>
          </cell>
          <cell r="E316">
            <v>0</v>
          </cell>
          <cell r="F316">
            <v>0</v>
          </cell>
          <cell r="G316">
            <v>0</v>
          </cell>
          <cell r="H316">
            <v>0</v>
          </cell>
          <cell r="I316">
            <v>0</v>
          </cell>
        </row>
        <row r="317">
          <cell r="A317">
            <v>300</v>
          </cell>
          <cell r="B317">
            <v>49004</v>
          </cell>
          <cell r="C317">
            <v>0</v>
          </cell>
          <cell r="D317">
            <v>55741172.697126448</v>
          </cell>
          <cell r="E317">
            <v>0</v>
          </cell>
          <cell r="F317">
            <v>0</v>
          </cell>
          <cell r="G317">
            <v>0</v>
          </cell>
          <cell r="H317">
            <v>0</v>
          </cell>
          <cell r="I317">
            <v>0</v>
          </cell>
        </row>
        <row r="318">
          <cell r="A318">
            <v>301</v>
          </cell>
          <cell r="B318">
            <v>49035</v>
          </cell>
          <cell r="C318">
            <v>0</v>
          </cell>
          <cell r="D318">
            <v>55741172.697126448</v>
          </cell>
          <cell r="E318">
            <v>0</v>
          </cell>
          <cell r="F318">
            <v>0</v>
          </cell>
          <cell r="G318">
            <v>0</v>
          </cell>
          <cell r="H318">
            <v>0</v>
          </cell>
          <cell r="I318">
            <v>0</v>
          </cell>
        </row>
        <row r="319">
          <cell r="A319">
            <v>302</v>
          </cell>
          <cell r="B319">
            <v>49065</v>
          </cell>
          <cell r="C319">
            <v>0</v>
          </cell>
          <cell r="D319">
            <v>55741172.697126448</v>
          </cell>
          <cell r="E319">
            <v>0</v>
          </cell>
          <cell r="F319">
            <v>0</v>
          </cell>
          <cell r="G319">
            <v>0</v>
          </cell>
          <cell r="H319">
            <v>0</v>
          </cell>
          <cell r="I319">
            <v>0</v>
          </cell>
        </row>
        <row r="320">
          <cell r="A320">
            <v>303</v>
          </cell>
          <cell r="B320">
            <v>49096</v>
          </cell>
          <cell r="C320">
            <v>0</v>
          </cell>
          <cell r="D320">
            <v>55741172.697126448</v>
          </cell>
          <cell r="E320">
            <v>0</v>
          </cell>
          <cell r="F320">
            <v>0</v>
          </cell>
          <cell r="G320">
            <v>0</v>
          </cell>
          <cell r="H320">
            <v>0</v>
          </cell>
          <cell r="I320">
            <v>0</v>
          </cell>
        </row>
        <row r="321">
          <cell r="A321">
            <v>304</v>
          </cell>
          <cell r="B321">
            <v>49126</v>
          </cell>
          <cell r="C321">
            <v>0</v>
          </cell>
          <cell r="D321">
            <v>55741172.697126448</v>
          </cell>
          <cell r="E321">
            <v>0</v>
          </cell>
          <cell r="F321">
            <v>0</v>
          </cell>
          <cell r="G321">
            <v>0</v>
          </cell>
          <cell r="H321">
            <v>0</v>
          </cell>
          <cell r="I321">
            <v>0</v>
          </cell>
        </row>
        <row r="322">
          <cell r="A322">
            <v>305</v>
          </cell>
          <cell r="B322">
            <v>49157</v>
          </cell>
          <cell r="C322">
            <v>0</v>
          </cell>
          <cell r="D322">
            <v>55741172.697126448</v>
          </cell>
          <cell r="E322">
            <v>0</v>
          </cell>
          <cell r="F322">
            <v>0</v>
          </cell>
          <cell r="G322">
            <v>0</v>
          </cell>
          <cell r="H322">
            <v>0</v>
          </cell>
          <cell r="I322">
            <v>0</v>
          </cell>
        </row>
        <row r="323">
          <cell r="A323">
            <v>306</v>
          </cell>
          <cell r="B323">
            <v>49188</v>
          </cell>
          <cell r="C323">
            <v>0</v>
          </cell>
          <cell r="D323">
            <v>55741172.697126448</v>
          </cell>
          <cell r="E323">
            <v>0</v>
          </cell>
          <cell r="F323">
            <v>0</v>
          </cell>
          <cell r="G323">
            <v>0</v>
          </cell>
          <cell r="H323">
            <v>0</v>
          </cell>
          <cell r="I323">
            <v>0</v>
          </cell>
        </row>
        <row r="324">
          <cell r="A324">
            <v>307</v>
          </cell>
          <cell r="B324">
            <v>49218</v>
          </cell>
          <cell r="C324">
            <v>0</v>
          </cell>
          <cell r="D324">
            <v>55741172.697126448</v>
          </cell>
          <cell r="E324">
            <v>0</v>
          </cell>
          <cell r="F324">
            <v>0</v>
          </cell>
          <cell r="G324">
            <v>0</v>
          </cell>
          <cell r="H324">
            <v>0</v>
          </cell>
          <cell r="I324">
            <v>0</v>
          </cell>
        </row>
        <row r="325">
          <cell r="A325">
            <v>308</v>
          </cell>
          <cell r="B325">
            <v>49249</v>
          </cell>
          <cell r="C325">
            <v>0</v>
          </cell>
          <cell r="D325">
            <v>55741172.697126448</v>
          </cell>
          <cell r="E325">
            <v>0</v>
          </cell>
          <cell r="F325">
            <v>0</v>
          </cell>
          <cell r="G325">
            <v>0</v>
          </cell>
          <cell r="H325">
            <v>0</v>
          </cell>
          <cell r="I325">
            <v>0</v>
          </cell>
        </row>
        <row r="326">
          <cell r="A326">
            <v>309</v>
          </cell>
          <cell r="B326">
            <v>49279</v>
          </cell>
          <cell r="C326">
            <v>0</v>
          </cell>
          <cell r="D326">
            <v>55741172.697126448</v>
          </cell>
          <cell r="E326">
            <v>0</v>
          </cell>
          <cell r="F326">
            <v>0</v>
          </cell>
          <cell r="G326">
            <v>0</v>
          </cell>
          <cell r="H326">
            <v>0</v>
          </cell>
          <cell r="I326">
            <v>0</v>
          </cell>
        </row>
        <row r="327">
          <cell r="A327">
            <v>310</v>
          </cell>
          <cell r="B327">
            <v>49310</v>
          </cell>
          <cell r="C327">
            <v>0</v>
          </cell>
          <cell r="D327">
            <v>55741172.697126448</v>
          </cell>
          <cell r="E327">
            <v>0</v>
          </cell>
          <cell r="F327">
            <v>0</v>
          </cell>
          <cell r="G327">
            <v>0</v>
          </cell>
          <cell r="H327">
            <v>0</v>
          </cell>
          <cell r="I327">
            <v>0</v>
          </cell>
        </row>
        <row r="328">
          <cell r="A328">
            <v>311</v>
          </cell>
          <cell r="B328">
            <v>49341</v>
          </cell>
          <cell r="C328">
            <v>0</v>
          </cell>
          <cell r="D328">
            <v>55741172.697126448</v>
          </cell>
          <cell r="E328">
            <v>0</v>
          </cell>
          <cell r="F328">
            <v>0</v>
          </cell>
          <cell r="G328">
            <v>0</v>
          </cell>
          <cell r="H328">
            <v>0</v>
          </cell>
          <cell r="I328">
            <v>0</v>
          </cell>
        </row>
        <row r="329">
          <cell r="A329">
            <v>312</v>
          </cell>
          <cell r="B329">
            <v>49369</v>
          </cell>
          <cell r="C329">
            <v>0</v>
          </cell>
          <cell r="D329">
            <v>55741172.697126448</v>
          </cell>
          <cell r="E329">
            <v>0</v>
          </cell>
          <cell r="F329">
            <v>0</v>
          </cell>
          <cell r="G329">
            <v>0</v>
          </cell>
          <cell r="H329">
            <v>0</v>
          </cell>
          <cell r="I329">
            <v>0</v>
          </cell>
        </row>
        <row r="330">
          <cell r="A330">
            <v>313</v>
          </cell>
          <cell r="B330">
            <v>49400</v>
          </cell>
          <cell r="C330">
            <v>0</v>
          </cell>
          <cell r="D330">
            <v>55741172.697126448</v>
          </cell>
          <cell r="E330">
            <v>0</v>
          </cell>
          <cell r="F330">
            <v>0</v>
          </cell>
          <cell r="G330">
            <v>0</v>
          </cell>
          <cell r="H330">
            <v>0</v>
          </cell>
          <cell r="I330">
            <v>0</v>
          </cell>
        </row>
        <row r="331">
          <cell r="A331">
            <v>314</v>
          </cell>
          <cell r="B331">
            <v>49430</v>
          </cell>
          <cell r="C331">
            <v>0</v>
          </cell>
          <cell r="D331">
            <v>55741172.697126448</v>
          </cell>
          <cell r="E331">
            <v>0</v>
          </cell>
          <cell r="F331">
            <v>0</v>
          </cell>
          <cell r="G331">
            <v>0</v>
          </cell>
          <cell r="H331">
            <v>0</v>
          </cell>
          <cell r="I331">
            <v>0</v>
          </cell>
        </row>
        <row r="332">
          <cell r="A332">
            <v>315</v>
          </cell>
          <cell r="B332">
            <v>49461</v>
          </cell>
          <cell r="C332">
            <v>0</v>
          </cell>
          <cell r="D332">
            <v>55741172.697126448</v>
          </cell>
          <cell r="E332">
            <v>0</v>
          </cell>
          <cell r="F332">
            <v>0</v>
          </cell>
          <cell r="G332">
            <v>0</v>
          </cell>
          <cell r="H332">
            <v>0</v>
          </cell>
          <cell r="I332">
            <v>0</v>
          </cell>
        </row>
        <row r="333">
          <cell r="A333">
            <v>316</v>
          </cell>
          <cell r="B333">
            <v>49491</v>
          </cell>
          <cell r="C333">
            <v>0</v>
          </cell>
          <cell r="D333">
            <v>55741172.697126448</v>
          </cell>
          <cell r="E333">
            <v>0</v>
          </cell>
          <cell r="F333">
            <v>0</v>
          </cell>
          <cell r="G333">
            <v>0</v>
          </cell>
          <cell r="H333">
            <v>0</v>
          </cell>
          <cell r="I333">
            <v>0</v>
          </cell>
        </row>
        <row r="334">
          <cell r="A334">
            <v>317</v>
          </cell>
          <cell r="B334">
            <v>49522</v>
          </cell>
          <cell r="C334">
            <v>0</v>
          </cell>
          <cell r="D334">
            <v>55741172.697126448</v>
          </cell>
          <cell r="E334">
            <v>0</v>
          </cell>
          <cell r="F334">
            <v>0</v>
          </cell>
          <cell r="G334">
            <v>0</v>
          </cell>
          <cell r="H334">
            <v>0</v>
          </cell>
          <cell r="I334">
            <v>0</v>
          </cell>
        </row>
        <row r="335">
          <cell r="A335">
            <v>318</v>
          </cell>
          <cell r="B335">
            <v>49553</v>
          </cell>
          <cell r="C335">
            <v>0</v>
          </cell>
          <cell r="D335">
            <v>55741172.697126448</v>
          </cell>
          <cell r="E335">
            <v>0</v>
          </cell>
          <cell r="F335">
            <v>0</v>
          </cell>
          <cell r="G335">
            <v>0</v>
          </cell>
          <cell r="H335">
            <v>0</v>
          </cell>
          <cell r="I335">
            <v>0</v>
          </cell>
        </row>
        <row r="336">
          <cell r="A336">
            <v>319</v>
          </cell>
          <cell r="B336">
            <v>49583</v>
          </cell>
          <cell r="C336">
            <v>0</v>
          </cell>
          <cell r="D336">
            <v>55741172.697126448</v>
          </cell>
          <cell r="E336">
            <v>0</v>
          </cell>
          <cell r="F336">
            <v>0</v>
          </cell>
          <cell r="G336">
            <v>0</v>
          </cell>
          <cell r="H336">
            <v>0</v>
          </cell>
          <cell r="I336">
            <v>0</v>
          </cell>
        </row>
        <row r="337">
          <cell r="A337">
            <v>320</v>
          </cell>
          <cell r="B337">
            <v>49614</v>
          </cell>
          <cell r="C337">
            <v>0</v>
          </cell>
          <cell r="D337">
            <v>55741172.697126448</v>
          </cell>
          <cell r="E337">
            <v>0</v>
          </cell>
          <cell r="F337">
            <v>0</v>
          </cell>
          <cell r="G337">
            <v>0</v>
          </cell>
          <cell r="H337">
            <v>0</v>
          </cell>
          <cell r="I337">
            <v>0</v>
          </cell>
        </row>
        <row r="338">
          <cell r="A338">
            <v>321</v>
          </cell>
          <cell r="B338">
            <v>49644</v>
          </cell>
          <cell r="C338">
            <v>0</v>
          </cell>
          <cell r="D338">
            <v>55741172.697126448</v>
          </cell>
          <cell r="E338">
            <v>0</v>
          </cell>
          <cell r="F338">
            <v>0</v>
          </cell>
          <cell r="G338">
            <v>0</v>
          </cell>
          <cell r="H338">
            <v>0</v>
          </cell>
          <cell r="I338">
            <v>0</v>
          </cell>
        </row>
        <row r="339">
          <cell r="A339">
            <v>322</v>
          </cell>
          <cell r="B339">
            <v>49675</v>
          </cell>
          <cell r="C339">
            <v>0</v>
          </cell>
          <cell r="D339">
            <v>55741172.697126448</v>
          </cell>
          <cell r="E339">
            <v>0</v>
          </cell>
          <cell r="F339">
            <v>0</v>
          </cell>
          <cell r="G339">
            <v>0</v>
          </cell>
          <cell r="H339">
            <v>0</v>
          </cell>
          <cell r="I339">
            <v>0</v>
          </cell>
        </row>
        <row r="340">
          <cell r="A340">
            <v>323</v>
          </cell>
          <cell r="B340">
            <v>49706</v>
          </cell>
          <cell r="C340">
            <v>0</v>
          </cell>
          <cell r="D340">
            <v>55741172.697126448</v>
          </cell>
          <cell r="E340">
            <v>0</v>
          </cell>
          <cell r="F340">
            <v>0</v>
          </cell>
          <cell r="G340">
            <v>0</v>
          </cell>
          <cell r="H340">
            <v>0</v>
          </cell>
          <cell r="I340">
            <v>0</v>
          </cell>
        </row>
        <row r="341">
          <cell r="A341">
            <v>324</v>
          </cell>
          <cell r="B341">
            <v>49735</v>
          </cell>
          <cell r="C341">
            <v>0</v>
          </cell>
          <cell r="D341">
            <v>55741172.697126448</v>
          </cell>
          <cell r="E341">
            <v>0</v>
          </cell>
          <cell r="F341">
            <v>0</v>
          </cell>
          <cell r="G341">
            <v>0</v>
          </cell>
          <cell r="H341">
            <v>0</v>
          </cell>
          <cell r="I341">
            <v>0</v>
          </cell>
        </row>
        <row r="342">
          <cell r="A342">
            <v>325</v>
          </cell>
          <cell r="B342">
            <v>49766</v>
          </cell>
          <cell r="C342">
            <v>0</v>
          </cell>
          <cell r="D342">
            <v>55741172.697126448</v>
          </cell>
          <cell r="E342">
            <v>0</v>
          </cell>
          <cell r="F342">
            <v>0</v>
          </cell>
          <cell r="G342">
            <v>0</v>
          </cell>
          <cell r="H342">
            <v>0</v>
          </cell>
          <cell r="I342">
            <v>0</v>
          </cell>
        </row>
        <row r="343">
          <cell r="A343">
            <v>326</v>
          </cell>
          <cell r="B343">
            <v>49796</v>
          </cell>
          <cell r="C343">
            <v>0</v>
          </cell>
          <cell r="D343">
            <v>55741172.697126448</v>
          </cell>
          <cell r="E343">
            <v>0</v>
          </cell>
          <cell r="F343">
            <v>0</v>
          </cell>
          <cell r="G343">
            <v>0</v>
          </cell>
          <cell r="H343">
            <v>0</v>
          </cell>
          <cell r="I343">
            <v>0</v>
          </cell>
        </row>
        <row r="344">
          <cell r="A344">
            <v>327</v>
          </cell>
          <cell r="B344">
            <v>49827</v>
          </cell>
          <cell r="C344">
            <v>0</v>
          </cell>
          <cell r="D344">
            <v>55741172.697126448</v>
          </cell>
          <cell r="E344">
            <v>0</v>
          </cell>
          <cell r="F344">
            <v>0</v>
          </cell>
          <cell r="G344">
            <v>0</v>
          </cell>
          <cell r="H344">
            <v>0</v>
          </cell>
          <cell r="I344">
            <v>0</v>
          </cell>
        </row>
        <row r="345">
          <cell r="A345">
            <v>328</v>
          </cell>
          <cell r="B345">
            <v>49857</v>
          </cell>
          <cell r="C345">
            <v>0</v>
          </cell>
          <cell r="D345">
            <v>55741172.697126448</v>
          </cell>
          <cell r="E345">
            <v>0</v>
          </cell>
          <cell r="F345">
            <v>0</v>
          </cell>
          <cell r="G345">
            <v>0</v>
          </cell>
          <cell r="H345">
            <v>0</v>
          </cell>
          <cell r="I345">
            <v>0</v>
          </cell>
        </row>
        <row r="346">
          <cell r="A346">
            <v>329</v>
          </cell>
          <cell r="B346">
            <v>49888</v>
          </cell>
          <cell r="C346">
            <v>0</v>
          </cell>
          <cell r="D346">
            <v>55741172.697126448</v>
          </cell>
          <cell r="E346">
            <v>0</v>
          </cell>
          <cell r="F346">
            <v>0</v>
          </cell>
          <cell r="G346">
            <v>0</v>
          </cell>
          <cell r="H346">
            <v>0</v>
          </cell>
          <cell r="I346">
            <v>0</v>
          </cell>
        </row>
        <row r="347">
          <cell r="A347">
            <v>330</v>
          </cell>
          <cell r="B347">
            <v>49919</v>
          </cell>
          <cell r="C347">
            <v>0</v>
          </cell>
          <cell r="D347">
            <v>55741172.697126448</v>
          </cell>
          <cell r="E347">
            <v>0</v>
          </cell>
          <cell r="F347">
            <v>0</v>
          </cell>
          <cell r="G347">
            <v>0</v>
          </cell>
          <cell r="H347">
            <v>0</v>
          </cell>
          <cell r="I347">
            <v>0</v>
          </cell>
        </row>
        <row r="348">
          <cell r="A348">
            <v>331</v>
          </cell>
          <cell r="B348">
            <v>49949</v>
          </cell>
          <cell r="C348">
            <v>0</v>
          </cell>
          <cell r="D348">
            <v>55741172.697126448</v>
          </cell>
          <cell r="E348">
            <v>0</v>
          </cell>
          <cell r="F348">
            <v>0</v>
          </cell>
          <cell r="G348">
            <v>0</v>
          </cell>
          <cell r="H348">
            <v>0</v>
          </cell>
          <cell r="I348">
            <v>0</v>
          </cell>
        </row>
        <row r="349">
          <cell r="A349">
            <v>332</v>
          </cell>
          <cell r="B349">
            <v>49980</v>
          </cell>
          <cell r="C349">
            <v>0</v>
          </cell>
          <cell r="D349">
            <v>55741172.697126448</v>
          </cell>
          <cell r="E349">
            <v>0</v>
          </cell>
          <cell r="F349">
            <v>0</v>
          </cell>
          <cell r="G349">
            <v>0</v>
          </cell>
          <cell r="H349">
            <v>0</v>
          </cell>
          <cell r="I349">
            <v>0</v>
          </cell>
        </row>
        <row r="350">
          <cell r="A350">
            <v>333</v>
          </cell>
          <cell r="B350">
            <v>50010</v>
          </cell>
          <cell r="C350">
            <v>0</v>
          </cell>
          <cell r="D350">
            <v>55741172.697126448</v>
          </cell>
          <cell r="E350">
            <v>0</v>
          </cell>
          <cell r="F350">
            <v>0</v>
          </cell>
          <cell r="G350">
            <v>0</v>
          </cell>
          <cell r="H350">
            <v>0</v>
          </cell>
          <cell r="I350">
            <v>0</v>
          </cell>
        </row>
        <row r="351">
          <cell r="A351">
            <v>334</v>
          </cell>
          <cell r="B351">
            <v>50041</v>
          </cell>
          <cell r="C351">
            <v>0</v>
          </cell>
          <cell r="D351">
            <v>55741172.697126448</v>
          </cell>
          <cell r="E351">
            <v>0</v>
          </cell>
          <cell r="F351">
            <v>0</v>
          </cell>
          <cell r="G351">
            <v>0</v>
          </cell>
          <cell r="H351">
            <v>0</v>
          </cell>
          <cell r="I351">
            <v>0</v>
          </cell>
        </row>
        <row r="352">
          <cell r="A352">
            <v>335</v>
          </cell>
          <cell r="B352">
            <v>50072</v>
          </cell>
          <cell r="C352">
            <v>0</v>
          </cell>
          <cell r="D352">
            <v>55741172.697126448</v>
          </cell>
          <cell r="E352">
            <v>0</v>
          </cell>
          <cell r="F352">
            <v>0</v>
          </cell>
          <cell r="G352">
            <v>0</v>
          </cell>
          <cell r="H352">
            <v>0</v>
          </cell>
          <cell r="I352">
            <v>0</v>
          </cell>
        </row>
        <row r="353">
          <cell r="A353">
            <v>336</v>
          </cell>
          <cell r="B353">
            <v>50100</v>
          </cell>
          <cell r="C353">
            <v>0</v>
          </cell>
          <cell r="D353">
            <v>55741172.697126448</v>
          </cell>
          <cell r="E353">
            <v>0</v>
          </cell>
          <cell r="F353">
            <v>0</v>
          </cell>
          <cell r="G353">
            <v>0</v>
          </cell>
          <cell r="H353">
            <v>0</v>
          </cell>
          <cell r="I353">
            <v>0</v>
          </cell>
        </row>
        <row r="354">
          <cell r="A354">
            <v>337</v>
          </cell>
          <cell r="B354">
            <v>50131</v>
          </cell>
          <cell r="C354">
            <v>0</v>
          </cell>
          <cell r="D354">
            <v>55741172.697126448</v>
          </cell>
          <cell r="E354">
            <v>0</v>
          </cell>
          <cell r="F354">
            <v>0</v>
          </cell>
          <cell r="G354">
            <v>0</v>
          </cell>
          <cell r="H354">
            <v>0</v>
          </cell>
          <cell r="I354">
            <v>0</v>
          </cell>
        </row>
        <row r="355">
          <cell r="A355">
            <v>338</v>
          </cell>
          <cell r="B355">
            <v>50161</v>
          </cell>
          <cell r="C355">
            <v>0</v>
          </cell>
          <cell r="D355">
            <v>55741172.697126448</v>
          </cell>
          <cell r="E355">
            <v>0</v>
          </cell>
          <cell r="F355">
            <v>0</v>
          </cell>
          <cell r="G355">
            <v>0</v>
          </cell>
          <cell r="H355">
            <v>0</v>
          </cell>
          <cell r="I355">
            <v>0</v>
          </cell>
        </row>
        <row r="356">
          <cell r="A356">
            <v>339</v>
          </cell>
          <cell r="B356">
            <v>50192</v>
          </cell>
          <cell r="C356">
            <v>0</v>
          </cell>
          <cell r="D356">
            <v>55741172.697126448</v>
          </cell>
          <cell r="E356">
            <v>0</v>
          </cell>
          <cell r="F356">
            <v>0</v>
          </cell>
          <cell r="G356">
            <v>0</v>
          </cell>
          <cell r="H356">
            <v>0</v>
          </cell>
          <cell r="I356">
            <v>0</v>
          </cell>
        </row>
        <row r="357">
          <cell r="A357">
            <v>340</v>
          </cell>
          <cell r="B357">
            <v>50222</v>
          </cell>
          <cell r="C357">
            <v>0</v>
          </cell>
          <cell r="D357">
            <v>55741172.697126448</v>
          </cell>
          <cell r="E357">
            <v>0</v>
          </cell>
          <cell r="F357">
            <v>0</v>
          </cell>
          <cell r="G357">
            <v>0</v>
          </cell>
          <cell r="H357">
            <v>0</v>
          </cell>
          <cell r="I357">
            <v>0</v>
          </cell>
        </row>
        <row r="358">
          <cell r="A358">
            <v>341</v>
          </cell>
          <cell r="B358">
            <v>50253</v>
          </cell>
          <cell r="C358">
            <v>0</v>
          </cell>
          <cell r="D358">
            <v>55741172.697126448</v>
          </cell>
          <cell r="E358">
            <v>0</v>
          </cell>
          <cell r="F358">
            <v>0</v>
          </cell>
          <cell r="G358">
            <v>0</v>
          </cell>
          <cell r="H358">
            <v>0</v>
          </cell>
          <cell r="I358">
            <v>0</v>
          </cell>
        </row>
        <row r="359">
          <cell r="A359">
            <v>342</v>
          </cell>
          <cell r="B359">
            <v>50284</v>
          </cell>
          <cell r="C359">
            <v>0</v>
          </cell>
          <cell r="D359">
            <v>55741172.697126448</v>
          </cell>
          <cell r="E359">
            <v>0</v>
          </cell>
          <cell r="F359">
            <v>0</v>
          </cell>
          <cell r="G359">
            <v>0</v>
          </cell>
          <cell r="H359">
            <v>0</v>
          </cell>
          <cell r="I359">
            <v>0</v>
          </cell>
        </row>
        <row r="360">
          <cell r="A360">
            <v>343</v>
          </cell>
          <cell r="B360">
            <v>50314</v>
          </cell>
          <cell r="C360">
            <v>0</v>
          </cell>
          <cell r="D360">
            <v>55741172.697126448</v>
          </cell>
          <cell r="E360">
            <v>0</v>
          </cell>
          <cell r="F360">
            <v>0</v>
          </cell>
          <cell r="G360">
            <v>0</v>
          </cell>
          <cell r="H360">
            <v>0</v>
          </cell>
          <cell r="I360">
            <v>0</v>
          </cell>
        </row>
        <row r="361">
          <cell r="A361">
            <v>344</v>
          </cell>
          <cell r="B361">
            <v>50345</v>
          </cell>
          <cell r="C361">
            <v>0</v>
          </cell>
          <cell r="D361">
            <v>55741172.697126448</v>
          </cell>
          <cell r="E361">
            <v>0</v>
          </cell>
          <cell r="F361">
            <v>0</v>
          </cell>
          <cell r="G361">
            <v>0</v>
          </cell>
          <cell r="H361">
            <v>0</v>
          </cell>
          <cell r="I361">
            <v>0</v>
          </cell>
        </row>
        <row r="362">
          <cell r="A362">
            <v>345</v>
          </cell>
          <cell r="B362">
            <v>50375</v>
          </cell>
          <cell r="C362">
            <v>0</v>
          </cell>
          <cell r="D362">
            <v>55741172.697126448</v>
          </cell>
          <cell r="E362">
            <v>0</v>
          </cell>
          <cell r="F362">
            <v>0</v>
          </cell>
          <cell r="G362">
            <v>0</v>
          </cell>
          <cell r="H362">
            <v>0</v>
          </cell>
          <cell r="I362">
            <v>0</v>
          </cell>
        </row>
        <row r="363">
          <cell r="A363">
            <v>346</v>
          </cell>
          <cell r="B363">
            <v>50406</v>
          </cell>
          <cell r="C363">
            <v>0</v>
          </cell>
          <cell r="D363">
            <v>55741172.697126448</v>
          </cell>
          <cell r="E363">
            <v>0</v>
          </cell>
          <cell r="F363">
            <v>0</v>
          </cell>
          <cell r="G363">
            <v>0</v>
          </cell>
          <cell r="H363">
            <v>0</v>
          </cell>
          <cell r="I363">
            <v>0</v>
          </cell>
        </row>
        <row r="364">
          <cell r="A364">
            <v>347</v>
          </cell>
          <cell r="B364">
            <v>50437</v>
          </cell>
          <cell r="C364">
            <v>0</v>
          </cell>
          <cell r="D364">
            <v>55741172.697126448</v>
          </cell>
          <cell r="E364">
            <v>0</v>
          </cell>
          <cell r="F364">
            <v>0</v>
          </cell>
          <cell r="G364">
            <v>0</v>
          </cell>
          <cell r="H364">
            <v>0</v>
          </cell>
          <cell r="I364">
            <v>0</v>
          </cell>
        </row>
        <row r="365">
          <cell r="A365">
            <v>348</v>
          </cell>
          <cell r="B365">
            <v>50465</v>
          </cell>
          <cell r="C365">
            <v>0</v>
          </cell>
          <cell r="D365">
            <v>55741172.697126448</v>
          </cell>
          <cell r="E365">
            <v>0</v>
          </cell>
          <cell r="F365">
            <v>0</v>
          </cell>
          <cell r="G365">
            <v>0</v>
          </cell>
          <cell r="H365">
            <v>0</v>
          </cell>
          <cell r="I365">
            <v>0</v>
          </cell>
        </row>
        <row r="366">
          <cell r="A366">
            <v>349</v>
          </cell>
          <cell r="B366">
            <v>50496</v>
          </cell>
          <cell r="C366">
            <v>0</v>
          </cell>
          <cell r="D366">
            <v>55741172.697126448</v>
          </cell>
          <cell r="E366">
            <v>0</v>
          </cell>
          <cell r="F366">
            <v>0</v>
          </cell>
          <cell r="G366">
            <v>0</v>
          </cell>
          <cell r="H366">
            <v>0</v>
          </cell>
          <cell r="I366">
            <v>0</v>
          </cell>
        </row>
        <row r="367">
          <cell r="A367">
            <v>350</v>
          </cell>
          <cell r="B367">
            <v>50526</v>
          </cell>
          <cell r="C367">
            <v>0</v>
          </cell>
          <cell r="D367">
            <v>55741172.697126448</v>
          </cell>
          <cell r="E367">
            <v>0</v>
          </cell>
          <cell r="F367">
            <v>0</v>
          </cell>
          <cell r="G367">
            <v>0</v>
          </cell>
          <cell r="H367">
            <v>0</v>
          </cell>
          <cell r="I367">
            <v>0</v>
          </cell>
        </row>
        <row r="368">
          <cell r="A368">
            <v>351</v>
          </cell>
          <cell r="B368">
            <v>50557</v>
          </cell>
          <cell r="C368">
            <v>0</v>
          </cell>
          <cell r="D368">
            <v>55741172.697126448</v>
          </cell>
          <cell r="E368">
            <v>0</v>
          </cell>
          <cell r="F368">
            <v>0</v>
          </cell>
          <cell r="G368">
            <v>0</v>
          </cell>
          <cell r="H368">
            <v>0</v>
          </cell>
          <cell r="I368">
            <v>0</v>
          </cell>
        </row>
        <row r="369">
          <cell r="A369">
            <v>352</v>
          </cell>
          <cell r="B369">
            <v>50587</v>
          </cell>
          <cell r="C369">
            <v>0</v>
          </cell>
          <cell r="D369">
            <v>55741172.697126448</v>
          </cell>
          <cell r="E369">
            <v>0</v>
          </cell>
          <cell r="F369">
            <v>0</v>
          </cell>
          <cell r="G369">
            <v>0</v>
          </cell>
          <cell r="H369">
            <v>0</v>
          </cell>
          <cell r="I369">
            <v>0</v>
          </cell>
        </row>
        <row r="370">
          <cell r="A370">
            <v>353</v>
          </cell>
          <cell r="B370">
            <v>50618</v>
          </cell>
          <cell r="C370">
            <v>0</v>
          </cell>
          <cell r="D370">
            <v>55741172.697126448</v>
          </cell>
          <cell r="E370">
            <v>0</v>
          </cell>
          <cell r="F370">
            <v>0</v>
          </cell>
          <cell r="G370">
            <v>0</v>
          </cell>
          <cell r="H370">
            <v>0</v>
          </cell>
          <cell r="I370">
            <v>0</v>
          </cell>
        </row>
        <row r="371">
          <cell r="A371">
            <v>354</v>
          </cell>
          <cell r="B371">
            <v>50649</v>
          </cell>
          <cell r="C371">
            <v>0</v>
          </cell>
          <cell r="D371">
            <v>55741172.697126448</v>
          </cell>
          <cell r="E371">
            <v>0</v>
          </cell>
          <cell r="F371">
            <v>0</v>
          </cell>
          <cell r="G371">
            <v>0</v>
          </cell>
          <cell r="H371">
            <v>0</v>
          </cell>
          <cell r="I371">
            <v>0</v>
          </cell>
        </row>
        <row r="372">
          <cell r="A372">
            <v>355</v>
          </cell>
          <cell r="B372">
            <v>50679</v>
          </cell>
          <cell r="C372">
            <v>0</v>
          </cell>
          <cell r="D372">
            <v>55741172.697126448</v>
          </cell>
          <cell r="E372">
            <v>0</v>
          </cell>
          <cell r="F372">
            <v>0</v>
          </cell>
          <cell r="G372">
            <v>0</v>
          </cell>
          <cell r="H372">
            <v>0</v>
          </cell>
          <cell r="I372">
            <v>0</v>
          </cell>
        </row>
        <row r="373">
          <cell r="A373">
            <v>356</v>
          </cell>
          <cell r="B373">
            <v>50710</v>
          </cell>
          <cell r="C373">
            <v>0</v>
          </cell>
          <cell r="D373">
            <v>55741172.697126448</v>
          </cell>
          <cell r="E373">
            <v>0</v>
          </cell>
          <cell r="F373">
            <v>0</v>
          </cell>
          <cell r="G373">
            <v>0</v>
          </cell>
          <cell r="H373">
            <v>0</v>
          </cell>
          <cell r="I373">
            <v>0</v>
          </cell>
        </row>
        <row r="374">
          <cell r="A374">
            <v>357</v>
          </cell>
          <cell r="B374">
            <v>50740</v>
          </cell>
          <cell r="C374">
            <v>0</v>
          </cell>
          <cell r="D374">
            <v>55741172.697126448</v>
          </cell>
          <cell r="E374">
            <v>0</v>
          </cell>
          <cell r="F374">
            <v>0</v>
          </cell>
          <cell r="G374">
            <v>0</v>
          </cell>
          <cell r="H374">
            <v>0</v>
          </cell>
          <cell r="I374">
            <v>0</v>
          </cell>
        </row>
        <row r="375">
          <cell r="A375">
            <v>358</v>
          </cell>
          <cell r="B375">
            <v>50771</v>
          </cell>
          <cell r="C375">
            <v>0</v>
          </cell>
          <cell r="D375">
            <v>55741172.697126448</v>
          </cell>
          <cell r="E375">
            <v>0</v>
          </cell>
          <cell r="F375">
            <v>0</v>
          </cell>
          <cell r="G375">
            <v>0</v>
          </cell>
          <cell r="H375">
            <v>0</v>
          </cell>
          <cell r="I375">
            <v>0</v>
          </cell>
        </row>
        <row r="376">
          <cell r="A376">
            <v>359</v>
          </cell>
          <cell r="B376">
            <v>50802</v>
          </cell>
          <cell r="C376">
            <v>0</v>
          </cell>
          <cell r="D376">
            <v>55741172.697126448</v>
          </cell>
          <cell r="E376">
            <v>0</v>
          </cell>
          <cell r="F376">
            <v>0</v>
          </cell>
          <cell r="G376">
            <v>0</v>
          </cell>
          <cell r="H376">
            <v>0</v>
          </cell>
          <cell r="I376">
            <v>0</v>
          </cell>
        </row>
        <row r="377">
          <cell r="A377">
            <v>360</v>
          </cell>
          <cell r="B377">
            <v>50830</v>
          </cell>
          <cell r="C377">
            <v>0</v>
          </cell>
          <cell r="D377">
            <v>55741172.697126448</v>
          </cell>
          <cell r="E377">
            <v>0</v>
          </cell>
          <cell r="F377">
            <v>0</v>
          </cell>
          <cell r="G377">
            <v>0</v>
          </cell>
          <cell r="H377">
            <v>0</v>
          </cell>
          <cell r="I377">
            <v>0</v>
          </cell>
        </row>
      </sheetData>
      <sheetData sheetId="13"/>
      <sheetData sheetId="14"/>
      <sheetData sheetId="15"/>
      <sheetData sheetId="16"/>
      <sheetData sheetId="17"/>
      <sheetData sheetId="18"/>
      <sheetData sheetId="19"/>
      <sheetData sheetId="20"/>
      <sheetData sheetId="2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BETA "/>
      <sheetName val="Data"/>
      <sheetName val="Help"/>
    </sheetNames>
    <sheetDataSet>
      <sheetData sheetId="0" refreshError="1"/>
      <sheetData sheetId="1" refreshError="1">
        <row r="4">
          <cell r="J4" t="str">
            <v>EQY_BETA_OVERRIDE_START_DT</v>
          </cell>
          <cell r="K4" t="str">
            <v>20101201</v>
          </cell>
        </row>
        <row r="5">
          <cell r="J5" t="str">
            <v>EQY_BETA_OVERRIDE_END_DT</v>
          </cell>
          <cell r="K5" t="str">
            <v>20101230</v>
          </cell>
        </row>
        <row r="6">
          <cell r="J6" t="str">
            <v>EQY_BETA_OVERRIDE_REL_INDEX</v>
          </cell>
          <cell r="K6" t="str">
            <v>SENSEX  Index</v>
          </cell>
        </row>
        <row r="7">
          <cell r="J7" t="str">
            <v>EQY_BETA_OVERRIDE_PERIOD</v>
          </cell>
          <cell r="K7" t="str">
            <v>D</v>
          </cell>
        </row>
        <row r="8">
          <cell r="K8" t="str">
            <v/>
          </cell>
        </row>
      </sheetData>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_1"/>
      <sheetName val="L"/>
      <sheetName val="C1"/>
      <sheetName val="Cargo 12-13"/>
      <sheetName val="Tank allocation"/>
      <sheetName val="TA"/>
      <sheetName val="Density"/>
      <sheetName val="Sheet1"/>
      <sheetName val="Op0"/>
      <sheetName val="Op1"/>
      <sheetName val="Op2"/>
      <sheetName val="Op4"/>
    </sheetNames>
    <sheetDataSet>
      <sheetData sheetId="0"/>
      <sheetData sheetId="1"/>
      <sheetData sheetId="2"/>
      <sheetData sheetId="3"/>
      <sheetData sheetId="4"/>
      <sheetData sheetId="5"/>
      <sheetData sheetId="6"/>
      <sheetData sheetId="7">
        <row r="3">
          <cell r="B3" t="str">
            <v>AWL - CPO/CSBO(NH)</v>
          </cell>
          <cell r="C3">
            <v>145</v>
          </cell>
          <cell r="D3">
            <v>145</v>
          </cell>
          <cell r="E3">
            <v>1</v>
          </cell>
        </row>
        <row r="4">
          <cell r="B4" t="str">
            <v>AWL - CPO/CSBO(H)</v>
          </cell>
          <cell r="C4">
            <v>150</v>
          </cell>
          <cell r="D4">
            <v>150</v>
          </cell>
          <cell r="E4">
            <v>1</v>
          </cell>
        </row>
        <row r="5">
          <cell r="B5" t="str">
            <v>AWL -   CSFO</v>
          </cell>
          <cell r="C5">
            <v>145</v>
          </cell>
          <cell r="D5">
            <v>145</v>
          </cell>
          <cell r="E5">
            <v>1</v>
          </cell>
        </row>
        <row r="6">
          <cell r="B6" t="str">
            <v xml:space="preserve">Spot -Veg Oil (Edible) - </v>
          </cell>
          <cell r="C6">
            <v>140</v>
          </cell>
          <cell r="D6">
            <v>140</v>
          </cell>
          <cell r="E6">
            <v>0.75</v>
          </cell>
        </row>
        <row r="7">
          <cell r="B7" t="str">
            <v>HUL (HUL + Aquagel + SGF) - PFAD/CPS</v>
          </cell>
          <cell r="C7">
            <v>185</v>
          </cell>
          <cell r="D7">
            <v>185</v>
          </cell>
          <cell r="E7">
            <v>0.75</v>
          </cell>
        </row>
        <row r="8">
          <cell r="B8" t="str">
            <v>Marico - Coconut/CSSO</v>
          </cell>
          <cell r="C8">
            <v>210</v>
          </cell>
          <cell r="D8">
            <v>210</v>
          </cell>
          <cell r="E8">
            <v>1</v>
          </cell>
        </row>
        <row r="9">
          <cell r="B9" t="str">
            <v>Marico - CSBO</v>
          </cell>
          <cell r="C9">
            <v>200</v>
          </cell>
          <cell r="D9">
            <v>200</v>
          </cell>
          <cell r="E9">
            <v>1</v>
          </cell>
        </row>
        <row r="10">
          <cell r="B10" t="str">
            <v>Nirma - CPS/CPKO</v>
          </cell>
          <cell r="C10">
            <v>230</v>
          </cell>
          <cell r="D10">
            <v>230</v>
          </cell>
          <cell r="E10">
            <v>1</v>
          </cell>
        </row>
        <row r="11">
          <cell r="B11" t="str">
            <v xml:space="preserve">Spot -Veg Oil (Non Edible) - </v>
          </cell>
        </row>
        <row r="13">
          <cell r="B13" t="str">
            <v>APL - Gas Oil</v>
          </cell>
          <cell r="C13">
            <v>180</v>
          </cell>
          <cell r="D13">
            <v>180</v>
          </cell>
          <cell r="E13">
            <v>1</v>
          </cell>
        </row>
        <row r="14">
          <cell r="B14" t="str">
            <v>APL - FO</v>
          </cell>
          <cell r="C14">
            <v>180</v>
          </cell>
          <cell r="D14">
            <v>180</v>
          </cell>
          <cell r="E14">
            <v>1</v>
          </cell>
        </row>
        <row r="15">
          <cell r="B15" t="str">
            <v>CAPL - Gas Oil</v>
          </cell>
          <cell r="C15">
            <v>150</v>
          </cell>
          <cell r="D15">
            <v>150</v>
          </cell>
          <cell r="E15">
            <v>1</v>
          </cell>
        </row>
        <row r="16">
          <cell r="B16" t="str">
            <v>GSEC - Bitumen</v>
          </cell>
        </row>
        <row r="17">
          <cell r="B17" t="str">
            <v>KLJ- Kutch Chemical - Wax</v>
          </cell>
          <cell r="C17">
            <v>450</v>
          </cell>
          <cell r="D17">
            <v>450</v>
          </cell>
          <cell r="E17">
            <v>1</v>
          </cell>
        </row>
        <row r="18">
          <cell r="B18" t="str">
            <v>Kandla Energy - HAO</v>
          </cell>
          <cell r="C18">
            <v>180</v>
          </cell>
          <cell r="D18">
            <v>180</v>
          </cell>
          <cell r="E18">
            <v>0.8</v>
          </cell>
        </row>
        <row r="19">
          <cell r="B19" t="str">
            <v>Micro Ink - White Oil</v>
          </cell>
          <cell r="C19">
            <v>170</v>
          </cell>
          <cell r="D19">
            <v>170</v>
          </cell>
          <cell r="E19">
            <v>1</v>
          </cell>
        </row>
        <row r="20">
          <cell r="B20" t="str">
            <v>MPSEZ - Gas Oil</v>
          </cell>
          <cell r="C20">
            <v>0</v>
          </cell>
          <cell r="D20">
            <v>0</v>
          </cell>
          <cell r="E20">
            <v>0</v>
          </cell>
        </row>
        <row r="21">
          <cell r="B21" t="str">
            <v>Panama - Gas Oil</v>
          </cell>
          <cell r="C21">
            <v>225</v>
          </cell>
          <cell r="D21">
            <v>225</v>
          </cell>
          <cell r="E21">
            <v>1</v>
          </cell>
        </row>
        <row r="22">
          <cell r="B22" t="str">
            <v>PCBL - CBFS</v>
          </cell>
          <cell r="C22">
            <v>143</v>
          </cell>
          <cell r="D22">
            <v>155</v>
          </cell>
          <cell r="E22">
            <v>1</v>
          </cell>
        </row>
        <row r="23">
          <cell r="B23" t="str">
            <v>Rishi Kiran (Ganga Rasayan) - HAO</v>
          </cell>
          <cell r="C23">
            <v>180</v>
          </cell>
          <cell r="D23">
            <v>180</v>
          </cell>
          <cell r="E23">
            <v>1</v>
          </cell>
        </row>
        <row r="24">
          <cell r="B24" t="str">
            <v>KECL - Condensate</v>
          </cell>
          <cell r="C24">
            <v>200</v>
          </cell>
          <cell r="D24">
            <v>200</v>
          </cell>
          <cell r="E24">
            <v>1</v>
          </cell>
        </row>
        <row r="25">
          <cell r="B25" t="str">
            <v>Vinergy - Bitumen</v>
          </cell>
        </row>
        <row r="26">
          <cell r="B26" t="str">
            <v>Rajkamal/Aspam(Gulf Petro) - RPO</v>
          </cell>
          <cell r="C26">
            <v>260</v>
          </cell>
          <cell r="D26">
            <v>260</v>
          </cell>
          <cell r="E26">
            <v>1</v>
          </cell>
        </row>
        <row r="28">
          <cell r="B28" t="str">
            <v>Ardor  + Chemedge - LAB</v>
          </cell>
          <cell r="C28">
            <v>185</v>
          </cell>
          <cell r="D28">
            <v>185</v>
          </cell>
          <cell r="E28">
            <v>1</v>
          </cell>
        </row>
        <row r="29">
          <cell r="B29" t="str">
            <v>BK Sales/C.J.Shah/ Chemedge/ Haresh/Multi Scaff/R.S. Org/Taru/Surbhee - MEOH</v>
          </cell>
          <cell r="C29">
            <v>190</v>
          </cell>
          <cell r="D29">
            <v>190</v>
          </cell>
          <cell r="E29">
            <v>0.6</v>
          </cell>
        </row>
        <row r="30">
          <cell r="B30" t="str">
            <v>Hazel Mercantile - MEOH</v>
          </cell>
          <cell r="C30">
            <v>180</v>
          </cell>
          <cell r="D30">
            <v>180</v>
          </cell>
          <cell r="E30">
            <v>1</v>
          </cell>
        </row>
        <row r="31">
          <cell r="B31" t="str">
            <v>Jubilant - VAM</v>
          </cell>
          <cell r="C31">
            <v>170</v>
          </cell>
          <cell r="D31">
            <v>170</v>
          </cell>
          <cell r="E31">
            <v>1</v>
          </cell>
        </row>
        <row r="32">
          <cell r="B32" t="str">
            <v>Jubilant  - A.ACID</v>
          </cell>
          <cell r="C32">
            <v>530</v>
          </cell>
          <cell r="D32">
            <v>530</v>
          </cell>
          <cell r="E32">
            <v>1</v>
          </cell>
        </row>
        <row r="33">
          <cell r="B33" t="str">
            <v>Jupiter Dye Chem - A.ACID</v>
          </cell>
          <cell r="C33">
            <v>530</v>
          </cell>
          <cell r="D33">
            <v>530</v>
          </cell>
          <cell r="E33">
            <v>1</v>
          </cell>
        </row>
        <row r="34">
          <cell r="B34" t="str">
            <v>KLJ - Base Oil</v>
          </cell>
        </row>
        <row r="35">
          <cell r="B35" t="str">
            <v>Reliance - MEOH</v>
          </cell>
          <cell r="C35">
            <v>175</v>
          </cell>
          <cell r="D35">
            <v>175</v>
          </cell>
          <cell r="E35">
            <v>1</v>
          </cell>
        </row>
        <row r="36">
          <cell r="B36" t="str">
            <v>Libra - EDC</v>
          </cell>
        </row>
        <row r="37">
          <cell r="B37" t="str">
            <v>IOC - LAB</v>
          </cell>
          <cell r="C37">
            <v>180</v>
          </cell>
          <cell r="D37">
            <v>180</v>
          </cell>
          <cell r="E37">
            <v>1</v>
          </cell>
        </row>
        <row r="38">
          <cell r="B38" t="str">
            <v>HMEL - Naphtha</v>
          </cell>
        </row>
        <row r="39">
          <cell r="B39" t="str">
            <v>Dhampur Sugar - Ethyl Acetate</v>
          </cell>
          <cell r="C39">
            <v>200</v>
          </cell>
          <cell r="D39">
            <v>200</v>
          </cell>
          <cell r="E39">
            <v>1</v>
          </cell>
        </row>
        <row r="40">
          <cell r="B40" t="str">
            <v>CAPL - FO</v>
          </cell>
          <cell r="C40">
            <v>150</v>
          </cell>
          <cell r="D40">
            <v>150</v>
          </cell>
          <cell r="E40">
            <v>1</v>
          </cell>
        </row>
      </sheetData>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oundation(V)"/>
      <sheetName val="substructure(V)"/>
      <sheetName val="RCC SUP(V)"/>
      <sheetName val="PSC SUP(V)"/>
      <sheetName val="APPROCH WITH REIN.(V)"/>
      <sheetName val="APPROCH WITH CANTI.(V)"/>
      <sheetName val="Approch with reinforced"/>
      <sheetName val="counterfort"/>
      <sheetName val="boq-325.2"/>
      <sheetName val="BTB"/>
      <sheetName val="cf"/>
      <sheetName val="orders"/>
      <sheetName val="schedule1"/>
      <sheetName val="BM"/>
      <sheetName val="RCC_SUP(V)"/>
      <sheetName val="PSC_SUP(V)"/>
      <sheetName val="APPROCH_WITH_REIN_(V)"/>
      <sheetName val="APPROCH_WITH_CANTI_(V)"/>
      <sheetName val="Approch_with_reinforced"/>
      <sheetName val="boq-325_2"/>
      <sheetName val="RCC_SUP(V)1"/>
      <sheetName val="PSC_SUP(V)1"/>
      <sheetName val="APPROCH_WITH_REIN_(V)1"/>
      <sheetName val="APPROCH_WITH_CANTI_(V)1"/>
      <sheetName val="Approch_with_reinforced1"/>
      <sheetName val="boq-325_21"/>
      <sheetName val="PRELIM5"/>
      <sheetName val="procurement"/>
      <sheetName val="Analy"/>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Pl"/>
      <sheetName val="PPpl"/>
      <sheetName val="Dtypl"/>
      <sheetName val="Profit"/>
      <sheetName val="Cover"/>
      <sheetName val="Index"/>
      <sheetName val="Highlights"/>
      <sheetName val="Graph"/>
      <sheetName val="Assum"/>
      <sheetName val="Operation"/>
      <sheetName val="Manpower"/>
      <sheetName val="Common"/>
      <sheetName val="GLANCE"/>
      <sheetName val="PMIX"/>
      <sheetName val="PV I"/>
      <sheetName val="PC"/>
      <sheetName val="PV II"/>
      <sheetName val="Cont"/>
      <sheetName val="RMPrice"/>
      <sheetName val="Sheet1"/>
      <sheetName val="ExPrice"/>
      <sheetName val="LoPrice"/>
      <sheetName val="Pack"/>
      <sheetName val="Power"/>
      <sheetName val="Salary"/>
      <sheetName val="Stores"/>
      <sheetName val="AdmnOH"/>
      <sheetName val="Oh"/>
      <sheetName val="Admn"/>
      <sheetName val="Oh (2)"/>
      <sheetName val="Inttwork"/>
      <sheetName val="Loan"/>
      <sheetName val="Expenses"/>
      <sheetName val="phasep&amp;l"/>
      <sheetName val="EXPR(FR)"/>
      <sheetName val="Selling"/>
      <sheetName val="Profit (2)"/>
      <sheetName val="PackRate"/>
      <sheetName val="Concern-CM Sheet"/>
      <sheetName val="Equip &amp; Tool Mat Plan"/>
      <sheetName val="MY Inv Plan"/>
      <sheetName val="MY Line Mod Sheet"/>
      <sheetName val="MY POLICY"/>
      <sheetName val="MY Comp Dev Sched"/>
      <sheetName val="Product Assurance Plan "/>
      <sheetName val="QA MAT"/>
      <sheetName val="Safety Report"/>
      <sheetName val="Emp.Cost"/>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NNEXURE - IV "/>
      <sheetName val="Abstract"/>
      <sheetName val="Km132-2"/>
      <sheetName val="Analy_132-2"/>
      <sheetName val="km106-6"/>
      <sheetName val="Analy_106_6"/>
      <sheetName val="km3-6"/>
      <sheetName val="Analy_3-6"/>
      <sheetName val="km93-8"/>
      <sheetName val="Analy_93-8"/>
      <sheetName val="km99-6"/>
      <sheetName val="Analy_99-6"/>
      <sheetName val="km1-4"/>
      <sheetName val="Analy_1-4"/>
      <sheetName val="km0-8"/>
      <sheetName val="Analy_0-8"/>
      <sheetName val="km7-10"/>
      <sheetName val="Analy_7-10"/>
      <sheetName val="P&amp;M_7-10"/>
      <sheetName val="Cem &amp; Steel"/>
      <sheetName val="BTB"/>
      <sheetName val="cf"/>
      <sheetName val="orders"/>
      <sheetName val="Analy_7_10"/>
      <sheetName val="foundation(V)"/>
      <sheetName val="PanhandleB"/>
      <sheetName val="Inputs "/>
      <sheetName val="Rates Basic"/>
      <sheetName val="CABLE"/>
      <sheetName val="number"/>
      <sheetName val="PKG - II"/>
      <sheetName val="Status"/>
      <sheetName val="Load Details(B1)"/>
      <sheetName val="Quantities"/>
      <sheetName val="janttb"/>
      <sheetName val="MRATES"/>
      <sheetName val="Tender Summary"/>
      <sheetName val="Analysis"/>
      <sheetName val="Input "/>
      <sheetName val="Analy"/>
      <sheetName val="MAJOR QTYS"/>
      <sheetName val="COST"/>
      <sheetName val="UNIT_WT"/>
      <sheetName val="zone-8"/>
      <sheetName val="MHNO_LEV"/>
      <sheetName val="TBAL9697 -group wise  sdpl"/>
      <sheetName val="Exc"/>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icifcl"/>
      <sheetName val="icicirtl3"/>
      <sheetName val="ifcw"/>
      <sheetName val="SBICRY"/>
      <sheetName val="SBINEW"/>
      <sheetName val="kbc"/>
      <sheetName val="DEG"/>
      <sheetName val="DEG-New"/>
      <sheetName val="SBI OSAKA"/>
      <sheetName val="IKB1"/>
      <sheetName val="IKB2"/>
      <sheetName val="IKB3"/>
      <sheetName val="IKB4"/>
      <sheetName val="IKB5"/>
      <sheetName val="IKB7"/>
      <sheetName val="ifci28.3"/>
      <sheetName val="IDBI BANK"/>
      <sheetName val="IDBI BANK (2)"/>
      <sheetName val="HDFC"/>
      <sheetName val="FCLUSDII"/>
      <sheetName val="FCLUSD"/>
      <sheetName val="FCLDM"/>
      <sheetName val="NCD"/>
      <sheetName val="Audit Poly"/>
      <sheetName val="Audit PolyHC"/>
      <sheetName val="Audit Polyworking"/>
      <sheetName val="Audit Spunworking"/>
      <sheetName val="Audit Spun "/>
      <sheetName val="Audit SpunHC"/>
      <sheetName val="Interest for the year 03-04"/>
      <sheetName val="Cont"/>
    </sheetNames>
    <sheetDataSet>
      <sheetData sheetId="0"/>
      <sheetData sheetId="1"/>
      <sheetData sheetId="2" refreshError="1">
        <row r="90">
          <cell r="I90">
            <v>47.93</v>
          </cell>
        </row>
      </sheetData>
      <sheetData sheetId="3"/>
      <sheetData sheetId="4"/>
      <sheetData sheetId="5"/>
      <sheetData sheetId="6" refreshError="1">
        <row r="169">
          <cell r="H169">
            <v>42.56</v>
          </cell>
        </row>
      </sheetData>
      <sheetData sheetId="7"/>
      <sheetData sheetId="8"/>
      <sheetData sheetId="9"/>
      <sheetData sheetId="10"/>
      <sheetData sheetId="11" refreshError="1">
        <row r="138">
          <cell r="I138" t="e">
            <v>#REF!</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refreshError="1">
        <row r="1">
          <cell r="A1" t="str">
            <v>Company</v>
          </cell>
          <cell r="B1" t="str">
            <v>Buyer</v>
          </cell>
          <cell r="D1" t="str">
            <v>Payment</v>
          </cell>
          <cell r="E1" t="str">
            <v>Invoice</v>
          </cell>
          <cell r="J1" t="str">
            <v>B/L</v>
          </cell>
          <cell r="K1" t="str">
            <v>Due</v>
          </cell>
          <cell r="L1" t="str">
            <v>Sending</v>
          </cell>
          <cell r="O1" t="str">
            <v>Rate</v>
          </cell>
          <cell r="P1" t="str">
            <v>Amount</v>
          </cell>
        </row>
        <row r="2">
          <cell r="A2" t="str">
            <v>Name</v>
          </cell>
          <cell r="B2" t="str">
            <v>Name</v>
          </cell>
          <cell r="C2" t="str">
            <v>Product</v>
          </cell>
          <cell r="D2" t="str">
            <v>Terms</v>
          </cell>
          <cell r="E2" t="str">
            <v>Number</v>
          </cell>
          <cell r="F2" t="str">
            <v>Date</v>
          </cell>
          <cell r="G2" t="str">
            <v>Quantity</v>
          </cell>
          <cell r="H2" t="str">
            <v>Currency</v>
          </cell>
          <cell r="I2" t="str">
            <v>Amt (USD)</v>
          </cell>
          <cell r="J2" t="str">
            <v>Date</v>
          </cell>
          <cell r="K2" t="str">
            <v>Date</v>
          </cell>
          <cell r="L2" t="str">
            <v>Date</v>
          </cell>
          <cell r="M2" t="str">
            <v>N/NL/P/C</v>
          </cell>
          <cell r="N2" t="str">
            <v>Status</v>
          </cell>
          <cell r="O2" t="str">
            <v>(INR/USD)</v>
          </cell>
          <cell r="P2" t="str">
            <v>(Rs)</v>
          </cell>
        </row>
        <row r="3">
          <cell r="A3" t="str">
            <v>AEL</v>
          </cell>
          <cell r="B3" t="str">
            <v>FA IMPEX PVT. LTD.</v>
          </cell>
          <cell r="C3" t="str">
            <v>LENTIL</v>
          </cell>
          <cell r="D3" t="str">
            <v>DA 45</v>
          </cell>
          <cell r="E3" t="str">
            <v>AEL/RSL/003/2000</v>
          </cell>
          <cell r="F3">
            <v>36680</v>
          </cell>
          <cell r="G3">
            <v>230</v>
          </cell>
          <cell r="H3" t="str">
            <v>US$</v>
          </cell>
          <cell r="I3">
            <v>109250</v>
          </cell>
          <cell r="J3">
            <v>36693</v>
          </cell>
          <cell r="K3">
            <v>36736</v>
          </cell>
          <cell r="L3">
            <v>36697</v>
          </cell>
          <cell r="M3" t="str">
            <v>P</v>
          </cell>
          <cell r="N3" t="str">
            <v>CD</v>
          </cell>
          <cell r="O3">
            <v>44.85</v>
          </cell>
          <cell r="P3">
            <v>4899862</v>
          </cell>
        </row>
        <row r="4">
          <cell r="P4">
            <v>4899862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S "/>
      <sheetName val="Fund flow"/>
      <sheetName val="Ratio"/>
      <sheetName val="SBU"/>
      <sheetName val="PROJ-POLY"/>
      <sheetName val="PROJ-SPUN"/>
      <sheetName val="tdp"/>
      <sheetName val="tdint"/>
      <sheetName val="TDP(2)"/>
      <sheetName val="Intaccrual"/>
      <sheetName val="Intcash"/>
      <sheetName val="Payment"/>
      <sheetName val="Allocation"/>
      <sheetName val="Sheet2"/>
      <sheetName val="ASSUPTIONS"/>
      <sheetName val="Tax cal"/>
      <sheetName val="Dep Cal"/>
      <sheetName val="BS_"/>
      <sheetName val="Fund_flow"/>
      <sheetName val="Tax_cal"/>
      <sheetName val="Dep_Cal"/>
      <sheetName val="BS_1"/>
      <sheetName val="Fund_flow1"/>
      <sheetName val="Tax_cal1"/>
      <sheetName val="Dep_Cal1"/>
      <sheetName val="Amortization Table"/>
      <sheetName val="F A 2002"/>
      <sheetName val="YTD"/>
      <sheetName val="Payroll"/>
      <sheetName val="TRADING"/>
      <sheetName val="BS_2"/>
      <sheetName val="Fund_flow2"/>
      <sheetName val="Tax_cal2"/>
      <sheetName val="Dep_Cal2"/>
      <sheetName val="Amortization_Table"/>
      <sheetName val="F_A_2002"/>
      <sheetName val="BS_3"/>
      <sheetName val="Fund_flow3"/>
      <sheetName val="Tax_cal3"/>
      <sheetName val="Dep_Cal3"/>
      <sheetName val="Amortization_Table1"/>
      <sheetName val="F_A_20021"/>
      <sheetName val="FORM7"/>
    </sheetNames>
    <sheetDataSet>
      <sheetData sheetId="0"/>
      <sheetData sheetId="1">
        <row r="237">
          <cell r="C237">
            <v>1000000</v>
          </cell>
        </row>
      </sheetData>
      <sheetData sheetId="2"/>
      <sheetData sheetId="3"/>
      <sheetData sheetId="4"/>
      <sheetData sheetId="5"/>
      <sheetData sheetId="6"/>
      <sheetData sheetId="7"/>
      <sheetData sheetId="8">
        <row r="237">
          <cell r="C237">
            <v>1000000</v>
          </cell>
        </row>
      </sheetData>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ummarysheet"/>
      <sheetName val="Main Summarysheet _A"/>
      <sheetName val="All Summary_B"/>
      <sheetName val="Master Sheet_C"/>
      <sheetName val="All Summary"/>
      <sheetName val="Master Sheet"/>
      <sheetName val="SSU_Civil_Inport"/>
      <sheetName val="CWS_Main Sheet"/>
      <sheetName val="ssu_LT_Maint"/>
      <sheetName val="SSU_Asset"/>
      <sheetName val="ssu_FNU"/>
      <sheetName val="ssu_E&amp;I_Common"/>
      <sheetName val="E&amp;I_LT"/>
      <sheetName val="E&amp;I_Marine"/>
      <sheetName val="SSU_elelctrical outport"/>
      <sheetName val="Civil_Outport"/>
      <sheetName val="Employee Cost_Outport_Civil"/>
      <sheetName val="Contractual Manpower_Civil_Outp"/>
      <sheetName val="Contractual Manpower _Breakup"/>
      <sheetName val="RM_Outport_Civil2"/>
      <sheetName val="Civil_in_ Legal_Outport"/>
      <sheetName val="RM_Breakup_Civl_out"/>
      <sheetName val="RM_Outport_Civil"/>
      <sheetName val="Civil_In_fuel _Outport"/>
      <sheetName val="V_Elect."/>
      <sheetName val="Electricity_DC_Breakup"/>
      <sheetName val="EMPLOYEE COST_outport "/>
      <sheetName val="Contractual cost_OUTPORT E&amp;I"/>
      <sheetName val="KSB1 OUTPORT"/>
      <sheetName val="FUEL_outport"/>
      <sheetName val="ELECT_outport"/>
      <sheetName val="R&amp;M_LE"/>
      <sheetName val="R&amp;M"/>
      <sheetName val="R&amp;M_ELECTRICAL OUTPORT"/>
      <sheetName val="legal_outport"/>
      <sheetName val="travel_E&amp;I outport"/>
      <sheetName val="Comm outportE&amp;I"/>
      <sheetName val="V_R&amp;M_Marine"/>
      <sheetName val="V_Cont. Men_Marine"/>
      <sheetName val="Cont.-E&amp;I_Marine"/>
      <sheetName val="V_Fuel_Marine"/>
      <sheetName val="Fuel Marine"/>
      <sheetName val="V_Elect._Marine"/>
      <sheetName val="Electricity_Marine"/>
      <sheetName val="R&amp;M-Marine"/>
      <sheetName val="Electricity_LT"/>
      <sheetName val="V_Cont. Men_LT"/>
      <sheetName val="V_Elect._LT"/>
      <sheetName val="V_Fuel_LT"/>
      <sheetName val="Cont LT-Monthly"/>
      <sheetName val="Fuel LT"/>
      <sheetName val="V_R&amp;M_LT"/>
      <sheetName val="R&amp;M-Liquid"/>
      <sheetName val="LT-Motor"/>
      <sheetName val="LT-Lgt"/>
      <sheetName val="LT-WBs"/>
      <sheetName val="LT boil"/>
      <sheetName val="V_Elect_DC"/>
      <sheetName val="V_R&amp;M_DC"/>
      <sheetName val="V_Cont. Men_DC"/>
      <sheetName val="Cont DC-Monthly"/>
      <sheetName val="Conv-Motor-PLC"/>
      <sheetName val="E&amp;I_DC"/>
      <sheetName val="DC-E&amp;I_addnl"/>
      <sheetName val="MHC-T2-Engine"/>
      <sheetName val="MHC-T2"/>
      <sheetName val="MHC-T1-PLC"/>
      <sheetName val="Bagging machines"/>
      <sheetName val="FCC-Bagging MC"/>
      <sheetName val="FCC-Other"/>
      <sheetName val="FCC-"/>
      <sheetName val="Mobile Hoppers"/>
      <sheetName val="Port ltg"/>
      <sheetName val="Summary MHC-T1"/>
      <sheetName val="Summary MHC-T2"/>
      <sheetName val="DC-WB"/>
      <sheetName val="InMotion"/>
      <sheetName val="Summary-Conv"/>
      <sheetName val="Conv-Safety"/>
      <sheetName val="Conv-Lgt"/>
      <sheetName val="Conveyor"/>
      <sheetName val="Summary FCC"/>
      <sheetName val="FCC-Safety"/>
      <sheetName val="FCC-Motor"/>
      <sheetName val="FCC-PLC"/>
      <sheetName val="FCC-Lgt"/>
      <sheetName val="Goliath-03nos"/>
      <sheetName val="MHC-T2 Sensors"/>
      <sheetName val="MHC-T2-PLC"/>
      <sheetName val="MHC-T1-Elect-Cabin"/>
      <sheetName val="MHC-T1 Motors"/>
      <sheetName val="MHC-T1"/>
      <sheetName val="MHC-T1 ext pwe"/>
      <sheetName val="MHC-T1-Engine"/>
      <sheetName val="ssu gl_E&amp;I_DC"/>
      <sheetName val="V_Fuel_DC"/>
      <sheetName val="Fuel DC"/>
      <sheetName val="Electricity (2)"/>
      <sheetName val="R&amp;M E&amp;I Summary"/>
      <sheetName val="Summary DC-Equip"/>
      <sheetName val="V_Employee"/>
      <sheetName val="Cont. Manpower-Common"/>
      <sheetName val="V_Cont. Men"/>
      <sheetName val="V_Fuel"/>
      <sheetName val="V_Adm"/>
      <sheetName val="V_R&amp;M"/>
      <sheetName val="R&amp;M_SS"/>
      <sheetName val="R&amp;M_DG"/>
      <sheetName val="R &amp; M"/>
      <sheetName val="R&amp;M_UPS_AC_Off"/>
      <sheetName val="Electricity"/>
      <sheetName val="Fuel E&amp;I"/>
      <sheetName val="Emp"/>
      <sheetName val="Marine"/>
      <sheetName val="MARINE ACT"/>
      <sheetName val="MARINE-1"/>
      <sheetName val="MARINE-2"/>
      <sheetName val="MARINE-3"/>
      <sheetName val="MARINE-4"/>
      <sheetName val="MARINE-5"/>
      <sheetName val="10-11 Detail (4)"/>
      <sheetName val="Actual_Marine"/>
      <sheetName val="Liquid"/>
      <sheetName val="LT-1"/>
      <sheetName val="LT-2"/>
      <sheetName val="LT-3"/>
      <sheetName val="ssu gl"/>
      <sheetName val="10-11 Detail (3)"/>
      <sheetName val="Liquid Brackup"/>
      <sheetName val="CIVIL_LT"/>
      <sheetName val="10-11 Detail (2)"/>
      <sheetName val="S1-A (3)"/>
      <sheetName val="Sheet Rerplacment AC to Alu.2"/>
      <sheetName val="Dry Cargo"/>
      <sheetName val="Tarpaulin Room Ac Sheet"/>
      <sheetName val="Drycargo"/>
      <sheetName val="ROOFFING MAINT."/>
      <sheetName val="waterproofing cost (2.d)"/>
      <sheetName val="Tarpualin Roof Maint."/>
      <sheetName val="Port Pedestal (2)"/>
      <sheetName val="Coal Yard"/>
      <sheetName val="osys reparing cost(2.h)"/>
      <sheetName val="COMMON-1"/>
      <sheetName val="Common"/>
      <sheetName val="COMMON ACT"/>
      <sheetName val="COMMON-2"/>
      <sheetName val="COMMON-3"/>
      <sheetName val="COMMON-4"/>
      <sheetName val="COMMON-5"/>
      <sheetName val="COMMON-6"/>
      <sheetName val="COMMON-7"/>
      <sheetName val="COMMON-8"/>
      <sheetName val="10-11 Detail"/>
      <sheetName val="Contractuil Manpower"/>
      <sheetName val="Civil_in_Comm"/>
      <sheetName val="S1-A (2)"/>
      <sheetName val="Port Pedestal"/>
      <sheetName val="COMM EXP."/>
      <sheetName val="Employee Cost"/>
      <sheetName val="Civil_In_fuel"/>
      <sheetName val="Staff Welfer"/>
      <sheetName val="Civil _In_ Vehi"/>
      <sheetName val="Civil_in_ Legal"/>
      <sheetName val="Printing"/>
      <sheetName val="Civil-Inport_Training Exp."/>
      <sheetName val="Contractual Charges"/>
      <sheetName val="FN-employee cost"/>
      <sheetName val="FN-contractual cost"/>
      <sheetName val="FNU_In_fuel (2)"/>
      <sheetName val="FN-R&amp;M consumable"/>
      <sheetName val="F&amp;N Travelling Exp."/>
      <sheetName val="FN-vehical hired"/>
      <sheetName val="FNU-Communication"/>
      <sheetName val="F&amp;N_Printing &amp; Stationery "/>
      <sheetName val="Other Admin"/>
      <sheetName val="Emp_Bckp"/>
      <sheetName val="Cont_man_Bckup"/>
      <sheetName val="contractual charges FNU"/>
      <sheetName val="38.44"/>
      <sheetName val="Sheet1 (3)"/>
      <sheetName val="28.15"/>
      <sheetName val="Summary-CCC"/>
      <sheetName val="Other Admin_CCC"/>
      <sheetName val="Others_CCC"/>
      <sheetName val="Summary of Expense"/>
      <sheetName val="Fuel Cost_CCC"/>
      <sheetName val="CCC-Emp Cost"/>
      <sheetName val="Gen.admin"/>
      <sheetName val="other admin2"/>
      <sheetName val="Expence Summary"/>
      <sheetName val="Emp_Cost_ Asset"/>
      <sheetName val="Fuel_Asset"/>
      <sheetName val="Legal &amp; Prof_Asset"/>
      <sheetName val="Travelling_Exp_Asset"/>
      <sheetName val="Hired vehicle expenditure_Asset"/>
      <sheetName val="Communication_Asset"/>
      <sheetName val="Printing &amp; Stationary_Asset"/>
      <sheetName val="Other Admin Exp_Asset"/>
      <sheetName val="R&amp;M_Asset"/>
      <sheetName val="R&amp;M-Summary Main Sheet"/>
      <sheetName val="R&amp;M-Back-Up"/>
      <sheetName val="R&amp;M-SEZ Maintainance"/>
      <sheetName val="R&amp;M-Cost of Hiring"/>
      <sheetName val="Actual Expense"/>
      <sheetName val="LE MANPOWER"/>
      <sheetName val="LE R &amp; M 2010-11"/>
      <sheetName val="Employee- J"/>
      <sheetName val="EMP.COST-11-12"/>
      <sheetName val="EMPLOYES COST-10-11"/>
      <sheetName val="2010MID"/>
      <sheetName val="2010"/>
      <sheetName val="2010 BACKUP"/>
      <sheetName val="Vehicle- J"/>
      <sheetName val="Vehicle"/>
      <sheetName val="Travel - J"/>
      <sheetName val="Communication - J"/>
      <sheetName val="Commu. "/>
      <sheetName val="Stationery-J"/>
      <sheetName val="LT"/>
      <sheetName val="Fuel - J"/>
      <sheetName val="Fuel"/>
      <sheetName val="Main Sheet"/>
      <sheetName val="CWS-Tours &amp; Travels"/>
      <sheetName val="CWS Dc Manpowr Diff."/>
      <sheetName val="Summery"/>
      <sheetName val="CWS DC Main Summery "/>
      <sheetName val="CWS Marine Main Summery"/>
      <sheetName val="CWS LT main Summery"/>
      <sheetName val="CWS Marine R&amp;M"/>
      <sheetName val="CWS Marie R&amp;M 2010-11"/>
      <sheetName val="CWS LT R&amp;M"/>
      <sheetName val="CWS LT R&amp;M 2010-11"/>
      <sheetName val="CWS-2010-11 Cont Manpower"/>
      <sheetName val="CWS DC- R&amp;M"/>
      <sheetName val="CWS DC- Cont.Manpower"/>
      <sheetName val="CWS DC Manpower-2010-11"/>
      <sheetName val="CWS DC Fuel 2010-11"/>
      <sheetName val="CWS DC-Fuel"/>
      <sheetName val="CWS-Cont.Manpower Diff."/>
      <sheetName val="CWS-Dry Cargo"/>
      <sheetName val="CWS-Marine"/>
      <sheetName val="CWS-Employee"/>
      <sheetName val="CWS-Repair &amp; Maint"/>
      <sheetName val="CWS-Contractual"/>
      <sheetName val="CWS-Fuel"/>
      <sheetName val="Common Fuel 2010-11"/>
      <sheetName val="Common Fuel 2011-12"/>
      <sheetName val="CWS_R&amp;M Break Up"/>
      <sheetName val="CWS- Insurance Exp."/>
      <sheetName val="CWS-Other Admin Exp."/>
      <sheetName val="CWS-Travelling Exp."/>
      <sheetName val="SUmmery CWS"/>
      <sheetName val="Summery Cont.Manpoer CWS"/>
      <sheetName val="Summery SBU "/>
      <sheetName val="Summery - Liquid Equipment"/>
      <sheetName val=" Summery of Marine Equipment"/>
      <sheetName val="Marine Equipment Major Repair"/>
      <sheetName val="Marine Major Repair Plan"/>
      <sheetName val="Liquid Equipment - Maint"/>
      <sheetName val="Marine - Lubricants"/>
      <sheetName val="Marine PM spare"/>
      <sheetName val="Marine Repair"/>
      <sheetName val="Marine - Consumable"/>
      <sheetName val="Summery Fuel Consumption"/>
      <sheetName val="Liquid- Manpower"/>
      <sheetName val="Common Manpower"/>
      <sheetName val="Summery of Cont.ManpowerGrade"/>
      <sheetName val="Dry Cargo Manpower"/>
      <sheetName val="Common-Consumable"/>
      <sheetName val="Summery DC Equipment"/>
      <sheetName val="DC Equipment Lubricant"/>
      <sheetName val="DC Equipment PM Spare"/>
      <sheetName val="DC-Consumable"/>
      <sheetName val="Fuel Common"/>
      <sheetName val="Fuel Dry Cargo"/>
      <sheetName val="R &amp; M Marine "/>
      <sheetName val="R &amp; M Common"/>
      <sheetName val="Common- Major Repair"/>
      <sheetName val="Common Major repair plan"/>
      <sheetName val="Summery Common Equipment"/>
      <sheetName val="Common PM Spare"/>
      <sheetName val="Common Lubricant"/>
      <sheetName val="Common Major Plan"/>
      <sheetName val="Common Major Cost"/>
      <sheetName val="DC Equipment Major Repair"/>
      <sheetName val="DC EQUIPT.Major Repair Plan"/>
      <sheetName val="Sheet1 (2)"/>
      <sheetName val="Administration Cost CWS"/>
      <sheetName val="Boiler Suit"/>
      <sheetName val="Get to Gether"/>
      <sheetName val="Fuel Admin"/>
      <sheetName val="Mobile"/>
      <sheetName val="Emp.Cost"/>
      <sheetName val="Manpower 11-12"/>
      <sheetName val="R &amp; M - J"/>
      <sheetName val="R &amp; M DETAILS"/>
      <sheetName val="Curb Angle"/>
      <sheetName val="TANK COATING"/>
      <sheetName val="TANK PAINT"/>
      <sheetName val="TANK INSU."/>
      <sheetName val="TANK INSU.REPAIR"/>
      <sheetName val="STAIR CASE"/>
      <sheetName val="TANK INSPE."/>
      <sheetName val="PIPE REPAIR"/>
      <sheetName val="PIPE PAINT"/>
      <sheetName val="PIPE INSU."/>
      <sheetName val="Pipe Insu.Repair"/>
      <sheetName val="STRUC.REPAIR"/>
      <sheetName val="STRU.PAINT"/>
      <sheetName val="SPARES"/>
      <sheetName val="Adm_Exp"/>
      <sheetName val="consumables"/>
      <sheetName val="LT Revised Backup"/>
      <sheetName val="LT Drain_0.87"/>
      <sheetName val="Manpower-J"/>
      <sheetName val="CONTRACTOR "/>
      <sheetName val="dock pipe"/>
      <sheetName val="JUSTI"/>
      <sheetName val="Mobile equipment"/>
      <sheetName val="Electricity_2011-12"/>
      <sheetName val="Electricity_2010-11"/>
      <sheetName val="Electricity_Actual May-Dec-09 "/>
      <sheetName val="ssu gl_LT"/>
      <sheetName val="ssu gl_ Marine"/>
      <sheetName val="ssu gl (2)"/>
      <sheetName val="Budget for coal equipment"/>
      <sheetName val="Summary_Addnl"/>
      <sheetName val="Cash Flow_Civ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1-Budget FY 12-13"/>
      <sheetName val="S2-Quatitative Summery"/>
      <sheetName val="S3-Profitability"/>
      <sheetName val="S4-Cash flow"/>
      <sheetName val="S5-Balance sheet"/>
      <sheetName val="S7-assumptions"/>
      <sheetName val="S6-SCORECARD"/>
      <sheetName val="S9-Service OH"/>
      <sheetName val="S10-project capex"/>
      <sheetName val="s12-milestone"/>
      <sheetName val="S11-Capex services"/>
      <sheetName val="W1-consolidated"/>
      <sheetName val="TS1-TECHNICAL BUDGET"/>
      <sheetName val="W2-fy11-12"/>
      <sheetName val="W3-fy10-11"/>
      <sheetName val="W4-fy 09-10"/>
      <sheetName val="W5-fy (profit) 12-13"/>
      <sheetName val="W6-opex12-13"/>
      <sheetName val="W7-consolidated loan"/>
      <sheetName val="S8-Bus OH"/>
      <sheetName val="w8-loan 12-13"/>
      <sheetName val="W9-Adani- WORKINGS"/>
      <sheetName val="w10-dep 12-13"/>
      <sheetName val="w11-admin wrk"/>
      <sheetName val="W12-admin vishwas"/>
      <sheetName val="W13-RAHI BUDGET 2011-12"/>
      <sheetName val="W14-vanshi BUDGET 2011-12"/>
      <sheetName val="W15-rahi budget summery"/>
      <sheetName val="W16-vanshi budget summery"/>
      <sheetName val="W17-inc"/>
      <sheetName val="Cash Flow_2011_16"/>
      <sheetName val="W18-Budget summary"/>
      <sheetName val="W19-NOTIONAL. ACC.(OWN U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3">
          <cell r="H3">
            <v>50</v>
          </cell>
        </row>
      </sheetData>
      <sheetData sheetId="25"/>
      <sheetData sheetId="26"/>
      <sheetData sheetId="27"/>
      <sheetData sheetId="28"/>
      <sheetData sheetId="29"/>
      <sheetData sheetId="30"/>
      <sheetData sheetId="31"/>
      <sheetData sheetId="32"/>
      <sheetData sheetId="3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sheetName val="coln.sys"/>
      <sheetName val="PH"/>
      <sheetName val="Analy"/>
      <sheetName val="shut"/>
      <sheetName val="pipe"/>
      <sheetName val="flnge"/>
      <sheetName val="rate"/>
      <sheetName val="L&amp;J"/>
      <sheetName val="MH"/>
      <sheetName val="MH-abs"/>
      <sheetName val="gas"/>
      <sheetName val="pip"/>
      <sheetName val="PM"/>
      <sheetName val="Bill-1"/>
      <sheetName val="Bill-2&amp;4"/>
      <sheetName val="tan-abs"/>
      <sheetName val="tb"/>
      <sheetName val="Sensitivity"/>
      <sheetName val="Calculations"/>
      <sheetName val="Input"/>
      <sheetName val="Phasing"/>
      <sheetName val="tanjore"/>
      <sheetName val="BOQ"/>
      <sheetName val="Elect."/>
      <sheetName val="Process"/>
      <sheetName val="Recon-Coal"/>
      <sheetName val="Template"/>
      <sheetName val="OWN SUMMARY"/>
      <sheetName val="MISC"/>
      <sheetName val="WIND1"/>
      <sheetName val="E-sch."/>
      <sheetName val="H-Sched"/>
      <sheetName val="Detail In Door Stad"/>
      <sheetName val="Client Bill 2 26 11"/>
      <sheetName val="estimate"/>
      <sheetName val="Voucher"/>
      <sheetName val="Data"/>
      <sheetName val="Cal"/>
      <sheetName val="Hardware"/>
      <sheetName val="CST-Pur fr sept'05 to Dec'06"/>
      <sheetName val="System 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I"/>
      <sheetName val="IRE "/>
      <sheetName val="UNIT-II"/>
      <sheetName val="PR_I_CONT"/>
      <sheetName val="PR_E_CON"/>
      <sheetName val="INDORAMA Group June 02"/>
      <sheetName val="UNIT_I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Result"/>
      <sheetName val="Ass"/>
      <sheetName val="IDC_Phase_I"/>
      <sheetName val="Debt"/>
      <sheetName val="Alloc"/>
      <sheetName val="Dep"/>
      <sheetName val="Rev"/>
      <sheetName val="Opex"/>
      <sheetName val="PL"/>
      <sheetName val="CF"/>
      <sheetName val="BS"/>
      <sheetName val="DSCR"/>
      <sheetName val="Tax"/>
      <sheetName val="Q_Ind"/>
      <sheetName val="A_Ind"/>
    </sheetNames>
    <sheetDataSet>
      <sheetData sheetId="0"/>
      <sheetData sheetId="1"/>
      <sheetData sheetId="2"/>
      <sheetData sheetId="3">
        <row r="155">
          <cell r="G155">
            <v>186.29</v>
          </cell>
          <cell r="H155">
            <v>231.07077702781308</v>
          </cell>
          <cell r="I155">
            <v>976.87103433587095</v>
          </cell>
          <cell r="J155">
            <v>1519.705464438096</v>
          </cell>
          <cell r="K155">
            <v>1283.199557499511</v>
          </cell>
          <cell r="L155">
            <v>962.5992199341415</v>
          </cell>
          <cell r="M155">
            <v>2118.8370668219159</v>
          </cell>
          <cell r="N155">
            <v>2546.9636302365398</v>
          </cell>
          <cell r="O155">
            <v>2538.2518007347771</v>
          </cell>
          <cell r="P155">
            <v>3992.0405182519171</v>
          </cell>
          <cell r="Q155">
            <v>3285.7467160524193</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row>
        <row r="204">
          <cell r="H204">
            <v>0</v>
          </cell>
          <cell r="I204">
            <v>0</v>
          </cell>
          <cell r="J204">
            <v>0</v>
          </cell>
          <cell r="K204">
            <v>3.8942318157189861</v>
          </cell>
          <cell r="L204">
            <v>21.974443430217736</v>
          </cell>
          <cell r="M204">
            <v>67.846504748983108</v>
          </cell>
          <cell r="N204">
            <v>136.91057526454199</v>
          </cell>
          <cell r="O204">
            <v>192.86475210835093</v>
          </cell>
          <cell r="P204">
            <v>252.39822855654202</v>
          </cell>
          <cell r="Q204">
            <v>319.83447656304963</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row>
        <row r="210">
          <cell r="F210">
            <v>4759.2254204114661</v>
          </cell>
          <cell r="G210">
            <v>7670.3403142664447</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Tracker"/>
      <sheetName val="Amortization Table"/>
    </sheetNames>
    <sheetDataSet>
      <sheetData sheetId="0" refreshError="1"/>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refreshError="1"/>
      <sheetData sheetId="1" refreshError="1"/>
      <sheetData sheetId="2" refreshError="1"/>
      <sheetData sheetId="3" refreshError="1">
        <row r="8">
          <cell r="D8">
            <v>7.0000000000000007E-2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Table of Contents (2)"/>
      <sheetName val="Abstract-Cert"/>
      <sheetName val="Abstract"/>
      <sheetName val="Index Sheet"/>
      <sheetName val="Meas-1"/>
      <sheetName val="Meas-2"/>
      <sheetName val="Meas-3"/>
      <sheetName val="Meas-4"/>
      <sheetName val="Meas-5"/>
      <sheetName val="Meas-6"/>
      <sheetName val="Extra Item"/>
      <sheetName val="1.04-1"/>
      <sheetName val="2.01(a)-1"/>
      <sheetName val="G-13 2.01-2"/>
      <sheetName val="G-13 2.01-3"/>
      <sheetName val="G-13 2.01-4"/>
      <sheetName val="R-2 2.01-5"/>
      <sheetName val="MRR-1 2.01-6"/>
      <sheetName val="G-13 2.01-7"/>
      <sheetName val="2.01-b-II-1"/>
      <sheetName val="2.01-b-II-2"/>
      <sheetName val="2.01-b-II-3"/>
      <sheetName val="2.07-1"/>
      <sheetName val="2.07-2"/>
      <sheetName val="2.07-3"/>
      <sheetName val="2.07-4"/>
      <sheetName val="2.07-5"/>
      <sheetName val="2.07-6"/>
      <sheetName val="3.01-1"/>
      <sheetName val="3.01-2"/>
      <sheetName val="3.01-3"/>
      <sheetName val="3.01-4"/>
      <sheetName val="3.01-5"/>
      <sheetName val="3.02-1"/>
      <sheetName val="3.02-2"/>
      <sheetName val="3.02-3"/>
      <sheetName val="3.02-4"/>
      <sheetName val="3.02-5"/>
      <sheetName val="3.02-6"/>
      <sheetName val="3.02-7"/>
      <sheetName val="3.02-8"/>
      <sheetName val="3.02-9"/>
      <sheetName val="3.02-10"/>
      <sheetName val="3.02-11"/>
      <sheetName val="3.02-13"/>
      <sheetName val="4.01-1"/>
      <sheetName val="4.02-1"/>
      <sheetName val="4.04-1"/>
      <sheetName val="4.04-2"/>
      <sheetName val="E03-1"/>
      <sheetName val="E03-2"/>
      <sheetName val="E12-1"/>
      <sheetName val="Rock Filling"/>
      <sheetName val="Cement Reconciliation"/>
      <sheetName val="Bitumen Reconciliation"/>
      <sheetName val="Steel"/>
      <sheetName val="Bitumen"/>
      <sheetName val="Bitumen-Consumption"/>
      <sheetName val="Prime Coat"/>
      <sheetName val="Tack Coat"/>
      <sheetName val="BM"/>
      <sheetName val="DBM"/>
      <sheetName val="Gate Pa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oundation"/>
      <sheetName val="substructure"/>
      <sheetName val="PSC SUP(5x15)"/>
      <sheetName val="PSC SUP(5x15) SR"/>
      <sheetName val="FIXED ITEMS"/>
      <sheetName val="DEPTH CHART (ORR) L.S."/>
    </sheetNames>
    <sheetDataSet>
      <sheetData sheetId="0" refreshError="1"/>
      <sheetData sheetId="1"/>
      <sheetData sheetId="2"/>
      <sheetData sheetId="3"/>
      <sheetData sheetId="4"/>
      <sheetData sheetId="5"/>
      <sheetData sheetId="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
      <sheetName val="REQUEST"/>
      <sheetName val="CALC CADT &amp; JENG"/>
      <sheetName val="SUMMARY"/>
      <sheetName val="SUMMARY BARBER~MITSUI"/>
      <sheetName val="MITSUI"/>
      <sheetName val="BFU MITSUI"/>
      <sheetName val="ABF WAGES INDIANS"/>
    </sheetNames>
    <sheetDataSet>
      <sheetData sheetId="0"/>
      <sheetData sheetId="1">
        <row r="16">
          <cell r="D16">
            <v>8</v>
          </cell>
        </row>
        <row r="17">
          <cell r="D17">
            <v>7</v>
          </cell>
        </row>
      </sheetData>
      <sheetData sheetId="2"/>
      <sheetData sheetId="3"/>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accrual"/>
      <sheetName val="Intcash"/>
      <sheetName val="Payment"/>
      <sheetName val="Allocation"/>
      <sheetName val="Intcash FC)"/>
      <sheetName val="Payment FC"/>
      <sheetName val="foundation"/>
      <sheetName val="Cash Flow Working"/>
      <sheetName val="VTC"/>
      <sheetName val="Codes"/>
      <sheetName val="Material "/>
      <sheetName val="PLAN_FEB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PUN_DTY"/>
      <sheetName val="SUMM_MTH"/>
      <sheetName val="SUMM_YR"/>
      <sheetName val="STV_FG"/>
      <sheetName val="STV_WIP"/>
      <sheetName val="NSR_E"/>
      <sheetName val="NSR_L"/>
      <sheetName val="POY_COST"/>
      <sheetName val="TOT_COST"/>
      <sheetName val="JOB_COST"/>
      <sheetName val="Exp"/>
      <sheetName val="Intaccrual"/>
      <sheetName val="data"/>
      <sheetName val="SBU"/>
      <sheetName val="td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Assumption"/>
      <sheetName val="Manpower"/>
      <sheetName val="Eqipment"/>
      <sheetName val="Material"/>
      <sheetName val="Cashflow"/>
      <sheetName val="2)Fdns"/>
      <sheetName val="2)Conveyors"/>
      <sheetName val="5)Building"/>
      <sheetName val="8)YardDev"/>
      <sheetName val="15)Marine"/>
      <sheetName val="MechSchedule"/>
      <sheetName val="Sheet1"/>
    </sheetNames>
    <sheetDataSet>
      <sheetData sheetId="0"/>
      <sheetData sheetId="1">
        <row r="4">
          <cell r="N4">
            <v>347</v>
          </cell>
        </row>
        <row r="5">
          <cell r="N5">
            <v>116</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Sheet2"/>
      <sheetName val="Sheet1"/>
      <sheetName val="Sheet3"/>
      <sheetName val="Sheet4"/>
      <sheetName val="B"/>
      <sheetName val="expenses"/>
      <sheetName val="J"/>
      <sheetName val="Cont"/>
      <sheetName val="Assumption"/>
    </sheetNames>
    <sheetDataSet>
      <sheetData sheetId="0" refreshError="1">
        <row r="38">
          <cell r="D38" t="str">
            <v>80/100 TEX SIM _B1</v>
          </cell>
          <cell r="E38" t="str">
            <v>80</v>
          </cell>
          <cell r="F38" t="str">
            <v>100</v>
          </cell>
          <cell r="G38" t="str">
            <v>TEX</v>
          </cell>
          <cell r="H38" t="str">
            <v>SIM</v>
          </cell>
          <cell r="I38" t="str">
            <v xml:space="preserve"> </v>
          </cell>
          <cell r="J38" t="str">
            <v xml:space="preserve"> </v>
          </cell>
          <cell r="K38" t="str">
            <v>B1</v>
          </cell>
          <cell r="L38">
            <v>0.5</v>
          </cell>
          <cell r="M38">
            <v>0</v>
          </cell>
          <cell r="N38">
            <v>0.49999999999999994</v>
          </cell>
          <cell r="O38">
            <v>600</v>
          </cell>
          <cell r="P38">
            <v>124</v>
          </cell>
          <cell r="Q38">
            <v>1.653</v>
          </cell>
          <cell r="R38">
            <v>0.97389999999999999</v>
          </cell>
          <cell r="S38">
            <v>0.97</v>
          </cell>
          <cell r="T38">
            <v>2.4799999999999999E-2</v>
          </cell>
          <cell r="U38">
            <v>1.5059100533375303</v>
          </cell>
          <cell r="V38">
            <v>6.4999999999999997E-3</v>
          </cell>
          <cell r="W38">
            <v>1.4961216379908364</v>
          </cell>
          <cell r="X38">
            <v>23.189885388857963</v>
          </cell>
          <cell r="Z38">
            <v>23.189885388857963</v>
          </cell>
          <cell r="AA38">
            <v>85.19</v>
          </cell>
          <cell r="AB38">
            <v>0.116865</v>
          </cell>
          <cell r="AC38">
            <v>85.073134999999994</v>
          </cell>
          <cell r="AD38">
            <v>1</v>
          </cell>
          <cell r="AE38">
            <v>0</v>
          </cell>
          <cell r="AF38">
            <v>0.425365675</v>
          </cell>
          <cell r="AH38">
            <v>0</v>
          </cell>
          <cell r="AI38">
            <v>0</v>
          </cell>
          <cell r="AJ38">
            <v>0</v>
          </cell>
          <cell r="AK38">
            <v>0</v>
          </cell>
          <cell r="AN38">
            <v>0</v>
          </cell>
          <cell r="AO38">
            <v>0</v>
          </cell>
          <cell r="AP38">
            <v>0</v>
          </cell>
          <cell r="AQ38">
            <v>0</v>
          </cell>
          <cell r="AR38">
            <v>0</v>
          </cell>
          <cell r="AS38" t="str">
            <v>140/100</v>
          </cell>
          <cell r="AT38">
            <v>1</v>
          </cell>
          <cell r="AU38">
            <v>0</v>
          </cell>
          <cell r="AV38">
            <v>64</v>
          </cell>
          <cell r="AW38">
            <v>1</v>
          </cell>
          <cell r="AX38">
            <v>64</v>
          </cell>
          <cell r="AY38">
            <v>0.98218435443183194</v>
          </cell>
          <cell r="AZ38">
            <v>57.781905571224669</v>
          </cell>
          <cell r="BA38">
            <v>57.781905571224669</v>
          </cell>
          <cell r="BB38">
            <v>2.81</v>
          </cell>
          <cell r="BC38">
            <v>0.89815</v>
          </cell>
          <cell r="BD38">
            <v>1.6362497618326133</v>
          </cell>
          <cell r="BE38">
            <v>0</v>
          </cell>
          <cell r="BF38">
            <v>1.6362497618326133</v>
          </cell>
          <cell r="BG38">
            <v>0</v>
          </cell>
          <cell r="BH38">
            <v>20.521463991942717</v>
          </cell>
          <cell r="BI38">
            <v>2.6843599679845442</v>
          </cell>
          <cell r="BJ38" t="b">
            <v>0</v>
          </cell>
          <cell r="BK38">
            <v>2.6843599679845442</v>
          </cell>
          <cell r="BL38">
            <v>1.5564436561356163</v>
          </cell>
          <cell r="BM38" t="b">
            <v>0</v>
          </cell>
          <cell r="BN38">
            <v>1.5564436561356163</v>
          </cell>
          <cell r="BO38">
            <v>3.32310827361942</v>
          </cell>
          <cell r="BP38">
            <v>0</v>
          </cell>
          <cell r="BQ38">
            <v>3.3307249751175427</v>
          </cell>
          <cell r="BR38">
            <v>1.7599267661585414</v>
          </cell>
          <cell r="BS38">
            <v>0</v>
          </cell>
          <cell r="BT38">
            <v>1.7914481923584642</v>
          </cell>
          <cell r="BU38">
            <v>2.7800374568032695</v>
          </cell>
          <cell r="BV38">
            <v>0</v>
          </cell>
          <cell r="BW38">
            <v>2.7945091896497027</v>
          </cell>
          <cell r="BX38">
            <v>0.15</v>
          </cell>
          <cell r="BY38">
            <v>0.8</v>
          </cell>
          <cell r="CA38">
            <v>2.8757149456219957</v>
          </cell>
          <cell r="CB38">
            <v>0</v>
          </cell>
          <cell r="CC38">
            <v>4.0544287974622497</v>
          </cell>
          <cell r="CD38">
            <v>0</v>
          </cell>
          <cell r="CE38">
            <v>4.7418729256193295</v>
          </cell>
          <cell r="CF38">
            <v>3.346016968125312</v>
          </cell>
          <cell r="CG38">
            <v>0</v>
          </cell>
          <cell r="CH38">
            <v>3.4779030840658827</v>
          </cell>
          <cell r="CI38">
            <v>0</v>
          </cell>
          <cell r="CJ38">
            <v>1.3958559574940175</v>
          </cell>
          <cell r="CK38">
            <v>3.5154006914412568</v>
          </cell>
          <cell r="CL38">
            <v>0</v>
          </cell>
          <cell r="CM38">
            <v>3.5154006914412568</v>
          </cell>
          <cell r="CN38">
            <v>0</v>
          </cell>
          <cell r="CO38">
            <v>-2.1195447339472393</v>
          </cell>
        </row>
        <row r="39">
          <cell r="D39" t="str">
            <v>150/100 TEX SIM Z _B1</v>
          </cell>
          <cell r="E39" t="str">
            <v>150</v>
          </cell>
          <cell r="F39" t="str">
            <v>100</v>
          </cell>
          <cell r="G39" t="str">
            <v>TEX</v>
          </cell>
          <cell r="H39" t="str">
            <v>SIM</v>
          </cell>
          <cell r="I39" t="str">
            <v>Z</v>
          </cell>
          <cell r="J39" t="str">
            <v xml:space="preserve"> </v>
          </cell>
          <cell r="K39" t="str">
            <v>B1</v>
          </cell>
          <cell r="L39">
            <v>1</v>
          </cell>
          <cell r="M39">
            <v>0.37363236306346437</v>
          </cell>
          <cell r="N39">
            <v>0.62636763693653563</v>
          </cell>
          <cell r="O39">
            <v>575</v>
          </cell>
          <cell r="P39">
            <v>252</v>
          </cell>
          <cell r="Q39">
            <v>1.64</v>
          </cell>
          <cell r="R39">
            <v>0.97389999999999999</v>
          </cell>
          <cell r="S39">
            <v>0.97</v>
          </cell>
          <cell r="T39">
            <v>2.4799999999999999E-2</v>
          </cell>
          <cell r="U39">
            <v>2.9561297223510787</v>
          </cell>
          <cell r="V39">
            <v>7.0000000000000001E-3</v>
          </cell>
          <cell r="W39">
            <v>2.9354368142946212</v>
          </cell>
          <cell r="X39">
            <v>90.998541243133261</v>
          </cell>
          <cell r="Y39">
            <v>34</v>
          </cell>
          <cell r="Z39">
            <v>56.998541243133261</v>
          </cell>
          <cell r="AA39">
            <v>71.526022304832708</v>
          </cell>
          <cell r="AB39">
            <v>0.116865</v>
          </cell>
          <cell r="AC39">
            <v>71.409157304832704</v>
          </cell>
          <cell r="AD39">
            <v>1</v>
          </cell>
          <cell r="AE39">
            <v>0</v>
          </cell>
          <cell r="AF39">
            <v>0.35704578652416352</v>
          </cell>
          <cell r="AG39">
            <v>1.55</v>
          </cell>
          <cell r="AH39">
            <v>90</v>
          </cell>
          <cell r="AI39">
            <v>43.86</v>
          </cell>
          <cell r="AJ39">
            <v>67.983000000000004</v>
          </cell>
          <cell r="AK39">
            <v>23.11422</v>
          </cell>
          <cell r="AN39">
            <v>0</v>
          </cell>
          <cell r="AO39">
            <v>4.7699999999999996</v>
          </cell>
          <cell r="AP39">
            <v>1.4705882352941178</v>
          </cell>
          <cell r="AQ39">
            <v>1.6762931506849317</v>
          </cell>
          <cell r="AR39">
            <v>0.1291677</v>
          </cell>
          <cell r="AS39" t="str">
            <v>265/100</v>
          </cell>
          <cell r="AT39">
            <v>1</v>
          </cell>
          <cell r="AU39">
            <v>9.4819500000000012</v>
          </cell>
          <cell r="AV39">
            <v>57</v>
          </cell>
          <cell r="AW39">
            <v>1</v>
          </cell>
          <cell r="AX39">
            <v>57</v>
          </cell>
          <cell r="AY39">
            <v>0.98267890848743711</v>
          </cell>
          <cell r="AZ39">
            <v>50.932247826903861</v>
          </cell>
          <cell r="BA39">
            <v>50.932247826903861</v>
          </cell>
          <cell r="BB39">
            <v>2.81</v>
          </cell>
          <cell r="BC39">
            <v>0.89815</v>
          </cell>
          <cell r="BD39">
            <v>0.83395720252400696</v>
          </cell>
          <cell r="BE39">
            <v>0</v>
          </cell>
          <cell r="BF39">
            <v>0.83395720252400696</v>
          </cell>
          <cell r="BG39">
            <v>13.944545884593085</v>
          </cell>
          <cell r="BH39">
            <v>14.57775648888067</v>
          </cell>
          <cell r="BI39">
            <v>1.3681538000412155</v>
          </cell>
          <cell r="BJ39" t="b">
            <v>0</v>
          </cell>
          <cell r="BK39">
            <v>1.3681538000412155</v>
          </cell>
          <cell r="BL39">
            <v>0.79328194731305379</v>
          </cell>
          <cell r="BM39" t="b">
            <v>0</v>
          </cell>
          <cell r="BN39">
            <v>0.79328194731305379</v>
          </cell>
          <cell r="BO39">
            <v>1.6937084693281308</v>
          </cell>
          <cell r="BP39">
            <v>0</v>
          </cell>
          <cell r="BQ39">
            <v>1.6975905191361751</v>
          </cell>
          <cell r="BR39">
            <v>0.89699240103103772</v>
          </cell>
          <cell r="BS39">
            <v>0</v>
          </cell>
          <cell r="BT39">
            <v>0.91305811485202093</v>
          </cell>
          <cell r="BU39">
            <v>1.4169183180145715</v>
          </cell>
          <cell r="BV39">
            <v>0</v>
          </cell>
          <cell r="BW39">
            <v>1.4242942126498559</v>
          </cell>
          <cell r="BX39">
            <v>0.15</v>
          </cell>
          <cell r="BY39">
            <v>0.8</v>
          </cell>
          <cell r="CA39">
            <v>1.4656828359879279</v>
          </cell>
          <cell r="CB39">
            <v>0</v>
          </cell>
          <cell r="CC39">
            <v>2.0664449747435851</v>
          </cell>
          <cell r="CD39">
            <v>6.1598081128771467</v>
          </cell>
          <cell r="CE39">
            <v>6.1430187171647344</v>
          </cell>
          <cell r="CF39">
            <v>1.7053844806738636</v>
          </cell>
          <cell r="CG39">
            <v>0</v>
          </cell>
          <cell r="CH39">
            <v>1.772603666196231</v>
          </cell>
          <cell r="CI39">
            <v>4.4544236322032829</v>
          </cell>
          <cell r="CJ39">
            <v>4.4376342364908705</v>
          </cell>
          <cell r="CK39">
            <v>1.7917152960204494</v>
          </cell>
          <cell r="CL39">
            <v>0</v>
          </cell>
          <cell r="CM39">
            <v>1.7917152960204494</v>
          </cell>
          <cell r="CN39">
            <v>2.6627083361828334</v>
          </cell>
          <cell r="CO39">
            <v>2.6459189404704211</v>
          </cell>
        </row>
        <row r="40">
          <cell r="D40" t="str">
            <v>150/48/2 ROTO IM _B1</v>
          </cell>
          <cell r="E40" t="str">
            <v>150</v>
          </cell>
          <cell r="F40" t="str">
            <v>48/2</v>
          </cell>
          <cell r="G40" t="str">
            <v>ROTO</v>
          </cell>
          <cell r="H40" t="str">
            <v>IM</v>
          </cell>
          <cell r="I40" t="str">
            <v xml:space="preserve"> </v>
          </cell>
          <cell r="J40" t="str">
            <v xml:space="preserve"> </v>
          </cell>
          <cell r="K40" t="str">
            <v>B1</v>
          </cell>
          <cell r="L40">
            <v>1</v>
          </cell>
          <cell r="M40">
            <v>0.76451714221066969</v>
          </cell>
          <cell r="N40">
            <v>0.23548285778933045</v>
          </cell>
          <cell r="O40">
            <v>700</v>
          </cell>
          <cell r="P40">
            <v>258</v>
          </cell>
          <cell r="Q40">
            <v>1.673</v>
          </cell>
          <cell r="R40">
            <v>0.97389999999999999</v>
          </cell>
          <cell r="S40">
            <v>0.97</v>
          </cell>
          <cell r="T40">
            <v>2.4799999999999999E-2</v>
          </cell>
          <cell r="U40">
            <v>3.6117755662430255</v>
          </cell>
          <cell r="V40">
            <v>7.0000000000000001E-3</v>
          </cell>
          <cell r="W40">
            <v>3.5864931372793243</v>
          </cell>
          <cell r="X40">
            <v>111.18128725565906</v>
          </cell>
          <cell r="Y40">
            <v>85</v>
          </cell>
          <cell r="Z40">
            <v>26.181287255659058</v>
          </cell>
          <cell r="AA40">
            <v>63.543011152416355</v>
          </cell>
          <cell r="AB40">
            <v>0.31474000000000008</v>
          </cell>
          <cell r="AC40">
            <v>63.228271152416355</v>
          </cell>
          <cell r="AD40">
            <v>1</v>
          </cell>
          <cell r="AE40">
            <v>0</v>
          </cell>
          <cell r="AF40">
            <v>0.3161413557620818</v>
          </cell>
          <cell r="AG40">
            <v>1.42</v>
          </cell>
          <cell r="AH40">
            <v>90</v>
          </cell>
          <cell r="AI40">
            <v>43.86</v>
          </cell>
          <cell r="AJ40">
            <v>62.281199999999998</v>
          </cell>
          <cell r="AK40">
            <v>52.939019999999999</v>
          </cell>
          <cell r="AN40">
            <v>0</v>
          </cell>
          <cell r="AO40">
            <v>4.7699999999999996</v>
          </cell>
          <cell r="AP40">
            <v>1.4705882352941178</v>
          </cell>
          <cell r="AQ40">
            <v>1.5357008219178085</v>
          </cell>
          <cell r="AR40">
            <v>0.11833428</v>
          </cell>
          <cell r="AS40" t="str">
            <v>265/48</v>
          </cell>
          <cell r="AT40">
            <v>2</v>
          </cell>
          <cell r="AU40">
            <v>0</v>
          </cell>
          <cell r="AV40">
            <v>40.5</v>
          </cell>
          <cell r="AW40">
            <v>1</v>
          </cell>
          <cell r="AX40">
            <v>54.5</v>
          </cell>
          <cell r="AY40">
            <v>0.98267890848743711</v>
          </cell>
          <cell r="AZ40">
            <v>37.66608256232346</v>
          </cell>
          <cell r="BA40">
            <v>48.475550555685274</v>
          </cell>
          <cell r="BB40">
            <v>2.81</v>
          </cell>
          <cell r="BC40">
            <v>0.89815</v>
          </cell>
          <cell r="BD40">
            <v>2.0477066985485779</v>
          </cell>
          <cell r="BE40">
            <v>0</v>
          </cell>
          <cell r="BF40">
            <v>2.0477066985485779</v>
          </cell>
          <cell r="BG40">
            <v>10.964637401916036</v>
          </cell>
          <cell r="BH40">
            <v>7.6807225424204182</v>
          </cell>
          <cell r="BI40">
            <v>1.1197927553556282</v>
          </cell>
          <cell r="BJ40" t="b">
            <v>0</v>
          </cell>
          <cell r="BK40">
            <v>1.1197927553556282</v>
          </cell>
          <cell r="BL40">
            <v>0.64927742592156135</v>
          </cell>
          <cell r="BM40" t="b">
            <v>0</v>
          </cell>
          <cell r="BN40">
            <v>0.64927742592156135</v>
          </cell>
          <cell r="BO40">
            <v>1.3862494652143467</v>
          </cell>
          <cell r="BP40">
            <v>0</v>
          </cell>
          <cell r="BQ40">
            <v>1.3894268062785213</v>
          </cell>
          <cell r="BR40">
            <v>0.73416131450524613</v>
          </cell>
          <cell r="BS40">
            <v>0</v>
          </cell>
          <cell r="BT40">
            <v>0.74731061829390777</v>
          </cell>
          <cell r="BU40">
            <v>1.1597050473386845</v>
          </cell>
          <cell r="BV40">
            <v>0</v>
          </cell>
          <cell r="BW40">
            <v>1.165741995360617</v>
          </cell>
          <cell r="BX40">
            <v>0.15</v>
          </cell>
          <cell r="BY40">
            <v>0.8</v>
          </cell>
          <cell r="CA40">
            <v>1.1996173393217417</v>
          </cell>
          <cell r="CB40">
            <v>0</v>
          </cell>
          <cell r="CC40">
            <v>1.6913230895453435</v>
          </cell>
          <cell r="CD40">
            <v>4.5658340542588274</v>
          </cell>
          <cell r="CE40">
            <v>0.63191919476320924</v>
          </cell>
          <cell r="CF40">
            <v>1.3958059294919796</v>
          </cell>
          <cell r="CG40">
            <v>0</v>
          </cell>
          <cell r="CH40">
            <v>1.4508228120724214</v>
          </cell>
          <cell r="CI40">
            <v>3.1700281247668478</v>
          </cell>
          <cell r="CJ40">
            <v>-0.76388673472877033</v>
          </cell>
          <cell r="CK40">
            <v>1.4664651065422052</v>
          </cell>
          <cell r="CL40">
            <v>0</v>
          </cell>
          <cell r="CM40">
            <v>1.4664651065422052</v>
          </cell>
          <cell r="CN40">
            <v>1.7035630182246426</v>
          </cell>
          <cell r="CO40">
            <v>-2.2303518412709753</v>
          </cell>
        </row>
        <row r="41">
          <cell r="D41" t="str">
            <v>150/48 TEX NIM Z _B1</v>
          </cell>
          <cell r="E41" t="str">
            <v>150</v>
          </cell>
          <cell r="F41" t="str">
            <v>48</v>
          </cell>
          <cell r="G41" t="str">
            <v>TEX</v>
          </cell>
          <cell r="H41" t="str">
            <v>NIM</v>
          </cell>
          <cell r="I41" t="str">
            <v>Z</v>
          </cell>
          <cell r="J41" t="str">
            <v xml:space="preserve"> </v>
          </cell>
          <cell r="K41" t="str">
            <v>B1</v>
          </cell>
          <cell r="L41">
            <v>1</v>
          </cell>
          <cell r="M41">
            <v>0.67301205609299186</v>
          </cell>
          <cell r="N41">
            <v>0.32698794390700814</v>
          </cell>
          <cell r="O41">
            <v>875</v>
          </cell>
          <cell r="P41">
            <v>251</v>
          </cell>
          <cell r="Q41">
            <v>1.7909999999999999</v>
          </cell>
          <cell r="R41">
            <v>0.97389999999999999</v>
          </cell>
          <cell r="S41">
            <v>0.97</v>
          </cell>
          <cell r="T41">
            <v>2.4799999999999999E-2</v>
          </cell>
          <cell r="U41">
            <v>4.102845274779015</v>
          </cell>
          <cell r="V41">
            <v>7.0000000000000001E-3</v>
          </cell>
          <cell r="W41">
            <v>4.0741253578555616</v>
          </cell>
          <cell r="X41">
            <v>126.29788609352241</v>
          </cell>
          <cell r="Y41">
            <v>85</v>
          </cell>
          <cell r="Z41">
            <v>41.297886093522408</v>
          </cell>
          <cell r="AA41">
            <v>61.326505576208177</v>
          </cell>
          <cell r="AB41">
            <v>0.116865</v>
          </cell>
          <cell r="AC41">
            <v>61.20964057620818</v>
          </cell>
          <cell r="AD41">
            <v>1</v>
          </cell>
          <cell r="AE41">
            <v>0</v>
          </cell>
          <cell r="AF41">
            <v>0.3060482028810409</v>
          </cell>
          <cell r="AG41">
            <v>1.3</v>
          </cell>
          <cell r="AH41">
            <v>90</v>
          </cell>
          <cell r="AI41">
            <v>43.86</v>
          </cell>
          <cell r="AJ41">
            <v>57.018000000000001</v>
          </cell>
          <cell r="AK41">
            <v>48.465299999999999</v>
          </cell>
          <cell r="AN41">
            <v>0</v>
          </cell>
          <cell r="AO41">
            <v>4.7699999999999996</v>
          </cell>
          <cell r="AP41">
            <v>1.4705882352941178</v>
          </cell>
          <cell r="AQ41">
            <v>1.4059232876712331</v>
          </cell>
          <cell r="AR41">
            <v>0.10833420000000001</v>
          </cell>
          <cell r="AS41" t="str">
            <v>265/48</v>
          </cell>
          <cell r="AT41">
            <v>2</v>
          </cell>
          <cell r="AU41">
            <v>0</v>
          </cell>
          <cell r="AV41">
            <v>40.5</v>
          </cell>
          <cell r="AW41">
            <v>1</v>
          </cell>
          <cell r="AX41">
            <v>54.5</v>
          </cell>
          <cell r="AY41">
            <v>0.98267890848743711</v>
          </cell>
          <cell r="AZ41">
            <v>37.66608256232346</v>
          </cell>
          <cell r="BA41">
            <v>48.475550555685274</v>
          </cell>
          <cell r="BB41">
            <v>2.81</v>
          </cell>
          <cell r="BC41">
            <v>0.89815</v>
          </cell>
          <cell r="BD41">
            <v>0</v>
          </cell>
          <cell r="BE41">
            <v>0</v>
          </cell>
          <cell r="BF41">
            <v>0</v>
          </cell>
          <cell r="BG41">
            <v>7.8889217147111905</v>
          </cell>
          <cell r="BH41">
            <v>7.7198918176418614</v>
          </cell>
          <cell r="BI41">
            <v>0.98576471745385297</v>
          </cell>
          <cell r="BJ41" t="b">
            <v>0</v>
          </cell>
          <cell r="BK41">
            <v>0.98576471745385297</v>
          </cell>
          <cell r="BL41">
            <v>0.57156538587309225</v>
          </cell>
          <cell r="BM41" t="b">
            <v>0</v>
          </cell>
          <cell r="BN41">
            <v>0.57156538587309225</v>
          </cell>
          <cell r="BO41">
            <v>1.2203292134744985</v>
          </cell>
          <cell r="BP41">
            <v>0</v>
          </cell>
          <cell r="BQ41">
            <v>1.2231262584646549</v>
          </cell>
          <cell r="BR41">
            <v>0.64628951857165262</v>
          </cell>
          <cell r="BS41">
            <v>0</v>
          </cell>
          <cell r="BT41">
            <v>0.65786498168476082</v>
          </cell>
          <cell r="BU41">
            <v>1.0208999056763544</v>
          </cell>
          <cell r="BV41">
            <v>0</v>
          </cell>
          <cell r="BW41">
            <v>1.0262142911576515</v>
          </cell>
          <cell r="BX41">
            <v>0.15</v>
          </cell>
          <cell r="BY41">
            <v>0.8</v>
          </cell>
          <cell r="CA41">
            <v>1.0560350938988563</v>
          </cell>
          <cell r="CB41">
            <v>0</v>
          </cell>
          <cell r="CC41">
            <v>1.4888885639908902</v>
          </cell>
          <cell r="CD41">
            <v>2.2380378797628828</v>
          </cell>
          <cell r="CE41">
            <v>1.4190079826935538</v>
          </cell>
          <cell r="CF41">
            <v>1.2287418641756609</v>
          </cell>
          <cell r="CG41">
            <v>0</v>
          </cell>
          <cell r="CH41">
            <v>1.2771737739667517</v>
          </cell>
          <cell r="CI41">
            <v>1.0092960155872219</v>
          </cell>
          <cell r="CJ41">
            <v>0.19026611851789288</v>
          </cell>
          <cell r="CK41">
            <v>1.2909438416105981</v>
          </cell>
          <cell r="CL41">
            <v>0</v>
          </cell>
          <cell r="CM41">
            <v>1.2909438416105981</v>
          </cell>
          <cell r="CN41">
            <v>-0.28164782602337612</v>
          </cell>
          <cell r="CO41">
            <v>-1.1006777230927052</v>
          </cell>
        </row>
        <row r="42">
          <cell r="D42" t="str">
            <v>150/48 TEX NIM S _B1</v>
          </cell>
          <cell r="E42" t="str">
            <v>150</v>
          </cell>
          <cell r="F42" t="str">
            <v>48</v>
          </cell>
          <cell r="G42" t="str">
            <v>TEX</v>
          </cell>
          <cell r="H42" t="str">
            <v>NIM</v>
          </cell>
          <cell r="I42" t="str">
            <v>S</v>
          </cell>
          <cell r="J42" t="str">
            <v xml:space="preserve"> </v>
          </cell>
          <cell r="K42" t="str">
            <v>B1</v>
          </cell>
          <cell r="L42">
            <v>0.5</v>
          </cell>
          <cell r="M42">
            <v>0</v>
          </cell>
          <cell r="N42">
            <v>0.5</v>
          </cell>
          <cell r="O42">
            <v>875</v>
          </cell>
          <cell r="P42">
            <v>251</v>
          </cell>
          <cell r="Q42">
            <v>1.7909999999999999</v>
          </cell>
          <cell r="R42">
            <v>0.97389999999999999</v>
          </cell>
          <cell r="S42">
            <v>0.97</v>
          </cell>
          <cell r="T42">
            <v>2.4799999999999999E-2</v>
          </cell>
          <cell r="U42">
            <v>4.102845274779015</v>
          </cell>
          <cell r="V42">
            <v>7.0000000000000001E-3</v>
          </cell>
          <cell r="W42">
            <v>4.0741253578555616</v>
          </cell>
          <cell r="X42">
            <v>63.148943046761204</v>
          </cell>
          <cell r="Z42">
            <v>63.148943046761204</v>
          </cell>
          <cell r="AA42">
            <v>56.65</v>
          </cell>
          <cell r="AB42">
            <v>0.116865</v>
          </cell>
          <cell r="AC42">
            <v>56.533135000000001</v>
          </cell>
          <cell r="AD42">
            <v>1</v>
          </cell>
          <cell r="AE42">
            <v>0</v>
          </cell>
          <cell r="AF42">
            <v>0.28266567500000001</v>
          </cell>
          <cell r="AI42">
            <v>0</v>
          </cell>
          <cell r="AJ42">
            <v>0</v>
          </cell>
          <cell r="AK42">
            <v>0</v>
          </cell>
          <cell r="AN42">
            <v>0</v>
          </cell>
          <cell r="AP42">
            <v>0</v>
          </cell>
          <cell r="AQ42">
            <v>0</v>
          </cell>
          <cell r="AR42">
            <v>0</v>
          </cell>
          <cell r="AS42" t="str">
            <v>265/48</v>
          </cell>
          <cell r="AT42">
            <v>1</v>
          </cell>
          <cell r="AU42">
            <v>0</v>
          </cell>
          <cell r="AV42">
            <v>54.5</v>
          </cell>
          <cell r="AW42">
            <v>2</v>
          </cell>
          <cell r="AX42">
            <v>40.5</v>
          </cell>
          <cell r="AY42">
            <v>0.98267890848743711</v>
          </cell>
          <cell r="AZ42">
            <v>48.475550555685274</v>
          </cell>
          <cell r="BA42">
            <v>37.66608256232346</v>
          </cell>
          <cell r="BB42">
            <v>2.81</v>
          </cell>
          <cell r="BC42">
            <v>0.89815</v>
          </cell>
          <cell r="BD42">
            <v>0</v>
          </cell>
          <cell r="BE42">
            <v>0</v>
          </cell>
          <cell r="BF42">
            <v>0</v>
          </cell>
          <cell r="BG42">
            <v>0</v>
          </cell>
          <cell r="BH42">
            <v>13.876236762676545</v>
          </cell>
          <cell r="BI42">
            <v>0.98576471745385297</v>
          </cell>
          <cell r="BJ42" t="b">
            <v>0</v>
          </cell>
          <cell r="BK42">
            <v>0.98576471745385297</v>
          </cell>
          <cell r="BL42">
            <v>0.57156538587309225</v>
          </cell>
          <cell r="BM42" t="b">
            <v>0</v>
          </cell>
          <cell r="BN42">
            <v>0.57156538587309225</v>
          </cell>
          <cell r="BO42">
            <v>1.2203292134744985</v>
          </cell>
          <cell r="BP42">
            <v>0</v>
          </cell>
          <cell r="BQ42">
            <v>1.2231262584646549</v>
          </cell>
          <cell r="BR42">
            <v>0.64628951857165262</v>
          </cell>
          <cell r="BS42">
            <v>0</v>
          </cell>
          <cell r="BT42">
            <v>0.65786498168476082</v>
          </cell>
          <cell r="BU42">
            <v>1.0208999056763544</v>
          </cell>
          <cell r="BV42">
            <v>0</v>
          </cell>
          <cell r="BW42">
            <v>1.0262142911576515</v>
          </cell>
          <cell r="BX42">
            <v>0.15</v>
          </cell>
          <cell r="BY42">
            <v>0.8</v>
          </cell>
          <cell r="CA42">
            <v>1.0560350938988563</v>
          </cell>
          <cell r="CB42">
            <v>0</v>
          </cell>
          <cell r="CC42">
            <v>1.4888885639908902</v>
          </cell>
          <cell r="CD42">
            <v>0</v>
          </cell>
          <cell r="CE42">
            <v>7.5753529277282396</v>
          </cell>
          <cell r="CF42">
            <v>1.2287418641756609</v>
          </cell>
          <cell r="CG42">
            <v>0</v>
          </cell>
          <cell r="CH42">
            <v>1.2771737739667517</v>
          </cell>
          <cell r="CI42">
            <v>0</v>
          </cell>
          <cell r="CJ42">
            <v>6.3466110635525785</v>
          </cell>
          <cell r="CK42">
            <v>1.2909438416105981</v>
          </cell>
          <cell r="CL42">
            <v>0</v>
          </cell>
          <cell r="CM42">
            <v>1.2909438416105981</v>
          </cell>
          <cell r="CN42">
            <v>0</v>
          </cell>
          <cell r="CO42">
            <v>5.0556672219419809</v>
          </cell>
        </row>
        <row r="43">
          <cell r="D43" t="str">
            <v>150/34 GFT NIM _B1</v>
          </cell>
          <cell r="E43" t="str">
            <v>150</v>
          </cell>
          <cell r="F43" t="str">
            <v>34</v>
          </cell>
          <cell r="G43" t="str">
            <v>GFT</v>
          </cell>
          <cell r="H43" t="str">
            <v>NIM</v>
          </cell>
          <cell r="I43" t="str">
            <v xml:space="preserve"> </v>
          </cell>
          <cell r="J43" t="str">
            <v xml:space="preserve"> </v>
          </cell>
          <cell r="K43" t="str">
            <v>B1</v>
          </cell>
          <cell r="L43">
            <v>1</v>
          </cell>
          <cell r="M43">
            <v>0</v>
          </cell>
          <cell r="N43">
            <v>1</v>
          </cell>
          <cell r="O43">
            <v>800</v>
          </cell>
          <cell r="P43">
            <v>235</v>
          </cell>
          <cell r="Q43">
            <v>1.7110000000000001</v>
          </cell>
          <cell r="R43">
            <v>0.97389999999999999</v>
          </cell>
          <cell r="S43">
            <v>0.97</v>
          </cell>
          <cell r="T43">
            <v>2.4799999999999999E-2</v>
          </cell>
          <cell r="U43">
            <v>3.6762648376993283</v>
          </cell>
          <cell r="V43">
            <v>7.0000000000000001E-3</v>
          </cell>
          <cell r="W43">
            <v>3.650530983835433</v>
          </cell>
          <cell r="X43">
            <v>113.16646049889842</v>
          </cell>
          <cell r="Z43">
            <v>113.16646049889842</v>
          </cell>
          <cell r="AA43">
            <v>61.326505576208177</v>
          </cell>
          <cell r="AB43">
            <v>0.116865</v>
          </cell>
          <cell r="AC43">
            <v>61.20964057620818</v>
          </cell>
          <cell r="AD43">
            <v>1</v>
          </cell>
          <cell r="AE43">
            <v>0</v>
          </cell>
          <cell r="AF43">
            <v>0.3060482028810409</v>
          </cell>
          <cell r="AG43">
            <v>0</v>
          </cell>
          <cell r="AI43">
            <v>0</v>
          </cell>
          <cell r="AJ43">
            <v>0</v>
          </cell>
          <cell r="AK43">
            <v>0</v>
          </cell>
          <cell r="AN43">
            <v>0</v>
          </cell>
          <cell r="AP43">
            <v>0</v>
          </cell>
          <cell r="AQ43">
            <v>0</v>
          </cell>
          <cell r="AR43">
            <v>0</v>
          </cell>
          <cell r="AS43" t="str">
            <v>235/34</v>
          </cell>
          <cell r="AT43">
            <v>1</v>
          </cell>
          <cell r="AU43">
            <v>0</v>
          </cell>
          <cell r="AV43">
            <v>55</v>
          </cell>
          <cell r="AW43">
            <v>1</v>
          </cell>
          <cell r="AX43">
            <v>55</v>
          </cell>
          <cell r="AY43">
            <v>0.98267890848743711</v>
          </cell>
          <cell r="AZ43">
            <v>48.966890009928989</v>
          </cell>
          <cell r="BA43">
            <v>48.966890009928989</v>
          </cell>
          <cell r="BB43">
            <v>2.81</v>
          </cell>
          <cell r="BC43">
            <v>0.89815</v>
          </cell>
          <cell r="BD43">
            <v>0</v>
          </cell>
          <cell r="BE43">
            <v>0</v>
          </cell>
          <cell r="BF43">
            <v>0</v>
          </cell>
          <cell r="BG43">
            <v>0</v>
          </cell>
          <cell r="BH43">
            <v>7.2285523633981468</v>
          </cell>
          <cell r="BI43">
            <v>1.1001492796641099</v>
          </cell>
          <cell r="BJ43" t="b">
            <v>0</v>
          </cell>
          <cell r="BK43">
            <v>1.1001492796641099</v>
          </cell>
          <cell r="BL43">
            <v>0.63788776004620806</v>
          </cell>
          <cell r="BM43" t="b">
            <v>0</v>
          </cell>
          <cell r="BN43">
            <v>0.63788776004620806</v>
          </cell>
          <cell r="BO43">
            <v>1.3619317889817741</v>
          </cell>
          <cell r="BP43">
            <v>0</v>
          </cell>
          <cell r="BQ43">
            <v>1.3650533929270408</v>
          </cell>
          <cell r="BR43">
            <v>0.72128261006090721</v>
          </cell>
          <cell r="BS43">
            <v>0</v>
          </cell>
          <cell r="BT43">
            <v>0.7342012479267026</v>
          </cell>
          <cell r="BU43">
            <v>1.1393614276842658</v>
          </cell>
          <cell r="BV43">
            <v>0</v>
          </cell>
          <cell r="BW43">
            <v>1.1452924751802724</v>
          </cell>
          <cell r="BX43">
            <v>0.15</v>
          </cell>
          <cell r="BY43">
            <v>0.8</v>
          </cell>
          <cell r="CA43">
            <v>1.1785735757044224</v>
          </cell>
          <cell r="CB43">
            <v>0</v>
          </cell>
          <cell r="CC43">
            <v>1.6616537924034482</v>
          </cell>
          <cell r="CD43">
            <v>0</v>
          </cell>
          <cell r="CE43">
            <v>0.28936592125645899</v>
          </cell>
          <cell r="CF43">
            <v>1.3713206131556142</v>
          </cell>
          <cell r="CG43">
            <v>0</v>
          </cell>
          <cell r="CH43">
            <v>1.4253723860848071</v>
          </cell>
          <cell r="CI43">
            <v>0</v>
          </cell>
          <cell r="CJ43">
            <v>-1.0819546918991552</v>
          </cell>
          <cell r="CK43">
            <v>1.4407402824307354</v>
          </cell>
          <cell r="CL43">
            <v>0</v>
          </cell>
          <cell r="CM43">
            <v>1.4407402824307354</v>
          </cell>
          <cell r="CN43">
            <v>0</v>
          </cell>
          <cell r="CO43">
            <v>-2.5226949743298905</v>
          </cell>
        </row>
        <row r="44">
          <cell r="D44" t="str">
            <v>300/68 ROTO IM _B1</v>
          </cell>
          <cell r="E44" t="str">
            <v>300</v>
          </cell>
          <cell r="F44" t="str">
            <v>68</v>
          </cell>
          <cell r="G44" t="str">
            <v>ROTO</v>
          </cell>
          <cell r="H44" t="str">
            <v>IM</v>
          </cell>
          <cell r="I44" t="str">
            <v xml:space="preserve"> </v>
          </cell>
          <cell r="J44" t="str">
            <v xml:space="preserve"> </v>
          </cell>
          <cell r="K44" t="str">
            <v>B1</v>
          </cell>
          <cell r="L44">
            <v>0.5</v>
          </cell>
          <cell r="M44">
            <v>0.24404752852307615</v>
          </cell>
          <cell r="N44">
            <v>0.25595247147692379</v>
          </cell>
          <cell r="O44">
            <v>450</v>
          </cell>
          <cell r="P44">
            <v>505</v>
          </cell>
          <cell r="Q44">
            <v>1.68</v>
          </cell>
          <cell r="R44">
            <v>0.97389999999999999</v>
          </cell>
          <cell r="S44">
            <v>0.97</v>
          </cell>
          <cell r="T44">
            <v>2.4799999999999999E-2</v>
          </cell>
          <cell r="U44">
            <v>4.5257812704287996</v>
          </cell>
          <cell r="V44">
            <v>7.0000000000000001E-3</v>
          </cell>
          <cell r="W44">
            <v>4.4941008015357982</v>
          </cell>
          <cell r="X44">
            <v>69.658562423804867</v>
          </cell>
          <cell r="Y44">
            <v>34</v>
          </cell>
          <cell r="Z44">
            <v>35.658562423804867</v>
          </cell>
          <cell r="AA44">
            <v>65.77</v>
          </cell>
          <cell r="AB44">
            <v>0.31474000000000008</v>
          </cell>
          <cell r="AC44">
            <v>65.455259999999996</v>
          </cell>
          <cell r="AD44">
            <v>1</v>
          </cell>
          <cell r="AE44">
            <v>0</v>
          </cell>
          <cell r="AF44">
            <v>0.32727629999999996</v>
          </cell>
          <cell r="AG44">
            <v>1.54</v>
          </cell>
          <cell r="AH44">
            <v>90</v>
          </cell>
          <cell r="AI44">
            <v>43.86</v>
          </cell>
          <cell r="AJ44">
            <v>67.544399999999996</v>
          </cell>
          <cell r="AK44">
            <v>22.965095999999999</v>
          </cell>
          <cell r="AM44">
            <v>0.02</v>
          </cell>
          <cell r="AN44">
            <v>1.3508879999999999</v>
          </cell>
          <cell r="AO44">
            <v>5.21</v>
          </cell>
          <cell r="AP44">
            <v>1.4705882352941178</v>
          </cell>
          <cell r="AQ44">
            <v>1.6654783561643836</v>
          </cell>
          <cell r="AR44">
            <v>0.12833435999999998</v>
          </cell>
          <cell r="AS44" t="str">
            <v>530/68</v>
          </cell>
          <cell r="AT44">
            <v>1</v>
          </cell>
          <cell r="AU44">
            <v>9.3501599999999989</v>
          </cell>
          <cell r="AV44">
            <v>54</v>
          </cell>
          <cell r="AW44">
            <v>1</v>
          </cell>
          <cell r="AX44">
            <v>54</v>
          </cell>
          <cell r="AY44">
            <v>0.98267890848743711</v>
          </cell>
          <cell r="AZ44">
            <v>47.984211101441552</v>
          </cell>
          <cell r="BA44">
            <v>47.984211101441552</v>
          </cell>
          <cell r="BB44">
            <v>2.81</v>
          </cell>
          <cell r="BC44">
            <v>0.89815</v>
          </cell>
          <cell r="BD44">
            <v>1.6341613919731472</v>
          </cell>
          <cell r="BE44">
            <v>0</v>
          </cell>
          <cell r="BF44">
            <v>1.6341613919731472</v>
          </cell>
          <cell r="BG44">
            <v>13.742748555126797</v>
          </cell>
          <cell r="BH44">
            <v>10.801461206585302</v>
          </cell>
          <cell r="BI44">
            <v>0.8936446265036172</v>
          </cell>
          <cell r="BJ44" t="b">
            <v>0</v>
          </cell>
          <cell r="BK44">
            <v>0.8936446265036172</v>
          </cell>
          <cell r="BL44">
            <v>0.51815238133116348</v>
          </cell>
          <cell r="BM44" t="b">
            <v>0</v>
          </cell>
          <cell r="BN44">
            <v>0.51815238133116348</v>
          </cell>
          <cell r="BO44">
            <v>1.1062889804005622</v>
          </cell>
          <cell r="BP44">
            <v>0</v>
          </cell>
          <cell r="BQ44">
            <v>1.1088246404635418</v>
          </cell>
          <cell r="BR44">
            <v>0.58589351516753219</v>
          </cell>
          <cell r="BS44">
            <v>0</v>
          </cell>
          <cell r="BT44">
            <v>0.59638724681278588</v>
          </cell>
          <cell r="BU44">
            <v>0.92549641791012138</v>
          </cell>
          <cell r="BV44">
            <v>0</v>
          </cell>
          <cell r="BW44">
            <v>0.93031417202978262</v>
          </cell>
          <cell r="BX44">
            <v>0.15</v>
          </cell>
          <cell r="BY44">
            <v>0.8</v>
          </cell>
          <cell r="CA44">
            <v>0.95734820931662579</v>
          </cell>
          <cell r="CB44">
            <v>0</v>
          </cell>
          <cell r="CC44">
            <v>1.3497513566014125</v>
          </cell>
          <cell r="CD44">
            <v>8.6059244244971751</v>
          </cell>
          <cell r="CE44">
            <v>5.0146370759556804</v>
          </cell>
          <cell r="CF44">
            <v>1.1139154656669081</v>
          </cell>
          <cell r="CG44">
            <v>0</v>
          </cell>
          <cell r="CH44">
            <v>1.157821394911269</v>
          </cell>
          <cell r="CI44">
            <v>7.492008958830267</v>
          </cell>
          <cell r="CJ44">
            <v>3.9007216102887723</v>
          </cell>
          <cell r="CK44">
            <v>1.1703046444520917</v>
          </cell>
          <cell r="CL44">
            <v>0</v>
          </cell>
          <cell r="CM44">
            <v>1.1703046444520917</v>
          </cell>
          <cell r="CN44">
            <v>6.3217043143781755</v>
          </cell>
          <cell r="CO44">
            <v>2.7304169658366808</v>
          </cell>
        </row>
        <row r="45">
          <cell r="D45" t="str">
            <v>150/34 TEX NIM _B1</v>
          </cell>
          <cell r="E45" t="str">
            <v>150</v>
          </cell>
          <cell r="F45" t="str">
            <v>34</v>
          </cell>
          <cell r="G45" t="str">
            <v>TEX</v>
          </cell>
          <cell r="H45" t="str">
            <v>NIM</v>
          </cell>
          <cell r="I45" t="str">
            <v xml:space="preserve"> </v>
          </cell>
          <cell r="J45" t="str">
            <v xml:space="preserve"> </v>
          </cell>
          <cell r="K45" t="str">
            <v>B1</v>
          </cell>
          <cell r="L45">
            <v>1.5</v>
          </cell>
          <cell r="M45">
            <v>0</v>
          </cell>
          <cell r="N45">
            <v>1.4999999999999998</v>
          </cell>
          <cell r="O45">
            <v>875</v>
          </cell>
          <cell r="P45">
            <v>251</v>
          </cell>
          <cell r="Q45">
            <v>1.748</v>
          </cell>
          <cell r="R45">
            <v>0.97389999999999999</v>
          </cell>
          <cell r="S45">
            <v>0.97</v>
          </cell>
          <cell r="T45">
            <v>2.4799999999999999E-2</v>
          </cell>
          <cell r="U45">
            <v>4.2037733908061874</v>
          </cell>
          <cell r="V45">
            <v>7.0000000000000001E-3</v>
          </cell>
          <cell r="W45">
            <v>4.1743469770705444</v>
          </cell>
          <cell r="X45">
            <v>194.10713443378029</v>
          </cell>
          <cell r="Z45">
            <v>194.10713443378029</v>
          </cell>
          <cell r="AA45">
            <v>61.326505576208177</v>
          </cell>
          <cell r="AB45">
            <v>0.116865</v>
          </cell>
          <cell r="AC45">
            <v>61.20964057620818</v>
          </cell>
          <cell r="AD45">
            <v>1</v>
          </cell>
          <cell r="AE45">
            <v>0</v>
          </cell>
          <cell r="AF45">
            <v>0.3060482028810409</v>
          </cell>
          <cell r="AG45">
            <v>0</v>
          </cell>
          <cell r="AH45">
            <v>0</v>
          </cell>
          <cell r="AI45">
            <v>0</v>
          </cell>
          <cell r="AJ45">
            <v>0</v>
          </cell>
          <cell r="AK45">
            <v>0</v>
          </cell>
          <cell r="AN45">
            <v>0</v>
          </cell>
          <cell r="AP45">
            <v>0</v>
          </cell>
          <cell r="AQ45">
            <v>0</v>
          </cell>
          <cell r="AR45">
            <v>0</v>
          </cell>
          <cell r="AS45" t="str">
            <v>265/34</v>
          </cell>
          <cell r="AT45">
            <v>1</v>
          </cell>
          <cell r="AU45">
            <v>0</v>
          </cell>
          <cell r="AV45">
            <v>54</v>
          </cell>
          <cell r="AW45">
            <v>1</v>
          </cell>
          <cell r="AX45">
            <v>54</v>
          </cell>
          <cell r="AY45">
            <v>0.98267890848743711</v>
          </cell>
          <cell r="AZ45">
            <v>47.984211101441552</v>
          </cell>
          <cell r="BA45">
            <v>47.984211101441552</v>
          </cell>
          <cell r="BB45">
            <v>2.81</v>
          </cell>
          <cell r="BC45">
            <v>0.89815</v>
          </cell>
          <cell r="BD45">
            <v>0</v>
          </cell>
          <cell r="BE45">
            <v>0</v>
          </cell>
          <cell r="BF45">
            <v>0</v>
          </cell>
          <cell r="BG45">
            <v>0</v>
          </cell>
          <cell r="BH45">
            <v>8.211231271885584</v>
          </cell>
          <cell r="BI45">
            <v>0.96209755784999151</v>
          </cell>
          <cell r="BJ45" t="b">
            <v>0</v>
          </cell>
          <cell r="BK45">
            <v>0.96209755784999151</v>
          </cell>
          <cell r="BL45">
            <v>0.55784271050037149</v>
          </cell>
          <cell r="BM45" t="b">
            <v>0</v>
          </cell>
          <cell r="BN45">
            <v>0.55784271050037149</v>
          </cell>
          <cell r="BO45">
            <v>1.1910304104709231</v>
          </cell>
          <cell r="BP45">
            <v>0</v>
          </cell>
          <cell r="BQ45">
            <v>1.1937603013937557</v>
          </cell>
          <cell r="BR45">
            <v>0.63077279646189199</v>
          </cell>
          <cell r="BS45">
            <v>0</v>
          </cell>
          <cell r="BT45">
            <v>0.64207034505022986</v>
          </cell>
          <cell r="BU45">
            <v>0.9963891876729577</v>
          </cell>
          <cell r="BV45">
            <v>0</v>
          </cell>
          <cell r="BW45">
            <v>1.0015759804263398</v>
          </cell>
          <cell r="BX45">
            <v>0.15</v>
          </cell>
          <cell r="BY45">
            <v>0.8</v>
          </cell>
          <cell r="CA45">
            <v>1.0306808174959243</v>
          </cell>
          <cell r="CB45">
            <v>0</v>
          </cell>
          <cell r="CC45">
            <v>1.4531419373847434</v>
          </cell>
          <cell r="CD45">
            <v>0</v>
          </cell>
          <cell r="CE45">
            <v>2.0424177914335226</v>
          </cell>
          <cell r="CF45">
            <v>1.1992410824003654</v>
          </cell>
          <cell r="CG45">
            <v>0</v>
          </cell>
          <cell r="CH45">
            <v>1.2465101936872596</v>
          </cell>
          <cell r="CI45">
            <v>0</v>
          </cell>
          <cell r="CJ45">
            <v>0.84317670903315722</v>
          </cell>
          <cell r="CK45">
            <v>1.2599496566919741</v>
          </cell>
          <cell r="CL45">
            <v>0</v>
          </cell>
          <cell r="CM45">
            <v>1.2599496566919741</v>
          </cell>
          <cell r="CN45">
            <v>0</v>
          </cell>
          <cell r="CO45">
            <v>-0.41677294765881689</v>
          </cell>
        </row>
        <row r="46">
          <cell r="D46" t="str">
            <v>300/68 TEX NIM _B1</v>
          </cell>
          <cell r="E46" t="str">
            <v>300</v>
          </cell>
          <cell r="F46" t="str">
            <v>68</v>
          </cell>
          <cell r="G46" t="str">
            <v>TEX</v>
          </cell>
          <cell r="H46" t="str">
            <v>NIM</v>
          </cell>
          <cell r="I46" t="str">
            <v xml:space="preserve"> </v>
          </cell>
          <cell r="J46" t="str">
            <v xml:space="preserve"> </v>
          </cell>
          <cell r="K46" t="str">
            <v>B1</v>
          </cell>
          <cell r="L46">
            <v>1</v>
          </cell>
          <cell r="M46">
            <v>0.32946416350615271</v>
          </cell>
          <cell r="N46">
            <v>0.67053583649384729</v>
          </cell>
          <cell r="O46">
            <v>500</v>
          </cell>
          <cell r="P46">
            <v>505</v>
          </cell>
          <cell r="Q46">
            <v>1.68</v>
          </cell>
          <cell r="R46">
            <v>0.97389999999999999</v>
          </cell>
          <cell r="S46">
            <v>0.97</v>
          </cell>
          <cell r="T46">
            <v>2.4799999999999999E-2</v>
          </cell>
          <cell r="U46">
            <v>5.0286458560320009</v>
          </cell>
          <cell r="V46">
            <v>7.0000000000000001E-3</v>
          </cell>
          <cell r="W46">
            <v>4.9934453350397767</v>
          </cell>
          <cell r="X46">
            <v>154.79680538623307</v>
          </cell>
          <cell r="Y46">
            <v>51</v>
          </cell>
          <cell r="Z46">
            <v>103.79680538623307</v>
          </cell>
          <cell r="AA46">
            <v>62.066505576208179</v>
          </cell>
          <cell r="AB46">
            <v>0.116865</v>
          </cell>
          <cell r="AC46">
            <v>61.949640576208182</v>
          </cell>
          <cell r="AD46">
            <v>1</v>
          </cell>
          <cell r="AE46">
            <v>0</v>
          </cell>
          <cell r="AF46">
            <v>0.30974820288104093</v>
          </cell>
          <cell r="AG46">
            <v>1.28</v>
          </cell>
          <cell r="AH46">
            <v>90</v>
          </cell>
          <cell r="AI46">
            <v>43.86</v>
          </cell>
          <cell r="AJ46">
            <v>56.140799999999999</v>
          </cell>
          <cell r="AK46">
            <v>28.631807999999999</v>
          </cell>
          <cell r="AN46">
            <v>0</v>
          </cell>
          <cell r="AO46">
            <v>4.34</v>
          </cell>
          <cell r="AP46">
            <v>1.4705882352941178</v>
          </cell>
          <cell r="AQ46">
            <v>1.3842936986301371</v>
          </cell>
          <cell r="AR46">
            <v>0.10666752</v>
          </cell>
          <cell r="AS46" t="str">
            <v>530/68</v>
          </cell>
          <cell r="AT46">
            <v>2</v>
          </cell>
          <cell r="AU46">
            <v>0</v>
          </cell>
          <cell r="AV46">
            <v>41.5</v>
          </cell>
          <cell r="AW46">
            <v>1</v>
          </cell>
          <cell r="AX46">
            <v>54</v>
          </cell>
          <cell r="AY46">
            <v>0.98267890848743711</v>
          </cell>
          <cell r="AZ46">
            <v>38.648761470810896</v>
          </cell>
          <cell r="BA46">
            <v>47.984211101441552</v>
          </cell>
          <cell r="BB46">
            <v>2.81</v>
          </cell>
          <cell r="BC46">
            <v>0.89815</v>
          </cell>
          <cell r="BD46">
            <v>0</v>
          </cell>
          <cell r="BE46">
            <v>0</v>
          </cell>
          <cell r="BF46">
            <v>0</v>
          </cell>
          <cell r="BG46">
            <v>6.4823390752648491</v>
          </cell>
          <cell r="BH46">
            <v>8.9475312718855911</v>
          </cell>
          <cell r="BI46">
            <v>0.8042801638532554</v>
          </cell>
          <cell r="BJ46" t="b">
            <v>0</v>
          </cell>
          <cell r="BK46">
            <v>0.8042801638532554</v>
          </cell>
          <cell r="BL46">
            <v>0.46633714319804703</v>
          </cell>
          <cell r="BM46" t="b">
            <v>0</v>
          </cell>
          <cell r="BN46">
            <v>0.46633714319804703</v>
          </cell>
          <cell r="BO46">
            <v>0.99566008236050574</v>
          </cell>
          <cell r="BP46">
            <v>0</v>
          </cell>
          <cell r="BQ46">
            <v>0.99794217641718741</v>
          </cell>
          <cell r="BR46">
            <v>0.52730416365077881</v>
          </cell>
          <cell r="BS46">
            <v>0</v>
          </cell>
          <cell r="BT46">
            <v>0.53674852213150714</v>
          </cell>
          <cell r="BU46">
            <v>0.83294677611910906</v>
          </cell>
          <cell r="BV46">
            <v>0</v>
          </cell>
          <cell r="BW46">
            <v>0.83728275482680414</v>
          </cell>
          <cell r="BX46">
            <v>0.15</v>
          </cell>
          <cell r="BY46">
            <v>0.8</v>
          </cell>
          <cell r="CA46">
            <v>0.86161338838496304</v>
          </cell>
          <cell r="CB46">
            <v>0</v>
          </cell>
          <cell r="CC46">
            <v>1.2147762209412709</v>
          </cell>
          <cell r="CD46">
            <v>1.8441973576981892</v>
          </cell>
          <cell r="CE46">
            <v>3.6593895543189316</v>
          </cell>
          <cell r="CF46">
            <v>1.0025239191002171</v>
          </cell>
          <cell r="CG46">
            <v>0</v>
          </cell>
          <cell r="CH46">
            <v>1.0420392554201419</v>
          </cell>
          <cell r="CI46">
            <v>0.84167343859797206</v>
          </cell>
          <cell r="CJ46">
            <v>2.6568656352187148</v>
          </cell>
          <cell r="CK46">
            <v>1.0532741800068823</v>
          </cell>
          <cell r="CL46">
            <v>0</v>
          </cell>
          <cell r="CM46">
            <v>1.0532741800068823</v>
          </cell>
          <cell r="CN46">
            <v>-0.21160074140891028</v>
          </cell>
          <cell r="CO46">
            <v>1.6035914552118324</v>
          </cell>
        </row>
        <row r="47">
          <cell r="D47" t="str">
            <v>150/34 TEX NIM _S1</v>
          </cell>
          <cell r="E47" t="str">
            <v>150</v>
          </cell>
          <cell r="F47" t="str">
            <v>34</v>
          </cell>
          <cell r="G47" t="str">
            <v>TEX</v>
          </cell>
          <cell r="H47" t="str">
            <v>NIM</v>
          </cell>
          <cell r="I47" t="str">
            <v xml:space="preserve"> </v>
          </cell>
          <cell r="J47" t="str">
            <v xml:space="preserve"> </v>
          </cell>
          <cell r="K47" t="str">
            <v>S1</v>
          </cell>
          <cell r="L47">
            <v>1.5</v>
          </cell>
          <cell r="M47">
            <v>0</v>
          </cell>
          <cell r="N47">
            <v>1.5</v>
          </cell>
          <cell r="O47">
            <v>800</v>
          </cell>
          <cell r="P47">
            <v>251</v>
          </cell>
          <cell r="Q47">
            <v>1.75</v>
          </cell>
          <cell r="R47">
            <v>0.97389999999999999</v>
          </cell>
          <cell r="S47">
            <v>0.97</v>
          </cell>
          <cell r="T47">
            <v>2.4799999999999999E-2</v>
          </cell>
          <cell r="U47">
            <v>3.8390574430715891</v>
          </cell>
          <cell r="V47">
            <v>7.0000000000000001E-3</v>
          </cell>
          <cell r="W47">
            <v>3.812184040970088</v>
          </cell>
          <cell r="X47">
            <v>177.2665579051091</v>
          </cell>
          <cell r="Z47">
            <v>177.2665579051091</v>
          </cell>
          <cell r="AA47">
            <v>61.326505576208177</v>
          </cell>
          <cell r="AB47">
            <v>0.116865</v>
          </cell>
          <cell r="AC47">
            <v>61.20964057620818</v>
          </cell>
          <cell r="AD47">
            <v>1</v>
          </cell>
          <cell r="AE47">
            <v>0</v>
          </cell>
          <cell r="AF47">
            <v>0.3060482028810409</v>
          </cell>
          <cell r="AI47">
            <v>0</v>
          </cell>
          <cell r="AJ47">
            <v>0</v>
          </cell>
          <cell r="AK47">
            <v>0</v>
          </cell>
          <cell r="AN47">
            <v>0</v>
          </cell>
          <cell r="AP47">
            <v>0</v>
          </cell>
          <cell r="AQ47">
            <v>0</v>
          </cell>
          <cell r="AR47">
            <v>0</v>
          </cell>
          <cell r="AS47" t="str">
            <v>265/34</v>
          </cell>
          <cell r="AT47">
            <v>1</v>
          </cell>
          <cell r="AU47">
            <v>0</v>
          </cell>
          <cell r="AV47">
            <v>54</v>
          </cell>
          <cell r="AW47">
            <v>1</v>
          </cell>
          <cell r="AX47">
            <v>54</v>
          </cell>
          <cell r="AY47">
            <v>0.98267890848743711</v>
          </cell>
          <cell r="AZ47">
            <v>47.984211101441552</v>
          </cell>
          <cell r="BA47">
            <v>47.984211101441552</v>
          </cell>
          <cell r="BB47">
            <v>2.81</v>
          </cell>
          <cell r="BC47">
            <v>0.89815</v>
          </cell>
          <cell r="BD47">
            <v>0</v>
          </cell>
          <cell r="BE47">
            <v>0</v>
          </cell>
          <cell r="BF47">
            <v>0</v>
          </cell>
          <cell r="BG47">
            <v>0</v>
          </cell>
          <cell r="BH47">
            <v>8.211231271885584</v>
          </cell>
          <cell r="BI47">
            <v>1.0534982018433925</v>
          </cell>
          <cell r="BJ47" t="b">
            <v>0</v>
          </cell>
          <cell r="BK47">
            <v>1.0534982018433925</v>
          </cell>
          <cell r="BL47">
            <v>0.61083856582787055</v>
          </cell>
          <cell r="BM47" t="b">
            <v>0</v>
          </cell>
          <cell r="BN47">
            <v>0.61083856582787055</v>
          </cell>
          <cell r="BO47">
            <v>1.3041800028844404</v>
          </cell>
          <cell r="BP47">
            <v>0</v>
          </cell>
          <cell r="BQ47">
            <v>1.3071692373492485</v>
          </cell>
          <cell r="BR47">
            <v>0.69069711426077829</v>
          </cell>
          <cell r="BS47">
            <v>0</v>
          </cell>
          <cell r="BT47">
            <v>0.70306794612282952</v>
          </cell>
          <cell r="BU47">
            <v>1.0910475855436335</v>
          </cell>
          <cell r="BV47">
            <v>0</v>
          </cell>
          <cell r="BW47">
            <v>1.0967271310267688</v>
          </cell>
          <cell r="BX47">
            <v>0.15</v>
          </cell>
          <cell r="BY47">
            <v>0.8</v>
          </cell>
          <cell r="CA47">
            <v>1.1285969692438751</v>
          </cell>
          <cell r="CB47">
            <v>0</v>
          </cell>
          <cell r="CC47">
            <v>1.5911924997285392</v>
          </cell>
          <cell r="CD47">
            <v>0</v>
          </cell>
          <cell r="CE47">
            <v>1.5323728322815928</v>
          </cell>
          <cell r="CF47">
            <v>1.3131707003901321</v>
          </cell>
          <cell r="CG47">
            <v>0</v>
          </cell>
          <cell r="CH47">
            <v>1.3649304448538448</v>
          </cell>
          <cell r="CI47">
            <v>0</v>
          </cell>
          <cell r="CJ47">
            <v>0.21920213189146076</v>
          </cell>
          <cell r="CK47">
            <v>1.3796466760652075</v>
          </cell>
          <cell r="CL47">
            <v>0</v>
          </cell>
          <cell r="CM47">
            <v>1.3796466760652075</v>
          </cell>
          <cell r="CN47">
            <v>0</v>
          </cell>
          <cell r="CO47">
            <v>-1.1604445441737468</v>
          </cell>
        </row>
        <row r="48">
          <cell r="D48" t="str">
            <v>150/34 TEX NIM CLQ_S1</v>
          </cell>
          <cell r="E48" t="str">
            <v>150</v>
          </cell>
          <cell r="F48" t="str">
            <v>34</v>
          </cell>
          <cell r="G48" t="str">
            <v>TEX</v>
          </cell>
          <cell r="H48" t="str">
            <v>NIM</v>
          </cell>
          <cell r="I48" t="str">
            <v xml:space="preserve"> </v>
          </cell>
          <cell r="J48" t="str">
            <v>CLQ</v>
          </cell>
          <cell r="K48" t="str">
            <v>S1</v>
          </cell>
          <cell r="L48">
            <v>0.5</v>
          </cell>
          <cell r="M48">
            <v>0</v>
          </cell>
          <cell r="N48">
            <v>0.49999999999999994</v>
          </cell>
          <cell r="O48">
            <v>800</v>
          </cell>
          <cell r="P48">
            <v>251</v>
          </cell>
          <cell r="Q48">
            <v>1.75</v>
          </cell>
          <cell r="R48">
            <v>0.97389999999999999</v>
          </cell>
          <cell r="S48">
            <v>0.97</v>
          </cell>
          <cell r="T48">
            <v>2.4799999999999999E-2</v>
          </cell>
          <cell r="U48">
            <v>3.8390574430715891</v>
          </cell>
          <cell r="V48">
            <v>7.0000000000000001E-3</v>
          </cell>
          <cell r="W48">
            <v>3.812184040970088</v>
          </cell>
          <cell r="X48">
            <v>59.088852635036361</v>
          </cell>
          <cell r="Z48">
            <v>59.088852635036361</v>
          </cell>
          <cell r="AA48">
            <v>59.09650557620818</v>
          </cell>
          <cell r="AB48">
            <v>0</v>
          </cell>
          <cell r="AC48">
            <v>59.09650557620818</v>
          </cell>
          <cell r="AD48">
            <v>1</v>
          </cell>
          <cell r="AE48">
            <v>0</v>
          </cell>
          <cell r="AF48">
            <v>0.2954825278810409</v>
          </cell>
          <cell r="AG48">
            <v>0</v>
          </cell>
          <cell r="AH48">
            <v>0</v>
          </cell>
          <cell r="AI48">
            <v>0</v>
          </cell>
          <cell r="AJ48">
            <v>0</v>
          </cell>
          <cell r="AK48">
            <v>0</v>
          </cell>
          <cell r="AM48">
            <v>0</v>
          </cell>
          <cell r="AN48">
            <v>0</v>
          </cell>
          <cell r="AP48">
            <v>0</v>
          </cell>
          <cell r="AQ48">
            <v>0</v>
          </cell>
          <cell r="AR48">
            <v>0</v>
          </cell>
          <cell r="AS48" t="str">
            <v>265/34</v>
          </cell>
          <cell r="AT48">
            <v>1</v>
          </cell>
          <cell r="AU48">
            <v>0</v>
          </cell>
          <cell r="AV48">
            <v>54</v>
          </cell>
          <cell r="AW48">
            <v>1</v>
          </cell>
          <cell r="AX48">
            <v>50</v>
          </cell>
          <cell r="AY48">
            <v>0.98267890848743711</v>
          </cell>
          <cell r="AZ48">
            <v>47.984211101441552</v>
          </cell>
          <cell r="BA48">
            <v>44.053495467491807</v>
          </cell>
          <cell r="BB48">
            <v>2.81</v>
          </cell>
          <cell r="BC48">
            <v>0.89815</v>
          </cell>
          <cell r="BD48">
            <v>0</v>
          </cell>
          <cell r="BE48">
            <v>0</v>
          </cell>
          <cell r="BF48">
            <v>0</v>
          </cell>
          <cell r="BG48">
            <v>0</v>
          </cell>
          <cell r="BH48">
            <v>10.039377580835332</v>
          </cell>
          <cell r="BI48">
            <v>1.0534982018433925</v>
          </cell>
          <cell r="BJ48" t="b">
            <v>0</v>
          </cell>
          <cell r="BK48">
            <v>1.0534982018433925</v>
          </cell>
          <cell r="BL48">
            <v>0.61083856582787055</v>
          </cell>
          <cell r="BM48" t="b">
            <v>0</v>
          </cell>
          <cell r="BN48">
            <v>0.61083856582787055</v>
          </cell>
          <cell r="BO48">
            <v>1.3041800028844404</v>
          </cell>
          <cell r="BP48">
            <v>0</v>
          </cell>
          <cell r="BQ48">
            <v>1.3071692373492485</v>
          </cell>
          <cell r="BR48">
            <v>0.69069711426077829</v>
          </cell>
          <cell r="BS48">
            <v>0</v>
          </cell>
          <cell r="BT48">
            <v>0.70306794612282952</v>
          </cell>
          <cell r="BU48">
            <v>1.0910475855436335</v>
          </cell>
          <cell r="BV48">
            <v>0</v>
          </cell>
          <cell r="BW48">
            <v>1.0967271310267688</v>
          </cell>
          <cell r="BX48">
            <v>0.15</v>
          </cell>
          <cell r="BY48">
            <v>0.8</v>
          </cell>
          <cell r="CA48">
            <v>1.1285969692438751</v>
          </cell>
          <cell r="CB48">
            <v>0</v>
          </cell>
          <cell r="CC48">
            <v>1.5911924997285392</v>
          </cell>
          <cell r="CD48">
            <v>0</v>
          </cell>
          <cell r="CE48">
            <v>3.3605191412313404</v>
          </cell>
          <cell r="CF48">
            <v>1.3131707003901321</v>
          </cell>
          <cell r="CG48">
            <v>0</v>
          </cell>
          <cell r="CH48">
            <v>1.3649304448538448</v>
          </cell>
          <cell r="CI48">
            <v>0</v>
          </cell>
          <cell r="CJ48">
            <v>2.0473484408412084</v>
          </cell>
          <cell r="CK48">
            <v>1.3796466760652075</v>
          </cell>
          <cell r="CL48">
            <v>0</v>
          </cell>
          <cell r="CM48">
            <v>1.3796466760652075</v>
          </cell>
          <cell r="CN48">
            <v>0</v>
          </cell>
          <cell r="CO48">
            <v>0.66770176477600085</v>
          </cell>
        </row>
        <row r="49">
          <cell r="D49" t="str">
            <v>75/34 TEX NIM _S1</v>
          </cell>
          <cell r="E49" t="str">
            <v>75</v>
          </cell>
          <cell r="F49" t="str">
            <v>34</v>
          </cell>
          <cell r="G49" t="str">
            <v>TEX</v>
          </cell>
          <cell r="H49" t="str">
            <v>NIM</v>
          </cell>
          <cell r="I49" t="str">
            <v xml:space="preserve"> </v>
          </cell>
          <cell r="J49" t="str">
            <v xml:space="preserve"> </v>
          </cell>
          <cell r="K49" t="str">
            <v>S1</v>
          </cell>
          <cell r="L49">
            <v>1</v>
          </cell>
          <cell r="M49">
            <v>0.79322783098456473</v>
          </cell>
          <cell r="N49">
            <v>0.20677216901543535</v>
          </cell>
          <cell r="O49">
            <v>900</v>
          </cell>
          <cell r="P49">
            <v>130</v>
          </cell>
          <cell r="Q49">
            <v>1.7709999999999999</v>
          </cell>
          <cell r="R49">
            <v>0.97389999999999999</v>
          </cell>
          <cell r="S49">
            <v>0.97</v>
          </cell>
          <cell r="T49">
            <v>2.4799999999999999E-2</v>
          </cell>
          <cell r="U49">
            <v>2.210376482407209</v>
          </cell>
          <cell r="V49">
            <v>6.4999999999999997E-3</v>
          </cell>
          <cell r="W49">
            <v>2.1960090352715622</v>
          </cell>
          <cell r="X49">
            <v>68.076280093418433</v>
          </cell>
          <cell r="Y49">
            <v>54</v>
          </cell>
          <cell r="Z49">
            <v>14.076280093418433</v>
          </cell>
          <cell r="AA49">
            <v>72.443011152416361</v>
          </cell>
          <cell r="AB49">
            <v>0.116865</v>
          </cell>
          <cell r="AC49">
            <v>72.326146152416356</v>
          </cell>
          <cell r="AD49">
            <v>1</v>
          </cell>
          <cell r="AE49">
            <v>0</v>
          </cell>
          <cell r="AF49">
            <v>0.3616307307620818</v>
          </cell>
          <cell r="AG49">
            <v>1.70278</v>
          </cell>
          <cell r="AH49">
            <v>90</v>
          </cell>
          <cell r="AI49">
            <v>43.86</v>
          </cell>
          <cell r="AJ49">
            <v>74.683930799999999</v>
          </cell>
          <cell r="AK49">
            <v>40.329322632</v>
          </cell>
          <cell r="AM49">
            <v>0.02</v>
          </cell>
          <cell r="AN49">
            <v>1.493678616</v>
          </cell>
          <cell r="AO49">
            <v>5.21</v>
          </cell>
          <cell r="AP49">
            <v>1.4705882352941178</v>
          </cell>
          <cell r="AQ49">
            <v>1.8415215813698631</v>
          </cell>
          <cell r="AR49">
            <v>0.14189946851999999</v>
          </cell>
          <cell r="AS49" t="str">
            <v>140/34</v>
          </cell>
          <cell r="AT49">
            <v>1</v>
          </cell>
          <cell r="AU49">
            <v>10.42108962</v>
          </cell>
          <cell r="AV49">
            <v>61</v>
          </cell>
          <cell r="AW49">
            <v>1</v>
          </cell>
          <cell r="AX49">
            <v>61</v>
          </cell>
          <cell r="AY49">
            <v>0.98218435443183194</v>
          </cell>
          <cell r="AZ49">
            <v>54.835352507929173</v>
          </cell>
          <cell r="BA49">
            <v>54.835352507929173</v>
          </cell>
          <cell r="BB49">
            <v>2.81</v>
          </cell>
          <cell r="BC49">
            <v>0.89815</v>
          </cell>
          <cell r="BD49">
            <v>0</v>
          </cell>
          <cell r="BE49">
            <v>0</v>
          </cell>
          <cell r="BF49">
            <v>0</v>
          </cell>
          <cell r="BG49">
            <v>16.403830010886853</v>
          </cell>
          <cell r="BH49">
            <v>12.421012913725097</v>
          </cell>
          <cell r="BI49">
            <v>1.8288308325477467</v>
          </cell>
          <cell r="BJ49" t="b">
            <v>0</v>
          </cell>
          <cell r="BK49">
            <v>1.8288308325477467</v>
          </cell>
          <cell r="BL49">
            <v>1.0603913712814492</v>
          </cell>
          <cell r="BM49" t="b">
            <v>0</v>
          </cell>
          <cell r="BN49">
            <v>1.0603913712814492</v>
          </cell>
          <cell r="BO49">
            <v>2.2640044342684451</v>
          </cell>
          <cell r="BP49">
            <v>0</v>
          </cell>
          <cell r="BQ49">
            <v>2.2691936259969072</v>
          </cell>
          <cell r="BR49">
            <v>1.1990226241502797</v>
          </cell>
          <cell r="BS49">
            <v>0</v>
          </cell>
          <cell r="BT49">
            <v>1.2204978945342213</v>
          </cell>
          <cell r="BU49">
            <v>1.8940150640291165</v>
          </cell>
          <cell r="BV49">
            <v>0</v>
          </cell>
          <cell r="BW49">
            <v>1.9038745283131944</v>
          </cell>
          <cell r="BX49">
            <v>0.15</v>
          </cell>
          <cell r="BY49">
            <v>0.8</v>
          </cell>
          <cell r="CA49">
            <v>1.9591992955104873</v>
          </cell>
          <cell r="CB49">
            <v>0</v>
          </cell>
          <cell r="CC49">
            <v>2.7622466739196803</v>
          </cell>
          <cell r="CD49">
            <v>6.0483663890993302</v>
          </cell>
          <cell r="CE49">
            <v>1.415549291937573</v>
          </cell>
          <cell r="CF49">
            <v>2.2796119263132799</v>
          </cell>
          <cell r="CG49">
            <v>0</v>
          </cell>
          <cell r="CH49">
            <v>2.3694647769345689</v>
          </cell>
          <cell r="CI49">
            <v>3.7687544627860503</v>
          </cell>
          <cell r="CJ49">
            <v>-0.86406263437570696</v>
          </cell>
          <cell r="CK49">
            <v>2.3950115669823813</v>
          </cell>
          <cell r="CL49">
            <v>0</v>
          </cell>
          <cell r="CM49">
            <v>2.3950115669823813</v>
          </cell>
          <cell r="CN49">
            <v>1.373742895803669</v>
          </cell>
          <cell r="CO49">
            <v>-3.2590742013580885</v>
          </cell>
        </row>
        <row r="50">
          <cell r="D50" t="str">
            <v>75/34 ROTO IM _S1</v>
          </cell>
          <cell r="E50" t="str">
            <v>75</v>
          </cell>
          <cell r="F50" t="str">
            <v>34</v>
          </cell>
          <cell r="G50" t="str">
            <v>ROTO</v>
          </cell>
          <cell r="H50" t="str">
            <v>IM</v>
          </cell>
          <cell r="I50" t="str">
            <v xml:space="preserve"> </v>
          </cell>
          <cell r="J50" t="str">
            <v xml:space="preserve"> </v>
          </cell>
          <cell r="K50" t="str">
            <v>S1</v>
          </cell>
          <cell r="L50">
            <v>1</v>
          </cell>
          <cell r="M50">
            <v>0.83491273580647174</v>
          </cell>
          <cell r="N50">
            <v>0.16508726419352832</v>
          </cell>
          <cell r="O50">
            <v>850</v>
          </cell>
          <cell r="P50">
            <v>118</v>
          </cell>
          <cell r="Q50">
            <v>1.6919999999999999</v>
          </cell>
          <cell r="R50">
            <v>0.97389999999999999</v>
          </cell>
          <cell r="S50">
            <v>0.97</v>
          </cell>
          <cell r="T50">
            <v>2.4799999999999999E-2</v>
          </cell>
          <cell r="U50">
            <v>1.9833507509416848</v>
          </cell>
          <cell r="V50">
            <v>6.4999999999999997E-3</v>
          </cell>
          <cell r="W50">
            <v>1.970458971060564</v>
          </cell>
          <cell r="X50">
            <v>61.084228102877482</v>
          </cell>
          <cell r="Y50">
            <v>51</v>
          </cell>
          <cell r="Z50">
            <v>10.084228102877482</v>
          </cell>
          <cell r="AA50">
            <v>76.159516728624538</v>
          </cell>
          <cell r="AB50">
            <v>0.31474000000000008</v>
          </cell>
          <cell r="AC50">
            <v>75.844776728624538</v>
          </cell>
          <cell r="AD50">
            <v>1</v>
          </cell>
          <cell r="AE50">
            <v>0</v>
          </cell>
          <cell r="AF50">
            <v>0.37922388364312271</v>
          </cell>
          <cell r="AG50">
            <v>1.816667</v>
          </cell>
          <cell r="AH50">
            <v>90</v>
          </cell>
          <cell r="AI50">
            <v>43.86</v>
          </cell>
          <cell r="AJ50">
            <v>79.679014620000004</v>
          </cell>
          <cell r="AK50">
            <v>40.636297456199998</v>
          </cell>
          <cell r="AM50">
            <v>1.32E-2</v>
          </cell>
          <cell r="AN50">
            <v>1.051762992984</v>
          </cell>
          <cell r="AO50">
            <v>5.5</v>
          </cell>
          <cell r="AP50">
            <v>1.4705882352941178</v>
          </cell>
          <cell r="AQ50">
            <v>1.9646880317260274</v>
          </cell>
          <cell r="AR50">
            <v>0.15139012777800001</v>
          </cell>
          <cell r="AS50" t="str">
            <v>126/34</v>
          </cell>
          <cell r="AT50">
            <v>1</v>
          </cell>
          <cell r="AU50">
            <v>11.126852193</v>
          </cell>
          <cell r="AV50">
            <v>62</v>
          </cell>
          <cell r="AW50">
            <v>1</v>
          </cell>
          <cell r="AX50">
            <v>62</v>
          </cell>
          <cell r="AY50">
            <v>0.98218435443183194</v>
          </cell>
          <cell r="AZ50">
            <v>55.81753686236101</v>
          </cell>
          <cell r="BA50">
            <v>55.81753686236101</v>
          </cell>
          <cell r="BB50">
            <v>2.81</v>
          </cell>
          <cell r="BC50">
            <v>0.89815</v>
          </cell>
          <cell r="BD50">
            <v>3.7270941082079747</v>
          </cell>
          <cell r="BE50">
            <v>0</v>
          </cell>
          <cell r="BF50">
            <v>3.7270941082079747</v>
          </cell>
          <cell r="BG50">
            <v>17.41465645464887</v>
          </cell>
          <cell r="BH50">
            <v>11.212771874412432</v>
          </cell>
          <cell r="BI50">
            <v>2.0381693256452107</v>
          </cell>
          <cell r="BJ50" t="b">
            <v>0</v>
          </cell>
          <cell r="BK50">
            <v>2.0381693256452107</v>
          </cell>
          <cell r="BL50">
            <v>1.1817698650201895</v>
          </cell>
          <cell r="BM50" t="b">
            <v>0</v>
          </cell>
          <cell r="BN50">
            <v>1.1817698650201895</v>
          </cell>
          <cell r="BO50">
            <v>2.5231554001210283</v>
          </cell>
          <cell r="BP50">
            <v>0</v>
          </cell>
          <cell r="BQ50">
            <v>2.5289385765732257</v>
          </cell>
          <cell r="BR50">
            <v>1.3362696482392795</v>
          </cell>
          <cell r="BS50">
            <v>0</v>
          </cell>
          <cell r="BT50">
            <v>1.3602031015568348</v>
          </cell>
          <cell r="BU50">
            <v>2.1108149190793517</v>
          </cell>
          <cell r="BV50">
            <v>0</v>
          </cell>
          <cell r="BW50">
            <v>2.1218029543385271</v>
          </cell>
          <cell r="BX50">
            <v>0.15</v>
          </cell>
          <cell r="BY50">
            <v>0.8</v>
          </cell>
          <cell r="CA50">
            <v>2.1834605125134932</v>
          </cell>
          <cell r="CB50">
            <v>0</v>
          </cell>
          <cell r="CC50">
            <v>3.0784293114774002</v>
          </cell>
          <cell r="CD50">
            <v>5.8910167840303167</v>
          </cell>
          <cell r="CE50">
            <v>-0.96086779620612117</v>
          </cell>
          <cell r="CF50">
            <v>2.5405494154503296</v>
          </cell>
          <cell r="CG50">
            <v>0</v>
          </cell>
          <cell r="CH50">
            <v>2.6406873400187632</v>
          </cell>
          <cell r="CI50">
            <v>3.3504673685799871</v>
          </cell>
          <cell r="CJ50">
            <v>-3.5014172116564506</v>
          </cell>
          <cell r="CK50">
            <v>2.6691583625526585</v>
          </cell>
          <cell r="CL50">
            <v>0</v>
          </cell>
          <cell r="CM50">
            <v>2.6691583625526585</v>
          </cell>
          <cell r="CN50">
            <v>0.68130900602732858</v>
          </cell>
          <cell r="CO50">
            <v>-6.1705755742091091</v>
          </cell>
        </row>
        <row r="51">
          <cell r="D51" t="str">
            <v>80/34 TEX NIM _S1</v>
          </cell>
          <cell r="E51" t="str">
            <v>80</v>
          </cell>
          <cell r="F51" t="str">
            <v>34</v>
          </cell>
          <cell r="G51" t="str">
            <v>TEX</v>
          </cell>
          <cell r="H51" t="str">
            <v>NIM</v>
          </cell>
          <cell r="I51" t="str">
            <v xml:space="preserve"> </v>
          </cell>
          <cell r="J51" t="str">
            <v xml:space="preserve"> </v>
          </cell>
          <cell r="K51" t="str">
            <v>S1</v>
          </cell>
          <cell r="L51">
            <v>0.5</v>
          </cell>
          <cell r="M51">
            <v>0</v>
          </cell>
          <cell r="N51">
            <v>0.49999999999999994</v>
          </cell>
          <cell r="O51">
            <v>900</v>
          </cell>
          <cell r="P51">
            <v>134</v>
          </cell>
          <cell r="Q51">
            <v>1.7450000000000001</v>
          </cell>
          <cell r="R51">
            <v>0.97389999999999999</v>
          </cell>
          <cell r="S51">
            <v>0.97</v>
          </cell>
          <cell r="T51">
            <v>2.4799999999999999E-2</v>
          </cell>
          <cell r="U51">
            <v>2.3123353958385913</v>
          </cell>
          <cell r="V51">
            <v>6.4999999999999997E-3</v>
          </cell>
          <cell r="W51">
            <v>2.2973052157656406</v>
          </cell>
          <cell r="X51">
            <v>35.608230844367426</v>
          </cell>
          <cell r="Z51">
            <v>35.608230844367426</v>
          </cell>
          <cell r="AA51">
            <v>71.703011152416352</v>
          </cell>
          <cell r="AB51">
            <v>0.116865</v>
          </cell>
          <cell r="AC51">
            <v>71.586146152416347</v>
          </cell>
          <cell r="AD51">
            <v>1</v>
          </cell>
          <cell r="AE51">
            <v>0</v>
          </cell>
          <cell r="AF51">
            <v>0.35793073076208176</v>
          </cell>
          <cell r="AG51">
            <v>0</v>
          </cell>
          <cell r="AH51">
            <v>0</v>
          </cell>
          <cell r="AI51">
            <v>0</v>
          </cell>
          <cell r="AJ51">
            <v>0</v>
          </cell>
          <cell r="AK51">
            <v>0</v>
          </cell>
          <cell r="AM51">
            <v>0</v>
          </cell>
          <cell r="AN51">
            <v>0</v>
          </cell>
          <cell r="AP51">
            <v>0</v>
          </cell>
          <cell r="AQ51">
            <v>0</v>
          </cell>
          <cell r="AR51">
            <v>0</v>
          </cell>
          <cell r="AS51" t="str">
            <v>140/34</v>
          </cell>
          <cell r="AT51">
            <v>1</v>
          </cell>
          <cell r="AU51">
            <v>0</v>
          </cell>
          <cell r="AV51">
            <v>61</v>
          </cell>
          <cell r="AW51">
            <v>1</v>
          </cell>
          <cell r="AX51">
            <v>61</v>
          </cell>
          <cell r="AY51">
            <v>0.98218435443183194</v>
          </cell>
          <cell r="AZ51">
            <v>54.835352507929173</v>
          </cell>
          <cell r="BA51">
            <v>54.835352507929173</v>
          </cell>
          <cell r="BB51">
            <v>2.81</v>
          </cell>
          <cell r="BC51">
            <v>0.89815</v>
          </cell>
          <cell r="BD51">
            <v>0</v>
          </cell>
          <cell r="BE51">
            <v>0</v>
          </cell>
          <cell r="BF51">
            <v>0</v>
          </cell>
          <cell r="BG51">
            <v>0</v>
          </cell>
          <cell r="BH51">
            <v>11.684712913725097</v>
          </cell>
          <cell r="BI51">
            <v>1.7481913176780817</v>
          </cell>
          <cell r="BJ51" t="b">
            <v>0</v>
          </cell>
          <cell r="BK51">
            <v>1.7481913176780817</v>
          </cell>
          <cell r="BL51">
            <v>1.0136350260633453</v>
          </cell>
          <cell r="BM51" t="b">
            <v>0</v>
          </cell>
          <cell r="BN51">
            <v>1.0136350260633453</v>
          </cell>
          <cell r="BO51">
            <v>2.1641766011014805</v>
          </cell>
          <cell r="BP51">
            <v>0</v>
          </cell>
          <cell r="BQ51">
            <v>2.1691369833107119</v>
          </cell>
          <cell r="BR51">
            <v>1.1461535446222766</v>
          </cell>
          <cell r="BS51">
            <v>0</v>
          </cell>
          <cell r="BT51">
            <v>1.1666818956112497</v>
          </cell>
          <cell r="BU51">
            <v>1.8105013495832738</v>
          </cell>
          <cell r="BV51">
            <v>0</v>
          </cell>
          <cell r="BW51">
            <v>1.819926075780814</v>
          </cell>
          <cell r="BX51">
            <v>0.15</v>
          </cell>
          <cell r="BY51">
            <v>0.8</v>
          </cell>
          <cell r="CA51">
            <v>1.8728113814884666</v>
          </cell>
          <cell r="CB51">
            <v>0</v>
          </cell>
          <cell r="CC51">
            <v>2.6404496067601548</v>
          </cell>
          <cell r="CD51">
            <v>0</v>
          </cell>
          <cell r="CE51">
            <v>1.129243693188172</v>
          </cell>
          <cell r="CF51">
            <v>2.1790959045153997</v>
          </cell>
          <cell r="CG51">
            <v>0</v>
          </cell>
          <cell r="CH51">
            <v>2.2649868303075542</v>
          </cell>
          <cell r="CI51">
            <v>0</v>
          </cell>
          <cell r="CJ51">
            <v>-1.0498522113272277</v>
          </cell>
          <cell r="CK51">
            <v>2.2894071734914636</v>
          </cell>
          <cell r="CL51">
            <v>0</v>
          </cell>
          <cell r="CM51">
            <v>2.2894071734914636</v>
          </cell>
          <cell r="CN51">
            <v>0</v>
          </cell>
          <cell r="CO51">
            <v>-3.3392593848186913</v>
          </cell>
        </row>
        <row r="52">
          <cell r="D52" t="str">
            <v>80/34 TEX NIM CLQ_S1</v>
          </cell>
          <cell r="E52" t="str">
            <v>80</v>
          </cell>
          <cell r="F52" t="str">
            <v>34</v>
          </cell>
          <cell r="G52" t="str">
            <v>TEX</v>
          </cell>
          <cell r="H52" t="str">
            <v>NIM</v>
          </cell>
          <cell r="I52" t="str">
            <v xml:space="preserve"> </v>
          </cell>
          <cell r="J52" t="str">
            <v>CLQ</v>
          </cell>
          <cell r="K52" t="str">
            <v>S1</v>
          </cell>
          <cell r="L52">
            <v>0.5</v>
          </cell>
          <cell r="M52">
            <v>0</v>
          </cell>
          <cell r="N52">
            <v>0.49999999999999994</v>
          </cell>
          <cell r="O52">
            <v>900</v>
          </cell>
          <cell r="P52">
            <v>134</v>
          </cell>
          <cell r="Q52">
            <v>1.7450000000000001</v>
          </cell>
          <cell r="R52">
            <v>0.97389999999999999</v>
          </cell>
          <cell r="S52">
            <v>0.97</v>
          </cell>
          <cell r="T52">
            <v>2.4799999999999999E-2</v>
          </cell>
          <cell r="U52">
            <v>2.3123353958385913</v>
          </cell>
          <cell r="V52">
            <v>6.4999999999999997E-3</v>
          </cell>
          <cell r="W52">
            <v>2.2973052157656406</v>
          </cell>
          <cell r="X52">
            <v>35.608230844367426</v>
          </cell>
          <cell r="Z52">
            <v>35.608230844367426</v>
          </cell>
          <cell r="AA52">
            <v>69.473011152416348</v>
          </cell>
          <cell r="AB52">
            <v>0</v>
          </cell>
          <cell r="AC52">
            <v>69.473011152416348</v>
          </cell>
          <cell r="AD52">
            <v>1</v>
          </cell>
          <cell r="AE52">
            <v>0</v>
          </cell>
          <cell r="AF52">
            <v>0.34736505576208176</v>
          </cell>
          <cell r="AG52">
            <v>0</v>
          </cell>
          <cell r="AH52">
            <v>0</v>
          </cell>
          <cell r="AI52">
            <v>0</v>
          </cell>
          <cell r="AJ52">
            <v>0</v>
          </cell>
          <cell r="AK52">
            <v>0</v>
          </cell>
          <cell r="AM52">
            <v>0</v>
          </cell>
          <cell r="AN52">
            <v>0</v>
          </cell>
          <cell r="AP52">
            <v>0</v>
          </cell>
          <cell r="AQ52">
            <v>0</v>
          </cell>
          <cell r="AR52">
            <v>0</v>
          </cell>
          <cell r="AS52" t="str">
            <v>140/34</v>
          </cell>
          <cell r="AT52">
            <v>1</v>
          </cell>
          <cell r="AU52">
            <v>0</v>
          </cell>
          <cell r="AV52">
            <v>61</v>
          </cell>
          <cell r="AW52">
            <v>1</v>
          </cell>
          <cell r="AX52">
            <v>57</v>
          </cell>
          <cell r="AY52">
            <v>0.98218435443183194</v>
          </cell>
          <cell r="AZ52">
            <v>54.835352507929173</v>
          </cell>
          <cell r="BA52">
            <v>50.906615090201846</v>
          </cell>
          <cell r="BB52">
            <v>2.81</v>
          </cell>
          <cell r="BC52">
            <v>0.89815</v>
          </cell>
          <cell r="BD52">
            <v>0</v>
          </cell>
          <cell r="BE52">
            <v>0</v>
          </cell>
          <cell r="BF52">
            <v>0</v>
          </cell>
          <cell r="BG52">
            <v>0</v>
          </cell>
          <cell r="BH52">
            <v>13.510881006452419</v>
          </cell>
          <cell r="BI52">
            <v>1.7481913176780817</v>
          </cell>
          <cell r="BJ52" t="b">
            <v>0</v>
          </cell>
          <cell r="BK52">
            <v>1.7481913176780817</v>
          </cell>
          <cell r="BL52">
            <v>1.0136350260633453</v>
          </cell>
          <cell r="BM52" t="b">
            <v>0</v>
          </cell>
          <cell r="BN52">
            <v>1.0136350260633453</v>
          </cell>
          <cell r="BO52">
            <v>2.1641766011014805</v>
          </cell>
          <cell r="BP52">
            <v>0</v>
          </cell>
          <cell r="BQ52">
            <v>2.1691369833107119</v>
          </cell>
          <cell r="BR52">
            <v>1.1461535446222766</v>
          </cell>
          <cell r="BS52">
            <v>0</v>
          </cell>
          <cell r="BT52">
            <v>1.1666818956112497</v>
          </cell>
          <cell r="BU52">
            <v>1.8105013495832738</v>
          </cell>
          <cell r="BV52">
            <v>0</v>
          </cell>
          <cell r="BW52">
            <v>1.819926075780814</v>
          </cell>
          <cell r="BX52">
            <v>0.15</v>
          </cell>
          <cell r="BY52">
            <v>0.8</v>
          </cell>
          <cell r="CA52">
            <v>1.8728113814884666</v>
          </cell>
          <cell r="CB52">
            <v>0</v>
          </cell>
          <cell r="CC52">
            <v>2.6404496067601548</v>
          </cell>
          <cell r="CD52">
            <v>0</v>
          </cell>
          <cell r="CE52">
            <v>2.9554117859154938</v>
          </cell>
          <cell r="CF52">
            <v>2.1790959045153997</v>
          </cell>
          <cell r="CG52">
            <v>0</v>
          </cell>
          <cell r="CH52">
            <v>2.2649868303075542</v>
          </cell>
          <cell r="CI52">
            <v>0</v>
          </cell>
          <cell r="CJ52">
            <v>0.77631588140009411</v>
          </cell>
          <cell r="CK52">
            <v>2.2894071734914636</v>
          </cell>
          <cell r="CL52">
            <v>0</v>
          </cell>
          <cell r="CM52">
            <v>2.2894071734914636</v>
          </cell>
          <cell r="CN52">
            <v>0</v>
          </cell>
          <cell r="CO52">
            <v>-1.5130912920913695</v>
          </cell>
        </row>
        <row r="53">
          <cell r="D53" t="str">
            <v>100/34 TEX NIM _S1</v>
          </cell>
          <cell r="E53" t="str">
            <v>100</v>
          </cell>
          <cell r="F53" t="str">
            <v>34</v>
          </cell>
          <cell r="G53" t="str">
            <v>TEX</v>
          </cell>
          <cell r="H53" t="str">
            <v>NIM</v>
          </cell>
          <cell r="I53" t="str">
            <v xml:space="preserve"> </v>
          </cell>
          <cell r="J53" t="str">
            <v xml:space="preserve"> </v>
          </cell>
          <cell r="K53" t="str">
            <v>S1</v>
          </cell>
          <cell r="L53">
            <v>2</v>
          </cell>
          <cell r="M53">
            <v>0.43470947063054477</v>
          </cell>
          <cell r="N53">
            <v>1.565290529369455</v>
          </cell>
          <cell r="O53">
            <v>850</v>
          </cell>
          <cell r="P53">
            <v>172</v>
          </cell>
          <cell r="Q53">
            <v>1.77</v>
          </cell>
          <cell r="R53">
            <v>0.97389999999999999</v>
          </cell>
          <cell r="S53">
            <v>0.97</v>
          </cell>
          <cell r="T53">
            <v>2.4799999999999999E-2</v>
          </cell>
          <cell r="U53">
            <v>2.7635864643400025</v>
          </cell>
          <cell r="V53">
            <v>6.4999999999999997E-3</v>
          </cell>
          <cell r="W53">
            <v>2.7456231523217927</v>
          </cell>
          <cell r="X53">
            <v>170.22863544395113</v>
          </cell>
          <cell r="Y53">
            <v>37</v>
          </cell>
          <cell r="Z53">
            <v>133.22863544395113</v>
          </cell>
          <cell r="AA53">
            <v>68.733011152416353</v>
          </cell>
          <cell r="AB53">
            <v>0.116865</v>
          </cell>
          <cell r="AC53">
            <v>68.616146152416349</v>
          </cell>
          <cell r="AD53">
            <v>1</v>
          </cell>
          <cell r="AE53">
            <v>0</v>
          </cell>
          <cell r="AF53">
            <v>0.34308073076208173</v>
          </cell>
          <cell r="AG53">
            <v>1.5581100000000001</v>
          </cell>
          <cell r="AH53">
            <v>90</v>
          </cell>
          <cell r="AI53">
            <v>43.86</v>
          </cell>
          <cell r="AJ53">
            <v>68.3387046</v>
          </cell>
          <cell r="AK53">
            <v>25.285320702</v>
          </cell>
          <cell r="AM53">
            <v>2.5999999999999999E-3</v>
          </cell>
          <cell r="AN53">
            <v>0.17768063196</v>
          </cell>
          <cell r="AO53">
            <v>2.38</v>
          </cell>
          <cell r="AP53">
            <v>1.4705882352941178</v>
          </cell>
          <cell r="AQ53">
            <v>1.6850639490410957</v>
          </cell>
          <cell r="AR53">
            <v>0.12984353873999999</v>
          </cell>
          <cell r="AS53" t="str">
            <v>150/34</v>
          </cell>
          <cell r="AT53">
            <v>1</v>
          </cell>
          <cell r="AU53">
            <v>9.8938056900000007</v>
          </cell>
          <cell r="AV53">
            <v>59</v>
          </cell>
          <cell r="AW53">
            <v>1</v>
          </cell>
          <cell r="AX53">
            <v>59</v>
          </cell>
          <cell r="AY53">
            <v>0.98218435443183194</v>
          </cell>
          <cell r="AZ53">
            <v>52.870983799065513</v>
          </cell>
          <cell r="BA53">
            <v>52.870983799065513</v>
          </cell>
          <cell r="BB53">
            <v>2.81</v>
          </cell>
          <cell r="BC53">
            <v>0.89815</v>
          </cell>
          <cell r="BD53">
            <v>0</v>
          </cell>
          <cell r="BE53">
            <v>0</v>
          </cell>
          <cell r="BF53">
            <v>0</v>
          </cell>
          <cell r="BG53">
            <v>15.810200135899271</v>
          </cell>
          <cell r="BH53">
            <v>10.693931622588753</v>
          </cell>
          <cell r="BI53">
            <v>1.4627386241487255</v>
          </cell>
          <cell r="BJ53" t="b">
            <v>0</v>
          </cell>
          <cell r="BK53">
            <v>1.4627386241487255</v>
          </cell>
          <cell r="BL53">
            <v>0.84812405165249871</v>
          </cell>
          <cell r="BM53" t="b">
            <v>0</v>
          </cell>
          <cell r="BN53">
            <v>0.84812405165249871</v>
          </cell>
          <cell r="BO53">
            <v>1.810799923268452</v>
          </cell>
          <cell r="BP53">
            <v>0</v>
          </cell>
          <cell r="BQ53">
            <v>1.8149503515279977</v>
          </cell>
          <cell r="BR53">
            <v>0.95900433892481696</v>
          </cell>
          <cell r="BS53">
            <v>0</v>
          </cell>
          <cell r="BT53">
            <v>0.97618072664508937</v>
          </cell>
          <cell r="BU53">
            <v>1.514874388362861</v>
          </cell>
          <cell r="BV53">
            <v>0</v>
          </cell>
          <cell r="BW53">
            <v>1.5227602020559978</v>
          </cell>
          <cell r="BX53">
            <v>0.15</v>
          </cell>
          <cell r="BY53">
            <v>0.8</v>
          </cell>
          <cell r="CA53">
            <v>1.5670101525769975</v>
          </cell>
          <cell r="CB53">
            <v>0</v>
          </cell>
          <cell r="CC53">
            <v>2.2093048889272695</v>
          </cell>
          <cell r="CD53">
            <v>7.4976486569649179</v>
          </cell>
          <cell r="CE53">
            <v>1.7313801436544005</v>
          </cell>
          <cell r="CF53">
            <v>1.8232831344183154</v>
          </cell>
          <cell r="CG53">
            <v>0</v>
          </cell>
          <cell r="CH53">
            <v>1.895149396050906</v>
          </cell>
          <cell r="CI53">
            <v>5.6743655225466023</v>
          </cell>
          <cell r="CJ53">
            <v>-9.1902990763914838E-2</v>
          </cell>
          <cell r="CK53">
            <v>1.915582273636361</v>
          </cell>
          <cell r="CL53">
            <v>0</v>
          </cell>
          <cell r="CM53">
            <v>1.915582273636361</v>
          </cell>
          <cell r="CN53">
            <v>3.7587832489102411</v>
          </cell>
          <cell r="CO53">
            <v>-2.0074852644002759</v>
          </cell>
        </row>
        <row r="54">
          <cell r="D54" t="str">
            <v>150/100 TEX SIM _S1</v>
          </cell>
          <cell r="E54" t="str">
            <v>150</v>
          </cell>
          <cell r="F54" t="str">
            <v>100</v>
          </cell>
          <cell r="G54" t="str">
            <v>TEX</v>
          </cell>
          <cell r="H54" t="str">
            <v>SIM</v>
          </cell>
          <cell r="I54" t="str">
            <v xml:space="preserve"> </v>
          </cell>
          <cell r="J54" t="str">
            <v xml:space="preserve"> </v>
          </cell>
          <cell r="K54" t="str">
            <v>S1</v>
          </cell>
          <cell r="L54">
            <v>1</v>
          </cell>
          <cell r="M54">
            <v>3.4529134687146017E-2</v>
          </cell>
          <cell r="N54">
            <v>0.96547086531285387</v>
          </cell>
          <cell r="O54">
            <v>550</v>
          </cell>
          <cell r="P54">
            <v>252</v>
          </cell>
          <cell r="Q54">
            <v>1.643</v>
          </cell>
          <cell r="R54">
            <v>0.97389999999999999</v>
          </cell>
          <cell r="S54">
            <v>0.97</v>
          </cell>
          <cell r="T54">
            <v>2.4799999999999999E-2</v>
          </cell>
          <cell r="U54">
            <v>2.8224393443178415</v>
          </cell>
          <cell r="V54">
            <v>7.0000000000000001E-3</v>
          </cell>
          <cell r="W54">
            <v>2.8026822689076165</v>
          </cell>
          <cell r="X54">
            <v>86.883150336136111</v>
          </cell>
          <cell r="Y54">
            <v>3</v>
          </cell>
          <cell r="Z54">
            <v>83.883150336136111</v>
          </cell>
          <cell r="AA54">
            <v>71.526022304832708</v>
          </cell>
          <cell r="AB54">
            <v>0.116865</v>
          </cell>
          <cell r="AC54">
            <v>71.409157304832704</v>
          </cell>
          <cell r="AD54">
            <v>1</v>
          </cell>
          <cell r="AE54">
            <v>0</v>
          </cell>
          <cell r="AF54">
            <v>0.35704578652416352</v>
          </cell>
          <cell r="AG54">
            <v>1.65</v>
          </cell>
          <cell r="AH54">
            <v>60</v>
          </cell>
          <cell r="AI54">
            <v>43.71</v>
          </cell>
          <cell r="AJ54">
            <v>72.121499999999997</v>
          </cell>
          <cell r="AK54">
            <v>2.1636449999999998</v>
          </cell>
          <cell r="AM54">
            <v>0.03</v>
          </cell>
          <cell r="AN54">
            <v>2.1636449999999998</v>
          </cell>
          <cell r="AO54">
            <v>4.7699999999999996</v>
          </cell>
          <cell r="AP54">
            <v>1.4705882352941178</v>
          </cell>
          <cell r="AQ54">
            <v>1.1855589041095891</v>
          </cell>
          <cell r="AR54">
            <v>0.13703084999999998</v>
          </cell>
          <cell r="AS54" t="str">
            <v>265/100</v>
          </cell>
          <cell r="AT54">
            <v>1</v>
          </cell>
          <cell r="AU54">
            <v>10.102725</v>
          </cell>
          <cell r="AV54">
            <v>57</v>
          </cell>
          <cell r="AW54">
            <v>1</v>
          </cell>
          <cell r="AX54">
            <v>57</v>
          </cell>
          <cell r="AY54">
            <v>0.98267890848743711</v>
          </cell>
          <cell r="AZ54">
            <v>50.932247826903861</v>
          </cell>
          <cell r="BA54">
            <v>50.932247826903861</v>
          </cell>
          <cell r="BB54">
            <v>2.81</v>
          </cell>
          <cell r="BC54">
            <v>0.89815</v>
          </cell>
          <cell r="BD54">
            <v>0.87345922190076775</v>
          </cell>
          <cell r="BE54">
            <v>0</v>
          </cell>
          <cell r="BF54">
            <v>0.87345922190076775</v>
          </cell>
          <cell r="BG54">
            <v>16.983544961791662</v>
          </cell>
          <cell r="BH54">
            <v>14.538254469503908</v>
          </cell>
          <cell r="BI54">
            <v>1.4329590895165603</v>
          </cell>
          <cell r="BJ54" t="b">
            <v>0</v>
          </cell>
          <cell r="BK54">
            <v>1.4329590895165603</v>
          </cell>
          <cell r="BL54">
            <v>0.83085730340945108</v>
          </cell>
          <cell r="BM54" t="b">
            <v>0</v>
          </cell>
          <cell r="BN54">
            <v>0.83085730340945108</v>
          </cell>
          <cell r="BO54">
            <v>1.7739342945521268</v>
          </cell>
          <cell r="BP54">
            <v>0</v>
          </cell>
          <cell r="BQ54">
            <v>1.778000225267099</v>
          </cell>
          <cell r="BR54">
            <v>0.93948020627943152</v>
          </cell>
          <cell r="BS54">
            <v>0</v>
          </cell>
          <cell r="BT54">
            <v>0.95630690416139186</v>
          </cell>
          <cell r="BU54">
            <v>1.4840334345746298</v>
          </cell>
          <cell r="BV54">
            <v>0</v>
          </cell>
          <cell r="BW54">
            <v>1.4917587029330766</v>
          </cell>
          <cell r="BX54">
            <v>0.15</v>
          </cell>
          <cell r="BY54">
            <v>0.8</v>
          </cell>
          <cell r="CA54">
            <v>1.5351077796327002</v>
          </cell>
          <cell r="CB54">
            <v>0</v>
          </cell>
          <cell r="CC54">
            <v>2.16432619596966</v>
          </cell>
          <cell r="CD54">
            <v>8.8371728538267629</v>
          </cell>
          <cell r="CE54">
            <v>5.7418823615390089</v>
          </cell>
          <cell r="CF54">
            <v>1.7861633630871576</v>
          </cell>
          <cell r="CG54">
            <v>0</v>
          </cell>
          <cell r="CH54">
            <v>1.8565665172364016</v>
          </cell>
          <cell r="CI54">
            <v>7.051009490739605</v>
          </cell>
          <cell r="CJ54">
            <v>3.955718998451851</v>
          </cell>
          <cell r="CK54">
            <v>1.8765834069101099</v>
          </cell>
          <cell r="CL54">
            <v>0</v>
          </cell>
          <cell r="CM54">
            <v>1.8765834069101099</v>
          </cell>
          <cell r="CN54">
            <v>5.1744260838294949</v>
          </cell>
          <cell r="CO54">
            <v>2.0791355915417409</v>
          </cell>
        </row>
        <row r="56">
          <cell r="D56" t="str">
            <v>75/34 TEX SIM _B2</v>
          </cell>
          <cell r="E56" t="str">
            <v>75</v>
          </cell>
          <cell r="F56" t="str">
            <v>34</v>
          </cell>
          <cell r="G56" t="str">
            <v>TEX</v>
          </cell>
          <cell r="H56" t="str">
            <v>SIM</v>
          </cell>
          <cell r="I56" t="str">
            <v xml:space="preserve"> </v>
          </cell>
          <cell r="J56" t="str">
            <v xml:space="preserve"> </v>
          </cell>
          <cell r="K56" t="str">
            <v>B2</v>
          </cell>
          <cell r="L56">
            <v>1</v>
          </cell>
          <cell r="M56">
            <v>0.63531283022945939</v>
          </cell>
          <cell r="N56">
            <v>0.36468716977054066</v>
          </cell>
          <cell r="O56">
            <v>950</v>
          </cell>
          <cell r="P56">
            <v>131</v>
          </cell>
          <cell r="Q56">
            <v>1.7749999999999999</v>
          </cell>
          <cell r="R56">
            <v>0.97389999999999999</v>
          </cell>
          <cell r="S56">
            <v>0.97</v>
          </cell>
          <cell r="T56">
            <v>2.4799999999999999E-2</v>
          </cell>
          <cell r="U56">
            <v>2.6064715251137973</v>
          </cell>
          <cell r="V56">
            <v>6.4999999999999997E-3</v>
          </cell>
          <cell r="W56">
            <v>2.5895294602005579</v>
          </cell>
          <cell r="X56">
            <v>80.275413266217299</v>
          </cell>
          <cell r="Y56">
            <v>51</v>
          </cell>
          <cell r="Z56">
            <v>29.275413266217299</v>
          </cell>
          <cell r="AA56">
            <v>72.443011152416361</v>
          </cell>
          <cell r="AB56">
            <v>0.116865</v>
          </cell>
          <cell r="AC56">
            <v>72.326146152416356</v>
          </cell>
          <cell r="AD56">
            <v>1</v>
          </cell>
          <cell r="AE56">
            <v>0</v>
          </cell>
          <cell r="AF56">
            <v>0.3616307307620818</v>
          </cell>
          <cell r="AG56">
            <v>1.75</v>
          </cell>
          <cell r="AH56">
            <v>90</v>
          </cell>
          <cell r="AI56">
            <v>43.86</v>
          </cell>
          <cell r="AJ56">
            <v>76.754999999999995</v>
          </cell>
          <cell r="AK56">
            <v>39.145049999999998</v>
          </cell>
          <cell r="AN56">
            <v>0</v>
          </cell>
          <cell r="AO56">
            <v>4.7699999999999996</v>
          </cell>
          <cell r="AP56">
            <v>1.4705882352941178</v>
          </cell>
          <cell r="AQ56">
            <v>1.8925890410958901</v>
          </cell>
          <cell r="AR56">
            <v>0.14583449999999998</v>
          </cell>
          <cell r="AS56" t="str">
            <v>140/34</v>
          </cell>
          <cell r="AT56">
            <v>1</v>
          </cell>
          <cell r="AU56">
            <v>10.797749999999999</v>
          </cell>
          <cell r="AV56">
            <v>61</v>
          </cell>
          <cell r="AW56">
            <v>1</v>
          </cell>
          <cell r="AX56">
            <v>61</v>
          </cell>
          <cell r="AY56">
            <v>0.98218435443183194</v>
          </cell>
          <cell r="AZ56">
            <v>54.835352507929173</v>
          </cell>
          <cell r="BA56">
            <v>54.835352507929173</v>
          </cell>
          <cell r="BB56">
            <v>2.81</v>
          </cell>
          <cell r="BC56">
            <v>0.89815</v>
          </cell>
          <cell r="BD56">
            <v>0</v>
          </cell>
          <cell r="BE56">
            <v>1.0495118813104305</v>
          </cell>
          <cell r="BF56">
            <v>1.0495118813104305</v>
          </cell>
          <cell r="BG56">
            <v>19.680723834370379</v>
          </cell>
          <cell r="BH56">
            <v>11.371501032414667</v>
          </cell>
          <cell r="BI56" t="b">
            <v>0</v>
          </cell>
          <cell r="BJ56">
            <v>1.8721263232531966</v>
          </cell>
          <cell r="BK56">
            <v>1.8721263232531966</v>
          </cell>
          <cell r="BL56" t="b">
            <v>0</v>
          </cell>
          <cell r="BM56">
            <v>1.1033444110427588</v>
          </cell>
          <cell r="BN56">
            <v>1.1033444110427588</v>
          </cell>
          <cell r="BO56">
            <v>0</v>
          </cell>
          <cell r="BP56">
            <v>1.9344118948443207</v>
          </cell>
          <cell r="BQ56">
            <v>1.9243533553327103</v>
          </cell>
          <cell r="BR56">
            <v>0</v>
          </cell>
          <cell r="BS56">
            <v>1.076650594646563</v>
          </cell>
          <cell r="BT56">
            <v>1.0350237157446691</v>
          </cell>
          <cell r="BU56">
            <v>0</v>
          </cell>
          <cell r="BV56">
            <v>1.6336615634471814</v>
          </cell>
          <cell r="BW56">
            <v>1.6145503383751223</v>
          </cell>
          <cell r="BX56">
            <v>0.15</v>
          </cell>
          <cell r="BY56">
            <v>0.8</v>
          </cell>
          <cell r="CA56">
            <v>0</v>
          </cell>
          <cell r="CB56">
            <v>3.8990767816043288</v>
          </cell>
          <cell r="CC56">
            <v>2.3424791054922527</v>
          </cell>
          <cell r="CD56">
            <v>8.0114522655320304</v>
          </cell>
          <cell r="CE56">
            <v>-0.9477705364236817</v>
          </cell>
          <cell r="CF56">
            <v>0</v>
          </cell>
          <cell r="CG56">
            <v>2.1835541812088142</v>
          </cell>
          <cell r="CH56">
            <v>2.0093867008962438</v>
          </cell>
          <cell r="CI56">
            <v>5.8278980843232162</v>
          </cell>
          <cell r="CJ56">
            <v>-3.1313247176324959</v>
          </cell>
          <cell r="CK56">
            <v>0</v>
          </cell>
          <cell r="CL56">
            <v>2.0310512475366349</v>
          </cell>
          <cell r="CM56">
            <v>2.0310512475366349</v>
          </cell>
          <cell r="CN56">
            <v>3.7968468367865813</v>
          </cell>
          <cell r="CO56">
            <v>-5.1623759651691312</v>
          </cell>
        </row>
        <row r="57">
          <cell r="D57" t="str">
            <v>80/34 TEX NIM _B2</v>
          </cell>
          <cell r="E57" t="str">
            <v>80</v>
          </cell>
          <cell r="F57" t="str">
            <v>34</v>
          </cell>
          <cell r="G57" t="str">
            <v>TEX</v>
          </cell>
          <cell r="H57" t="str">
            <v>NIM</v>
          </cell>
          <cell r="I57" t="str">
            <v xml:space="preserve"> </v>
          </cell>
          <cell r="J57" t="str">
            <v xml:space="preserve"> </v>
          </cell>
          <cell r="K57" t="str">
            <v>B2</v>
          </cell>
          <cell r="L57">
            <v>1</v>
          </cell>
          <cell r="M57">
            <v>0</v>
          </cell>
          <cell r="N57">
            <v>0.99999999999999989</v>
          </cell>
          <cell r="O57">
            <v>1000</v>
          </cell>
          <cell r="P57">
            <v>134</v>
          </cell>
          <cell r="Q57">
            <v>1.82</v>
          </cell>
          <cell r="R57">
            <v>0.97389999999999999</v>
          </cell>
          <cell r="S57">
            <v>0.97</v>
          </cell>
          <cell r="T57">
            <v>2.4799999999999999E-2</v>
          </cell>
          <cell r="U57">
            <v>2.7370948756873843</v>
          </cell>
          <cell r="V57">
            <v>6.4999999999999997E-3</v>
          </cell>
          <cell r="W57">
            <v>2.7193037589954163</v>
          </cell>
          <cell r="X57">
            <v>84.298416528857899</v>
          </cell>
          <cell r="Z57">
            <v>84.298416528857899</v>
          </cell>
          <cell r="AA57">
            <v>71.703011152416352</v>
          </cell>
          <cell r="AB57">
            <v>0.116865</v>
          </cell>
          <cell r="AC57">
            <v>71.586146152416347</v>
          </cell>
          <cell r="AD57">
            <v>1</v>
          </cell>
          <cell r="AE57">
            <v>0</v>
          </cell>
          <cell r="AF57">
            <v>0.35793073076208176</v>
          </cell>
          <cell r="AI57">
            <v>0</v>
          </cell>
          <cell r="AJ57">
            <v>0</v>
          </cell>
          <cell r="AK57">
            <v>0</v>
          </cell>
          <cell r="AN57">
            <v>0</v>
          </cell>
          <cell r="AP57">
            <v>0</v>
          </cell>
          <cell r="AQ57">
            <v>0</v>
          </cell>
          <cell r="AR57">
            <v>0</v>
          </cell>
          <cell r="AS57" t="str">
            <v>140/34</v>
          </cell>
          <cell r="AT57">
            <v>1</v>
          </cell>
          <cell r="AU57">
            <v>0</v>
          </cell>
          <cell r="AV57">
            <v>61</v>
          </cell>
          <cell r="AW57">
            <v>1</v>
          </cell>
          <cell r="AX57">
            <v>61</v>
          </cell>
          <cell r="AY57">
            <v>0.98218435443183194</v>
          </cell>
          <cell r="AZ57">
            <v>54.835352507929173</v>
          </cell>
          <cell r="BA57">
            <v>54.835352507929173</v>
          </cell>
          <cell r="BB57">
            <v>2.81</v>
          </cell>
          <cell r="BC57">
            <v>0.89815</v>
          </cell>
          <cell r="BD57">
            <v>0</v>
          </cell>
          <cell r="BE57">
            <v>0</v>
          </cell>
          <cell r="BF57">
            <v>0</v>
          </cell>
          <cell r="BG57">
            <v>0</v>
          </cell>
          <cell r="BH57">
            <v>11.684712913725097</v>
          </cell>
          <cell r="BI57" t="b">
            <v>0</v>
          </cell>
          <cell r="BJ57">
            <v>1.7827821740194481</v>
          </cell>
          <cell r="BK57">
            <v>1.7827821740194481</v>
          </cell>
          <cell r="BL57" t="b">
            <v>0</v>
          </cell>
          <cell r="BM57">
            <v>1.0506891139658348</v>
          </cell>
          <cell r="BN57">
            <v>1.0506891139658348</v>
          </cell>
          <cell r="BO57">
            <v>0</v>
          </cell>
          <cell r="BP57">
            <v>1.8420952691626813</v>
          </cell>
          <cell r="BQ57">
            <v>1.8325167569035254</v>
          </cell>
          <cell r="BR57">
            <v>0</v>
          </cell>
          <cell r="BS57">
            <v>1.0252692160473065</v>
          </cell>
          <cell r="BT57">
            <v>0.98562891146710851</v>
          </cell>
          <cell r="BU57">
            <v>0</v>
          </cell>
          <cell r="BV57">
            <v>1.5556977526139293</v>
          </cell>
          <cell r="BW57">
            <v>1.5374985793215334</v>
          </cell>
          <cell r="BX57">
            <v>0.15</v>
          </cell>
          <cell r="BY57">
            <v>0.8</v>
          </cell>
          <cell r="CA57">
            <v>0</v>
          </cell>
          <cell r="CB57">
            <v>3.7129997559663601</v>
          </cell>
          <cell r="CC57">
            <v>2.2306881434302697</v>
          </cell>
          <cell r="CD57">
            <v>0</v>
          </cell>
          <cell r="CE57">
            <v>-8.4820368050463113E-2</v>
          </cell>
          <cell r="CF57">
            <v>0</v>
          </cell>
          <cell r="CG57">
            <v>2.0793476497356114</v>
          </cell>
          <cell r="CH57">
            <v>1.9134920259251555</v>
          </cell>
          <cell r="CI57">
            <v>0</v>
          </cell>
          <cell r="CJ57">
            <v>-2.1641680177860745</v>
          </cell>
          <cell r="CK57">
            <v>0</v>
          </cell>
          <cell r="CL57">
            <v>1.9341226677141063</v>
          </cell>
          <cell r="CM57">
            <v>1.9341226677141063</v>
          </cell>
          <cell r="CN57">
            <v>0</v>
          </cell>
          <cell r="CO57">
            <v>-4.0982906855001806</v>
          </cell>
        </row>
        <row r="58">
          <cell r="D58" t="str">
            <v>80/34 ROTO IM _B2</v>
          </cell>
          <cell r="E58" t="str">
            <v>80</v>
          </cell>
          <cell r="F58" t="str">
            <v>34</v>
          </cell>
          <cell r="G58" t="str">
            <v>ROTO</v>
          </cell>
          <cell r="H58" t="str">
            <v>IM</v>
          </cell>
          <cell r="I58" t="str">
            <v xml:space="preserve"> </v>
          </cell>
          <cell r="J58" t="str">
            <v xml:space="preserve"> </v>
          </cell>
          <cell r="K58" t="str">
            <v>B2</v>
          </cell>
          <cell r="L58">
            <v>1</v>
          </cell>
          <cell r="M58">
            <v>0</v>
          </cell>
          <cell r="N58">
            <v>1</v>
          </cell>
          <cell r="O58">
            <v>900</v>
          </cell>
          <cell r="P58">
            <v>134</v>
          </cell>
          <cell r="Q58">
            <v>1.8</v>
          </cell>
          <cell r="R58">
            <v>0.97389999999999999</v>
          </cell>
          <cell r="S58">
            <v>0.97</v>
          </cell>
          <cell r="T58">
            <v>2.4799999999999999E-2</v>
          </cell>
          <cell r="U58">
            <v>2.4907563368755201</v>
          </cell>
          <cell r="V58">
            <v>6.4999999999999997E-3</v>
          </cell>
          <cell r="W58">
            <v>2.4745664206858295</v>
          </cell>
          <cell r="X58">
            <v>76.711559041260713</v>
          </cell>
          <cell r="Z58">
            <v>76.711559041260713</v>
          </cell>
          <cell r="AA58">
            <v>74.669516728624544</v>
          </cell>
          <cell r="AB58">
            <v>0.31474000000000008</v>
          </cell>
          <cell r="AC58">
            <v>74.354776728624543</v>
          </cell>
          <cell r="AD58">
            <v>1</v>
          </cell>
          <cell r="AE58">
            <v>0</v>
          </cell>
          <cell r="AF58">
            <v>0.37177388364312275</v>
          </cell>
          <cell r="AG58">
            <v>0</v>
          </cell>
          <cell r="AH58">
            <v>0</v>
          </cell>
          <cell r="AI58">
            <v>0</v>
          </cell>
          <cell r="AJ58">
            <v>0</v>
          </cell>
          <cell r="AK58">
            <v>0</v>
          </cell>
          <cell r="AN58">
            <v>0</v>
          </cell>
          <cell r="AP58">
            <v>0</v>
          </cell>
          <cell r="AQ58">
            <v>0</v>
          </cell>
          <cell r="AR58">
            <v>0</v>
          </cell>
          <cell r="AS58" t="str">
            <v>140/34</v>
          </cell>
          <cell r="AT58">
            <v>1</v>
          </cell>
          <cell r="AU58">
            <v>0</v>
          </cell>
          <cell r="AV58">
            <v>61</v>
          </cell>
          <cell r="AW58">
            <v>1</v>
          </cell>
          <cell r="AX58">
            <v>61</v>
          </cell>
          <cell r="AY58">
            <v>0.98218435443183194</v>
          </cell>
          <cell r="AZ58">
            <v>54.835352507929173</v>
          </cell>
          <cell r="BA58">
            <v>54.835352507929173</v>
          </cell>
          <cell r="BB58">
            <v>2.81</v>
          </cell>
          <cell r="BC58">
            <v>0.89815</v>
          </cell>
          <cell r="BD58">
            <v>0</v>
          </cell>
          <cell r="BE58">
            <v>3.2948098455938539</v>
          </cell>
          <cell r="BF58">
            <v>3.2948098455938539</v>
          </cell>
          <cell r="BG58">
            <v>0</v>
          </cell>
          <cell r="BH58">
            <v>11.144690491458388</v>
          </cell>
          <cell r="BI58" t="b">
            <v>0</v>
          </cell>
          <cell r="BJ58">
            <v>1.959101290131261</v>
          </cell>
          <cell r="BK58">
            <v>1.959101290131261</v>
          </cell>
          <cell r="BL58" t="b">
            <v>0</v>
          </cell>
          <cell r="BM58">
            <v>1.1546034219404773</v>
          </cell>
          <cell r="BN58">
            <v>1.1546034219404773</v>
          </cell>
          <cell r="BO58">
            <v>0</v>
          </cell>
          <cell r="BP58">
            <v>2.0242805155633854</v>
          </cell>
          <cell r="BQ58">
            <v>2.0137546779159612</v>
          </cell>
          <cell r="BR58">
            <v>0</v>
          </cell>
          <cell r="BS58">
            <v>1.1266694681838527</v>
          </cell>
          <cell r="BT58">
            <v>1.0831086939198993</v>
          </cell>
          <cell r="BU58">
            <v>0</v>
          </cell>
          <cell r="BV58">
            <v>1.7095579699054162</v>
          </cell>
          <cell r="BW58">
            <v>1.6895588783753113</v>
          </cell>
          <cell r="BX58">
            <v>0.15</v>
          </cell>
          <cell r="BY58">
            <v>0.8</v>
          </cell>
          <cell r="CA58">
            <v>0</v>
          </cell>
          <cell r="CB58">
            <v>4.0802195120509444</v>
          </cell>
          <cell r="CC58">
            <v>2.4513056521211749</v>
          </cell>
          <cell r="CD58">
            <v>0</v>
          </cell>
          <cell r="CE58">
            <v>-1.7097416863169492</v>
          </cell>
          <cell r="CF58">
            <v>0</v>
          </cell>
          <cell r="CG58">
            <v>2.2849974172918794</v>
          </cell>
          <cell r="CH58">
            <v>2.1027384900276429</v>
          </cell>
          <cell r="CI58">
            <v>0</v>
          </cell>
          <cell r="CJ58">
            <v>-3.9947391036088287</v>
          </cell>
          <cell r="CK58">
            <v>0</v>
          </cell>
          <cell r="CL58">
            <v>2.1254095249605558</v>
          </cell>
          <cell r="CM58">
            <v>2.1254095249605558</v>
          </cell>
          <cell r="CN58">
            <v>0</v>
          </cell>
          <cell r="CO58">
            <v>-6.1201486285693845</v>
          </cell>
        </row>
        <row r="59">
          <cell r="D59" t="str">
            <v>100/34 ROTO IM _B2</v>
          </cell>
          <cell r="E59" t="str">
            <v>100</v>
          </cell>
          <cell r="F59" t="str">
            <v>34</v>
          </cell>
          <cell r="G59" t="str">
            <v>ROTO</v>
          </cell>
          <cell r="H59" t="str">
            <v>IM</v>
          </cell>
          <cell r="I59" t="str">
            <v xml:space="preserve"> </v>
          </cell>
          <cell r="J59" t="str">
            <v xml:space="preserve"> </v>
          </cell>
          <cell r="K59" t="str">
            <v>B2</v>
          </cell>
          <cell r="L59">
            <v>0.5</v>
          </cell>
          <cell r="M59">
            <v>0</v>
          </cell>
          <cell r="N59">
            <v>0.5</v>
          </cell>
          <cell r="O59">
            <v>950</v>
          </cell>
          <cell r="P59">
            <v>172</v>
          </cell>
          <cell r="Q59">
            <v>1.77</v>
          </cell>
          <cell r="R59">
            <v>0.97389999999999999</v>
          </cell>
          <cell r="S59">
            <v>0.97</v>
          </cell>
          <cell r="T59">
            <v>2.4799999999999999E-2</v>
          </cell>
          <cell r="U59">
            <v>3.431904759637912</v>
          </cell>
          <cell r="V59">
            <v>6.4999999999999997E-3</v>
          </cell>
          <cell r="W59">
            <v>3.4095973787002656</v>
          </cell>
          <cell r="X59">
            <v>52.848759369854115</v>
          </cell>
          <cell r="Z59">
            <v>52.848759369854115</v>
          </cell>
          <cell r="AA59">
            <v>71.699516728624545</v>
          </cell>
          <cell r="AB59">
            <v>0.31474000000000008</v>
          </cell>
          <cell r="AC59">
            <v>71.384776728624544</v>
          </cell>
          <cell r="AD59">
            <v>1</v>
          </cell>
          <cell r="AE59">
            <v>0</v>
          </cell>
          <cell r="AF59">
            <v>0.35692388364312272</v>
          </cell>
          <cell r="AG59">
            <v>0</v>
          </cell>
          <cell r="AH59">
            <v>0</v>
          </cell>
          <cell r="AI59">
            <v>0</v>
          </cell>
          <cell r="AJ59">
            <v>0</v>
          </cell>
          <cell r="AK59">
            <v>0</v>
          </cell>
          <cell r="AN59">
            <v>0</v>
          </cell>
          <cell r="AP59">
            <v>0</v>
          </cell>
          <cell r="AQ59">
            <v>0</v>
          </cell>
          <cell r="AR59">
            <v>0</v>
          </cell>
          <cell r="AS59" t="str">
            <v>150/34</v>
          </cell>
          <cell r="AT59">
            <v>1</v>
          </cell>
          <cell r="AU59">
            <v>0</v>
          </cell>
          <cell r="AV59">
            <v>59</v>
          </cell>
          <cell r="AW59">
            <v>1</v>
          </cell>
          <cell r="AX59">
            <v>59</v>
          </cell>
          <cell r="AY59">
            <v>0.98218435443183194</v>
          </cell>
          <cell r="AZ59">
            <v>52.870983799065513</v>
          </cell>
          <cell r="BA59">
            <v>52.870983799065513</v>
          </cell>
          <cell r="BB59">
            <v>2.81</v>
          </cell>
          <cell r="BC59">
            <v>0.89815</v>
          </cell>
          <cell r="BD59">
            <v>0</v>
          </cell>
          <cell r="BE59">
            <v>2.3912576474233487</v>
          </cell>
          <cell r="BF59">
            <v>2.3912576474233487</v>
          </cell>
          <cell r="BG59">
            <v>0</v>
          </cell>
          <cell r="BH59">
            <v>11.057461398492563</v>
          </cell>
          <cell r="BI59" t="b">
            <v>0</v>
          </cell>
          <cell r="BJ59">
            <v>1.4218471358425109</v>
          </cell>
          <cell r="BK59">
            <v>1.4218471358425109</v>
          </cell>
          <cell r="BL59" t="b">
            <v>0</v>
          </cell>
          <cell r="BM59">
            <v>0.83797074545851435</v>
          </cell>
          <cell r="BN59">
            <v>0.83797074545851435</v>
          </cell>
          <cell r="BO59">
            <v>0</v>
          </cell>
          <cell r="BP59">
            <v>1.469151935989363</v>
          </cell>
          <cell r="BQ59">
            <v>1.4615126514935979</v>
          </cell>
          <cell r="BR59">
            <v>0</v>
          </cell>
          <cell r="BS59">
            <v>0.81769725968129203</v>
          </cell>
          <cell r="BT59">
            <v>0.78608237461420361</v>
          </cell>
          <cell r="BU59">
            <v>0</v>
          </cell>
          <cell r="BV59">
            <v>1.2407373295659936</v>
          </cell>
          <cell r="BW59">
            <v>1.2262226890240402</v>
          </cell>
          <cell r="BX59">
            <v>0.15</v>
          </cell>
          <cell r="BY59">
            <v>0.8</v>
          </cell>
          <cell r="CA59">
            <v>0</v>
          </cell>
          <cell r="CB59">
            <v>2.9612804891929101</v>
          </cell>
          <cell r="CC59">
            <v>1.7790718316098539</v>
          </cell>
          <cell r="CD59">
            <v>0</v>
          </cell>
          <cell r="CE59">
            <v>1.5087765027619802</v>
          </cell>
          <cell r="CF59">
            <v>0</v>
          </cell>
          <cell r="CG59">
            <v>1.658371136576769</v>
          </cell>
          <cell r="CH59">
            <v>1.5260939873462558</v>
          </cell>
          <cell r="CI59">
            <v>0</v>
          </cell>
          <cell r="CJ59">
            <v>-0.14959463381478888</v>
          </cell>
          <cell r="CK59">
            <v>0</v>
          </cell>
          <cell r="CL59">
            <v>1.5425478308755958</v>
          </cell>
          <cell r="CM59">
            <v>1.5425478308755958</v>
          </cell>
          <cell r="CN59">
            <v>0</v>
          </cell>
          <cell r="CO59">
            <v>-1.6921424646903847</v>
          </cell>
        </row>
        <row r="60">
          <cell r="D60" t="str">
            <v>150/48 ROTO IM _B2</v>
          </cell>
          <cell r="E60" t="str">
            <v>150</v>
          </cell>
          <cell r="F60" t="str">
            <v>48</v>
          </cell>
          <cell r="G60" t="str">
            <v>ROTO</v>
          </cell>
          <cell r="H60" t="str">
            <v>IM</v>
          </cell>
          <cell r="I60" t="str">
            <v xml:space="preserve"> </v>
          </cell>
          <cell r="J60" t="str">
            <v xml:space="preserve"> </v>
          </cell>
          <cell r="K60" t="str">
            <v>B2</v>
          </cell>
          <cell r="L60">
            <v>1</v>
          </cell>
          <cell r="M60">
            <v>0.37395819290026128</v>
          </cell>
          <cell r="N60">
            <v>0.62604180709973867</v>
          </cell>
          <cell r="O60">
            <v>825</v>
          </cell>
          <cell r="P60">
            <v>256</v>
          </cell>
          <cell r="Q60">
            <v>1.7549999999999999</v>
          </cell>
          <cell r="R60">
            <v>0.97389999999999999</v>
          </cell>
          <cell r="S60">
            <v>0.97</v>
          </cell>
          <cell r="T60">
            <v>2.4799999999999999E-2</v>
          </cell>
          <cell r="U60">
            <v>4.4737656873590161</v>
          </cell>
          <cell r="V60">
            <v>7.0000000000000001E-3</v>
          </cell>
          <cell r="W60">
            <v>4.4424493275475028</v>
          </cell>
          <cell r="X60">
            <v>137.71592915397258</v>
          </cell>
          <cell r="Y60">
            <v>51.5</v>
          </cell>
          <cell r="Z60">
            <v>86.215929153972581</v>
          </cell>
          <cell r="AA60">
            <v>63.543011152416355</v>
          </cell>
          <cell r="AB60">
            <v>0.31474000000000008</v>
          </cell>
          <cell r="AC60">
            <v>63.228271152416355</v>
          </cell>
          <cell r="AD60">
            <v>1</v>
          </cell>
          <cell r="AE60">
            <v>0</v>
          </cell>
          <cell r="AF60">
            <v>0.3161413557620818</v>
          </cell>
          <cell r="AG60">
            <v>1.4956799999999999</v>
          </cell>
          <cell r="AH60">
            <v>90</v>
          </cell>
          <cell r="AI60">
            <v>43.86</v>
          </cell>
          <cell r="AJ60">
            <v>65.600524799999988</v>
          </cell>
          <cell r="AK60">
            <v>33.784270271999993</v>
          </cell>
          <cell r="AM60">
            <v>1.37E-2</v>
          </cell>
          <cell r="AN60">
            <v>0.89872718975999988</v>
          </cell>
          <cell r="AO60">
            <v>5.0599999999999996</v>
          </cell>
          <cell r="AP60">
            <v>1.4705882352941178</v>
          </cell>
          <cell r="AQ60">
            <v>1.6175471868493148</v>
          </cell>
          <cell r="AR60">
            <v>0.12464099711999997</v>
          </cell>
          <cell r="AS60" t="str">
            <v>265/48</v>
          </cell>
          <cell r="AT60">
            <v>1</v>
          </cell>
          <cell r="AU60">
            <v>9.0810787199999972</v>
          </cell>
          <cell r="AV60">
            <v>54.5</v>
          </cell>
          <cell r="AW60">
            <v>1</v>
          </cell>
          <cell r="AX60">
            <v>54.5</v>
          </cell>
          <cell r="AY60">
            <v>0.98267890848743711</v>
          </cell>
          <cell r="AZ60">
            <v>48.475550555685274</v>
          </cell>
          <cell r="BA60">
            <v>48.475550555685274</v>
          </cell>
          <cell r="BB60">
            <v>2.81</v>
          </cell>
          <cell r="BC60">
            <v>0.89815</v>
          </cell>
          <cell r="BD60">
            <v>0</v>
          </cell>
          <cell r="BE60">
            <v>1.8352996748648747</v>
          </cell>
          <cell r="BF60">
            <v>1.8352996748648747</v>
          </cell>
          <cell r="BG60">
            <v>11.491099680426402</v>
          </cell>
          <cell r="BH60">
            <v>7.8931295661041219</v>
          </cell>
          <cell r="BI60" t="b">
            <v>0</v>
          </cell>
          <cell r="BJ60">
            <v>1.0912732841361301</v>
          </cell>
          <cell r="BK60">
            <v>1.0912732841361301</v>
          </cell>
          <cell r="BL60" t="b">
            <v>0</v>
          </cell>
          <cell r="BM60">
            <v>0.64314585186730122</v>
          </cell>
          <cell r="BN60">
            <v>0.64314585186730122</v>
          </cell>
          <cell r="BO60">
            <v>0</v>
          </cell>
          <cell r="BP60">
            <v>1.1275799048060586</v>
          </cell>
          <cell r="BQ60">
            <v>1.1217167238283061</v>
          </cell>
          <cell r="BR60">
            <v>0</v>
          </cell>
          <cell r="BS60">
            <v>0.62758587158018897</v>
          </cell>
          <cell r="BT60">
            <v>0.60332132261072124</v>
          </cell>
          <cell r="BU60">
            <v>0</v>
          </cell>
          <cell r="BV60">
            <v>0.95227079357126188</v>
          </cell>
          <cell r="BW60">
            <v>0.94113074971353228</v>
          </cell>
          <cell r="BX60">
            <v>0.15</v>
          </cell>
          <cell r="BY60">
            <v>0.8</v>
          </cell>
          <cell r="CA60">
            <v>0</v>
          </cell>
          <cell r="CB60">
            <v>2.2727944539375105</v>
          </cell>
          <cell r="CC60">
            <v>1.3654446469342594</v>
          </cell>
          <cell r="CD60">
            <v>4.6264495205279506</v>
          </cell>
          <cell r="CE60">
            <v>0.37847940620567</v>
          </cell>
          <cell r="CF60">
            <v>0</v>
          </cell>
          <cell r="CG60">
            <v>1.2728063874857714</v>
          </cell>
          <cell r="CH60">
            <v>1.1712831537863817</v>
          </cell>
          <cell r="CI60">
            <v>3.353643133042179</v>
          </cell>
          <cell r="CJ60">
            <v>-0.89432698128010135</v>
          </cell>
          <cell r="CK60">
            <v>0</v>
          </cell>
          <cell r="CL60">
            <v>1.1839115435846179</v>
          </cell>
          <cell r="CM60">
            <v>1.1839115435846179</v>
          </cell>
          <cell r="CN60">
            <v>2.1697315894575611</v>
          </cell>
          <cell r="CO60">
            <v>-2.0782385248647195</v>
          </cell>
        </row>
        <row r="61">
          <cell r="D61" t="str">
            <v>150/34 TEX NIM S _B2</v>
          </cell>
          <cell r="E61" t="str">
            <v>150</v>
          </cell>
          <cell r="F61" t="str">
            <v>34</v>
          </cell>
          <cell r="G61" t="str">
            <v>TEX</v>
          </cell>
          <cell r="H61" t="str">
            <v>NIM</v>
          </cell>
          <cell r="I61" t="str">
            <v>S</v>
          </cell>
          <cell r="J61" t="str">
            <v xml:space="preserve"> </v>
          </cell>
          <cell r="K61" t="str">
            <v>B2</v>
          </cell>
          <cell r="L61">
            <v>1.5</v>
          </cell>
          <cell r="M61">
            <v>0.2345734482945222</v>
          </cell>
          <cell r="N61">
            <v>1.2654265517054779</v>
          </cell>
          <cell r="O61">
            <v>875</v>
          </cell>
          <cell r="P61">
            <v>251</v>
          </cell>
          <cell r="Q61">
            <v>1.734</v>
          </cell>
          <cell r="R61">
            <v>0.97389999999999999</v>
          </cell>
          <cell r="S61">
            <v>0.97</v>
          </cell>
          <cell r="T61">
            <v>2.4799999999999999E-2</v>
          </cell>
          <cell r="U61">
            <v>4.7085709900866428</v>
          </cell>
          <cell r="V61">
            <v>7.0000000000000001E-3</v>
          </cell>
          <cell r="W61">
            <v>4.6756109931560363</v>
          </cell>
          <cell r="X61">
            <v>217.41591118175569</v>
          </cell>
          <cell r="Y61">
            <v>34</v>
          </cell>
          <cell r="Z61">
            <v>183.41591118175569</v>
          </cell>
          <cell r="AA61">
            <v>61.326505576208177</v>
          </cell>
          <cell r="AB61">
            <v>0.116865</v>
          </cell>
          <cell r="AC61">
            <v>61.20964057620818</v>
          </cell>
          <cell r="AD61">
            <v>1</v>
          </cell>
          <cell r="AE61">
            <v>0</v>
          </cell>
          <cell r="AF61">
            <v>0.3060482028810409</v>
          </cell>
          <cell r="AG61">
            <v>1.44</v>
          </cell>
          <cell r="AH61">
            <v>90</v>
          </cell>
          <cell r="AI61">
            <v>43.86</v>
          </cell>
          <cell r="AJ61">
            <v>63.1584</v>
          </cell>
          <cell r="AK61">
            <v>21.473856000000001</v>
          </cell>
          <cell r="AM61">
            <v>0.02</v>
          </cell>
          <cell r="AN61">
            <v>1.2631680000000001</v>
          </cell>
          <cell r="AO61">
            <v>5.21</v>
          </cell>
          <cell r="AP61">
            <v>1.4705882352941178</v>
          </cell>
          <cell r="AQ61">
            <v>1.5573304109589043</v>
          </cell>
          <cell r="AR61">
            <v>0.12000096</v>
          </cell>
          <cell r="AS61" t="str">
            <v>265/34</v>
          </cell>
          <cell r="AT61">
            <v>2</v>
          </cell>
          <cell r="AU61">
            <v>0</v>
          </cell>
          <cell r="AV61">
            <v>40</v>
          </cell>
          <cell r="AW61">
            <v>1</v>
          </cell>
          <cell r="AX61">
            <v>54</v>
          </cell>
          <cell r="AY61">
            <v>0.98267890848743711</v>
          </cell>
          <cell r="AZ61">
            <v>37.174743108079745</v>
          </cell>
          <cell r="BA61">
            <v>47.984211101441552</v>
          </cell>
          <cell r="BB61">
            <v>2.81</v>
          </cell>
          <cell r="BC61">
            <v>0.89815</v>
          </cell>
          <cell r="BD61">
            <v>0</v>
          </cell>
          <cell r="BE61">
            <v>0</v>
          </cell>
          <cell r="BF61">
            <v>0</v>
          </cell>
          <cell r="BG61">
            <v>12.654419285667235</v>
          </cell>
          <cell r="BH61">
            <v>8.211231271885584</v>
          </cell>
          <cell r="BI61" t="b">
            <v>0</v>
          </cell>
          <cell r="BJ61">
            <v>1.0368540655707452</v>
          </cell>
          <cell r="BK61">
            <v>1.0368540655707452</v>
          </cell>
          <cell r="BL61" t="b">
            <v>0</v>
          </cell>
          <cell r="BM61">
            <v>0.61107368883446977</v>
          </cell>
          <cell r="BN61">
            <v>0.61107368883446977</v>
          </cell>
          <cell r="BO61">
            <v>0</v>
          </cell>
          <cell r="BP61">
            <v>1.0713501609081753</v>
          </cell>
          <cell r="BQ61">
            <v>1.0657793629033727</v>
          </cell>
          <cell r="BR61">
            <v>0</v>
          </cell>
          <cell r="BS61">
            <v>0.59628964797557116</v>
          </cell>
          <cell r="BT61">
            <v>0.57323511469415844</v>
          </cell>
          <cell r="BU61">
            <v>0</v>
          </cell>
          <cell r="BV61">
            <v>0.90478330056458567</v>
          </cell>
          <cell r="BW61">
            <v>0.8941987843554613</v>
          </cell>
          <cell r="BX61">
            <v>0.15</v>
          </cell>
          <cell r="BY61">
            <v>0.8</v>
          </cell>
          <cell r="CA61">
            <v>0</v>
          </cell>
          <cell r="CB61">
            <v>2.1594555681231014</v>
          </cell>
          <cell r="CC61">
            <v>1.2973531507337708</v>
          </cell>
          <cell r="CD61">
            <v>6.1246128536905875</v>
          </cell>
          <cell r="CE61">
            <v>1.0314248399089352</v>
          </cell>
          <cell r="CF61">
            <v>0</v>
          </cell>
          <cell r="CG61">
            <v>1.2093345422578938</v>
          </cell>
          <cell r="CH61">
            <v>1.1128740321901243</v>
          </cell>
          <cell r="CI61">
            <v>4.9152783114326937</v>
          </cell>
          <cell r="CJ61">
            <v>-0.17790970234895864</v>
          </cell>
          <cell r="CK61">
            <v>0</v>
          </cell>
          <cell r="CL61">
            <v>1.1248726740466217</v>
          </cell>
          <cell r="CM61">
            <v>1.1248726740466217</v>
          </cell>
          <cell r="CN61">
            <v>3.7904056373860717</v>
          </cell>
          <cell r="CO61">
            <v>-1.3027823763955804</v>
          </cell>
        </row>
        <row r="62">
          <cell r="D62" t="str">
            <v>150/34 TEX NIM Z _B2</v>
          </cell>
          <cell r="E62" t="str">
            <v>150</v>
          </cell>
          <cell r="F62" t="str">
            <v>34</v>
          </cell>
          <cell r="G62" t="str">
            <v>TEX</v>
          </cell>
          <cell r="H62" t="str">
            <v>NIM</v>
          </cell>
          <cell r="I62" t="str">
            <v>Z</v>
          </cell>
          <cell r="J62" t="str">
            <v xml:space="preserve"> </v>
          </cell>
          <cell r="K62" t="str">
            <v>B2</v>
          </cell>
          <cell r="L62">
            <v>1</v>
          </cell>
          <cell r="M62">
            <v>0.2345734482945222</v>
          </cell>
          <cell r="N62">
            <v>0.7654265517054778</v>
          </cell>
          <cell r="O62">
            <v>875</v>
          </cell>
          <cell r="P62">
            <v>251</v>
          </cell>
          <cell r="Q62">
            <v>1.734</v>
          </cell>
          <cell r="R62">
            <v>0.97389999999999999</v>
          </cell>
          <cell r="S62">
            <v>0.97</v>
          </cell>
          <cell r="T62">
            <v>2.4799999999999999E-2</v>
          </cell>
          <cell r="U62">
            <v>4.7085709900866428</v>
          </cell>
          <cell r="V62">
            <v>7.0000000000000001E-3</v>
          </cell>
          <cell r="W62">
            <v>4.6756109931560363</v>
          </cell>
          <cell r="X62">
            <v>144.94394078783714</v>
          </cell>
          <cell r="Y62">
            <v>34</v>
          </cell>
          <cell r="Z62">
            <v>110.94394078783714</v>
          </cell>
          <cell r="AA62">
            <v>61.326505576208177</v>
          </cell>
          <cell r="AB62">
            <v>0.116865</v>
          </cell>
          <cell r="AC62">
            <v>61.20964057620818</v>
          </cell>
          <cell r="AD62">
            <v>1</v>
          </cell>
          <cell r="AE62">
            <v>0</v>
          </cell>
          <cell r="AF62">
            <v>0.3060482028810409</v>
          </cell>
          <cell r="AG62">
            <v>1.35</v>
          </cell>
          <cell r="AH62">
            <v>90</v>
          </cell>
          <cell r="AI62">
            <v>43.86</v>
          </cell>
          <cell r="AJ62">
            <v>59.211000000000006</v>
          </cell>
          <cell r="AK62">
            <v>20.131740000000001</v>
          </cell>
          <cell r="AN62">
            <v>0</v>
          </cell>
          <cell r="AO62">
            <v>5.64</v>
          </cell>
          <cell r="AP62">
            <v>1.4705882352941178</v>
          </cell>
          <cell r="AQ62">
            <v>1.459997260273973</v>
          </cell>
          <cell r="AR62">
            <v>0.11250090000000001</v>
          </cell>
          <cell r="AS62" t="str">
            <v>265/34</v>
          </cell>
          <cell r="AT62">
            <v>2</v>
          </cell>
          <cell r="AU62">
            <v>0</v>
          </cell>
          <cell r="AV62">
            <v>40</v>
          </cell>
          <cell r="AW62">
            <v>1</v>
          </cell>
          <cell r="AX62">
            <v>54</v>
          </cell>
          <cell r="AY62">
            <v>0.98267890848743711</v>
          </cell>
          <cell r="AZ62">
            <v>37.174743108079745</v>
          </cell>
          <cell r="BA62">
            <v>47.984211101441552</v>
          </cell>
          <cell r="BB62">
            <v>2.81</v>
          </cell>
          <cell r="BC62">
            <v>0.89815</v>
          </cell>
          <cell r="BD62">
            <v>0</v>
          </cell>
          <cell r="BE62">
            <v>0</v>
          </cell>
          <cell r="BF62">
            <v>0</v>
          </cell>
          <cell r="BG62">
            <v>9.6450204963521706</v>
          </cell>
          <cell r="BH62">
            <v>8.211231271885584</v>
          </cell>
          <cell r="BI62" t="b">
            <v>0</v>
          </cell>
          <cell r="BJ62">
            <v>1.0368540655707452</v>
          </cell>
          <cell r="BK62">
            <v>1.0368540655707452</v>
          </cell>
          <cell r="BL62" t="b">
            <v>0</v>
          </cell>
          <cell r="BM62">
            <v>0.61107368883446977</v>
          </cell>
          <cell r="BN62">
            <v>0.61107368883446977</v>
          </cell>
          <cell r="BO62">
            <v>0</v>
          </cell>
          <cell r="BP62">
            <v>1.0713501609081753</v>
          </cell>
          <cell r="BQ62">
            <v>1.0713501609081753</v>
          </cell>
          <cell r="BR62">
            <v>0</v>
          </cell>
          <cell r="BS62">
            <v>0.59628964797557116</v>
          </cell>
          <cell r="BT62">
            <v>0.59628964797557116</v>
          </cell>
          <cell r="BU62">
            <v>0</v>
          </cell>
          <cell r="BV62">
            <v>0.90478330056458567</v>
          </cell>
          <cell r="BW62">
            <v>0.90478330056458567</v>
          </cell>
          <cell r="BX62">
            <v>0.15</v>
          </cell>
          <cell r="BY62">
            <v>0.8</v>
          </cell>
          <cell r="CA62">
            <v>0</v>
          </cell>
          <cell r="CB62">
            <v>2.1594555681231014</v>
          </cell>
          <cell r="CC62">
            <v>2.1594555681231014</v>
          </cell>
          <cell r="CD62">
            <v>3.1152140643755213</v>
          </cell>
          <cell r="CE62">
            <v>1.0314248399089352</v>
          </cell>
          <cell r="CF62">
            <v>0</v>
          </cell>
          <cell r="CG62">
            <v>1.2093345422578938</v>
          </cell>
          <cell r="CH62">
            <v>1.2093345422578938</v>
          </cell>
          <cell r="CI62">
            <v>1.9058795221176275</v>
          </cell>
          <cell r="CJ62">
            <v>-0.17790970234895864</v>
          </cell>
          <cell r="CK62">
            <v>0</v>
          </cell>
          <cell r="CL62">
            <v>1.1248726740466217</v>
          </cell>
          <cell r="CM62">
            <v>1.1248726740466217</v>
          </cell>
          <cell r="CN62">
            <v>0.78100684807100573</v>
          </cell>
          <cell r="CO62">
            <v>-1.3027823763955804</v>
          </cell>
        </row>
        <row r="63">
          <cell r="AS63">
            <v>0</v>
          </cell>
          <cell r="AV63">
            <v>0</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 val="DATACOST"/>
      <sheetName val="DATASTATS"/>
      <sheetName val="ADANI FIXED VAR 2011 12"/>
      <sheetName val="ADANI PIVOT TABLE"/>
      <sheetName val="XCQ REVENUE 11_12"/>
      <sheetName val="XCQ MANNING"/>
      <sheetName val="APB CCN"/>
      <sheetName val="APB CCODES"/>
      <sheetName val="XCQ KPIS"/>
      <sheetName val="XCQ EXP"/>
      <sheetName val="TONNES BY MONTH"/>
      <sheetName val="XCQ KPIS Budget Data and review"/>
      <sheetName val="XCQ KPIS Budget Data"/>
      <sheetName val="XCQ KPIS 2012 Volume Variance"/>
      <sheetName val="XCQ KPIS 2013 Volume Variance"/>
      <sheetName val="XCQ KPIS 2014 Volume Variance"/>
      <sheetName val="TPH Productivity Calculator"/>
      <sheetName val="XCQ CCN Budget 2012"/>
      <sheetName val="XCQ Manning Budget Data"/>
      <sheetName val="XCQ$pt11"/>
      <sheetName val="SUSTAIN"/>
      <sheetName val="OVERHEADS"/>
      <sheetName val="XCQ EXP Budget data"/>
      <sheetName val="XCQ CCN BUDGET V 2012"/>
      <sheetName val="XCQ CCN MANNING 2012"/>
      <sheetName val="XCQ CCN BUDGET V 2011"/>
      <sheetName val="XCQ CCN MANNING 2011"/>
      <sheetName val="XCQ PIVOT"/>
      <sheetName val="ADANI PIVOT"/>
      <sheetName val="CHECK"/>
      <sheetName val="APB CONTRACTORS"/>
      <sheetName val="AVAILABILITY"/>
      <sheetName val="KEYSTATS V PREV"/>
      <sheetName val="NQBP 10v11 $pt"/>
      <sheetName val="AAPT SUMMARY"/>
      <sheetName val="AAPT MANNING"/>
      <sheetName val="NQBP 11v11 $pt"/>
      <sheetName val="NQBP GRAPHS DATA_10_11"/>
      <sheetName val="NQBP GRAPHS_10_11"/>
      <sheetName val="MR TABLES"/>
    </sheetNames>
    <sheetDataSet>
      <sheetData sheetId="0">
        <row r="3">
          <cell r="B3">
            <v>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S "/>
      <sheetName val="Fund flow"/>
      <sheetName val="Ratio"/>
      <sheetName val="SBU"/>
      <sheetName val="PROJ-POLY"/>
      <sheetName val="PROJ-SPUN"/>
      <sheetName val="tdp"/>
      <sheetName val="tdint"/>
      <sheetName val="TDP(2)"/>
      <sheetName val="Intaccrual"/>
      <sheetName val="Intcash"/>
      <sheetName val="Payment"/>
      <sheetName val="Allocation"/>
      <sheetName val="Sheet2"/>
      <sheetName val="ASSUPTIONS"/>
      <sheetName val="Dep Cal"/>
      <sheetName val="F A 2002"/>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sing Logic"/>
      <sheetName val="Critical"/>
      <sheetName val="Negative Float"/>
      <sheetName val="Number of Lags"/>
      <sheetName val="Acumen Fuse"/>
    </sheetNames>
    <definedNames>
      <definedName name="End_Bal"/>
    </definedNames>
    <sheetDataSet>
      <sheetData sheetId="0" refreshError="1"/>
      <sheetData sheetId="1" refreshError="1"/>
      <sheetData sheetId="2" refreshError="1"/>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 P&amp;L Sum"/>
      <sheetName val="Department P&amp;L"/>
      <sheetName val="Manpower"/>
      <sheetName val="Working"/>
      <sheetName val="pl-dep-jan-06"/>
    </sheetNames>
    <sheetDataSet>
      <sheetData sheetId="0" refreshError="1"/>
      <sheetData sheetId="1" refreshError="1"/>
      <sheetData sheetId="2" refreshError="1"/>
      <sheetData sheetId="3" refreshError="1">
        <row r="3">
          <cell r="A3" t="str">
            <v>Departmental Profit &amp; Loss Account Exp Breakup  for the month of</v>
          </cell>
          <cell r="E3" t="str">
            <v>January '06</v>
          </cell>
        </row>
        <row r="4">
          <cell r="B4" t="str">
            <v>Total</v>
          </cell>
          <cell r="C4" t="str">
            <v>Rooms</v>
          </cell>
          <cell r="D4" t="str">
            <v>F&amp;B</v>
          </cell>
          <cell r="E4" t="str">
            <v>H.Club</v>
          </cell>
          <cell r="F4" t="str">
            <v>Prp.Maint</v>
          </cell>
          <cell r="G4" t="str">
            <v>Total</v>
          </cell>
        </row>
        <row r="5">
          <cell r="A5" t="str">
            <v>Salaries &amp; Wages</v>
          </cell>
          <cell r="B5">
            <v>15.54</v>
          </cell>
          <cell r="C5">
            <v>3.0799999999999983</v>
          </cell>
          <cell r="D5">
            <v>6.03</v>
          </cell>
          <cell r="E5">
            <v>0.23</v>
          </cell>
          <cell r="F5">
            <v>6.2</v>
          </cell>
        </row>
        <row r="6">
          <cell r="A6" t="str">
            <v>Deputed Staff Salaries</v>
          </cell>
          <cell r="B6">
            <v>6.28</v>
          </cell>
          <cell r="C6">
            <v>0.93</v>
          </cell>
          <cell r="D6">
            <v>2.02</v>
          </cell>
          <cell r="E6">
            <v>0</v>
          </cell>
          <cell r="F6">
            <v>3.3300000000000005</v>
          </cell>
        </row>
        <row r="7">
          <cell r="A7" t="str">
            <v>Dearness Allowance</v>
          </cell>
          <cell r="B7">
            <v>4.72</v>
          </cell>
          <cell r="C7">
            <v>1.18</v>
          </cell>
          <cell r="D7">
            <v>1.62</v>
          </cell>
          <cell r="E7">
            <v>7.0000000000000007E-2</v>
          </cell>
          <cell r="F7">
            <v>1.8499999999999999</v>
          </cell>
        </row>
        <row r="8">
          <cell r="A8" t="str">
            <v>House Rent Allowance</v>
          </cell>
          <cell r="B8">
            <v>2.4500000000000002</v>
          </cell>
          <cell r="C8">
            <v>0.51</v>
          </cell>
          <cell r="D8">
            <v>0.89</v>
          </cell>
          <cell r="E8">
            <v>0.02</v>
          </cell>
          <cell r="F8">
            <v>1.0300000000000002</v>
          </cell>
        </row>
        <row r="9">
          <cell r="A9" t="str">
            <v>Conveyance Allowance</v>
          </cell>
          <cell r="B9">
            <v>2.48</v>
          </cell>
          <cell r="C9">
            <v>0.61</v>
          </cell>
          <cell r="D9">
            <v>0.87</v>
          </cell>
          <cell r="E9">
            <v>0.03</v>
          </cell>
          <cell r="F9">
            <v>0.97</v>
          </cell>
        </row>
        <row r="10">
          <cell r="B10">
            <v>0</v>
          </cell>
          <cell r="C10">
            <v>0</v>
          </cell>
          <cell r="D10">
            <v>0</v>
          </cell>
          <cell r="E10">
            <v>0</v>
          </cell>
          <cell r="F10">
            <v>0</v>
          </cell>
        </row>
        <row r="11">
          <cell r="A11" t="str">
            <v>Special Allowance</v>
          </cell>
          <cell r="B11">
            <v>1.9</v>
          </cell>
          <cell r="C11">
            <v>0.25</v>
          </cell>
          <cell r="D11">
            <v>0.76</v>
          </cell>
          <cell r="E11">
            <v>0</v>
          </cell>
          <cell r="F11">
            <v>0.8899999999999999</v>
          </cell>
        </row>
        <row r="12">
          <cell r="A12" t="str">
            <v>Stipend</v>
          </cell>
          <cell r="B12">
            <v>0.66</v>
          </cell>
          <cell r="C12">
            <v>0.12</v>
          </cell>
          <cell r="D12">
            <v>0.16</v>
          </cell>
          <cell r="E12">
            <v>0</v>
          </cell>
          <cell r="F12">
            <v>0.38</v>
          </cell>
        </row>
        <row r="13">
          <cell r="A13" t="str">
            <v>Extra Wages</v>
          </cell>
          <cell r="B13">
            <v>0</v>
          </cell>
          <cell r="C13">
            <v>0</v>
          </cell>
          <cell r="D13">
            <v>0</v>
          </cell>
          <cell r="E13">
            <v>0</v>
          </cell>
          <cell r="F13">
            <v>0</v>
          </cell>
        </row>
        <row r="14">
          <cell r="A14" t="str">
            <v>Leave Encashment</v>
          </cell>
          <cell r="B14">
            <v>0.26</v>
          </cell>
          <cell r="C14">
            <v>0.09</v>
          </cell>
          <cell r="D14">
            <v>0.12</v>
          </cell>
          <cell r="E14">
            <v>0</v>
          </cell>
          <cell r="F14">
            <v>5.0000000000000017E-2</v>
          </cell>
        </row>
        <row r="15">
          <cell r="A15" t="str">
            <v>Leave Travel Allowance</v>
          </cell>
          <cell r="B15">
            <v>0.16</v>
          </cell>
          <cell r="C15">
            <v>0</v>
          </cell>
          <cell r="D15">
            <v>0</v>
          </cell>
          <cell r="E15">
            <v>0</v>
          </cell>
          <cell r="F15">
            <v>0.16</v>
          </cell>
        </row>
        <row r="16">
          <cell r="A16" t="str">
            <v>Co.'s Cont to PF/FPF/EDLI</v>
          </cell>
          <cell r="B16">
            <v>2.74</v>
          </cell>
          <cell r="C16">
            <v>0.52</v>
          </cell>
          <cell r="D16">
            <v>0.94</v>
          </cell>
          <cell r="E16">
            <v>0.04</v>
          </cell>
          <cell r="F16">
            <v>1.2400000000000002</v>
          </cell>
        </row>
        <row r="17">
          <cell r="A17" t="str">
            <v>Staff Gratuity</v>
          </cell>
          <cell r="B17">
            <v>1.24</v>
          </cell>
          <cell r="C17">
            <v>0.43</v>
          </cell>
          <cell r="D17">
            <v>0.4</v>
          </cell>
          <cell r="E17">
            <v>0.03</v>
          </cell>
          <cell r="F17">
            <v>0.38</v>
          </cell>
        </row>
        <row r="18">
          <cell r="A18" t="str">
            <v>Co.'s Cont to ESI</v>
          </cell>
          <cell r="B18">
            <v>0.35</v>
          </cell>
          <cell r="C18">
            <v>0.1</v>
          </cell>
          <cell r="D18">
            <v>0.14000000000000001</v>
          </cell>
          <cell r="E18">
            <v>0.01</v>
          </cell>
          <cell r="F18">
            <v>9.9999999999999964E-2</v>
          </cell>
        </row>
        <row r="19">
          <cell r="A19" t="str">
            <v>Staff Electricity/Water</v>
          </cell>
          <cell r="B19">
            <v>0.55000000000000004</v>
          </cell>
          <cell r="C19">
            <v>0.19</v>
          </cell>
          <cell r="D19">
            <v>0.27</v>
          </cell>
          <cell r="E19">
            <v>0.01</v>
          </cell>
          <cell r="F19">
            <v>8.0000000000000029E-2</v>
          </cell>
        </row>
        <row r="20">
          <cell r="A20" t="str">
            <v>Staff Accommodation -Rent</v>
          </cell>
          <cell r="B20">
            <v>1.44</v>
          </cell>
          <cell r="C20">
            <v>0.48</v>
          </cell>
          <cell r="D20">
            <v>0.57999999999999996</v>
          </cell>
          <cell r="E20">
            <v>0</v>
          </cell>
          <cell r="F20">
            <v>0.38</v>
          </cell>
        </row>
        <row r="21">
          <cell r="A21" t="str">
            <v>Staff Accommodation -Others</v>
          </cell>
          <cell r="B21">
            <v>0.22</v>
          </cell>
          <cell r="C21">
            <v>0.08</v>
          </cell>
          <cell r="D21">
            <v>0.11</v>
          </cell>
          <cell r="E21">
            <v>0</v>
          </cell>
          <cell r="F21">
            <v>3.0000000000000013E-2</v>
          </cell>
        </row>
        <row r="22">
          <cell r="A22" t="str">
            <v>Staff Uniform Expenses</v>
          </cell>
          <cell r="B22">
            <v>1.48</v>
          </cell>
          <cell r="C22">
            <v>0.51</v>
          </cell>
          <cell r="D22">
            <v>0.72</v>
          </cell>
          <cell r="E22">
            <v>0.03</v>
          </cell>
          <cell r="F22">
            <v>0.22</v>
          </cell>
        </row>
        <row r="23">
          <cell r="A23" t="str">
            <v>Staff Medical Expenses</v>
          </cell>
          <cell r="B23">
            <v>0.77</v>
          </cell>
          <cell r="C23">
            <v>0.27</v>
          </cell>
          <cell r="D23">
            <v>0.38</v>
          </cell>
          <cell r="E23">
            <v>0.02</v>
          </cell>
          <cell r="F23">
            <v>9.9999999999999992E-2</v>
          </cell>
        </row>
        <row r="24">
          <cell r="A24" t="str">
            <v>Staff Welfare Expenses</v>
          </cell>
          <cell r="B24">
            <v>0.09</v>
          </cell>
          <cell r="C24">
            <v>0.03</v>
          </cell>
          <cell r="D24">
            <v>0.04</v>
          </cell>
          <cell r="E24">
            <v>0</v>
          </cell>
          <cell r="F24">
            <v>1.9999999999999997E-2</v>
          </cell>
        </row>
        <row r="25">
          <cell r="A25" t="str">
            <v>Tution Fee Reimbursement</v>
          </cell>
          <cell r="B25">
            <v>0.06</v>
          </cell>
          <cell r="C25">
            <v>0</v>
          </cell>
          <cell r="D25">
            <v>0</v>
          </cell>
          <cell r="E25">
            <v>0</v>
          </cell>
          <cell r="F25">
            <v>0.06</v>
          </cell>
        </row>
        <row r="26">
          <cell r="A26" t="str">
            <v>Staff Training Expenses</v>
          </cell>
          <cell r="B26">
            <v>0.54</v>
          </cell>
          <cell r="C26">
            <v>0</v>
          </cell>
          <cell r="D26">
            <v>0</v>
          </cell>
          <cell r="E26">
            <v>0</v>
          </cell>
          <cell r="F26">
            <v>0.54</v>
          </cell>
        </row>
        <row r="27">
          <cell r="A27" t="str">
            <v>Orchestra Artist Remuneration</v>
          </cell>
          <cell r="B27">
            <v>1.95</v>
          </cell>
          <cell r="C27">
            <v>0</v>
          </cell>
          <cell r="D27">
            <v>1.95</v>
          </cell>
          <cell r="E27">
            <v>0</v>
          </cell>
          <cell r="F27">
            <v>0</v>
          </cell>
        </row>
        <row r="28">
          <cell r="A28" t="str">
            <v>Security Service Expenses</v>
          </cell>
          <cell r="B28">
            <v>2.19</v>
          </cell>
          <cell r="C28">
            <v>0</v>
          </cell>
          <cell r="D28">
            <v>0</v>
          </cell>
          <cell r="E28">
            <v>0</v>
          </cell>
          <cell r="F28">
            <v>2.19</v>
          </cell>
        </row>
        <row r="29">
          <cell r="A29" t="str">
            <v>Staff Uniform Washing Expenses</v>
          </cell>
          <cell r="B29">
            <v>0.48</v>
          </cell>
          <cell r="C29">
            <v>0.17</v>
          </cell>
          <cell r="D29">
            <v>0.23</v>
          </cell>
          <cell r="E29">
            <v>0.01</v>
          </cell>
          <cell r="F29">
            <v>6.9999999999999937E-2</v>
          </cell>
        </row>
        <row r="30">
          <cell r="A30" t="str">
            <v>Bonus /Performance</v>
          </cell>
          <cell r="B30">
            <v>5.31</v>
          </cell>
          <cell r="C30">
            <v>1.0379999999999996</v>
          </cell>
          <cell r="D30">
            <v>1.9340000000000004</v>
          </cell>
          <cell r="E30">
            <v>6.0000000000000012E-2</v>
          </cell>
          <cell r="F30">
            <v>2.278</v>
          </cell>
        </row>
        <row r="31">
          <cell r="A31" t="str">
            <v>Staff Food Expenses</v>
          </cell>
          <cell r="B31">
            <v>2.0099999999999998</v>
          </cell>
          <cell r="C31">
            <v>0.7</v>
          </cell>
          <cell r="D31">
            <v>0.98</v>
          </cell>
          <cell r="E31">
            <v>0.04</v>
          </cell>
          <cell r="F31">
            <v>0.28999999999999987</v>
          </cell>
        </row>
        <row r="32">
          <cell r="A32" t="str">
            <v>Placement/Recuirtment Charges</v>
          </cell>
          <cell r="B32">
            <v>0</v>
          </cell>
          <cell r="C32">
            <v>0</v>
          </cell>
          <cell r="D32">
            <v>0</v>
          </cell>
          <cell r="E32">
            <v>0</v>
          </cell>
          <cell r="F32">
            <v>0</v>
          </cell>
        </row>
        <row r="33">
          <cell r="A33" t="str">
            <v>Contractors's Expenses</v>
          </cell>
          <cell r="B33">
            <v>2.8400000000000003</v>
          </cell>
          <cell r="C33">
            <v>0.56000000000000005</v>
          </cell>
          <cell r="D33">
            <v>0.69</v>
          </cell>
          <cell r="E33">
            <v>0</v>
          </cell>
          <cell r="F33">
            <v>1.5900000000000003</v>
          </cell>
        </row>
        <row r="34">
          <cell r="A34" t="str">
            <v>Less:Recoveries</v>
          </cell>
          <cell r="B34">
            <v>6.29</v>
          </cell>
          <cell r="C34">
            <v>0</v>
          </cell>
          <cell r="D34">
            <v>0</v>
          </cell>
          <cell r="F34">
            <v>6.29</v>
          </cell>
        </row>
        <row r="35">
          <cell r="A35" t="str">
            <v>Total</v>
          </cell>
          <cell r="B35">
            <v>49.579999999999991</v>
          </cell>
          <cell r="C35">
            <v>11.847999999999995</v>
          </cell>
          <cell r="D35">
            <v>21.834000000000003</v>
          </cell>
          <cell r="E35">
            <v>0.6000000000000002</v>
          </cell>
          <cell r="F35">
            <v>18.137999999999998</v>
          </cell>
          <cell r="G35">
            <v>0</v>
          </cell>
        </row>
        <row r="36">
          <cell r="A36" t="str">
            <v xml:space="preserve">No.of Staff </v>
          </cell>
          <cell r="B36">
            <v>279</v>
          </cell>
          <cell r="C36">
            <v>97</v>
          </cell>
          <cell r="D36">
            <v>136</v>
          </cell>
          <cell r="E36">
            <v>6</v>
          </cell>
          <cell r="F36">
            <v>40</v>
          </cell>
        </row>
      </sheetData>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Modal Calculation"/>
      <sheetName val="Key_Assumption"/>
      <sheetName val="Manpower"/>
      <sheetName val="working sheet"/>
      <sheetName val="Interest"/>
      <sheetName val="Sheet1"/>
      <sheetName val="dep._ Insur."/>
      <sheetName val="marine&amp;RIUC"/>
      <sheetName val="Indicators"/>
      <sheetName val="Volume Projections"/>
      <sheetName val="Business dev,admin and travel"/>
      <sheetName val="modelity"/>
      <sheetName val="Sheet3"/>
      <sheetName val="Working"/>
    </sheetNames>
    <sheetDataSet>
      <sheetData sheetId="0" refreshError="1"/>
      <sheetData sheetId="1" refreshError="1"/>
      <sheetData sheetId="2" refreshError="1">
        <row r="184">
          <cell r="I184">
            <v>25.2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light"/>
      <sheetName val="BirdEyeView"/>
      <sheetName val="Mundraport"/>
      <sheetName val="ContainerTerminal"/>
      <sheetName val="Container_Working"/>
      <sheetName val="SBMTerminal"/>
      <sheetName val="SBM_Working"/>
      <sheetName val="Variation"/>
      <sheetName val="AEL_NonAEL"/>
      <sheetName val="Marinesummary"/>
      <sheetName val="Marine_Working"/>
      <sheetName val="Marine_variation"/>
      <sheetName val="BerthFinIndicators"/>
      <sheetName val="DrySummary"/>
      <sheetName val="Dry_Working"/>
      <sheetName val="Coal"/>
      <sheetName val="DryCargo_THC"/>
      <sheetName val="DryCargo_THC (2)"/>
      <sheetName val="Liquid"/>
      <sheetName val="LiquidWorking"/>
      <sheetName val="Rail_Summary"/>
      <sheetName val="Rail_Working"/>
      <sheetName val="OtherIncome"/>
      <sheetName val="OtherIncome_Working"/>
      <sheetName val="Electricity"/>
      <sheetName val="FOH Details"/>
      <sheetName val="Key_Assumption"/>
      <sheetName val="REVENUES &amp; B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4">
          <cell r="A4" t="str">
            <v>Sl.</v>
          </cell>
          <cell r="B4" t="str">
            <v>Particulars</v>
          </cell>
          <cell r="D4" t="str">
            <v>Coal</v>
          </cell>
          <cell r="E4" t="str">
            <v>Fertilizer</v>
          </cell>
          <cell r="F4" t="str">
            <v>Met Coke</v>
          </cell>
          <cell r="G4" t="str">
            <v>S. Oil</v>
          </cell>
          <cell r="H4" t="str">
            <v>Doc</v>
          </cell>
          <cell r="I4" t="str">
            <v>Sugar</v>
          </cell>
          <cell r="J4" t="str">
            <v>Current Month</v>
          </cell>
          <cell r="M4" t="str">
            <v>Upto Date (Since Apr-06)</v>
          </cell>
          <cell r="P4" t="str">
            <v>Remarks for the month</v>
          </cell>
        </row>
        <row r="5">
          <cell r="A5" t="str">
            <v>No.</v>
          </cell>
          <cell r="J5" t="str">
            <v>Budgeted</v>
          </cell>
          <cell r="K5" t="str">
            <v>Actual</v>
          </cell>
          <cell r="L5" t="str">
            <v>Variation</v>
          </cell>
          <cell r="M5" t="str">
            <v>Budgeted</v>
          </cell>
          <cell r="N5" t="str">
            <v>Actual</v>
          </cell>
          <cell r="O5" t="str">
            <v>Variation</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toryApprovals"/>
      <sheetName val="Index"/>
      <sheetName val="CargoShare"/>
      <sheetName val="Cargo Share Graph"/>
      <sheetName val="Port Comparasion"/>
      <sheetName val="Trend Analysis-Cargo"/>
      <sheetName val="Trend Analysis - Berth"/>
      <sheetName val="BerthwisePOCIndicators"/>
      <sheetName val="CargowiseIndicator"/>
      <sheetName val="Captains Comments"/>
      <sheetName val="Captains Comments1"/>
      <sheetName val="Avg. Discharge"/>
      <sheetName val="Avg. Discharge1"/>
      <sheetName val="Avg.Discharge-3"/>
      <sheetName val="Avg.Discharge3"/>
      <sheetName val="OperationAnalysis"/>
      <sheetName val="Storage"/>
      <sheetName val="Occupancy"/>
      <sheetName val="Shortage"/>
      <sheetName val="RailPerfor"/>
      <sheetName val="MICTOpsSummary"/>
      <sheetName val="Receivable"/>
      <sheetName val="Cash Flow"/>
      <sheetName val="Aging Summury"/>
      <sheetName val="Aging"/>
      <sheetName val="Cashflow"/>
      <sheetName val="rectification note-Dry"/>
      <sheetName val="rectification note-Liquid"/>
      <sheetName val="Rectification note-Marine"/>
      <sheetName val="CN MIS-Dry"/>
      <sheetName val="CN MIS-Liquid"/>
      <sheetName val="CN MIS-Marine"/>
      <sheetName val="HRD_Graph"/>
      <sheetName val="HRDWelfareScheme"/>
      <sheetName val="HRDTraining"/>
      <sheetName val="Safety&amp;Quality"/>
      <sheetName val="Insurance"/>
      <sheetName val="Project Summary"/>
      <sheetName val="Electrical &amp; Instrumentation"/>
      <sheetName val="Coking Coal"/>
      <sheetName val="Steel Coil"/>
      <sheetName val="Steel Pipe"/>
      <sheetName val="Steel Plate"/>
      <sheetName val="Proj.Cargo"/>
      <sheetName val="Mv Amalia"/>
      <sheetName val="Mv Arcadia Progress"/>
      <sheetName val="Mv Rainbow"/>
      <sheetName val="Mv Marilia"/>
      <sheetName val="Mv Good Faith"/>
      <sheetName val="Mv F &amp; K"/>
    </sheetNames>
    <sheetDataSet>
      <sheetData sheetId="0" refreshError="1">
        <row r="3">
          <cell r="A3" t="str">
            <v>Sr.No.</v>
          </cell>
          <cell r="B3" t="str">
            <v>DESCRIPTION</v>
          </cell>
          <cell r="C3" t="str">
            <v>SUBMISSION TO AGENCY</v>
          </cell>
          <cell r="D3" t="str">
            <v>Document No. Details</v>
          </cell>
          <cell r="E3" t="str">
            <v>VALID TILL</v>
          </cell>
          <cell r="F3" t="str">
            <v>APPLIED FOR RENEWAL</v>
          </cell>
          <cell r="G3" t="str">
            <v>REFER</v>
          </cell>
          <cell r="H3" t="str">
            <v>STATUS</v>
          </cell>
          <cell r="I3" t="str">
            <v>Concern Dept.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heetName val="INPUT"/>
      <sheetName val="DIR USED ITEMS"/>
      <sheetName val="paste"/>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extra"/>
      <sheetName val="StatutoryApprovals"/>
    </sheetNames>
    <sheetDataSet>
      <sheetData sheetId="0"/>
      <sheetData sheetId="1"/>
      <sheetData sheetId="2"/>
      <sheetData sheetId="3"/>
      <sheetData sheetId="4" refreshError="1">
        <row r="3">
          <cell r="C3" t="str">
            <v>CHAPTER-1</v>
          </cell>
        </row>
        <row r="4">
          <cell r="C4" t="str">
            <v>CARRIAGE OF MATERIALS</v>
          </cell>
        </row>
        <row r="5">
          <cell r="B5" t="str">
            <v>1.1</v>
          </cell>
          <cell r="C5" t="str">
            <v>Loading and unloading of stone boulder / stone aggregates / sand / kanker / moorum. (Placing tipper at loading point, loading with front end loader, dumping, turning for return trip, excluding time for haulage and return trip)</v>
          </cell>
          <cell r="D5" t="str">
            <v>cum</v>
          </cell>
          <cell r="E5">
            <v>65</v>
          </cell>
        </row>
        <row r="6">
          <cell r="B6" t="str">
            <v>1.2</v>
          </cell>
          <cell r="C6" t="str">
            <v>Loading and Unloading of Boulders by Manual Means</v>
          </cell>
          <cell r="D6" t="str">
            <v>cum</v>
          </cell>
          <cell r="E6">
            <v>57</v>
          </cell>
        </row>
        <row r="7">
          <cell r="B7" t="str">
            <v>1.3</v>
          </cell>
          <cell r="C7" t="str">
            <v>Loading and Unloading of Cement or Steel by Manual Means and stacking.</v>
          </cell>
          <cell r="D7" t="str">
            <v>tonne</v>
          </cell>
          <cell r="E7">
            <v>77</v>
          </cell>
        </row>
        <row r="8">
          <cell r="B8" t="str">
            <v>1.4</v>
          </cell>
          <cell r="C8" t="str">
            <v>Cost of Haulage Excluding Loading and Unloading</v>
          </cell>
        </row>
        <row r="9">
          <cell r="B9" t="str">
            <v>(i)</v>
          </cell>
          <cell r="C9" t="str">
            <v>Surfaced Road</v>
          </cell>
          <cell r="D9" t="str">
            <v>tonne.km</v>
          </cell>
          <cell r="E9">
            <v>2.1</v>
          </cell>
        </row>
        <row r="10">
          <cell r="B10" t="str">
            <v>(ii)</v>
          </cell>
          <cell r="C10" t="str">
            <v>Unsurfaced Gravelled Road</v>
          </cell>
          <cell r="D10" t="str">
            <v>tonne.km</v>
          </cell>
          <cell r="E10">
            <v>2.5</v>
          </cell>
        </row>
        <row r="11">
          <cell r="B11" t="str">
            <v>(iii)</v>
          </cell>
          <cell r="C11" t="str">
            <v>Katcha Track and Track in river bed / nallah bed and choe bed.</v>
          </cell>
          <cell r="D11" t="str">
            <v>tonne.km</v>
          </cell>
          <cell r="E11">
            <v>5</v>
          </cell>
        </row>
        <row r="12">
          <cell r="B12" t="str">
            <v>1.5</v>
          </cell>
          <cell r="C12" t="str">
            <v>Hand Broken Stone Aggregates 63 mm nominal size (Supply of quarried stone, hand breaking into coarse aggregate 63 mm nominal size (passing 80 mm and retained on 50 mm sieve) and stacking as directed)</v>
          </cell>
          <cell r="D12" t="str">
            <v>cum</v>
          </cell>
          <cell r="E12">
            <v>635</v>
          </cell>
        </row>
        <row r="13">
          <cell r="B13" t="str">
            <v>1.6</v>
          </cell>
          <cell r="C13" t="str">
            <v>Crushing of stone aggregates 13.2 mm nominal size. (Crushing of stone boulders of 150 mm size in an integrated stone crushing unit of 200 tonnes per hour capacity comprising of primary and secondary crushing units, belt conveyor and vibrating screens to o</v>
          </cell>
          <cell r="D13" t="str">
            <v>cum</v>
          </cell>
          <cell r="E13">
            <v>746</v>
          </cell>
        </row>
        <row r="14">
          <cell r="B14" t="str">
            <v>1.7</v>
          </cell>
          <cell r="C14" t="str">
            <v>Crushing of stone aggregates 20 mm nominal size (Crushing of stone boulders of 150 mm size in an integrated stone crushing unit of 200 tonnes per hour capacity comprising of primary and secondary crushing units, belt conveyor and vibrating screens to obta</v>
          </cell>
          <cell r="D14" t="str">
            <v>cum</v>
          </cell>
          <cell r="E14">
            <v>633</v>
          </cell>
        </row>
        <row r="15">
          <cell r="B15" t="str">
            <v>1.8</v>
          </cell>
          <cell r="C15" t="str">
            <v>Crushing of stone aggregates 40 mm nominal size (Crushing of stone boulders of 150 mm size in an integrated stone crushing unit of 200 tonnes per hour capacity comprising of primary and secondary crushing units, belt conveyor and vibrating screens to obta</v>
          </cell>
          <cell r="D15" t="str">
            <v>cum</v>
          </cell>
          <cell r="E15">
            <v>534</v>
          </cell>
        </row>
        <row r="16">
          <cell r="C16" t="str">
            <v>CHAPTER-2</v>
          </cell>
        </row>
        <row r="17">
          <cell r="C17" t="str">
            <v>SITE CLEARANCE</v>
          </cell>
        </row>
        <row r="18">
          <cell r="B18" t="str">
            <v>2.1</v>
          </cell>
          <cell r="C18" t="str">
            <v>Cutting of Trees, including Cutting of Trunks, Branches and Removal (Cutting of trees, including cutting of trunks, branches and removal of stumps, roots, stacking of serviceable material with all lifts and up to a lead of 1000 mtrs and earth filling in t</v>
          </cell>
        </row>
        <row r="19">
          <cell r="A19" t="str">
            <v>A-2-1</v>
          </cell>
          <cell r="B19" t="str">
            <v xml:space="preserve">(i)     </v>
          </cell>
          <cell r="C19" t="str">
            <v>Girth from 300 mm to 600 mm</v>
          </cell>
          <cell r="D19" t="str">
            <v>each</v>
          </cell>
          <cell r="E19">
            <v>95</v>
          </cell>
        </row>
        <row r="20">
          <cell r="A20" t="str">
            <v>A-2-2</v>
          </cell>
          <cell r="B20" t="str">
            <v>(ii)</v>
          </cell>
          <cell r="C20" t="str">
            <v>Girth from 600 mm to 900 mm</v>
          </cell>
          <cell r="D20" t="str">
            <v>each</v>
          </cell>
          <cell r="E20">
            <v>197</v>
          </cell>
        </row>
        <row r="21">
          <cell r="A21" t="str">
            <v>A-2-3</v>
          </cell>
          <cell r="B21" t="str">
            <v xml:space="preserve">(iii)   </v>
          </cell>
          <cell r="C21" t="str">
            <v>Girth from 900 mm to 1800 mm</v>
          </cell>
          <cell r="D21" t="str">
            <v>each</v>
          </cell>
          <cell r="E21">
            <v>342</v>
          </cell>
        </row>
        <row r="22">
          <cell r="A22" t="str">
            <v>A-2-4</v>
          </cell>
          <cell r="B22" t="str">
            <v xml:space="preserve">(iv)  </v>
          </cell>
          <cell r="C22" t="str">
            <v xml:space="preserve"> Girth above 1800 mm </v>
          </cell>
          <cell r="D22" t="str">
            <v>each</v>
          </cell>
          <cell r="E22">
            <v>614</v>
          </cell>
        </row>
        <row r="23">
          <cell r="B23" t="str">
            <v>2.2</v>
          </cell>
          <cell r="C23" t="str">
            <v xml:space="preserve">Clearing Grass and Removal of Rubbish </v>
          </cell>
          <cell r="D23" t="str">
            <v>hectare</v>
          </cell>
          <cell r="E23">
            <v>5049</v>
          </cell>
        </row>
        <row r="24">
          <cell r="B24" t="str">
            <v>2.3</v>
          </cell>
          <cell r="C24" t="str">
            <v>Clearing and Grubbing Road Land .(Clearing and grubbing road land including uprooting rank vegetation, grass, bushes, shrubs, saplings and trees girth up to 300 mm, removal of stumps of trees cut earlier and disposal of unserviceable materials and stackin</v>
          </cell>
        </row>
        <row r="25">
          <cell r="B25" t="str">
            <v xml:space="preserve">(i)     </v>
          </cell>
          <cell r="C25" t="str">
            <v xml:space="preserve"> By Manual Means:-</v>
          </cell>
        </row>
        <row r="26">
          <cell r="B26" t="str">
            <v>A</v>
          </cell>
          <cell r="C26" t="str">
            <v>In area of light jungle</v>
          </cell>
          <cell r="D26" t="str">
            <v>hectare</v>
          </cell>
          <cell r="E26">
            <v>15497</v>
          </cell>
        </row>
        <row r="27">
          <cell r="B27" t="str">
            <v>B</v>
          </cell>
          <cell r="C27" t="str">
            <v>In area of thorny jungle</v>
          </cell>
          <cell r="D27" t="str">
            <v>hectare</v>
          </cell>
          <cell r="E27">
            <v>20896</v>
          </cell>
        </row>
        <row r="28">
          <cell r="B28" t="str">
            <v>(ii)</v>
          </cell>
          <cell r="C28" t="str">
            <v>By Mechanical Means</v>
          </cell>
        </row>
        <row r="29">
          <cell r="A29" t="str">
            <v>A1</v>
          </cell>
          <cell r="B29" t="str">
            <v>A</v>
          </cell>
          <cell r="C29" t="str">
            <v>In area of light jungle</v>
          </cell>
          <cell r="D29" t="str">
            <v>hectare</v>
          </cell>
          <cell r="E29">
            <v>36671</v>
          </cell>
        </row>
        <row r="30">
          <cell r="B30" t="str">
            <v>B</v>
          </cell>
          <cell r="C30" t="str">
            <v>In area of thorny jungle</v>
          </cell>
          <cell r="D30" t="str">
            <v>hectare</v>
          </cell>
          <cell r="E30">
            <v>44231</v>
          </cell>
        </row>
        <row r="31">
          <cell r="B31" t="str">
            <v>2.4</v>
          </cell>
          <cell r="C31" t="str">
            <v>Dismantling of Structures (Dismantling of existing structures like culverts, bridges, retaining walls and other structure comprising of masonry, cement concrete, wood work, steel work, including T&amp;P and scaffolding wherever necessary, sorting the dismantl</v>
          </cell>
        </row>
        <row r="32">
          <cell r="B32" t="str">
            <v xml:space="preserve">(i)     </v>
          </cell>
          <cell r="C32" t="str">
            <v xml:space="preserve"> Lime /Cement Concrete</v>
          </cell>
        </row>
        <row r="33">
          <cell r="B33" t="str">
            <v>I</v>
          </cell>
          <cell r="C33" t="str">
            <v>By Manual Means</v>
          </cell>
        </row>
        <row r="34">
          <cell r="B34" t="str">
            <v>A</v>
          </cell>
          <cell r="C34" t="str">
            <v xml:space="preserve">Lime Concrete, cement concrete grade M-10 and below </v>
          </cell>
          <cell r="D34" t="str">
            <v>cum</v>
          </cell>
          <cell r="E34">
            <v>156</v>
          </cell>
        </row>
        <row r="35">
          <cell r="B35" t="str">
            <v>B</v>
          </cell>
          <cell r="C35" t="str">
            <v>Cement Concrete Grade M-15 &amp; M-20</v>
          </cell>
          <cell r="D35" t="str">
            <v>cum</v>
          </cell>
          <cell r="E35">
            <v>177</v>
          </cell>
        </row>
        <row r="36">
          <cell r="A36" t="str">
            <v>A7</v>
          </cell>
          <cell r="B36" t="str">
            <v>C</v>
          </cell>
          <cell r="C36" t="str">
            <v>Prestressed / Reinforced cement concrete grade M-20 &amp; above</v>
          </cell>
          <cell r="D36" t="str">
            <v>cum</v>
          </cell>
          <cell r="E36">
            <v>389</v>
          </cell>
        </row>
        <row r="37">
          <cell r="B37" t="str">
            <v>II</v>
          </cell>
          <cell r="C37" t="str">
            <v xml:space="preserve">By Mechanical Means for items No. 202( b)   &amp; ( c)   </v>
          </cell>
        </row>
        <row r="38">
          <cell r="A38" t="str">
            <v>A4</v>
          </cell>
          <cell r="B38" t="str">
            <v>A</v>
          </cell>
          <cell r="C38" t="str">
            <v>Cement Concrete Grade M-15 &amp; M-20</v>
          </cell>
          <cell r="D38" t="str">
            <v>cum</v>
          </cell>
          <cell r="E38">
            <v>286</v>
          </cell>
        </row>
        <row r="39">
          <cell r="B39" t="str">
            <v>B</v>
          </cell>
          <cell r="C39" t="str">
            <v>Prestressed / Reinforced cement concrete grade M-20 &amp; above</v>
          </cell>
          <cell r="D39" t="str">
            <v>cum</v>
          </cell>
          <cell r="E39">
            <v>440</v>
          </cell>
        </row>
        <row r="40">
          <cell r="B40" t="str">
            <v>(ii)</v>
          </cell>
          <cell r="C40" t="str">
            <v>Dismantling Brick / Tile work</v>
          </cell>
        </row>
        <row r="41">
          <cell r="B41" t="str">
            <v>A</v>
          </cell>
          <cell r="C41" t="str">
            <v>In lime mortar</v>
          </cell>
          <cell r="D41" t="str">
            <v>cum</v>
          </cell>
          <cell r="E41">
            <v>116</v>
          </cell>
        </row>
        <row r="42">
          <cell r="B42" t="str">
            <v>B</v>
          </cell>
          <cell r="C42" t="str">
            <v>In cement mortar</v>
          </cell>
          <cell r="D42" t="str">
            <v>cum</v>
          </cell>
          <cell r="E42">
            <v>136</v>
          </cell>
        </row>
        <row r="43">
          <cell r="B43" t="str">
            <v>C</v>
          </cell>
          <cell r="C43" t="str">
            <v>In mud mortar</v>
          </cell>
          <cell r="D43" t="str">
            <v>cum</v>
          </cell>
          <cell r="E43">
            <v>108</v>
          </cell>
        </row>
        <row r="44">
          <cell r="A44" t="str">
            <v>A5</v>
          </cell>
          <cell r="B44" t="str">
            <v>D</v>
          </cell>
          <cell r="C44" t="str">
            <v>Dry brick pitching or brick soling</v>
          </cell>
          <cell r="D44" t="str">
            <v>cum</v>
          </cell>
          <cell r="E44">
            <v>104</v>
          </cell>
        </row>
        <row r="45">
          <cell r="B45" t="str">
            <v>(iii)</v>
          </cell>
          <cell r="C45" t="str">
            <v>Dismantling Stone Masonry</v>
          </cell>
        </row>
        <row r="46">
          <cell r="B46" t="str">
            <v>A</v>
          </cell>
          <cell r="C46" t="str">
            <v>Rubble stone masonry in lime mortar</v>
          </cell>
          <cell r="D46" t="str">
            <v>cum</v>
          </cell>
          <cell r="E46">
            <v>124</v>
          </cell>
        </row>
        <row r="47">
          <cell r="B47" t="str">
            <v>B</v>
          </cell>
          <cell r="C47" t="str">
            <v>Rubble stone masonry in cement mortar.</v>
          </cell>
          <cell r="D47" t="str">
            <v>cum</v>
          </cell>
          <cell r="E47">
            <v>136</v>
          </cell>
        </row>
        <row r="48">
          <cell r="B48" t="str">
            <v>C</v>
          </cell>
          <cell r="C48" t="str">
            <v>Rubble Stone Masonry in mud mortar.</v>
          </cell>
          <cell r="D48" t="str">
            <v>cum</v>
          </cell>
          <cell r="E48">
            <v>116</v>
          </cell>
        </row>
        <row r="49">
          <cell r="B49" t="str">
            <v>D</v>
          </cell>
          <cell r="C49" t="str">
            <v>Dry rubble masonry</v>
          </cell>
          <cell r="D49" t="str">
            <v>cum</v>
          </cell>
          <cell r="E49">
            <v>112</v>
          </cell>
        </row>
        <row r="50">
          <cell r="A50" t="str">
            <v>A6</v>
          </cell>
          <cell r="B50" t="str">
            <v>E</v>
          </cell>
          <cell r="C50" t="str">
            <v>Dismantling stone pitching/ dry stone spalls.</v>
          </cell>
          <cell r="D50" t="str">
            <v>cum</v>
          </cell>
          <cell r="E50">
            <v>108</v>
          </cell>
        </row>
        <row r="51">
          <cell r="B51" t="str">
            <v>F</v>
          </cell>
          <cell r="C51" t="str">
            <v>Dismantling boulders laid in wire crates including opening of crates and stacking dismantled materials.</v>
          </cell>
          <cell r="D51" t="str">
            <v>cum</v>
          </cell>
          <cell r="E51">
            <v>116</v>
          </cell>
        </row>
        <row r="52">
          <cell r="B52" t="str">
            <v>(iv)</v>
          </cell>
          <cell r="C52" t="str">
            <v xml:space="preserve"> Wood work wrought framed and fixed in frames of trusses upto a height of 5 m above plinth level</v>
          </cell>
          <cell r="D52" t="str">
            <v>cum</v>
          </cell>
          <cell r="E52">
            <v>218</v>
          </cell>
        </row>
        <row r="53">
          <cell r="B53" t="str">
            <v>(v)</v>
          </cell>
          <cell r="C53" t="str">
            <v>Steel work in all types of sections upto a height of 5 m above plinth level excluding cutting of rivet.</v>
          </cell>
        </row>
        <row r="54">
          <cell r="B54" t="str">
            <v>A</v>
          </cell>
          <cell r="C54" t="str">
            <v>Including dismembering</v>
          </cell>
          <cell r="D54" t="str">
            <v>tonne</v>
          </cell>
          <cell r="E54">
            <v>477</v>
          </cell>
        </row>
        <row r="55">
          <cell r="B55" t="str">
            <v>B</v>
          </cell>
          <cell r="C55" t="str">
            <v>Excluding dismembering.</v>
          </cell>
          <cell r="D55" t="str">
            <v>tonne</v>
          </cell>
          <cell r="E55">
            <v>364</v>
          </cell>
        </row>
        <row r="56">
          <cell r="B56" t="str">
            <v>C</v>
          </cell>
          <cell r="C56" t="str">
            <v>Extra over item No( V ) A and( V ) B for cutting rivets.</v>
          </cell>
          <cell r="D56" t="str">
            <v>tonne</v>
          </cell>
          <cell r="E56">
            <v>3</v>
          </cell>
        </row>
        <row r="57">
          <cell r="B57" t="str">
            <v>(vi)</v>
          </cell>
          <cell r="C57" t="str">
            <v>Scraping of bricks dismantled from brick work including stacking.</v>
          </cell>
        </row>
        <row r="58">
          <cell r="B58" t="str">
            <v>A</v>
          </cell>
          <cell r="C58" t="str">
            <v xml:space="preserve">In lime/Cement mortar </v>
          </cell>
          <cell r="D58" t="str">
            <v>1000 numbers</v>
          </cell>
          <cell r="E58">
            <v>353</v>
          </cell>
        </row>
        <row r="59">
          <cell r="B59" t="str">
            <v>B</v>
          </cell>
          <cell r="C59" t="str">
            <v>In mud mortar</v>
          </cell>
          <cell r="D59" t="str">
            <v>1000 numbers</v>
          </cell>
          <cell r="E59">
            <v>126</v>
          </cell>
        </row>
        <row r="60">
          <cell r="B60" t="str">
            <v>(vii)</v>
          </cell>
          <cell r="C60" t="str">
            <v>Scraping of Stone from dismantled stone masonry</v>
          </cell>
        </row>
        <row r="61">
          <cell r="B61" t="str">
            <v>A</v>
          </cell>
          <cell r="C61" t="str">
            <v>In cement and lime mortar</v>
          </cell>
          <cell r="D61" t="str">
            <v>cum</v>
          </cell>
          <cell r="E61">
            <v>142</v>
          </cell>
        </row>
        <row r="62">
          <cell r="B62" t="str">
            <v>B</v>
          </cell>
          <cell r="C62" t="str">
            <v>In Mud mortar</v>
          </cell>
          <cell r="D62" t="str">
            <v>cum</v>
          </cell>
          <cell r="E62">
            <v>30</v>
          </cell>
        </row>
        <row r="63">
          <cell r="B63" t="str">
            <v>(viii)</v>
          </cell>
          <cell r="C63" t="str">
            <v xml:space="preserve">Scarping plaster in lime or cement mortar from brick/ stone masonry </v>
          </cell>
          <cell r="D63" t="str">
            <v>sqm</v>
          </cell>
          <cell r="E63">
            <v>5</v>
          </cell>
        </row>
        <row r="64">
          <cell r="B64" t="str">
            <v>(ix)</v>
          </cell>
          <cell r="C64" t="str">
            <v>Removing all type of hume pipes and stacking within a lead of 1000 metres including earthwork and dismantling of masonry works.</v>
          </cell>
        </row>
        <row r="65">
          <cell r="A65" t="str">
            <v>A-8-1</v>
          </cell>
          <cell r="B65" t="str">
            <v>A</v>
          </cell>
          <cell r="C65" t="str">
            <v>Up to 600 mm dia</v>
          </cell>
          <cell r="D65" t="str">
            <v>metre</v>
          </cell>
          <cell r="E65">
            <v>52</v>
          </cell>
        </row>
        <row r="66">
          <cell r="A66" t="str">
            <v>A-8-2</v>
          </cell>
          <cell r="B66" t="str">
            <v>B</v>
          </cell>
          <cell r="C66" t="str">
            <v>Above 600 mm to 900 mm dia</v>
          </cell>
          <cell r="D66" t="str">
            <v>metre</v>
          </cell>
          <cell r="E66">
            <v>71</v>
          </cell>
        </row>
        <row r="67">
          <cell r="A67" t="str">
            <v>A-8-3</v>
          </cell>
          <cell r="B67" t="str">
            <v>C</v>
          </cell>
          <cell r="C67" t="str">
            <v>Above 900 mm</v>
          </cell>
          <cell r="D67" t="str">
            <v>metre</v>
          </cell>
          <cell r="E67">
            <v>121</v>
          </cell>
        </row>
        <row r="68">
          <cell r="B68" t="str">
            <v>2.5</v>
          </cell>
          <cell r="C68" t="str">
            <v>Dismantling of Flexible Pavements (Dismantling of flexible pavements and disposal of dismantled materials up to a lead of 1000 metres, stacking serviceable and unserviceable materials separately)</v>
          </cell>
        </row>
        <row r="69">
          <cell r="B69" t="str">
            <v>I</v>
          </cell>
          <cell r="C69" t="str">
            <v>By Manual Means</v>
          </cell>
        </row>
        <row r="70">
          <cell r="B70" t="str">
            <v>A</v>
          </cell>
          <cell r="C70" t="str">
            <v>Bituminous courses</v>
          </cell>
          <cell r="D70" t="str">
            <v>cum</v>
          </cell>
          <cell r="E70">
            <v>285</v>
          </cell>
        </row>
        <row r="71">
          <cell r="A71" t="str">
            <v>A-9-2</v>
          </cell>
          <cell r="B71" t="str">
            <v>B</v>
          </cell>
          <cell r="C71" t="str">
            <v>Granular courses</v>
          </cell>
          <cell r="D71" t="str">
            <v>cum</v>
          </cell>
          <cell r="E71">
            <v>217</v>
          </cell>
        </row>
        <row r="72">
          <cell r="B72" t="str">
            <v>II</v>
          </cell>
          <cell r="C72" t="str">
            <v xml:space="preserve"> By Mechanical Means</v>
          </cell>
        </row>
        <row r="73">
          <cell r="A73" t="str">
            <v>A-9-1</v>
          </cell>
          <cell r="B73" t="str">
            <v>A</v>
          </cell>
          <cell r="C73" t="str">
            <v>Bituminous course</v>
          </cell>
          <cell r="D73" t="str">
            <v>cum</v>
          </cell>
          <cell r="E73">
            <v>163</v>
          </cell>
        </row>
        <row r="74">
          <cell r="B74" t="str">
            <v>2.6</v>
          </cell>
          <cell r="C74" t="str">
            <v>Dismantling of Cement Concrete Pavement (Dismantling of cement concrete pavement by mechanical means using pneumatic tools, breaking to pieces not exceeding 0.02 cum in volume and stock piling at designated locations and disposal of dismantled materials u</v>
          </cell>
          <cell r="D74" t="str">
            <v>cum</v>
          </cell>
          <cell r="E74">
            <v>797</v>
          </cell>
        </row>
        <row r="75">
          <cell r="B75" t="str">
            <v>2.7</v>
          </cell>
          <cell r="C75" t="str">
            <v>Dismantling Guard Rails (Dismantling guard rails by manual means and disposal of dismantled material with all lifts and up to a lead of 1000 metres, stacking serviceable materials and unserviceable materials separately.)</v>
          </cell>
          <cell r="D75" t="str">
            <v>metre</v>
          </cell>
          <cell r="E75">
            <v>33</v>
          </cell>
        </row>
        <row r="76">
          <cell r="A76" t="str">
            <v>A10</v>
          </cell>
          <cell r="B76" t="str">
            <v>2.8</v>
          </cell>
          <cell r="C76" t="str">
            <v>Dismantling Kerb Stone (Dismantling kerb stone by manual means and disposal of dismantled material with all lifts and up to a lead of 1000 metre)</v>
          </cell>
          <cell r="D76" t="str">
            <v>metre</v>
          </cell>
          <cell r="E76">
            <v>9</v>
          </cell>
        </row>
        <row r="77">
          <cell r="B77" t="str">
            <v>2.9</v>
          </cell>
          <cell r="C77" t="str">
            <v>Dismantling Kerb Stone channel (Dismantling kerb stone channel by manual means and disposal of dismantled material with all lifts and up to a lead of 1000 metre)</v>
          </cell>
          <cell r="D77" t="str">
            <v>metre</v>
          </cell>
          <cell r="E77">
            <v>13</v>
          </cell>
        </row>
        <row r="78">
          <cell r="B78" t="str">
            <v>2.10</v>
          </cell>
          <cell r="C78" t="str">
            <v>Dismantling Kilometre Stone (Dismantling of kilometre stone including cutting of earth, foundation and disposal of dismantled material with all lifts and lead upto 1000 m and back filling of pit.)</v>
          </cell>
        </row>
        <row r="79">
          <cell r="A79" t="str">
            <v>A-11-1</v>
          </cell>
          <cell r="B79" t="str">
            <v>A</v>
          </cell>
          <cell r="C79" t="str">
            <v xml:space="preserve"> 5th KM stone</v>
          </cell>
          <cell r="D79" t="str">
            <v>each</v>
          </cell>
          <cell r="E79">
            <v>143</v>
          </cell>
        </row>
        <row r="80">
          <cell r="A80" t="str">
            <v>A-11-2</v>
          </cell>
          <cell r="B80" t="str">
            <v>B</v>
          </cell>
          <cell r="C80" t="str">
            <v>Ordinary KM Stone</v>
          </cell>
          <cell r="D80" t="str">
            <v>each</v>
          </cell>
          <cell r="E80">
            <v>86</v>
          </cell>
        </row>
        <row r="81">
          <cell r="A81" t="str">
            <v>A-11-3</v>
          </cell>
          <cell r="B81" t="str">
            <v>C</v>
          </cell>
          <cell r="C81" t="str">
            <v>Hectometre Stone</v>
          </cell>
          <cell r="D81" t="str">
            <v>each</v>
          </cell>
          <cell r="E81">
            <v>17</v>
          </cell>
        </row>
        <row r="82">
          <cell r="B82" t="str">
            <v>2.11</v>
          </cell>
          <cell r="C82" t="str">
            <v>Dismantling of Fencing (Dismantling of barbed wire fencing/ wire mesh fencing including posts, foundation concrete, back filling of pit by manual means including disposal of dismantled material with all lifts and up to a lead of 1000 metres, stacking serv</v>
          </cell>
          <cell r="D82" t="str">
            <v>metre</v>
          </cell>
          <cell r="E82">
            <v>16</v>
          </cell>
        </row>
        <row r="83">
          <cell r="B83" t="str">
            <v>2.12</v>
          </cell>
          <cell r="C83" t="str">
            <v>Dismantling of CI Water Pipe Line (Dismantling of CI water pipe line 600 mm dia including disposal with all lifts and lead upto 1000 metres and stacking of serviceable material and unserviceable material separately under supervision of concerned departmen</v>
          </cell>
          <cell r="D83" t="str">
            <v>metre</v>
          </cell>
          <cell r="E83">
            <v>48</v>
          </cell>
        </row>
        <row r="84">
          <cell r="B84" t="str">
            <v>2.13</v>
          </cell>
          <cell r="C84" t="str">
            <v>Removal of Cement Concrete Pipe of Sewer Gutter (Removal of cement concrete pipe of sewer gutter 1500 mm dia under the supervision of concerned department including disposal with all lifts and up to a lead of 1000 metres and stacking of serviceable and un</v>
          </cell>
          <cell r="D84" t="str">
            <v>metre</v>
          </cell>
          <cell r="E84">
            <v>62</v>
          </cell>
        </row>
        <row r="85">
          <cell r="A85" t="str">
            <v>A12</v>
          </cell>
          <cell r="B85" t="str">
            <v>2.14</v>
          </cell>
          <cell r="C85" t="str">
            <v>Removal of Telephone / Electric Poles and Lines (Removal of telephone / Electric poles including excavation and dismantling of foundation concrete and lines under the supervision of concerned department, disposal with all lifts and up to a lead of 1000 me</v>
          </cell>
          <cell r="D85" t="str">
            <v>each</v>
          </cell>
          <cell r="E85">
            <v>61</v>
          </cell>
        </row>
        <row r="86">
          <cell r="C86" t="str">
            <v>CHAPTER-3</v>
          </cell>
        </row>
        <row r="87">
          <cell r="C87" t="str">
            <v>EARTH WORK, EROSION CONTROL AND DRAINAGE</v>
          </cell>
        </row>
        <row r="88">
          <cell r="B88" t="str">
            <v>3.1</v>
          </cell>
          <cell r="C88" t="str">
            <v>Excavation in Soil by Manual Means. (Excavation for roadway in soil using manual means including loading in truck for carrying of cut earth to embankment site with all lifts and lead upto1000 metres.)</v>
          </cell>
          <cell r="D88" t="str">
            <v>cum</v>
          </cell>
          <cell r="E88">
            <v>62</v>
          </cell>
        </row>
        <row r="89">
          <cell r="B89" t="str">
            <v>3.2</v>
          </cell>
          <cell r="C89" t="str">
            <v>Excavation in ordinary rock by manual means (Excavation in ordinary rock using manual means including loading in a truck and carrying of excavated material to embankment site with in all lifts and leads upto 1000 metres )</v>
          </cell>
          <cell r="D89" t="str">
            <v>cum</v>
          </cell>
          <cell r="E89">
            <v>83</v>
          </cell>
        </row>
        <row r="90">
          <cell r="B90" t="str">
            <v>3.3</v>
          </cell>
          <cell r="C90" t="str">
            <v>Excavation in Soil with Dozer with lead upto 100 metres (Excavation for road way in soil by mechanical means including cutting and pushing the earth to site of embankment upto a distance of 100 metres (average lead50 metres), including trimming bottom and</v>
          </cell>
          <cell r="D90" t="str">
            <v>cum</v>
          </cell>
          <cell r="E90">
            <v>121</v>
          </cell>
        </row>
        <row r="91">
          <cell r="B91" t="str">
            <v>3.4</v>
          </cell>
          <cell r="C91" t="str">
            <v xml:space="preserve">Excavation in Ordinary Rock with Dozer with lead upto 100 metres (Excavation for roadway in ordinary rock by deploying a dozer, 80 HP including cutting and pushing the cut earth to site of embankment upto a distance of 100 metres ( average lead 50 metres </v>
          </cell>
          <cell r="D91" t="str">
            <v>cum</v>
          </cell>
          <cell r="E91">
            <v>202</v>
          </cell>
        </row>
        <row r="92">
          <cell r="B92" t="str">
            <v>3.5</v>
          </cell>
          <cell r="C92" t="str">
            <v>Excavation in Hard Rock (requiring blasting)   with disposal upto 1000 metres (Excavation for roadway in hard rock (requiring blasting)   by drilling, blasting and breaking, trimming of bottom and side slopes in accordance with requirements of lines, grad</v>
          </cell>
          <cell r="D92" t="str">
            <v>cum</v>
          </cell>
          <cell r="E92">
            <v>253</v>
          </cell>
        </row>
        <row r="93">
          <cell r="A93" t="str">
            <v>B4</v>
          </cell>
          <cell r="B93" t="str">
            <v>3.6</v>
          </cell>
          <cell r="C93" t="str">
            <v>Excavation in Soil using Hydraulic Excavator CK 90 and Tippers with disposal upto 1000 metres. (Excavation for roadwork in soil with hydraulic excavator of0.9 cum bucket capacity including cutting and loading in tippers, trimming bottom and side slopes, i</v>
          </cell>
          <cell r="D93" t="str">
            <v>cum</v>
          </cell>
          <cell r="E93">
            <v>35</v>
          </cell>
        </row>
        <row r="94">
          <cell r="A94" t="str">
            <v>B5</v>
          </cell>
          <cell r="B94" t="str">
            <v>3.7</v>
          </cell>
          <cell r="C94" t="str">
            <v>Excavation in Ordinary Rockusing Hydraulic ExcavatorCK-90 and Tippers with disposal upto 1000 metres. (Excavation for roadway in ordinary rock with hydraulic excavator of 0.9 cum bucket capacity including cutting and loading in tippers, transporting to em</v>
          </cell>
          <cell r="D94" t="str">
            <v>cum</v>
          </cell>
          <cell r="E94">
            <v>46</v>
          </cell>
        </row>
        <row r="95">
          <cell r="B95" t="str">
            <v>3.8</v>
          </cell>
          <cell r="C95" t="str">
            <v>Excavation in Hard Rock (blasting prohibited) (Excavation for roadway in hard rock (blasting prohibited)   with rock breakers including breaking rock, loading in tippers and disposal within all lifts and lead upto 1000 metres, trimming bottom and side slo</v>
          </cell>
        </row>
        <row r="96">
          <cell r="A96" t="str">
            <v>B6</v>
          </cell>
          <cell r="B96" t="str">
            <v>A</v>
          </cell>
          <cell r="C96" t="str">
            <v>Mechanised</v>
          </cell>
          <cell r="D96" t="str">
            <v>cum</v>
          </cell>
          <cell r="E96">
            <v>289</v>
          </cell>
        </row>
        <row r="97">
          <cell r="B97" t="str">
            <v>B</v>
          </cell>
          <cell r="C97" t="str">
            <v>Manual Method</v>
          </cell>
          <cell r="D97" t="str">
            <v>cum</v>
          </cell>
          <cell r="E97">
            <v>394</v>
          </cell>
        </row>
        <row r="98">
          <cell r="A98" t="str">
            <v>B7</v>
          </cell>
          <cell r="B98" t="str">
            <v>3.9</v>
          </cell>
          <cell r="C98" t="str">
            <v>Excavation in Hard Rock (controlled blasting)   with disposal upto 1000 metres (Excavation for roadway in hard rock with controlled blasting by drilling, blasting and breaking, trimming of bottom and side slopes in accordance with requirements of lines, g</v>
          </cell>
          <cell r="D98" t="str">
            <v>cum</v>
          </cell>
          <cell r="E98">
            <v>359</v>
          </cell>
        </row>
        <row r="99">
          <cell r="B99" t="str">
            <v>3.10</v>
          </cell>
          <cell r="C99" t="str">
            <v>Excavation in Marshy Soil (Excavation for roadway in marshy soil with hydraulic excavator 0.9 cum bucket capacity including cutting and loading in tippers and disposal with in all lifts and lead upto 1000 metres, trimming of bottom and side slopes in acco</v>
          </cell>
          <cell r="D99" t="str">
            <v>cum</v>
          </cell>
          <cell r="E99">
            <v>39</v>
          </cell>
        </row>
        <row r="100">
          <cell r="B100" t="str">
            <v>3.11</v>
          </cell>
          <cell r="C100" t="str">
            <v>Removal of Unserviceable Soil with Disposal upto 1000 metres (Removal of unserviceable soil including excavation, loading and disposal upto 1000 metres lead but excluding replacement by suitable soil which shall be paid separately as per clause 305.)</v>
          </cell>
          <cell r="D100" t="str">
            <v>cum</v>
          </cell>
          <cell r="E100">
            <v>35</v>
          </cell>
        </row>
        <row r="101">
          <cell r="A101" t="str">
            <v>B9</v>
          </cell>
          <cell r="B101" t="str">
            <v>3.12</v>
          </cell>
          <cell r="C101" t="str">
            <v>Pre-splitting of Rock Excavation Slopes (Carrying out excavation in hard rock to achieve a specified slope of the rock face by controlled use of explosives and blasting accessories in properly aligned and spaced drill holes, collection of the excavated ro</v>
          </cell>
          <cell r="D101" t="str">
            <v>sqm</v>
          </cell>
          <cell r="E101">
            <v>125</v>
          </cell>
        </row>
        <row r="102">
          <cell r="B102" t="str">
            <v>3.13</v>
          </cell>
          <cell r="C102" t="str">
            <v>Excavation for Structures (Earth work in excavation of foundation of structures as per drawing and technical specification, including setting out, construction of shoring and bracing, removal of stumps and other deleterious matter, dressing of sides and b</v>
          </cell>
        </row>
        <row r="103">
          <cell r="B103" t="str">
            <v>(i)</v>
          </cell>
          <cell r="C103" t="str">
            <v>Ordinary soil</v>
          </cell>
        </row>
        <row r="104">
          <cell r="B104" t="str">
            <v>A</v>
          </cell>
          <cell r="C104" t="str">
            <v>Manual Means (Depth upto 3 m)</v>
          </cell>
          <cell r="D104" t="str">
            <v>cum</v>
          </cell>
          <cell r="E104">
            <v>81</v>
          </cell>
        </row>
        <row r="105">
          <cell r="B105" t="str">
            <v>B</v>
          </cell>
          <cell r="C105" t="str">
            <v>Mechanical Means (Depth upto 3 m)</v>
          </cell>
          <cell r="D105" t="str">
            <v>cum</v>
          </cell>
          <cell r="E105">
            <v>28</v>
          </cell>
        </row>
        <row r="106">
          <cell r="B106" t="str">
            <v>(ii)</v>
          </cell>
          <cell r="C106" t="str">
            <v xml:space="preserve"> Ordinary rock (not requiring blasting)</v>
          </cell>
        </row>
        <row r="107">
          <cell r="B107" t="str">
            <v>A</v>
          </cell>
          <cell r="C107" t="str">
            <v>Manual Means (Depth upto 3 m)</v>
          </cell>
          <cell r="D107" t="str">
            <v>cum</v>
          </cell>
          <cell r="E107">
            <v>101</v>
          </cell>
        </row>
        <row r="108">
          <cell r="B108" t="str">
            <v>B</v>
          </cell>
          <cell r="C108" t="str">
            <v xml:space="preserve"> Mechanical Means</v>
          </cell>
          <cell r="D108" t="str">
            <v>cum</v>
          </cell>
          <cell r="E108">
            <v>38</v>
          </cell>
        </row>
        <row r="109">
          <cell r="B109" t="str">
            <v>(iii)</v>
          </cell>
          <cell r="C109" t="str">
            <v>Hard rock ( requiring blasting )</v>
          </cell>
        </row>
        <row r="110">
          <cell r="B110" t="str">
            <v>A</v>
          </cell>
          <cell r="C110" t="str">
            <v>Manual Means</v>
          </cell>
          <cell r="D110" t="str">
            <v>cum</v>
          </cell>
          <cell r="E110">
            <v>239</v>
          </cell>
        </row>
        <row r="111">
          <cell r="B111" t="str">
            <v>(iv)</v>
          </cell>
          <cell r="C111" t="str">
            <v>Hard rock ( blasting prohibited )</v>
          </cell>
        </row>
        <row r="112">
          <cell r="B112" t="str">
            <v>A</v>
          </cell>
          <cell r="C112" t="str">
            <v>Mechanical Means</v>
          </cell>
          <cell r="D112" t="str">
            <v>cum</v>
          </cell>
          <cell r="E112">
            <v>359</v>
          </cell>
        </row>
        <row r="113">
          <cell r="B113" t="str">
            <v>(v)</v>
          </cell>
          <cell r="C113" t="str">
            <v>Marshy soil</v>
          </cell>
        </row>
        <row r="114">
          <cell r="B114" t="str">
            <v>A</v>
          </cell>
          <cell r="C114" t="str">
            <v>Manual means ( upto 3 m depth)</v>
          </cell>
          <cell r="D114" t="str">
            <v>cum</v>
          </cell>
          <cell r="E114" t="e">
            <v>#VALUE!</v>
          </cell>
        </row>
        <row r="115">
          <cell r="B115" t="str">
            <v>B</v>
          </cell>
          <cell r="C115" t="str">
            <v>Mechanical Means</v>
          </cell>
          <cell r="D115" t="str">
            <v>cum</v>
          </cell>
          <cell r="E115" t="e">
            <v>#VALUE!</v>
          </cell>
        </row>
        <row r="116">
          <cell r="B116" t="str">
            <v>3.14</v>
          </cell>
          <cell r="C116" t="str">
            <v>Scarifying Existing Granular Surface to a Depth of 50 mm by Manual Means (Scarifying the existing granular road surface to a depth of 50 mm and disposal of scarified material within all lifts and leads upto 1000 metres. )</v>
          </cell>
          <cell r="D116" t="str">
            <v>sqm</v>
          </cell>
          <cell r="E116">
            <v>11</v>
          </cell>
        </row>
        <row r="117">
          <cell r="B117" t="str">
            <v>3.15</v>
          </cell>
          <cell r="C117" t="str">
            <v>Scarifying existing bituminous surface to a depth of 50 mm by mechanical means (Scarifying the existing bituminous road surface to a depth of 50 mm and disposal of scarified material with in all lifts and lead upto 1000 metres.)</v>
          </cell>
          <cell r="D117" t="str">
            <v>sqm</v>
          </cell>
          <cell r="E117">
            <v>2</v>
          </cell>
        </row>
        <row r="118">
          <cell r="A118" t="str">
            <v>B10</v>
          </cell>
          <cell r="B118" t="str">
            <v>3.16</v>
          </cell>
          <cell r="C118" t="str">
            <v>Embankment Construction with Material Obtained from Borrow Pits (Construction of embankment with approved material obtained from borrow pits with all lifts and leads, transporting to site, spreading, grading to required slope and compacting to meet requir</v>
          </cell>
          <cell r="D118" t="str">
            <v>cum</v>
          </cell>
          <cell r="E118">
            <v>109</v>
          </cell>
        </row>
        <row r="119">
          <cell r="A119" t="str">
            <v>B11</v>
          </cell>
          <cell r="B119" t="str">
            <v>3.17</v>
          </cell>
          <cell r="C119" t="str">
            <v>Construction of Embankment with Material Deposited from Roadway Cutting (Construction of embankment with approved materials deposited at site from roadway cutting and excavation from drain and foundation of other structures graded and compacted to meet re</v>
          </cell>
          <cell r="D119" t="str">
            <v>cum</v>
          </cell>
          <cell r="E119">
            <v>61</v>
          </cell>
        </row>
        <row r="120">
          <cell r="A120" t="str">
            <v>B12</v>
          </cell>
          <cell r="B120" t="str">
            <v>3.18</v>
          </cell>
          <cell r="C120" t="str">
            <v>Construction of Subgrade and Earthen Shoulders (Construction of subgrade and earthen shoulders with approved material obtained from borrow pits with all lifts &amp; leads, transporting to site, spreading, grading to required slope and compacted to meet requir</v>
          </cell>
          <cell r="D120" t="str">
            <v>cum</v>
          </cell>
          <cell r="E120">
            <v>138</v>
          </cell>
        </row>
        <row r="121">
          <cell r="B121" t="str">
            <v>3.19</v>
          </cell>
          <cell r="C121" t="str">
            <v>Compacting Original Ground</v>
          </cell>
        </row>
        <row r="122">
          <cell r="A122" t="str">
            <v>B13</v>
          </cell>
          <cell r="B122" t="str">
            <v>Case-I</v>
          </cell>
          <cell r="C122" t="str">
            <v>Compacting original ground supporting subgrade (Loosening of the ground upto a level of500 mm below the subgrade level, watered, graded and compacted in layers to meet requirement of table 300-2 for subgrade construction.)</v>
          </cell>
          <cell r="D122" t="str">
            <v>cum</v>
          </cell>
          <cell r="E122">
            <v>43</v>
          </cell>
        </row>
        <row r="123">
          <cell r="B123" t="str">
            <v xml:space="preserve">Case-II </v>
          </cell>
          <cell r="C123" t="str">
            <v>:Compacting original ground supporting embankment</v>
          </cell>
          <cell r="D123" t="str">
            <v>cum</v>
          </cell>
          <cell r="E123">
            <v>20</v>
          </cell>
        </row>
        <row r="124">
          <cell r="A124" t="str">
            <v>B14</v>
          </cell>
          <cell r="B124" t="str">
            <v>3.20</v>
          </cell>
          <cell r="C124" t="str">
            <v>Stripping and Storing Top Soil (Stripping, storing of top soil by road side at 15 m internal and re-application on embankment slopes, cut slopes and other areas in localities where the available embankment material is not conducive to plant growth)</v>
          </cell>
          <cell r="D124" t="str">
            <v>cum</v>
          </cell>
          <cell r="E124">
            <v>86</v>
          </cell>
        </row>
        <row r="125">
          <cell r="A125" t="str">
            <v>C5</v>
          </cell>
          <cell r="B125" t="str">
            <v>3.21</v>
          </cell>
          <cell r="C125" t="str">
            <v>Stripping, storing and re-laying top soil from borrow areas in agriculture fields. (Stripping of top soil from borrow areas located in agriculture fields, storing at a suitable place, spreading and re-laying after taking the borrow earth to maintain ferti</v>
          </cell>
          <cell r="D125" t="str">
            <v>cum</v>
          </cell>
          <cell r="E125">
            <v>73</v>
          </cell>
        </row>
        <row r="126">
          <cell r="A126" t="str">
            <v>B15</v>
          </cell>
          <cell r="B126" t="str">
            <v>3.22</v>
          </cell>
          <cell r="C126" t="str">
            <v>Turfing with Sods (Furnishing and laying of the live sods of perennial turf forming grass on embankment slope, verges or other locations shown on the drawing or as directed by the engineer including preparation of ground, fetching of rods and watering)</v>
          </cell>
          <cell r="D126" t="str">
            <v>sqm</v>
          </cell>
          <cell r="E126">
            <v>9</v>
          </cell>
        </row>
        <row r="127">
          <cell r="A127" t="str">
            <v>I1</v>
          </cell>
          <cell r="B127" t="str">
            <v>3.23</v>
          </cell>
          <cell r="C127" t="str">
            <v>Seeding and Mulching (Preparation of seed bed on previously laid top soil, furnishing and placing of seeds, fertilizer, mulching material, applying bituminous emulsion at the rate of0.23 litres per sqm and laying and fixing jute netting, including waterin</v>
          </cell>
          <cell r="D127" t="str">
            <v>sqm</v>
          </cell>
          <cell r="E127">
            <v>28</v>
          </cell>
        </row>
        <row r="128">
          <cell r="B128" t="str">
            <v>3.24</v>
          </cell>
          <cell r="C128" t="str">
            <v xml:space="preserve">Surface Drains in Soil (Construction of unlined surface drains of average cross sectional area 0.40 sqm in soil to specified lines, grades, levels and dimensions to the requirement of clause 301 and 309. Excavated material to be used in embankment within </v>
          </cell>
        </row>
        <row r="129">
          <cell r="B129" t="str">
            <v>A</v>
          </cell>
          <cell r="C129" t="str">
            <v>Mechanical means</v>
          </cell>
          <cell r="D129" t="str">
            <v>metre</v>
          </cell>
          <cell r="E129">
            <v>44</v>
          </cell>
        </row>
        <row r="130">
          <cell r="B130" t="str">
            <v>B</v>
          </cell>
          <cell r="C130" t="str">
            <v>Manual Means</v>
          </cell>
          <cell r="D130" t="str">
            <v>metre</v>
          </cell>
          <cell r="E130">
            <v>20</v>
          </cell>
        </row>
        <row r="131">
          <cell r="B131" t="str">
            <v>3.25</v>
          </cell>
          <cell r="C131" t="str">
            <v>Surface Drains in Ordinary Rock (Construction of unlined surface drain of average cross sectional area 0.4 sqm in ordinary rock to specified lines, grades, levels and dimensions as per approved design and to the requirement of clause 301 to 309. Excavated</v>
          </cell>
        </row>
        <row r="132">
          <cell r="B132" t="str">
            <v>A</v>
          </cell>
          <cell r="C132" t="str">
            <v>Mechanical Means</v>
          </cell>
          <cell r="D132" t="str">
            <v>metre</v>
          </cell>
          <cell r="E132">
            <v>89</v>
          </cell>
        </row>
        <row r="133">
          <cell r="B133" t="str">
            <v>B</v>
          </cell>
          <cell r="C133" t="str">
            <v>Manual Means</v>
          </cell>
          <cell r="D133" t="str">
            <v>metre</v>
          </cell>
          <cell r="E133">
            <v>30</v>
          </cell>
        </row>
        <row r="134">
          <cell r="B134" t="str">
            <v>3.26</v>
          </cell>
          <cell r="C134" t="str">
            <v>Surface Drains in Hard Rock (Rate per metre may be worked out based on quantity of hard rock as per design.)</v>
          </cell>
          <cell r="D134" t="str">
            <v>metre</v>
          </cell>
        </row>
        <row r="135">
          <cell r="B135" t="str">
            <v>3.27</v>
          </cell>
          <cell r="C135" t="str">
            <v>Sub Surface Drains with Perforated Pipe (Construction of subsurface drain with perforated pipe of 100 mm internal diameter of metal/ asbestos cement/ cement concrete/PVC, closely jointed, perforations ranging from 3 mm to 6 mm depending upon size of mater</v>
          </cell>
          <cell r="E135" t="e">
            <v>#VALUE!</v>
          </cell>
        </row>
        <row r="136">
          <cell r="B136" t="str">
            <v>3.28</v>
          </cell>
          <cell r="C136" t="str">
            <v>Aggregate Sub- Surface Drains (Construction of aggregate sub surface drain 300 mm x 450 mm with aggregates conforming to table 300-4, excavated material to be utilised in roadway )</v>
          </cell>
          <cell r="D136" t="str">
            <v>metre</v>
          </cell>
          <cell r="E136">
            <v>37</v>
          </cell>
        </row>
        <row r="137">
          <cell r="B137" t="str">
            <v>3.29</v>
          </cell>
          <cell r="C137" t="str">
            <v>Underground Drain at Edge of Pavement (Construction of an underground drain 1 m x 1 m (inside dimensions) lined with RCC-20 cm thick and covered with RCC slab10 cm in thickness on urban roads)</v>
          </cell>
          <cell r="D137" t="str">
            <v>metre</v>
          </cell>
          <cell r="E137">
            <v>1353</v>
          </cell>
        </row>
        <row r="138">
          <cell r="B138" t="str">
            <v>3.30</v>
          </cell>
          <cell r="C138" t="str">
            <v>Preparation and Surface Treatment of formation. (Preparation and surface treatment of formation by removing mud and slurry, watering to the extent needed to maintain the desired moisture content, trimming to the required line, grade, profile and rolling w</v>
          </cell>
          <cell r="D138" t="str">
            <v>sqm</v>
          </cell>
          <cell r="E138">
            <v>1</v>
          </cell>
        </row>
        <row r="139">
          <cell r="A139" t="str">
            <v>B18</v>
          </cell>
          <cell r="B139" t="str">
            <v>3.31</v>
          </cell>
          <cell r="C139" t="str">
            <v>Construction of Rock fill Embankment (Construction of rock fill embankment with broken hard rock fragments of size not exceeding 300 mm laid in layers not exceeding 500 mm thick including filling of surface voids with stone spalls, blinding top layer with</v>
          </cell>
          <cell r="D139" t="str">
            <v>cum</v>
          </cell>
          <cell r="E139">
            <v>37</v>
          </cell>
        </row>
        <row r="140">
          <cell r="B140" t="str">
            <v>3.32</v>
          </cell>
          <cell r="C140" t="str">
            <v>Excavation in Hill Area in Soil by Mechanical Means (Excavation in soil in hilly area by mechanical means including cutting and trimming of side slopes and disposing of excavated earth with all lifts and lead upto 1000 metres)</v>
          </cell>
          <cell r="D140" t="str">
            <v>cum</v>
          </cell>
          <cell r="E140">
            <v>117</v>
          </cell>
        </row>
        <row r="141">
          <cell r="B141" t="str">
            <v>3.33</v>
          </cell>
          <cell r="C141" t="str">
            <v>Excavation in Hilly Area in Ordinary Rock by Mechanical Means not Requiring Blasting. (Excavation in hilly area in ordinary rock not requiring ballasting by mechanical means including cutting and trimming of slopes and disposal of cut material with all li</v>
          </cell>
          <cell r="D141" t="str">
            <v>cum</v>
          </cell>
          <cell r="E141">
            <v>176</v>
          </cell>
        </row>
        <row r="142">
          <cell r="B142" t="str">
            <v>3.34</v>
          </cell>
          <cell r="C142" t="str">
            <v>Excavation in Hilly Areas in Hard Rock Requiring Blasting (Excavation in hilly areas in hard rock requiring blasting, by mechanical means including trimming of slopes and disposal of cut material with all lifts and lead upto 1000 metres.)</v>
          </cell>
          <cell r="D142" t="str">
            <v>cum</v>
          </cell>
          <cell r="E142">
            <v>234</v>
          </cell>
        </row>
        <row r="143">
          <cell r="B143" t="str">
            <v>3.35</v>
          </cell>
          <cell r="C143" t="str">
            <v>Work in Urban Roads (The cost of earth work in urban roads inhabited area will be comparatively higher due to following reasons:)</v>
          </cell>
        </row>
        <row r="144">
          <cell r="B144" t="str">
            <v>3.36</v>
          </cell>
          <cell r="C144" t="str">
            <v>Embankment Construction with Fly ash/Pond ash available from coal or lignite burning Thermal Plants as waste material. (Construction of embankment with fly ash conforming to table 1 of IRC: SP: 58 - 2001 obtained from coal or lignite burning thermal power</v>
          </cell>
          <cell r="D144" t="str">
            <v>cum</v>
          </cell>
          <cell r="E144" t="e">
            <v>#VALUE!</v>
          </cell>
        </row>
        <row r="145">
          <cell r="C145" t="str">
            <v>CHAPTER-4</v>
          </cell>
        </row>
        <row r="146">
          <cell r="C146" t="str">
            <v>SUB-BASES, BASES ( NON- BITUMINOUS) AND SHOULDERS</v>
          </cell>
        </row>
        <row r="147">
          <cell r="B147" t="str">
            <v>4.1</v>
          </cell>
          <cell r="C147" t="str">
            <v>Granular Sub-base with Close Graded Material (Table:- 400-1)</v>
          </cell>
        </row>
        <row r="148">
          <cell r="B148" t="str">
            <v>A</v>
          </cell>
          <cell r="C148" t="str">
            <v>Plant Mix Method (Construction of granular sub-base by providing close graded Material, mixing in a mechanical mix plant at OMC, carriage of mixed Material to work site, spreading in uniform layers with motor grader on prepared surface and compacting with</v>
          </cell>
        </row>
        <row r="149">
          <cell r="B149" t="str">
            <v>(i)</v>
          </cell>
          <cell r="C149" t="str">
            <v>for grading- I  Material</v>
          </cell>
          <cell r="D149" t="str">
            <v>cum</v>
          </cell>
          <cell r="E149">
            <v>672</v>
          </cell>
        </row>
        <row r="150">
          <cell r="B150" t="str">
            <v>(ii)</v>
          </cell>
          <cell r="C150" t="str">
            <v>for grading- II  Material</v>
          </cell>
          <cell r="D150" t="str">
            <v>cum</v>
          </cell>
          <cell r="E150">
            <v>716</v>
          </cell>
        </row>
        <row r="151">
          <cell r="B151" t="str">
            <v>(iii)</v>
          </cell>
          <cell r="C151" t="str">
            <v>for grading-III  Material</v>
          </cell>
          <cell r="D151" t="str">
            <v>cum</v>
          </cell>
          <cell r="E151">
            <v>643</v>
          </cell>
        </row>
        <row r="152">
          <cell r="B152" t="str">
            <v>B</v>
          </cell>
          <cell r="C152" t="str">
            <v>By Mix in Place Method (Construction of granular sub-base by providing close graded material, spreading in uniform layers with motor grader on prepared surface, mixing by mix in place method with rotavator at OMC, and compacting with vibratory roller to a</v>
          </cell>
        </row>
        <row r="153">
          <cell r="A153" t="str">
            <v>c2-1</v>
          </cell>
          <cell r="B153" t="str">
            <v>(i)</v>
          </cell>
          <cell r="C153" t="str">
            <v>for grading- I  Material</v>
          </cell>
          <cell r="D153" t="str">
            <v>cum</v>
          </cell>
          <cell r="E153">
            <v>543</v>
          </cell>
        </row>
        <row r="154">
          <cell r="B154" t="str">
            <v>(ii)</v>
          </cell>
          <cell r="C154" t="str">
            <v>for grading- II  Material</v>
          </cell>
          <cell r="D154" t="str">
            <v>cum</v>
          </cell>
          <cell r="E154">
            <v>595</v>
          </cell>
        </row>
        <row r="155">
          <cell r="A155" t="str">
            <v>C2-2</v>
          </cell>
          <cell r="B155" t="str">
            <v>(iii)</v>
          </cell>
          <cell r="C155" t="str">
            <v>for grading-III  Material</v>
          </cell>
          <cell r="D155" t="str">
            <v>cum</v>
          </cell>
          <cell r="E155">
            <v>531</v>
          </cell>
        </row>
        <row r="156">
          <cell r="B156" t="str">
            <v>4.2</v>
          </cell>
          <cell r="C156" t="str">
            <v>Granular Sub-Base with Coarse Graded Material ( Table:- 400- 2) (Construction of granular sub-base by providing coarse graded material, spreading in uniform layers with motor grader on prepared surface, mixing by mix in place method with rotavator at OMC,</v>
          </cell>
        </row>
        <row r="157">
          <cell r="A157" t="str">
            <v>C2</v>
          </cell>
          <cell r="B157" t="str">
            <v>(i)</v>
          </cell>
          <cell r="C157" t="str">
            <v>for grading- I  Material</v>
          </cell>
          <cell r="D157" t="str">
            <v>cum</v>
          </cell>
          <cell r="E157">
            <v>609</v>
          </cell>
        </row>
        <row r="158">
          <cell r="B158" t="str">
            <v>(ii)</v>
          </cell>
          <cell r="C158" t="str">
            <v>for grading- II  Material</v>
          </cell>
          <cell r="D158" t="str">
            <v>cum</v>
          </cell>
          <cell r="E158">
            <v>651</v>
          </cell>
        </row>
        <row r="159">
          <cell r="A159" t="str">
            <v>C1</v>
          </cell>
          <cell r="B159" t="str">
            <v>(iii)</v>
          </cell>
          <cell r="C159" t="str">
            <v>for grading-III  Material</v>
          </cell>
          <cell r="D159" t="str">
            <v>cum</v>
          </cell>
          <cell r="E159">
            <v>581</v>
          </cell>
        </row>
        <row r="160">
          <cell r="B160" t="str">
            <v>4.3</v>
          </cell>
          <cell r="C160" t="str">
            <v>Lime Stabilisation for Improving Subgrade (Laying and spreading available soil in the subgrade on a prepared surface, pulverising, mixing the spread soil in place with rotavator with 3 % slaked lime having minimum content of 70% of CaO, grading with motor</v>
          </cell>
        </row>
        <row r="161">
          <cell r="B161" t="str">
            <v>A</v>
          </cell>
          <cell r="C161" t="str">
            <v>By Mechanical Means</v>
          </cell>
          <cell r="D161" t="str">
            <v>cum</v>
          </cell>
          <cell r="E161">
            <v>323</v>
          </cell>
        </row>
        <row r="162">
          <cell r="B162" t="str">
            <v>B</v>
          </cell>
          <cell r="C162" t="str">
            <v>By Manual Means</v>
          </cell>
          <cell r="D162" t="str">
            <v>cum</v>
          </cell>
          <cell r="E162">
            <v>307</v>
          </cell>
        </row>
        <row r="163">
          <cell r="B163" t="str">
            <v>4.4</v>
          </cell>
          <cell r="C163" t="str">
            <v>Lime Treated Soil for Sub- Base (Providing, laying and spreading soil on a prepared sub grade, pulverising, mixing the spread soil in place with rotavator with 3 % slaked lime with minimum content of 70% of CaO, grading with motor grader and compacting wi</v>
          </cell>
          <cell r="D163" t="str">
            <v>cum</v>
          </cell>
          <cell r="E163">
            <v>383</v>
          </cell>
        </row>
        <row r="164">
          <cell r="B164" t="str">
            <v>4.5</v>
          </cell>
          <cell r="C164" t="str">
            <v>Cement Treated Soil Sub Base/ Base (Providing, laying and spreading soil on a prepared sub grade, pulverising, adding the designed quantity of cement to the spread soil, mixing in place with rotavator, grading with the motor grader and compacting with the</v>
          </cell>
          <cell r="D164" t="str">
            <v>cum</v>
          </cell>
          <cell r="E164">
            <v>394</v>
          </cell>
        </row>
        <row r="165">
          <cell r="B165" t="str">
            <v>4.6</v>
          </cell>
          <cell r="C165" t="str">
            <v>Cement Treated Crushed Rock or combination as per clause 403.2 and table 400.4in Sub base/ Base (Providing, laying and spreading Material on a prepared sub grade, adding the designed quantity of cement to the spread Material, mixing in place with rotavato</v>
          </cell>
        </row>
        <row r="166">
          <cell r="B166" t="str">
            <v>(i)</v>
          </cell>
          <cell r="C166" t="str">
            <v>For Sub-Base course</v>
          </cell>
          <cell r="D166" t="str">
            <v>cum</v>
          </cell>
          <cell r="E166">
            <v>961</v>
          </cell>
        </row>
        <row r="167">
          <cell r="B167" t="str">
            <v>(ii)</v>
          </cell>
          <cell r="C167" t="str">
            <v>For Base course</v>
          </cell>
          <cell r="D167" t="str">
            <v>cum</v>
          </cell>
          <cell r="E167">
            <v>994</v>
          </cell>
        </row>
        <row r="168">
          <cell r="B168" t="str">
            <v>4.7</v>
          </cell>
          <cell r="C168" t="str">
            <v>Making 50 mm x 50 mm Furrows  (Making 50 mm x 50 mm furrows, 25mm deep, 450 to the center line of the road and at one metre interval in the existing thin bituminous wearing coarse including sweeping and disposal of excavated material within 1000 metres le</v>
          </cell>
          <cell r="D168" t="str">
            <v>sqm</v>
          </cell>
          <cell r="E168">
            <v>262</v>
          </cell>
        </row>
        <row r="169">
          <cell r="B169" t="str">
            <v>4.8</v>
          </cell>
          <cell r="C169" t="str">
            <v>Inverted Choke (Construction of inverted choke by providing, laying, spreading and compacting screening B type/ coarse sand of specified grade in uniform layer on a prepared surface with motor grader and compacting with power roller etc)</v>
          </cell>
          <cell r="D169" t="str">
            <v>cum</v>
          </cell>
          <cell r="E169">
            <v>563</v>
          </cell>
        </row>
        <row r="170">
          <cell r="B170" t="str">
            <v>4.9</v>
          </cell>
          <cell r="C170" t="str">
            <v xml:space="preserve">Water Bound Macadam (Providing, laying, spreading and compacting stone aggregates of specific sizes to water bound macadam specification including spreading in uniform thickness, hand packing, rolling with vibratory roller 8-10 tonnes in stages to proper </v>
          </cell>
        </row>
        <row r="171">
          <cell r="B171" t="str">
            <v>A</v>
          </cell>
          <cell r="C171" t="str">
            <v>By Manual Means</v>
          </cell>
        </row>
        <row r="172">
          <cell r="B172" t="str">
            <v>(i)</v>
          </cell>
          <cell r="C172" t="str">
            <v>Grading- I  (Using Screening Crushable type such as Moorum or Gravel)</v>
          </cell>
        </row>
        <row r="173">
          <cell r="B173" t="str">
            <v>(a)</v>
          </cell>
          <cell r="C173" t="str">
            <v>Using Screening Crushable type such as Moorum or Gravel</v>
          </cell>
          <cell r="D173" t="str">
            <v>cum</v>
          </cell>
          <cell r="E173">
            <v>615</v>
          </cell>
        </row>
        <row r="174">
          <cell r="B174" t="str">
            <v>(b)</v>
          </cell>
          <cell r="C174" t="str">
            <v>Using Screening Type-A (13.2mm Agg.)</v>
          </cell>
          <cell r="D174" t="str">
            <v>cum</v>
          </cell>
          <cell r="E174">
            <v>737.71453799999983</v>
          </cell>
        </row>
        <row r="175">
          <cell r="B175" t="str">
            <v>(ii)</v>
          </cell>
          <cell r="C175" t="str">
            <v>Grading- II  (Using Screening Crushable type such as Moorum or Gravel)</v>
          </cell>
        </row>
        <row r="176">
          <cell r="B176" t="str">
            <v>(a)</v>
          </cell>
          <cell r="C176" t="str">
            <v>Using Screening Crushable type such as Moorum or Gravel</v>
          </cell>
          <cell r="D176" t="str">
            <v>cum</v>
          </cell>
          <cell r="E176">
            <v>603</v>
          </cell>
        </row>
        <row r="177">
          <cell r="B177" t="str">
            <v>(b)</v>
          </cell>
          <cell r="C177" t="str">
            <v>Using Screening Type-A (13.2mm Agg.)</v>
          </cell>
          <cell r="D177" t="str">
            <v>cum</v>
          </cell>
          <cell r="E177">
            <v>669</v>
          </cell>
        </row>
        <row r="178">
          <cell r="B178" t="str">
            <v>(c)</v>
          </cell>
          <cell r="C178" t="str">
            <v>Using Screening Type-B (11.2mm Agg.)</v>
          </cell>
          <cell r="D178" t="str">
            <v>cum</v>
          </cell>
          <cell r="E178">
            <v>711</v>
          </cell>
        </row>
        <row r="179">
          <cell r="B179" t="str">
            <v>(iii)</v>
          </cell>
          <cell r="C179" t="str">
            <v>Grading- III  (Using Screening Crushable type such as Moorum or Gravel)</v>
          </cell>
        </row>
        <row r="180">
          <cell r="B180" t="str">
            <v>(a)</v>
          </cell>
          <cell r="C180" t="str">
            <v>Using Screening Crushable type such as Moorum or Gravel</v>
          </cell>
          <cell r="D180" t="str">
            <v>cum</v>
          </cell>
          <cell r="E180">
            <v>607</v>
          </cell>
        </row>
        <row r="181">
          <cell r="B181" t="str">
            <v>(b)</v>
          </cell>
          <cell r="C181" t="str">
            <v>Using Screening Type-B (11.2mm Agg.)</v>
          </cell>
          <cell r="D181" t="str">
            <v>cum</v>
          </cell>
          <cell r="E181">
            <v>715</v>
          </cell>
        </row>
        <row r="182">
          <cell r="B182" t="str">
            <v>B</v>
          </cell>
          <cell r="C182" t="str">
            <v>By Mechanical Means:</v>
          </cell>
        </row>
        <row r="183">
          <cell r="B183" t="str">
            <v>(i)</v>
          </cell>
          <cell r="C183" t="str">
            <v>Grading- I  (Using Screening Crushable type such as Moorum or Gravel)</v>
          </cell>
        </row>
        <row r="184">
          <cell r="B184" t="str">
            <v>(a)</v>
          </cell>
          <cell r="C184" t="str">
            <v>Using Screening Crushable type such as Moorum or Gravel</v>
          </cell>
          <cell r="D184" t="str">
            <v>cum</v>
          </cell>
          <cell r="E184">
            <v>595</v>
          </cell>
        </row>
        <row r="185">
          <cell r="B185" t="str">
            <v>(b)</v>
          </cell>
          <cell r="C185" t="str">
            <v>Using Screening Type-A (13.2mm Agg.)</v>
          </cell>
          <cell r="D185" t="str">
            <v>cum</v>
          </cell>
          <cell r="E185">
            <v>718.0401756</v>
          </cell>
        </row>
        <row r="186">
          <cell r="B186" t="str">
            <v>(ii)</v>
          </cell>
          <cell r="C186" t="str">
            <v>Grading- II  (Using Screening Crushable type such as Moorum or Gravel)</v>
          </cell>
        </row>
        <row r="187">
          <cell r="B187" t="str">
            <v>(a)</v>
          </cell>
          <cell r="C187" t="str">
            <v>Using Screening Crushable type such as Moorum or Gravel</v>
          </cell>
          <cell r="D187" t="str">
            <v>cum</v>
          </cell>
          <cell r="E187">
            <v>583</v>
          </cell>
        </row>
        <row r="188">
          <cell r="B188" t="str">
            <v>(b)</v>
          </cell>
          <cell r="C188" t="str">
            <v>Using Screening Type-A (13.2mm Agg.)</v>
          </cell>
          <cell r="D188" t="str">
            <v>cum</v>
          </cell>
          <cell r="E188">
            <v>650</v>
          </cell>
        </row>
        <row r="189">
          <cell r="B189" t="str">
            <v>(c)</v>
          </cell>
          <cell r="C189" t="str">
            <v>Using Screening Type-B (11.2mm Agg.)</v>
          </cell>
          <cell r="D189" t="str">
            <v>cum</v>
          </cell>
          <cell r="E189">
            <v>691</v>
          </cell>
        </row>
        <row r="190">
          <cell r="B190" t="str">
            <v>(iii)</v>
          </cell>
          <cell r="C190" t="str">
            <v>Grading- III  (Using Screening Crushable type such as Moorum or Gravel)</v>
          </cell>
        </row>
        <row r="191">
          <cell r="B191" t="str">
            <v>(a)</v>
          </cell>
          <cell r="C191" t="str">
            <v>Using Screening Crushable type such as Moorum or Gravel</v>
          </cell>
          <cell r="D191" t="str">
            <v>cum</v>
          </cell>
          <cell r="E191">
            <v>587</v>
          </cell>
        </row>
        <row r="192">
          <cell r="B192" t="str">
            <v>(b)</v>
          </cell>
          <cell r="C192" t="str">
            <v>Using Screening Type-B (11.2mm Agg.)</v>
          </cell>
          <cell r="D192" t="str">
            <v>cum</v>
          </cell>
          <cell r="E192">
            <v>695</v>
          </cell>
        </row>
        <row r="193">
          <cell r="B193" t="str">
            <v>4.10</v>
          </cell>
          <cell r="C193" t="str">
            <v>Crushed Cement Concrete Sub-base / Base (Breaking and crushing of material obtained by breaking damaged cement concrete slabs to size range not exceeding 75 mm as specified in table 400.7 transporting the aggregates obtained from breaking of cement concre</v>
          </cell>
          <cell r="D193" t="str">
            <v>cum</v>
          </cell>
          <cell r="E193">
            <v>164</v>
          </cell>
        </row>
        <row r="194">
          <cell r="B194" t="str">
            <v>4.11</v>
          </cell>
          <cell r="C194" t="str">
            <v>Penetration Coat Over Top Layer of Crushed Cement Concrete Base (Spraying of bitumen over cleaned dry surface of crushed cement concrete base at the rate of 25 kg per 10 sqm by a bitumen pressure distributor, spreading of key aggregates at the rate of 0.1</v>
          </cell>
          <cell r="D194" t="str">
            <v>sqm</v>
          </cell>
          <cell r="E194">
            <v>12</v>
          </cell>
        </row>
        <row r="195">
          <cell r="A195" t="str">
            <v>C3</v>
          </cell>
          <cell r="B195" t="str">
            <v>4.12</v>
          </cell>
          <cell r="C195" t="str">
            <v xml:space="preserve"> Wet Mix Macadam (Providing, laying, spreading and compacting graded stone aggregate to wet mix macadam specification including premixing the Material with water at OMC in mechanical mix plant carriage of mixed Material by tipper to site, laying in unifor</v>
          </cell>
          <cell r="D195" t="str">
            <v>cum</v>
          </cell>
          <cell r="E195">
            <v>762</v>
          </cell>
        </row>
        <row r="196">
          <cell r="A196" t="str">
            <v>C4</v>
          </cell>
          <cell r="B196" t="str">
            <v>4.13</v>
          </cell>
          <cell r="C196" t="str">
            <v>Construction of Median and Island with Soil Taken from Roadway Cutting (Construction of Median and Island above road level with approved material deposited at site from roadway cutting and excavation for drain and foundation of other structures, spread, g</v>
          </cell>
          <cell r="D196" t="str">
            <v>cum</v>
          </cell>
          <cell r="E196">
            <v>77</v>
          </cell>
        </row>
        <row r="197">
          <cell r="B197" t="str">
            <v>4.14</v>
          </cell>
          <cell r="C197" t="str">
            <v>Construction of Median and Island with Soil Taken from Borrow Areas (Construction of median and Island above road level with approved material brought from borrow pits, spread, sloped and compacted as per clause 407)</v>
          </cell>
          <cell r="D197" t="str">
            <v>cum</v>
          </cell>
          <cell r="E197">
            <v>131</v>
          </cell>
        </row>
        <row r="198">
          <cell r="B198" t="str">
            <v>4.15</v>
          </cell>
          <cell r="C198" t="str">
            <v>Construction of Shoulders (A. Earthen Shoulders)</v>
          </cell>
        </row>
        <row r="199">
          <cell r="A199" t="str">
            <v>C7</v>
          </cell>
          <cell r="B199" t="str">
            <v>4.16</v>
          </cell>
          <cell r="C199" t="str">
            <v>Footpaths and Separators (Construction of footpath/separator by providing a 150 mm compacted granular sub base as per clause 401 and 25 mm thick cement concrete grade M15, over laid with precast concrete tiles in cement mortar 1:3 including provision of a</v>
          </cell>
          <cell r="D199" t="str">
            <v>sqm</v>
          </cell>
          <cell r="E199">
            <v>320</v>
          </cell>
        </row>
        <row r="200">
          <cell r="B200" t="str">
            <v>4.17</v>
          </cell>
          <cell r="C200" t="str">
            <v>Crusher Run Macadam Base (Providing crushed stone aggregate, depositing on a prepared surface by hauling vehicles, spreading and mixing with a motor grader, watering and compacting with a vibratory roller to clause 410 to form a layer of sub-base/Base)</v>
          </cell>
        </row>
        <row r="201">
          <cell r="B201" t="str">
            <v>A</v>
          </cell>
          <cell r="C201" t="str">
            <v>By Mix in Place Method</v>
          </cell>
        </row>
        <row r="202">
          <cell r="B202" t="str">
            <v xml:space="preserve">(i) </v>
          </cell>
          <cell r="C202" t="str">
            <v>For 53 mm maximum size</v>
          </cell>
          <cell r="D202" t="str">
            <v>cum</v>
          </cell>
          <cell r="E202">
            <v>710</v>
          </cell>
        </row>
        <row r="203">
          <cell r="B203" t="str">
            <v xml:space="preserve">(ii) </v>
          </cell>
          <cell r="C203" t="str">
            <v>For 45 mm maximum size</v>
          </cell>
          <cell r="D203" t="str">
            <v>cum</v>
          </cell>
          <cell r="E203">
            <v>772</v>
          </cell>
        </row>
        <row r="204">
          <cell r="B204" t="str">
            <v>B</v>
          </cell>
          <cell r="C204" t="str">
            <v>By Mixing Plant :</v>
          </cell>
        </row>
        <row r="205">
          <cell r="B205" t="str">
            <v xml:space="preserve">(i) </v>
          </cell>
          <cell r="C205" t="str">
            <v>For 53 mm maximum size</v>
          </cell>
          <cell r="D205" t="str">
            <v>cum</v>
          </cell>
          <cell r="E205">
            <v>870</v>
          </cell>
        </row>
        <row r="206">
          <cell r="B206" t="str">
            <v xml:space="preserve">(ii) </v>
          </cell>
          <cell r="C206" t="str">
            <v>For 45 mm maximum size</v>
          </cell>
          <cell r="D206" t="str">
            <v>cum</v>
          </cell>
          <cell r="E206">
            <v>584</v>
          </cell>
        </row>
        <row r="207">
          <cell r="B207" t="str">
            <v>4.18</v>
          </cell>
          <cell r="C207" t="str">
            <v>Lime, Fly ash stabalised soil sub-base (Construction of Sub-base using lime - fly ash admixture with granular soil, free from organic matter/ deleterious material or clayey silts and low plasticity clays having PI between 5 and 20 and liquid limit less th</v>
          </cell>
          <cell r="D207" t="str">
            <v>cum</v>
          </cell>
          <cell r="E207" t="e">
            <v>#VALUE!</v>
          </cell>
        </row>
        <row r="208">
          <cell r="C208" t="str">
            <v>CHAPTER-5</v>
          </cell>
        </row>
        <row r="209">
          <cell r="C209" t="str">
            <v>BASES AND SURFACE COURSES (BITUMINOUS)</v>
          </cell>
        </row>
        <row r="210">
          <cell r="A210" t="str">
            <v>D1</v>
          </cell>
          <cell r="B210" t="str">
            <v>5.1</v>
          </cell>
          <cell r="C210" t="str">
            <v>Prime coat (Providing and applying primer coat with bitumen emulsion on prepared surface of granular Base including clearing of road surface and spraying primer at the rate of 0.60 kg/sqm using mechanical means.)</v>
          </cell>
          <cell r="D210" t="str">
            <v>sqm</v>
          </cell>
          <cell r="E210">
            <v>15</v>
          </cell>
        </row>
        <row r="211">
          <cell r="B211" t="str">
            <v>5.2</v>
          </cell>
          <cell r="C211" t="str">
            <v xml:space="preserve">Tack coat </v>
          </cell>
        </row>
        <row r="212">
          <cell r="A212" t="str">
            <v>D2</v>
          </cell>
          <cell r="C212" t="str">
            <v>Providing and applying tack coat with bitumen emulsion using emulsion pressure distributor at the rate of 0.20 kg per sqm on the prepared bituminous/granular surface cleaned with mechanical broom.</v>
          </cell>
          <cell r="D212" t="str">
            <v>sqm</v>
          </cell>
          <cell r="E212">
            <v>6</v>
          </cell>
        </row>
        <row r="213">
          <cell r="B213" t="str">
            <v>5.3</v>
          </cell>
          <cell r="C213" t="str">
            <v>Bituminous Macadam (Providing and laying bituminous macadam with 100-120 TPH hot mix plant producing an average output of 75 tonnes per hour using crushed aggregates of specified grading premixed with bituminous binder, transported to site, laid over a pr</v>
          </cell>
        </row>
        <row r="214">
          <cell r="A214" t="str">
            <v>D3</v>
          </cell>
          <cell r="B214" t="str">
            <v>(i)</v>
          </cell>
          <cell r="C214" t="str">
            <v>for Grading I ( 40 mm nominal size )</v>
          </cell>
          <cell r="D214" t="str">
            <v>cum</v>
          </cell>
          <cell r="E214">
            <v>3191</v>
          </cell>
        </row>
        <row r="215">
          <cell r="B215" t="str">
            <v>(ii)</v>
          </cell>
          <cell r="C215" t="str">
            <v xml:space="preserve"> for GradingII(19 mm nominal size)</v>
          </cell>
          <cell r="D215" t="str">
            <v>cum</v>
          </cell>
          <cell r="E215">
            <v>3184</v>
          </cell>
        </row>
        <row r="216">
          <cell r="B216" t="str">
            <v>5.4</v>
          </cell>
          <cell r="C216" t="str">
            <v>Bituminous Penetration Macadam (Construction of penetration macadam over prepared Base by providing a layer of compacted crushed coarse aggregate using chips spreader with alternate applications of bituminous binder and key aggregates and rolling with a s</v>
          </cell>
        </row>
        <row r="217">
          <cell r="B217" t="str">
            <v>A</v>
          </cell>
          <cell r="C217" t="str">
            <v>50 mm thick</v>
          </cell>
          <cell r="D217" t="str">
            <v>sqm</v>
          </cell>
          <cell r="E217">
            <v>168</v>
          </cell>
        </row>
        <row r="218">
          <cell r="B218" t="str">
            <v>B</v>
          </cell>
          <cell r="C218" t="str">
            <v>75 mm thick</v>
          </cell>
          <cell r="D218" t="str">
            <v>sqm</v>
          </cell>
          <cell r="E218">
            <v>216</v>
          </cell>
        </row>
        <row r="219">
          <cell r="B219" t="str">
            <v>5.5</v>
          </cell>
          <cell r="C219" t="str">
            <v>Built-Up-Spray Grout (Providing, laying and rolling of built-up-spray grout layer over prepared base consisting of a two layer composite construction of compacted crushed coarse aggregates using motor grader for aggregates. key stone chips spreader may be</v>
          </cell>
          <cell r="D219" t="str">
            <v>sqm</v>
          </cell>
          <cell r="E219">
            <v>131</v>
          </cell>
        </row>
        <row r="220">
          <cell r="B220" t="str">
            <v>5.6</v>
          </cell>
          <cell r="C220" t="str">
            <v>Dense Graded Bituminous Macadam (Providing and laying dense bituminous macadam with 100-120 TPH batch type HMP producing an average output of 75 tonnes per hour using crushed aggregates of specified grading, premixed with bituminous binder @ 4.0 to 4.5% b</v>
          </cell>
        </row>
        <row r="221">
          <cell r="B221" t="str">
            <v>(i)</v>
          </cell>
          <cell r="C221" t="str">
            <v>for Grading I ( 40 mm nominal size )</v>
          </cell>
          <cell r="D221" t="str">
            <v>cum</v>
          </cell>
          <cell r="E221">
            <v>4048</v>
          </cell>
        </row>
        <row r="222">
          <cell r="A222" t="str">
            <v>D4</v>
          </cell>
          <cell r="B222" t="str">
            <v>(ii)</v>
          </cell>
          <cell r="C222" t="str">
            <v xml:space="preserve"> for GradingII(19 mm nominal size)</v>
          </cell>
          <cell r="D222" t="str">
            <v>cum</v>
          </cell>
          <cell r="E222">
            <v>4048</v>
          </cell>
        </row>
        <row r="223">
          <cell r="B223" t="str">
            <v>5.7</v>
          </cell>
          <cell r="C223" t="str">
            <v>Semi - Dense Bituminous Concrete (Providing and laying semi dense bituminous concrete with 100-120 TPH batch type HMP producing an average output of 75 tonnes per hour using crushed aggregates of specified grading, premixed with bituminous binder @ 4.5 to</v>
          </cell>
        </row>
        <row r="224">
          <cell r="A224" t="str">
            <v>D11</v>
          </cell>
          <cell r="B224" t="str">
            <v>(i)</v>
          </cell>
          <cell r="C224" t="str">
            <v>for Grading I ( 13 mm nominal size )</v>
          </cell>
          <cell r="D224" t="str">
            <v>cum</v>
          </cell>
          <cell r="E224">
            <v>4170</v>
          </cell>
        </row>
        <row r="225">
          <cell r="B225" t="str">
            <v>(ii)</v>
          </cell>
          <cell r="C225" t="str">
            <v xml:space="preserve"> for GradingII(10 mm nominal size)</v>
          </cell>
          <cell r="D225" t="str">
            <v>cum</v>
          </cell>
          <cell r="E225">
            <v>4443</v>
          </cell>
        </row>
        <row r="226">
          <cell r="B226" t="str">
            <v>5.8</v>
          </cell>
          <cell r="C226" t="str">
            <v xml:space="preserve">Bituminous Concrete (Providing and laying bituminous concrete with 100-120 TPH batch type hot mix plant producing an average output of 75 tonnes per hour using crushed aggregates of specified grading, premixed with bituminous binder @ 5.4 to 5.6 % of mix </v>
          </cell>
        </row>
        <row r="227">
          <cell r="B227" t="str">
            <v>(i)</v>
          </cell>
          <cell r="C227" t="str">
            <v xml:space="preserve"> for Grading-I ( 13 mm nominal size )</v>
          </cell>
          <cell r="D227" t="str">
            <v>cum</v>
          </cell>
          <cell r="E227">
            <v>4937</v>
          </cell>
        </row>
        <row r="228">
          <cell r="A228" t="str">
            <v>D5</v>
          </cell>
          <cell r="B228" t="str">
            <v>(ii)</v>
          </cell>
          <cell r="C228" t="str">
            <v>for Grading-II(10 mm nominal size)</v>
          </cell>
          <cell r="D228" t="str">
            <v>cum</v>
          </cell>
          <cell r="E228">
            <v>4919</v>
          </cell>
        </row>
        <row r="229">
          <cell r="B229" t="str">
            <v>5.9</v>
          </cell>
          <cell r="C229" t="str">
            <v>Surface Dressing (Providing and laying surface dressing as wearing course in single coat using crushed stone aggregates of specified size on a layer of bituminous binder laid on prepared surface and rolling with 8-10 tonne smooth wheeled steel roller)</v>
          </cell>
        </row>
        <row r="230">
          <cell r="B230" t="str">
            <v>Case -1</v>
          </cell>
          <cell r="C230" t="str">
            <v>:-19 mm nominal chipping size</v>
          </cell>
          <cell r="D230" t="str">
            <v>sqm</v>
          </cell>
          <cell r="E230">
            <v>41</v>
          </cell>
        </row>
        <row r="231">
          <cell r="B231" t="str">
            <v>Case - II</v>
          </cell>
          <cell r="C231" t="str">
            <v>13 mm nominal size chipping</v>
          </cell>
          <cell r="D231" t="str">
            <v>sqm</v>
          </cell>
          <cell r="E231">
            <v>34</v>
          </cell>
        </row>
        <row r="232">
          <cell r="B232" t="str">
            <v>5.10</v>
          </cell>
          <cell r="C232" t="str">
            <v>Open - Graded Premix Surfacing (Providing, laying and rolling of open - graded premix surfacing of 20 mm thickness composed of 13.2 mm to 5.6 mm aggregates either using penetration grade bitumen or cut-back or emulsion to required line, grade and level to</v>
          </cell>
        </row>
        <row r="233">
          <cell r="B233" t="str">
            <v>(i)</v>
          </cell>
          <cell r="C233" t="str">
            <v>Case - I: Mechanical method using Penetration grade Bitumen and HMP of appropriate capacity not less than 75 tonnes/hour .</v>
          </cell>
          <cell r="D233" t="str">
            <v>sqm</v>
          </cell>
          <cell r="E233">
            <v>66</v>
          </cell>
        </row>
        <row r="234">
          <cell r="A234" t="str">
            <v>D6</v>
          </cell>
          <cell r="B234" t="str">
            <v>(ii)</v>
          </cell>
          <cell r="C234" t="str">
            <v>Case - II: Open-Graded Premix Surfacing using cationic Bitumen Emulsion</v>
          </cell>
          <cell r="D234" t="str">
            <v>sqm</v>
          </cell>
          <cell r="E234">
            <v>71</v>
          </cell>
        </row>
        <row r="235">
          <cell r="B235" t="str">
            <v>5.11</v>
          </cell>
          <cell r="C235" t="str">
            <v xml:space="preserve">Close Graded Premix Surfacing/Mixed Seal Surfacing (Mechanical means using HMP of appropriate capacity not less than 75 tonnes/hour. Providing, laying and rolling of close-graded premix surfacing material of 20 mm thickness composed of 11.2 mm to 0.09 mm </v>
          </cell>
          <cell r="D235" t="str">
            <v>sqm</v>
          </cell>
          <cell r="E235">
            <v>83</v>
          </cell>
        </row>
        <row r="236">
          <cell r="B236" t="str">
            <v>5.12</v>
          </cell>
          <cell r="C236" t="str">
            <v>Seal Coat (Providing and laying seal coat sealing the voids in a bituminous surface laid to the specified levels, grade and cross fall using Type A and B seal coats)</v>
          </cell>
        </row>
        <row r="237">
          <cell r="A237" t="str">
            <v>D7</v>
          </cell>
          <cell r="B237" t="str">
            <v>(i)</v>
          </cell>
          <cell r="C237" t="str">
            <v>Case - I : Type A</v>
          </cell>
          <cell r="D237" t="str">
            <v>sqm</v>
          </cell>
          <cell r="E237">
            <v>31</v>
          </cell>
        </row>
        <row r="238">
          <cell r="B238" t="str">
            <v>(ii)</v>
          </cell>
          <cell r="C238" t="str">
            <v>Case - II : Type B (Providing and laying of premix sand seal coat with HMP of appropriate capacity not less than 75 tonnes/ hours using crushed stone chipping 6.7 mm size and penetration bitumen of suitable grade.)</v>
          </cell>
          <cell r="D238" t="str">
            <v>sqm</v>
          </cell>
          <cell r="E238">
            <v>25</v>
          </cell>
        </row>
        <row r="239">
          <cell r="B239" t="str">
            <v>5.13</v>
          </cell>
          <cell r="C239" t="str">
            <v xml:space="preserve">Supply of Stone Aggregates for Pavement Courses (Supply of stone aggregates from approved sources confirming to the physical requirement, specified in the respective specified clauses, including royalties, fees rents, collection, transportation, stacking </v>
          </cell>
          <cell r="D239" t="str">
            <v>cum</v>
          </cell>
        </row>
        <row r="240">
          <cell r="B240" t="str">
            <v>5.14</v>
          </cell>
          <cell r="C240" t="str">
            <v>Mastic Asphalt (Providing and laying 25 mm thick mastic asphalt wearing course with paving grade bitumen meeting the requirements given in table 500-29, prepared by using mastic cooker and laid to required level and slope after cleaning the surface, inclu</v>
          </cell>
          <cell r="D240" t="str">
            <v>sqm</v>
          </cell>
          <cell r="E240" t="e">
            <v>#VALUE!</v>
          </cell>
        </row>
        <row r="241">
          <cell r="B241" t="str">
            <v>5.15</v>
          </cell>
          <cell r="C241" t="str">
            <v>Slurry Seal Providing and laying slurry seal consisting of a mixture of fine aggregates, portland cement filler, bituminous emulsion and water on a road surface including cleaning of surface, mixing of slurry seal in a suitable mobile plant, laying and co</v>
          </cell>
        </row>
        <row r="242">
          <cell r="A242" t="str">
            <v>D8</v>
          </cell>
          <cell r="B242" t="str">
            <v>(i)</v>
          </cell>
          <cell r="C242" t="str">
            <v xml:space="preserve"> 5 mm thickness</v>
          </cell>
          <cell r="D242" t="str">
            <v>sqm</v>
          </cell>
          <cell r="E242">
            <v>34</v>
          </cell>
        </row>
        <row r="243">
          <cell r="B243" t="str">
            <v>(ii)</v>
          </cell>
          <cell r="C243" t="str">
            <v>3 mm thickness</v>
          </cell>
          <cell r="D243" t="str">
            <v>sqm</v>
          </cell>
          <cell r="E243">
            <v>22</v>
          </cell>
        </row>
        <row r="244">
          <cell r="B244" t="str">
            <v>(iii)</v>
          </cell>
          <cell r="C244" t="str">
            <v>1.5 mm thickness</v>
          </cell>
          <cell r="D244" t="str">
            <v>sqm</v>
          </cell>
          <cell r="E244">
            <v>14</v>
          </cell>
        </row>
        <row r="245">
          <cell r="B245" t="str">
            <v>5.16</v>
          </cell>
          <cell r="C245" t="str">
            <v xml:space="preserve">Recycling of Bituminous Pavement with Central Recycling Plant (Recycling pavement by cold milling of exiting bituminous layers, planning the surface after cold milling, reclaiming excavated material to the extent of 30 % of the required quantity, hauling </v>
          </cell>
          <cell r="D245" t="str">
            <v>cum</v>
          </cell>
          <cell r="E245" t="e">
            <v>#VALUE!</v>
          </cell>
        </row>
        <row r="246">
          <cell r="B246" t="str">
            <v>5.17</v>
          </cell>
          <cell r="C246" t="str">
            <v>Fog Spray</v>
          </cell>
          <cell r="D246" t="str">
            <v>sqm</v>
          </cell>
          <cell r="E246">
            <v>19</v>
          </cell>
        </row>
        <row r="247">
          <cell r="B247" t="str">
            <v>added</v>
          </cell>
          <cell r="C247" t="str">
            <v>1.In case it is decided by the engineer to blind the fog spray, the following may be added</v>
          </cell>
          <cell r="D247" t="str">
            <v>sqm</v>
          </cell>
          <cell r="E247">
            <v>3</v>
          </cell>
        </row>
        <row r="248">
          <cell r="B248" t="str">
            <v>5.18</v>
          </cell>
          <cell r="C248" t="str">
            <v>Bituminous Cold Mix ( Including Gravel Emulsion) (Providing, laying and rolling of bituminous cold mix on prepared base consisting of a mixture of unheated mineral aggregate and emulsified or cutback bitumen, including mixing in a plant of suitable type a</v>
          </cell>
        </row>
        <row r="249">
          <cell r="B249" t="str">
            <v>(i)</v>
          </cell>
          <cell r="C249" t="str">
            <v xml:space="preserve">Using bitumen emulsion and 9.5 mm or 13.2 mm nominal size aggregate </v>
          </cell>
          <cell r="D249" t="str">
            <v>cum</v>
          </cell>
          <cell r="E249" t="e">
            <v>#VALUE!</v>
          </cell>
        </row>
        <row r="250">
          <cell r="B250" t="str">
            <v>(ii)</v>
          </cell>
          <cell r="C250" t="str">
            <v xml:space="preserve">Using bitumen emulsion and 19 mm or 26.5 mm nominal size aggregate </v>
          </cell>
          <cell r="D250" t="str">
            <v>cum</v>
          </cell>
          <cell r="E250" t="e">
            <v>#VALUE!</v>
          </cell>
        </row>
        <row r="251">
          <cell r="B251" t="str">
            <v>(iii)</v>
          </cell>
          <cell r="C251" t="str">
            <v xml:space="preserve">Using cutback bitumen and 9.5 mm or 13.2 mm nominal size aggregate </v>
          </cell>
          <cell r="D251" t="str">
            <v>cum</v>
          </cell>
          <cell r="E251" t="e">
            <v>#VALUE!</v>
          </cell>
        </row>
        <row r="252">
          <cell r="B252" t="str">
            <v>(iv)</v>
          </cell>
          <cell r="C252" t="str">
            <v xml:space="preserve">Using cutback bitumen and 19 mm or 26.5 mm nominal size aggregate </v>
          </cell>
          <cell r="D252" t="str">
            <v>cum</v>
          </cell>
          <cell r="E252" t="e">
            <v>#VALUE!</v>
          </cell>
        </row>
        <row r="253">
          <cell r="B253" t="str">
            <v>5.19</v>
          </cell>
          <cell r="C253" t="str">
            <v>Sand Asphalt Base Course (Providing, laying and rolling sand-asphalt base course composed of sand, mineral filler and bituminous binder on a prepared sub-grade or sub-base to the lines, levels, grades and cross sections as per the drawings including mixin</v>
          </cell>
          <cell r="D253" t="str">
            <v>cum</v>
          </cell>
          <cell r="E253">
            <v>4040</v>
          </cell>
        </row>
        <row r="254">
          <cell r="B254" t="str">
            <v>5.20</v>
          </cell>
          <cell r="C254" t="str">
            <v>Modified Binder (Supply of modified binder produced by mixing bitumen with modifier such as natural rubber or crumb rubber or any other polymer found compatible with bitumen and which allows properties given in clause 521.3 and IRC: SP: 53 blending of mod</v>
          </cell>
          <cell r="D254" t="str">
            <v>tonne</v>
          </cell>
        </row>
        <row r="255">
          <cell r="B255" t="str">
            <v>5.21</v>
          </cell>
          <cell r="C255" t="str">
            <v>Crack Prevention Courses</v>
          </cell>
        </row>
        <row r="256">
          <cell r="B256" t="str">
            <v>(i)</v>
          </cell>
          <cell r="C256" t="str">
            <v>Stress Absorbing Membrane (SAM) crack width less than 6 mm (Providing and laying of a stress absorbing membrane over a cracked road surface, with crack width below 6 mm after cleaning with a mechanical broom, using modified binder complying with clause 52</v>
          </cell>
          <cell r="D256" t="str">
            <v>sqm</v>
          </cell>
          <cell r="E256">
            <v>32</v>
          </cell>
        </row>
        <row r="257">
          <cell r="B257" t="str">
            <v>(ii)</v>
          </cell>
          <cell r="C257" t="str">
            <v xml:space="preserve">Stress Absorbing Membrane (SAM) with crack width 6 mm to 9 mm (Providing and laying of a stress absorbing membrane over a cracked road surface, with crack width 6 to 9 mm after cleaning with a mechanical broom, using modified binder complying with clause </v>
          </cell>
          <cell r="D257" t="str">
            <v>sqm</v>
          </cell>
          <cell r="E257">
            <v>38</v>
          </cell>
        </row>
        <row r="258">
          <cell r="B258" t="str">
            <v>(iii)</v>
          </cell>
          <cell r="C258" t="str">
            <v xml:space="preserve">Stress Absorbing Membrane (SAM) crack width above 9 mm and cracked area above 50 % (Providing and laying a single coat of a stress absorbing membrane over a cracked road surface, with crack width above 9 mm and cracked area above 50 % after cleaning with </v>
          </cell>
          <cell r="D258" t="str">
            <v>sqm</v>
          </cell>
          <cell r="E258">
            <v>50</v>
          </cell>
        </row>
        <row r="259">
          <cell r="B259" t="str">
            <v>(iv)</v>
          </cell>
          <cell r="C259" t="str">
            <v>Case - IV : Bitumen Impregnated Geotextile (Providing and laying a bitumen impregnated geotextile layer after cleaning the road surface, geotextile conforming to requirements of clause 704.3, laid over a tack coat with 1.05 kg per sqm of paving grade bitu</v>
          </cell>
          <cell r="D259" t="str">
            <v>sqm</v>
          </cell>
          <cell r="E259" t="e">
            <v>#VALUE!</v>
          </cell>
        </row>
        <row r="260">
          <cell r="B260" t="str">
            <v>5.22</v>
          </cell>
          <cell r="C260" t="str">
            <v>Recipe Cold Mix (Providing and laying of premix of crushed stone aggregates and emulsion binder, mixed in a batch type cold mixing plant, laid over prepared surface, by paver finisher, rolled with a pneumatic tyred roller initially and finished with a smo</v>
          </cell>
        </row>
        <row r="261">
          <cell r="B261" t="str">
            <v>(i)</v>
          </cell>
          <cell r="C261" t="str">
            <v xml:space="preserve"> 75 mm thickness</v>
          </cell>
          <cell r="D261" t="str">
            <v>cum</v>
          </cell>
          <cell r="E261" t="e">
            <v>#VALUE!</v>
          </cell>
        </row>
        <row r="262">
          <cell r="B262" t="str">
            <v>(ii)</v>
          </cell>
          <cell r="C262" t="str">
            <v>40 mm thickness</v>
          </cell>
          <cell r="D262" t="str">
            <v>cum</v>
          </cell>
          <cell r="E262" t="e">
            <v>#VALUE!</v>
          </cell>
        </row>
        <row r="263">
          <cell r="B263" t="str">
            <v>(iii)</v>
          </cell>
          <cell r="C263" t="str">
            <v>25 mm thickness</v>
          </cell>
          <cell r="D263" t="str">
            <v>cum</v>
          </cell>
          <cell r="E263" t="e">
            <v>#VALUE!</v>
          </cell>
        </row>
        <row r="264">
          <cell r="C264" t="str">
            <v>CHAPTER-6</v>
          </cell>
        </row>
        <row r="265">
          <cell r="C265" t="str">
            <v xml:space="preserve">CEMENT CONCRETE PAVEMENTS </v>
          </cell>
        </row>
        <row r="266">
          <cell r="A266" t="str">
            <v>F1</v>
          </cell>
          <cell r="B266" t="str">
            <v>6.1</v>
          </cell>
          <cell r="C266" t="str">
            <v>Dry Lean Cement Concrete Sub- base (Construction of dry lean cement concrete Sub- base over a prepared sub-grade with coarse and fine aggregate conforming to IS: 383, the size of coarse aggregate not exceeding 25 mm, aggregate cement ratio not to exceed 1</v>
          </cell>
          <cell r="D266" t="str">
            <v>cum</v>
          </cell>
          <cell r="E266">
            <v>1465</v>
          </cell>
        </row>
        <row r="267">
          <cell r="A267" t="str">
            <v>F2</v>
          </cell>
          <cell r="B267" t="str">
            <v>6.2</v>
          </cell>
          <cell r="C267" t="str">
            <v>Cement Concrete Pavement (Construction of un-reinforced, dowel jointed, plain cement concrete pavement over a prepared sub base with 43 grade cement @ 400 kg per cum, coarse and fine aggregate conforming to IS 383, maximum size of coarse aggregate not exc</v>
          </cell>
          <cell r="D267" t="str">
            <v>cum</v>
          </cell>
          <cell r="E267">
            <v>3175</v>
          </cell>
        </row>
        <row r="268">
          <cell r="B268" t="str">
            <v>6.3</v>
          </cell>
          <cell r="C268" t="str">
            <v>Rolled Cement Concrete Base (Construction of rolled cement concrete base course with coarse and fine aggregate conforming to IS:383, the size of coarse aggregate not exceeding 25 mm with minimum, aggregate cement ratio15:1 and minimum cement content of 20</v>
          </cell>
          <cell r="D268" t="str">
            <v>cum</v>
          </cell>
          <cell r="E268">
            <v>1652</v>
          </cell>
        </row>
        <row r="269">
          <cell r="B269" t="str">
            <v>6.4</v>
          </cell>
          <cell r="C269" t="str">
            <v>Transition section between rigid and flexible pavement (Due to change in the properties of materials and type of construction, a gradual changeover from rigid pavement to flexible pavement is desirable to avoid any damage at the butting joint. After provi</v>
          </cell>
        </row>
        <row r="270">
          <cell r="B270" t="str">
            <v>6.5</v>
          </cell>
          <cell r="C270" t="str">
            <v>Construction of Base/Sub-base of pavement with lean concrete - fly ash. (Construction of Base/sub-base using cement, sand, fly ash and coarse aggregates proportioned as per table 4 of IRC: 74/1979 and with water content ratio, slump and compressive streng</v>
          </cell>
          <cell r="D270" t="str">
            <v>cum</v>
          </cell>
          <cell r="E270" t="e">
            <v>#VALUE!</v>
          </cell>
        </row>
        <row r="271">
          <cell r="B271" t="str">
            <v>6.6</v>
          </cell>
          <cell r="C271" t="str">
            <v>Cement - Fly ash concrete pavement. (Construction reinforced-reinforced, dowel jointed, plain cement concrete pavement over a prepared sub base with 43 grade cement, coarse and fine aggregate conforming to IS 383, maximum size of coarse aggregate not exce</v>
          </cell>
          <cell r="D271" t="str">
            <v>cum</v>
          </cell>
          <cell r="E271" t="e">
            <v>#VALUE!</v>
          </cell>
        </row>
        <row r="272">
          <cell r="C272" t="str">
            <v>CHAPTER-7</v>
          </cell>
        </row>
        <row r="273">
          <cell r="C273" t="str">
            <v>GEOSYNTHETICS AND  REINFORCED EARTH</v>
          </cell>
        </row>
        <row r="274">
          <cell r="B274" t="str">
            <v>7.1</v>
          </cell>
          <cell r="C274" t="str">
            <v>Sub- Surface Drain with Geotextiles (Construction of sub surface drain 200 mm dia using geotextiles treated with carbon black with physical properties as given in clause 702.2.3 formed in to a stable network and a planar geocomposite structure, joints wra</v>
          </cell>
          <cell r="D274" t="str">
            <v>metre</v>
          </cell>
          <cell r="E274" t="e">
            <v>#VALUE!</v>
          </cell>
        </row>
        <row r="275">
          <cell r="B275" t="str">
            <v>7.2</v>
          </cell>
          <cell r="C275" t="str">
            <v>Narrow Filter Sub- Surface Drain (Construction of a narrow filter sub- surface drain consisting of porous or perforated pipe laid in narrow trench surrounded by a geotextile filter fabric, with a minimum of 450 mm overlap of fabric and installed as per cl</v>
          </cell>
          <cell r="D275" t="str">
            <v>metre</v>
          </cell>
          <cell r="E275" t="e">
            <v>#VALUE!</v>
          </cell>
        </row>
        <row r="276">
          <cell r="B276" t="str">
            <v>7.3</v>
          </cell>
          <cell r="C276" t="str">
            <v>Laying Paving Fabric Beneath a Pavement Overlay (Providing and laying paving fabric with physical requirements as per table 704-2 over a tack coat of paving grade Bitumen 80-100 penetration, laid at the rate of 1 kg per sqm over thoroughly cleaned and rep</v>
          </cell>
          <cell r="D276" t="str">
            <v>sqm</v>
          </cell>
          <cell r="E276" t="e">
            <v>#VALUE!</v>
          </cell>
        </row>
        <row r="277">
          <cell r="B277" t="str">
            <v>7.4</v>
          </cell>
          <cell r="C277" t="str">
            <v>Laying Boulder Apron in Crates of Synthetic Geogrids (Providing, preparing and laying of geogrid crated apron 1 m x 5 m, 600 mm thick including excavation and backfilling with baffles at 1 metre interval, made with geogrids having characteristics as per c</v>
          </cell>
          <cell r="D277" t="str">
            <v>cum</v>
          </cell>
          <cell r="E277" t="e">
            <v>#VALUE!</v>
          </cell>
        </row>
        <row r="278">
          <cell r="B278" t="str">
            <v>7.5</v>
          </cell>
          <cell r="C278" t="str">
            <v>Reinforced Earth Retaining Wall (Reinforced earth retaining walls have four main components as under: a)   Excavation for foundation, foundation concrete and cement concrete grooved seating in the foundation for facing elements (facia material). b)   Faci</v>
          </cell>
        </row>
        <row r="279">
          <cell r="A279" t="str">
            <v>G7</v>
          </cell>
          <cell r="B279" t="str">
            <v>(i)</v>
          </cell>
          <cell r="C279" t="str">
            <v xml:space="preserve">Facing elements of RCC </v>
          </cell>
          <cell r="D279" t="str">
            <v>sqm</v>
          </cell>
          <cell r="E279">
            <v>654</v>
          </cell>
        </row>
        <row r="280">
          <cell r="B280" t="str">
            <v>(ii)</v>
          </cell>
          <cell r="C280" t="str">
            <v>Assembling, joining and laying of reinforcing elements.</v>
          </cell>
        </row>
        <row r="281">
          <cell r="B281" t="str">
            <v>A</v>
          </cell>
          <cell r="C281" t="str">
            <v xml:space="preserve"> With reinforcing element of steel / Aluminium strips / polymeric strips.</v>
          </cell>
        </row>
        <row r="282">
          <cell r="B282" t="str">
            <v>Type 1</v>
          </cell>
          <cell r="C282" t="str">
            <v xml:space="preserve">1.Galvanised carbon steel strips </v>
          </cell>
          <cell r="D282" t="str">
            <v>metre</v>
          </cell>
          <cell r="E282" t="e">
            <v>#VALUE!</v>
          </cell>
        </row>
        <row r="283">
          <cell r="B283" t="str">
            <v>Type 2</v>
          </cell>
          <cell r="C283" t="str">
            <v xml:space="preserve">2.Copper Strips </v>
          </cell>
          <cell r="D283" t="str">
            <v>metre</v>
          </cell>
          <cell r="E283" t="e">
            <v>#VALUE!</v>
          </cell>
        </row>
        <row r="284">
          <cell r="B284" t="str">
            <v>Type 3</v>
          </cell>
          <cell r="C284" t="str">
            <v>3.Aluminium Strips</v>
          </cell>
          <cell r="D284" t="str">
            <v>metre</v>
          </cell>
          <cell r="E284" t="e">
            <v>#VALUE!</v>
          </cell>
        </row>
        <row r="285">
          <cell r="B285" t="str">
            <v>Type 4</v>
          </cell>
          <cell r="C285" t="str">
            <v>4.Stainless steel strips</v>
          </cell>
          <cell r="D285" t="str">
            <v>metre</v>
          </cell>
          <cell r="E285" t="e">
            <v>#VALUE!</v>
          </cell>
        </row>
        <row r="286">
          <cell r="B286" t="str">
            <v>Type 5</v>
          </cell>
          <cell r="C286" t="str">
            <v>5.Glass reinforced polymer/fibre reinforced polymer/polymeric strips</v>
          </cell>
          <cell r="D286" t="str">
            <v>metre</v>
          </cell>
          <cell r="E286" t="e">
            <v>#VALUE!</v>
          </cell>
        </row>
        <row r="287">
          <cell r="B287" t="str">
            <v>B</v>
          </cell>
          <cell r="C287" t="str">
            <v>With reinforcing elements of synthetic geogrids</v>
          </cell>
          <cell r="D287" t="str">
            <v>sqm</v>
          </cell>
          <cell r="E287" t="e">
            <v>#VALUE!</v>
          </cell>
        </row>
        <row r="288">
          <cell r="C288" t="str">
            <v>CHAPTER-8</v>
          </cell>
        </row>
        <row r="289">
          <cell r="C289" t="str">
            <v>TRAFFIC SIGNS, MARKINGS &amp; OTHER ROAD APPURTENANCES</v>
          </cell>
        </row>
        <row r="290">
          <cell r="B290" t="str">
            <v>8.1</v>
          </cell>
          <cell r="C290" t="str">
            <v>Cast in Situ Cement Concrete M20 kerb (Construction of cement concrete kerb with top and bottom width 115 and 165 mm respectively, 250 mm high in M 20 grade PCC on M-10 grade foundation 150 mm thick, foundation having 50 mm projection beyond kerb stone, k</v>
          </cell>
        </row>
        <row r="291">
          <cell r="A291" t="str">
            <v>C6</v>
          </cell>
          <cell r="B291" t="str">
            <v>A</v>
          </cell>
          <cell r="C291" t="str">
            <v>Using Concrete Mixer</v>
          </cell>
          <cell r="D291" t="str">
            <v>metre</v>
          </cell>
          <cell r="E291">
            <v>125</v>
          </cell>
        </row>
        <row r="292">
          <cell r="B292" t="str">
            <v>B</v>
          </cell>
          <cell r="C292" t="str">
            <v>Using Concrete Batching and Mixing Plant</v>
          </cell>
          <cell r="D292" t="str">
            <v>metre</v>
          </cell>
          <cell r="E292">
            <v>126</v>
          </cell>
        </row>
        <row r="293">
          <cell r="B293" t="str">
            <v>8.2</v>
          </cell>
          <cell r="C293" t="str">
            <v xml:space="preserve">Cast in Situ Cement Concrete M 20 Kerb with Channel (Construction of cement concrete kerb with channel with top and bottom width 115 and 165 mm respectively, 250 mm high in M 20 grade PCC on M10 grade foundation 150 mm thick, kerb channel 300 mm wide, 50 </v>
          </cell>
        </row>
        <row r="294">
          <cell r="B294" t="str">
            <v>A</v>
          </cell>
          <cell r="C294" t="str">
            <v>Using Concrete Mixer</v>
          </cell>
          <cell r="D294" t="str">
            <v>metre</v>
          </cell>
          <cell r="E294">
            <v>232</v>
          </cell>
        </row>
        <row r="295">
          <cell r="B295" t="str">
            <v>B</v>
          </cell>
          <cell r="C295" t="str">
            <v>Using Concrete Batching and Mixing Plant</v>
          </cell>
          <cell r="D295" t="str">
            <v>metre</v>
          </cell>
          <cell r="E295">
            <v>237</v>
          </cell>
        </row>
        <row r="296">
          <cell r="B296" t="str">
            <v>8.3</v>
          </cell>
          <cell r="C296" t="str">
            <v>Printing new letter and figures of any shade (Printing new letter and figures of any shade with synthetic enamel paint black or any other approved colour to give an even shade)</v>
          </cell>
        </row>
        <row r="297">
          <cell r="B297" t="str">
            <v>(i)</v>
          </cell>
          <cell r="C297" t="str">
            <v xml:space="preserve"> Hindi ( Matras commas and the like not to be measured and paid for Half letter shall be counted as half )</v>
          </cell>
          <cell r="D297" t="str">
            <v>cm height per letter</v>
          </cell>
          <cell r="E297">
            <v>0.3</v>
          </cell>
        </row>
        <row r="298">
          <cell r="B298" t="str">
            <v>(ii)</v>
          </cell>
          <cell r="C298" t="str">
            <v>English and Roman</v>
          </cell>
          <cell r="D298" t="str">
            <v>cm height per letter</v>
          </cell>
          <cell r="E298">
            <v>0.2</v>
          </cell>
        </row>
        <row r="299">
          <cell r="B299" t="str">
            <v>8.4</v>
          </cell>
          <cell r="C299" t="str">
            <v>Retro- reflectorised Traffic signs (Providing and fixing of retro- reflectorised cautionary, mandatory and informatory sign as per IRC :67 made of encapsulated lens type reflective sheeting vide clause 801.3, fixed over aluminium sheeting, 1.5 mm thick su</v>
          </cell>
        </row>
        <row r="300">
          <cell r="A300" t="str">
            <v>H-1-1</v>
          </cell>
          <cell r="B300" t="str">
            <v>( i )</v>
          </cell>
          <cell r="C300" t="str">
            <v>90 cm equilateral triangle</v>
          </cell>
          <cell r="D300" t="str">
            <v>each</v>
          </cell>
          <cell r="E300" t="e">
            <v>#VALUE!</v>
          </cell>
        </row>
        <row r="301">
          <cell r="B301" t="str">
            <v>( ii )</v>
          </cell>
          <cell r="C301" t="str">
            <v>60 cm equilateral triangle</v>
          </cell>
          <cell r="D301" t="str">
            <v>each</v>
          </cell>
          <cell r="E301" t="e">
            <v>#VALUE!</v>
          </cell>
        </row>
        <row r="302">
          <cell r="A302" t="str">
            <v>H-1-1</v>
          </cell>
          <cell r="B302" t="str">
            <v>( iii )</v>
          </cell>
          <cell r="C302" t="str">
            <v>60 cm circular</v>
          </cell>
          <cell r="D302" t="str">
            <v>each</v>
          </cell>
          <cell r="E302" t="e">
            <v>#VALUE!</v>
          </cell>
        </row>
        <row r="303">
          <cell r="A303" t="str">
            <v>H-1-3</v>
          </cell>
          <cell r="B303" t="str">
            <v>( iv )</v>
          </cell>
          <cell r="C303" t="str">
            <v>80 mm x 60 mm rectangular</v>
          </cell>
          <cell r="D303" t="str">
            <v>each</v>
          </cell>
          <cell r="E303" t="e">
            <v>#VALUE!</v>
          </cell>
        </row>
        <row r="304">
          <cell r="B304" t="str">
            <v>( v )</v>
          </cell>
          <cell r="C304" t="str">
            <v>60 cm x 45 cm rectangular</v>
          </cell>
          <cell r="D304" t="str">
            <v>each</v>
          </cell>
          <cell r="E304" t="e">
            <v>#VALUE!</v>
          </cell>
        </row>
        <row r="305">
          <cell r="B305" t="str">
            <v>(vi )</v>
          </cell>
          <cell r="C305" t="str">
            <v>60 cm x 60 cm square</v>
          </cell>
          <cell r="D305" t="str">
            <v>each</v>
          </cell>
          <cell r="E305" t="e">
            <v>#VALUE!</v>
          </cell>
        </row>
        <row r="306">
          <cell r="A306" t="str">
            <v>H-1-4</v>
          </cell>
          <cell r="B306" t="str">
            <v>( vii )</v>
          </cell>
          <cell r="C306" t="str">
            <v>90 cm high octagon</v>
          </cell>
          <cell r="D306" t="str">
            <v>each</v>
          </cell>
          <cell r="E306" t="e">
            <v>#VALUE!</v>
          </cell>
        </row>
        <row r="307">
          <cell r="B307" t="str">
            <v>8.5</v>
          </cell>
          <cell r="C307" t="str">
            <v>Direction and Place Identification signs upto 0.9 sqm size board. (Providing and erecting direction and place identification retro-reflectorised sign asper IRC:67 made of encapsulated lens type reflective sheeting vide clause 801.3, fixed over aluminium s</v>
          </cell>
          <cell r="D307" t="str">
            <v>sqm</v>
          </cell>
          <cell r="E307" t="e">
            <v>#VALUE!</v>
          </cell>
        </row>
        <row r="308">
          <cell r="B308" t="str">
            <v>8.6</v>
          </cell>
          <cell r="C308" t="str">
            <v>Direction and Place Identification signs with size more than 0.9 sqm size board. (Providing and erecting direction and place identification retro- reflectorised sign asper IRC :67 made of encapsulated lens type reflective sheeting vide clause 801.3, fixed</v>
          </cell>
          <cell r="D308" t="str">
            <v>sqm</v>
          </cell>
          <cell r="E308" t="e">
            <v>#VALUE!</v>
          </cell>
        </row>
        <row r="309">
          <cell r="B309" t="str">
            <v>8.7</v>
          </cell>
          <cell r="C309" t="str">
            <v>Overhead Signs (Providing and erecting overhead signs with a corrosion resistant aluminium alloy sheet reflectorised with high intensity retro-reflective sheeting of encapsulated lense type with vertical and lateral clearance given in clause 802.2 and 802</v>
          </cell>
        </row>
        <row r="310">
          <cell r="B310" t="str">
            <v>A</v>
          </cell>
          <cell r="C310" t="str">
            <v xml:space="preserve">Truss and Vertical Support </v>
          </cell>
          <cell r="D310" t="str">
            <v>tonne</v>
          </cell>
          <cell r="E310" t="e">
            <v>#VALUE!</v>
          </cell>
        </row>
        <row r="311">
          <cell r="B311" t="str">
            <v>B</v>
          </cell>
          <cell r="C311" t="str">
            <v>Aluminium alloy plate for over head sign</v>
          </cell>
          <cell r="D311" t="str">
            <v>tonne</v>
          </cell>
          <cell r="E311" t="e">
            <v>#VALUE!</v>
          </cell>
        </row>
        <row r="312">
          <cell r="B312" t="str">
            <v>8.8</v>
          </cell>
          <cell r="C312" t="str">
            <v>Painting Two Coats on New Concrete Surfaces (Painting two coats after filling the surface with synthetic enamel paint in all shades on new plastered concrete surfaces)</v>
          </cell>
          <cell r="D312" t="str">
            <v>sqm</v>
          </cell>
          <cell r="E312">
            <v>41</v>
          </cell>
        </row>
        <row r="313">
          <cell r="B313" t="str">
            <v>8.9</v>
          </cell>
          <cell r="C313" t="str">
            <v>Painting on Steel Surfaces (Providing and applying two coats of ready mix paint of approved brand on steel surface after through cleaning of surface to give an even shade)</v>
          </cell>
          <cell r="D313" t="str">
            <v>sqm</v>
          </cell>
          <cell r="E313">
            <v>35</v>
          </cell>
        </row>
        <row r="314">
          <cell r="B314" t="str">
            <v>8.10</v>
          </cell>
          <cell r="C314" t="str">
            <v>Painting on Wood Surfaces (Providing and applying two coats of ready mix paint of approved brand on wood surface after through cleaning of surface to give an even shade)</v>
          </cell>
          <cell r="D314" t="str">
            <v>sqm</v>
          </cell>
          <cell r="E314">
            <v>40</v>
          </cell>
        </row>
        <row r="315">
          <cell r="B315" t="str">
            <v>8.11</v>
          </cell>
          <cell r="C315" t="str">
            <v>Painting Lines, Dashes, Arrows etc on Roads in Two Coats on New Work  (Painting lines, dashes, arrows etc on roads in two coats on new work with ready mixed road marking paint conforming to IS:164 on bituminous surface, including cleaning the surface of a</v>
          </cell>
        </row>
        <row r="316">
          <cell r="A316" t="str">
            <v>H4</v>
          </cell>
          <cell r="B316" t="str">
            <v>(i)</v>
          </cell>
          <cell r="C316" t="str">
            <v xml:space="preserve">Over 10 cm in width </v>
          </cell>
          <cell r="D316" t="str">
            <v>sqm</v>
          </cell>
          <cell r="E316">
            <v>52</v>
          </cell>
        </row>
        <row r="317">
          <cell r="B317" t="str">
            <v xml:space="preserve">(ii) </v>
          </cell>
          <cell r="C317" t="str">
            <v xml:space="preserve">Up to 10 cm in width </v>
          </cell>
          <cell r="D317" t="str">
            <v>sqm</v>
          </cell>
          <cell r="E317">
            <v>47</v>
          </cell>
        </row>
        <row r="318">
          <cell r="B318" t="str">
            <v>8.12</v>
          </cell>
          <cell r="C318" t="str">
            <v>Painting Lines, Dashes, Arrows etc on Roads in Two Coats on Old Work (Painting lines, dashes, arrows etc on roads in two coats on old work with ready mixed road marking paint confirming to IS: 164 on bituminous surface, including cleaning the surface of a</v>
          </cell>
        </row>
        <row r="319">
          <cell r="B319" t="str">
            <v>(i)</v>
          </cell>
          <cell r="C319" t="str">
            <v xml:space="preserve"> Over 10 cm in width </v>
          </cell>
          <cell r="D319" t="str">
            <v>sqm</v>
          </cell>
          <cell r="E319">
            <v>34</v>
          </cell>
        </row>
        <row r="320">
          <cell r="B320" t="str">
            <v xml:space="preserve">(ii) </v>
          </cell>
          <cell r="C320" t="str">
            <v xml:space="preserve">Up to 10 cm in width </v>
          </cell>
          <cell r="D320" t="str">
            <v>sqm</v>
          </cell>
          <cell r="E320">
            <v>36</v>
          </cell>
        </row>
        <row r="321">
          <cell r="A321" t="str">
            <v>H5</v>
          </cell>
          <cell r="B321" t="str">
            <v>8.13</v>
          </cell>
          <cell r="C321" t="str">
            <v>Road Marking with Hot Applied Thermoplastic Compound with Reflectorising Glass Beads on Bituminous Surface (Providing and laying of hot applied thermoplastic compound 2.5 mm thick including reflectorising glass beads @ 250 gms per sqm area, thickness of 2</v>
          </cell>
          <cell r="D321" t="str">
            <v>sqm</v>
          </cell>
          <cell r="E321">
            <v>730</v>
          </cell>
        </row>
        <row r="322">
          <cell r="B322" t="str">
            <v>8.14</v>
          </cell>
          <cell r="C322" t="str">
            <v>Kilo Metre Stone (Reinforced cement concrete M15grade kilometre stone of standard design as per IRC:8-1980, fixing in position including painting and printing etc)</v>
          </cell>
        </row>
        <row r="323">
          <cell r="A323" t="str">
            <v>H-6-1</v>
          </cell>
          <cell r="B323" t="str">
            <v>(i)</v>
          </cell>
          <cell r="C323" t="str">
            <v>5th kilometre stone (precast)</v>
          </cell>
          <cell r="D323" t="str">
            <v>each</v>
          </cell>
          <cell r="E323">
            <v>1427</v>
          </cell>
        </row>
        <row r="324">
          <cell r="A324" t="str">
            <v>H-6-2</v>
          </cell>
          <cell r="B324" t="str">
            <v>(ii)</v>
          </cell>
          <cell r="C324" t="str">
            <v>Ordinary Kilometer stone (Precast)</v>
          </cell>
          <cell r="D324" t="str">
            <v>each</v>
          </cell>
          <cell r="E324">
            <v>818</v>
          </cell>
        </row>
        <row r="325">
          <cell r="A325" t="str">
            <v>H-6-3</v>
          </cell>
          <cell r="B325" t="str">
            <v>(iii)</v>
          </cell>
          <cell r="C325" t="str">
            <v>Hectometer stone (Precast)</v>
          </cell>
          <cell r="D325" t="str">
            <v>each</v>
          </cell>
          <cell r="E325">
            <v>263</v>
          </cell>
        </row>
        <row r="326">
          <cell r="A326" t="str">
            <v>H-12</v>
          </cell>
          <cell r="B326" t="str">
            <v>8.15</v>
          </cell>
          <cell r="C326" t="str">
            <v xml:space="preserve">Road Delineators (Supplying and installation of delineators (road way indicators, hazard markers, object markers), 80-100 cm high above ground level, painted black and white in 15 cm wide stripes, fitted with 80 x 100 mm rectangular or 75 mm dia circular </v>
          </cell>
          <cell r="D326" t="str">
            <v>each</v>
          </cell>
          <cell r="E326" t="e">
            <v>#VALUE!</v>
          </cell>
        </row>
        <row r="327">
          <cell r="A327" t="str">
            <v>H7</v>
          </cell>
          <cell r="B327" t="str">
            <v>8.16</v>
          </cell>
          <cell r="C327" t="str">
            <v>Boundary pillar (Reinforced cement concrete M15 grade boundary pillars of standard design as per IRC:25-1967, fixed in position including finishing and lettering but excluding painting)</v>
          </cell>
          <cell r="D327" t="str">
            <v>each</v>
          </cell>
          <cell r="E327">
            <v>191</v>
          </cell>
        </row>
        <row r="328">
          <cell r="B328" t="str">
            <v>8.17</v>
          </cell>
          <cell r="C328" t="str">
            <v>G.I Barbed wire Fencing 1.2 metre high (Providing and fixing 1.2 metres high GI barbed wire fencing with 1.8 m angle iron posts 40 mm x 40 mm x 6 mm placed every 3 metres center to center founded in M15 grade cement concrete, 0.6 metre below ground level,</v>
          </cell>
          <cell r="D328" t="str">
            <v>metre</v>
          </cell>
          <cell r="E328" t="e">
            <v>#VALUE!</v>
          </cell>
        </row>
        <row r="329">
          <cell r="B329" t="str">
            <v>8.18</v>
          </cell>
          <cell r="C329" t="str">
            <v>G.I Barbed wire Fencing 1.8 metre high (Providing and fixing 1.8 metres high GI barbed wire fencing with 2.4 m angle iron posts 50 mm x 50 mm x 6 mm placed every 3 metres center to center founded in M15 grade cement concrete, 0.6 metre below ground level,</v>
          </cell>
          <cell r="D329" t="str">
            <v>metre</v>
          </cell>
          <cell r="E329" t="e">
            <v>#VALUE!</v>
          </cell>
        </row>
        <row r="330">
          <cell r="B330" t="str">
            <v>8.19</v>
          </cell>
          <cell r="C330" t="str">
            <v>Fencing with welded steel wire Fabric 75 mm x 50 mm (Suggestive) (Providing 1.20 metre high fencing with angle iron posts 50 mm x 50 mm x 6 mm at 3 metre center to center with 0.40 metre embedded in M15 grade cement concrete, corner, end and every 10th po</v>
          </cell>
          <cell r="D330" t="str">
            <v>metre</v>
          </cell>
          <cell r="E330" t="e">
            <v>#VALUE!</v>
          </cell>
        </row>
        <row r="331">
          <cell r="B331" t="str">
            <v>8.20</v>
          </cell>
          <cell r="C331" t="str">
            <v>Tubular Steel Railing on Medium Weight steel channel ( ISMC series) 100 mm x 50 mm (Providing, fixing and erecting 50 mm dia steel pipe railing in 3 rows duly painted on medium weight steel channels (ISMC series) 100 mm x 50 mm, 1.2 metres high above grou</v>
          </cell>
          <cell r="D331" t="str">
            <v>metre</v>
          </cell>
          <cell r="E331">
            <v>1243</v>
          </cell>
        </row>
        <row r="332">
          <cell r="B332" t="str">
            <v>8.21</v>
          </cell>
          <cell r="C332" t="str">
            <v>Tubular Steel Railing on Precast RCC posts, 1.2 m high above ground level (Providing, fencing and erecting 50 mm dia painted steel pipe railing in 3 rows on precast M20 grade RCC vertical posts1.8 metres high (1.2 m above GL) with 3 holes 50 mm dia for pi</v>
          </cell>
          <cell r="D332" t="str">
            <v>metre</v>
          </cell>
          <cell r="E332">
            <v>942</v>
          </cell>
        </row>
        <row r="333">
          <cell r="B333" t="str">
            <v>8.22</v>
          </cell>
          <cell r="C333" t="str">
            <v>Reinforced Cement Concrete Crash Barrier (Provision of an Reinforced cement concrete crash barrier at the edges of the road, approaches to bridge structures and medians, constructed with M-20 grade concrete with HYSD reinforcement conforming to IRC:21 and</v>
          </cell>
        </row>
        <row r="334">
          <cell r="A334" t="str">
            <v>E22</v>
          </cell>
          <cell r="B334" t="str">
            <v>(i)</v>
          </cell>
          <cell r="C334" t="str">
            <v>M 20 grade concrete</v>
          </cell>
          <cell r="D334" t="str">
            <v>metre</v>
          </cell>
          <cell r="E334">
            <v>1812</v>
          </cell>
        </row>
        <row r="335">
          <cell r="B335" t="str">
            <v>8.23</v>
          </cell>
          <cell r="C335" t="str">
            <v>Metal Beam Crash Barrier</v>
          </cell>
        </row>
        <row r="336">
          <cell r="A336" t="str">
            <v>H9</v>
          </cell>
          <cell r="B336" t="str">
            <v>A</v>
          </cell>
          <cell r="C336" t="str">
            <v xml:space="preserve">Type - A, "W" : Metal Beam Crash Barrier (Providing and erecting a "W" metal beam crash barrier comprising of 3 mm thick corrugated sheet metal beam rail, 70 cm above road/ground level, fixed on ISMC series channel vertical post, 150 x 75 x 5 mm spaced 2 </v>
          </cell>
          <cell r="D336" t="str">
            <v>metre</v>
          </cell>
          <cell r="E336">
            <v>1898</v>
          </cell>
        </row>
        <row r="337">
          <cell r="B337" t="str">
            <v>B</v>
          </cell>
          <cell r="C337" t="str">
            <v>Type - B, "THRIE" : Metal Beam Crash Barrier (Providing and erecting a "Thrie" metal beam crash barrier comprising of 3 mm thick corrugated sheet metal beam rail, 85 cm above road/ground level, fixed on ISMC series channel vertical post, 150 x 75 x 5 mm s</v>
          </cell>
          <cell r="D337" t="str">
            <v>metre</v>
          </cell>
          <cell r="E337" t="e">
            <v>#VALUE!</v>
          </cell>
        </row>
        <row r="338">
          <cell r="B338" t="str">
            <v>8.24</v>
          </cell>
          <cell r="C338" t="str">
            <v xml:space="preserve">Road Traffic Signals electrically operated (Since it is a ready made item commercially produced and erected by specialised firm in the electrical and electronic field, rate may be taken based on market enquiry from firms specialised in this field and ISI </v>
          </cell>
        </row>
        <row r="339">
          <cell r="B339" t="str">
            <v>8.25</v>
          </cell>
          <cell r="C339" t="str">
            <v>Flexible Crash Barrier, Wire Rope Safety Barrier (Providing and erecting a wire rope safety barrier with vertical posts of medium weight RS Joist (ISMB series) 100 mm x 75 mm (11.50 kg/m), 1.50 m long 0.85 m above ground and 0.65 m below ground level, spl</v>
          </cell>
          <cell r="D339" t="str">
            <v>metre</v>
          </cell>
          <cell r="E339" t="e">
            <v>#VALUE!</v>
          </cell>
        </row>
        <row r="340">
          <cell r="B340" t="str">
            <v>8.26</v>
          </cell>
          <cell r="C340" t="str">
            <v>Anti - Glare Devices in Median</v>
          </cell>
        </row>
        <row r="341">
          <cell r="B341" t="str">
            <v>A</v>
          </cell>
          <cell r="C341" t="str">
            <v>Plantation (Plantation of shrubs and plants of approved species in the median. apart from cutting off glare from vehicle coming from opposite direction, these plants provide a pleasant envoirenment and are eco-friendly. The rate for this item is available</v>
          </cell>
        </row>
        <row r="342">
          <cell r="B342" t="str">
            <v>B</v>
          </cell>
          <cell r="C342" t="str">
            <v>Anti - Glare Screen with 25 mm steel pipe framework fixed with circular and rectangular vans (Providing and erecting an anti - glare screen with 25 mm dia vertical pipes fabricated and framed in the form of panels of one metre length and 1.75 mtr height f</v>
          </cell>
          <cell r="D342" t="str">
            <v>metre</v>
          </cell>
          <cell r="E342" t="e">
            <v>#VALUE!</v>
          </cell>
        </row>
        <row r="343">
          <cell r="B343" t="str">
            <v>C</v>
          </cell>
          <cell r="C343" t="str">
            <v xml:space="preserve"> Anti - Glare Screen with Rectangular Vane of MS sheet (Providing and erecting anti - glare screen with rectangular vanes of size 750 x 500 mm made from MS sheet, 3 mm thick and fixed on MS angle 50 x 50 x 6 mm at an angle of 450 to the direction of flow </v>
          </cell>
          <cell r="D343" t="str">
            <v>metre</v>
          </cell>
          <cell r="E343">
            <v>541</v>
          </cell>
        </row>
        <row r="344">
          <cell r="B344" t="str">
            <v>8.27</v>
          </cell>
          <cell r="C344" t="str">
            <v>Street Lighting (Providing and erecting street light mounted on a steel circular hollow pole of standard specifications for street lighting, 9 m high spaced 40 m apart, 1.8 m overhang on both sides if fixed in the median and on one side if fixed on the fo</v>
          </cell>
        </row>
        <row r="345">
          <cell r="B345" t="str">
            <v>(i)</v>
          </cell>
          <cell r="C345" t="str">
            <v>For Fixing in Median</v>
          </cell>
          <cell r="D345" t="str">
            <v>each</v>
          </cell>
          <cell r="E345" t="e">
            <v>#VALUE!</v>
          </cell>
        </row>
        <row r="346">
          <cell r="B346" t="str">
            <v>(ii)</v>
          </cell>
          <cell r="C346" t="str">
            <v>For fixing in Footpath</v>
          </cell>
          <cell r="D346" t="str">
            <v>each</v>
          </cell>
          <cell r="E346" t="e">
            <v>#VALUE!</v>
          </cell>
        </row>
        <row r="347">
          <cell r="B347" t="str">
            <v>8.28</v>
          </cell>
          <cell r="C347" t="str">
            <v>Lighting on Bridges (Providing and fixing lighting on bridges, mounted on steel hollow circular poles of standard specifications, 5 m high fixed on parapets with cement concrete, 20 m apart and fitted with sodium vapour lamp)</v>
          </cell>
          <cell r="D347" t="str">
            <v>each</v>
          </cell>
          <cell r="E347" t="e">
            <v>#VALUE!</v>
          </cell>
        </row>
        <row r="348">
          <cell r="B348" t="str">
            <v>8.29</v>
          </cell>
          <cell r="C348" t="str">
            <v>Cable Duct Across the Road (Providing and laying of a reinforced cement concrete pipe duct, 300 mm dia, across the road (new construction), extending from drain to drain in cuts and toe of slope to toe of slope in fills, constructing head walls at both en</v>
          </cell>
        </row>
        <row r="349">
          <cell r="A349" t="str">
            <v>H11</v>
          </cell>
          <cell r="B349" t="str">
            <v>(i)</v>
          </cell>
          <cell r="C349" t="str">
            <v>Single Row for one utility service</v>
          </cell>
          <cell r="D349" t="str">
            <v>metre</v>
          </cell>
          <cell r="E349" t="e">
            <v>#VALUE!</v>
          </cell>
        </row>
        <row r="350">
          <cell r="B350" t="str">
            <v>(ii)</v>
          </cell>
          <cell r="C350" t="str">
            <v>Double Row for two utility services</v>
          </cell>
          <cell r="D350" t="str">
            <v>metre</v>
          </cell>
          <cell r="E350" t="e">
            <v>#VALUE!</v>
          </cell>
        </row>
        <row r="351">
          <cell r="B351" t="str">
            <v>(iii)</v>
          </cell>
          <cell r="C351" t="str">
            <v>Triple Row for three utility services</v>
          </cell>
          <cell r="D351" t="str">
            <v>metre</v>
          </cell>
          <cell r="E351" t="e">
            <v>#VALUE!</v>
          </cell>
        </row>
        <row r="352">
          <cell r="B352" t="str">
            <v>8.30</v>
          </cell>
          <cell r="C352" t="str">
            <v>Highway Patrolling and Traffic Aid Post (It is proposed to locate one Traffic Aid Post every 50-60 km of the highway. )</v>
          </cell>
        </row>
        <row r="353">
          <cell r="B353" t="str">
            <v>8.31</v>
          </cell>
          <cell r="C353" t="str">
            <v>Items related to under pass/ subway/ overhead bridge/ overhead foot bridge (The items involved for underpass/ subway/ overhead bridge/ overhead foot bridge are earthwork, plain cement concrete, plastering, painting, information sign etc. The rates for the</v>
          </cell>
        </row>
        <row r="354">
          <cell r="B354" t="str">
            <v>8.32</v>
          </cell>
          <cell r="C354" t="str">
            <v>Traffic Control System and Communication system (Providing a traffic control centre and communication system including telecommunication facilities and related accessories, CCTV, radar, vehicle detection camera, central computer system These are specialis</v>
          </cell>
        </row>
        <row r="355">
          <cell r="B355" t="str">
            <v>8.33</v>
          </cell>
          <cell r="C355" t="str">
            <v>Gantry Mounted Variable Message Sign board (Providing and erecting gantry mounted variable message sign board electronically operated capable of flashing the desired message over a designed support system of aluminium alloy or galvanised steel, erected as</v>
          </cell>
        </row>
        <row r="356">
          <cell r="B356" t="str">
            <v>(i)</v>
          </cell>
          <cell r="C356" t="str">
            <v>Gantry Support System</v>
          </cell>
          <cell r="D356" t="str">
            <v>tonne</v>
          </cell>
          <cell r="E356" t="e">
            <v>#VALUE!</v>
          </cell>
        </row>
        <row r="357">
          <cell r="B357" t="str">
            <v>(ii)</v>
          </cell>
          <cell r="C357" t="str">
            <v>Message Display (Message display board 6 sqm electronically operated with complete electronic fitments for flashing the pre-determined messages.)</v>
          </cell>
        </row>
        <row r="358">
          <cell r="B358" t="str">
            <v>8.34</v>
          </cell>
          <cell r="C358" t="str">
            <v xml:space="preserve">Traffic Impact Attenuators at Abutments and Piers </v>
          </cell>
        </row>
        <row r="359">
          <cell r="B359" t="str">
            <v>A</v>
          </cell>
          <cell r="C359" t="str">
            <v xml:space="preserve"> With Scrap Tyres (Provision and installation of traffic attenuators at abutment/pier of flyovers bridges using scrap tyres of size 100 x 20 retrieved from trucks laid in 2 rows and 4 tiers, one above the other and tied with 20 mm wire rope as per approve</v>
          </cell>
          <cell r="D359" t="str">
            <v>sqm</v>
          </cell>
          <cell r="E359" t="e">
            <v>#VALUE!</v>
          </cell>
        </row>
        <row r="360">
          <cell r="B360" t="str">
            <v>B</v>
          </cell>
          <cell r="C360" t="str">
            <v xml:space="preserve">Using Plastic/Steel Barrel, Filled with Sand (Provision and installation of traffic impact attenuator at abutment/pier of flyovers bridges using plastic/steel barrels 0.60 m dia and 1.0 m in height, filled with sand in three rows and tied with20 mm steel </v>
          </cell>
          <cell r="D360" t="str">
            <v>sqm</v>
          </cell>
          <cell r="E360" t="e">
            <v>#VALUE!</v>
          </cell>
        </row>
        <row r="361">
          <cell r="B361" t="str">
            <v>C</v>
          </cell>
          <cell r="C361" t="str">
            <v xml:space="preserve"> With HI - DRO cell Sandwich (Patented) ((In this patented HI - DRO cell system, water gets discharged from plastic tubes on impact over a pre-determined time, thus absorbing the energy))</v>
          </cell>
          <cell r="D361" t="str">
            <v>sqm</v>
          </cell>
          <cell r="E361" t="e">
            <v>#VALUE!</v>
          </cell>
        </row>
        <row r="362">
          <cell r="B362" t="str">
            <v>8.35</v>
          </cell>
          <cell r="C362" t="str">
            <v>Road Markers/Road Stud with Lense Reflector (Providing and fixing of road stud 100x 100 mm, die cast in aluminium, resistant to corrosive effect of salt and grit, fitted with lense reflectors, installed in concrete or asphaltic surface by drilling hole 30</v>
          </cell>
          <cell r="D362" t="str">
            <v>each</v>
          </cell>
          <cell r="E362">
            <v>381</v>
          </cell>
        </row>
        <row r="363">
          <cell r="B363" t="str">
            <v>8.36</v>
          </cell>
          <cell r="C363" t="str">
            <v xml:space="preserve">Traffic Cone (Provision of red fluorescent with white reflective sleeve traffic cone made of low density polyethylene (LDPE)  material with a square base of 390 x 390 x 35 mm and a height of 770 mm, 4 kg in weight, placed at 1.5 m interval, all as per BS </v>
          </cell>
          <cell r="D363" t="str">
            <v>each</v>
          </cell>
          <cell r="E363" t="e">
            <v>#VALUE!</v>
          </cell>
        </row>
        <row r="364">
          <cell r="B364" t="str">
            <v>8.37</v>
          </cell>
          <cell r="C364" t="str">
            <v>Roadside Amenities</v>
          </cell>
        </row>
        <row r="365">
          <cell r="B365" t="str">
            <v>A</v>
          </cell>
          <cell r="C365" t="str">
            <v xml:space="preserve"> Rest Areas (Providing plainly furnished accommodation for rest rooms, dormitories, restaurants, stalls, shops, petrol pump, telephone booth, first aid room, traffic aid post, police assistance booth, including electricity, toilet and sewerage system Pric</v>
          </cell>
        </row>
        <row r="366">
          <cell r="B366" t="str">
            <v>B</v>
          </cell>
          <cell r="C366" t="str">
            <v>Parking areas and Bus Laybyes for Trucks, Buses and Light vehicles (Pricing of parking areas may be done for the quantities of various items based on the approved dimensions and pavement design for a particular terrain and soil. Rates for items may be fro</v>
          </cell>
        </row>
        <row r="367">
          <cell r="B367" t="str">
            <v>C</v>
          </cell>
          <cell r="C367" t="str">
            <v>Lawn (Providing a lawn planted with grass and its maintenance )</v>
          </cell>
        </row>
        <row r="368">
          <cell r="B368" t="str">
            <v>8.38</v>
          </cell>
          <cell r="C368" t="str">
            <v>Rumble Strips (Provision of 15 nos rumble strips covered with premix bituminous carpet, 15-20 mm high at center, 250 mm wide placed at 1 m center to center at approved locations to control speed, marked with white strips of road marking paint.)</v>
          </cell>
          <cell r="D368" t="str">
            <v>sqm</v>
          </cell>
        </row>
        <row r="369">
          <cell r="B369" t="str">
            <v>8.39</v>
          </cell>
          <cell r="C369" t="str">
            <v>Policeman Umbrella (Provision of a 2 m high (floor to roof)  umbrella for traffic policeman at road crossings, where necessary, installed on a raised platform, built on a central support of a steel pipe 100 mm dia, roof made of 25 mm dia steel pipe to pro</v>
          </cell>
          <cell r="D369" t="str">
            <v>each</v>
          </cell>
        </row>
        <row r="370">
          <cell r="B370" t="str">
            <v>8.40</v>
          </cell>
          <cell r="C370" t="str">
            <v>High Mast Pole Lighting at Interchanges and Flyovers (Providing and erecting a high mast pole lighting with 30 m high hot dip galvanised mast designed to withstand forces exerted with wind speeds of 180 km per hour with 3 seconds gust,  as per IS:875 (Par</v>
          </cell>
        </row>
        <row r="371">
          <cell r="B371" t="str">
            <v>8.41</v>
          </cell>
          <cell r="C371" t="str">
            <v>Toll Plaza (The construction,  operation and maintenance of Toll Plaza can be broken into separate items of work as under based on the approved design and drawings:-)</v>
          </cell>
        </row>
        <row r="372">
          <cell r="B372" t="str">
            <v>8.42</v>
          </cell>
          <cell r="C372" t="str">
            <v>Safety Devices and signs in Construction Zones (Provision and fixing of traffic signs for limited period at suitable locations in construction zone comprising of warning zone,  approach transition zone,  working zone and terminal transition zone with a mi</v>
          </cell>
        </row>
        <row r="373">
          <cell r="B373" t="str">
            <v>8.43</v>
          </cell>
          <cell r="C373" t="str">
            <v xml:space="preserve">Portable Barricade in Construction Zone (Installation of a steel portable barricade with horizontal rail 300 mm wide,  2.5 m in length fitted on a 'A' frame made with 45 x 45 x 5 mm angle iron section,  1.5 m in height,  horizontal rail painted (2 coats) </v>
          </cell>
          <cell r="D373" t="str">
            <v>each</v>
          </cell>
          <cell r="E373">
            <v>1696</v>
          </cell>
        </row>
        <row r="374">
          <cell r="B374" t="str">
            <v>8.44</v>
          </cell>
          <cell r="C374" t="str">
            <v xml:space="preserve">Permanent Type Barricade in Construction Zone </v>
          </cell>
        </row>
        <row r="375">
          <cell r="B375" t="str">
            <v>A</v>
          </cell>
          <cell r="C375" t="str">
            <v>With Steel Components (Construction of a permanent type barricade made of steel components,  1.5 m high from road level,  fitted with 3 horizontal rails 200 mm wide and 4 m long on 50 x 50 x 5 mm angle iron vertical support,  painted with yellow and white</v>
          </cell>
          <cell r="D375" t="str">
            <v>each</v>
          </cell>
          <cell r="E375">
            <v>2737</v>
          </cell>
        </row>
        <row r="376">
          <cell r="B376" t="str">
            <v>B</v>
          </cell>
          <cell r="C376" t="str">
            <v>With Wooden Components (Construction of a permanent type barricade made of wooden components,  1.5 m high from road level,  fitted with 3 horizontal planks 200 mm wide and 3.66 m long on 100 x 100mm wooden vertical post,  painted with yellow and white str</v>
          </cell>
          <cell r="D376" t="str">
            <v>each</v>
          </cell>
          <cell r="E376" t="e">
            <v>#VALUE!</v>
          </cell>
        </row>
        <row r="377">
          <cell r="B377" t="str">
            <v>C</v>
          </cell>
          <cell r="C377" t="str">
            <v xml:space="preserve"> With Bricks (Construction of a permanent type barricade made with brick work in mud mortar,  1.5 m high,  4 m long,  600 mm thick,  plastered with cement mortar 1:6,  painted with yellow and white strips)</v>
          </cell>
          <cell r="D377" t="str">
            <v>each</v>
          </cell>
          <cell r="E377">
            <v>4700</v>
          </cell>
        </row>
        <row r="378">
          <cell r="B378" t="str">
            <v>8.45</v>
          </cell>
          <cell r="C378" t="str">
            <v>Drum Delineator in Construction Zone (Provision of metal drum/empty bitumen drum delineator,  300 mm in diameter,  800 mm high,  filled with earth for stability,  painted in circumferential strips of alternate black and white 100 mm wide fitted with refle</v>
          </cell>
          <cell r="D378" t="str">
            <v>each</v>
          </cell>
          <cell r="E378" t="e">
            <v>#VALUE!</v>
          </cell>
        </row>
        <row r="379">
          <cell r="B379" t="str">
            <v>8.46</v>
          </cell>
          <cell r="C379" t="str">
            <v>Flagman (Positioning of a smart flagman with a yellow vest and a yellow cap and a red flag 600 x 600 mm securely fastened to a staff 1 m in length for guiding the traffic)</v>
          </cell>
          <cell r="D379" t="str">
            <v>each</v>
          </cell>
          <cell r="E379" t="e">
            <v>#VALUE!</v>
          </cell>
        </row>
        <row r="380">
          <cell r="C380" t="str">
            <v>CHAPTER-9</v>
          </cell>
        </row>
        <row r="381">
          <cell r="C381" t="str">
            <v xml:space="preserve"> PIPE CULVERTS </v>
          </cell>
        </row>
        <row r="382">
          <cell r="B382" t="str">
            <v>9.1</v>
          </cell>
          <cell r="C382" t="str">
            <v>PCC 1:3:6 in Foundation (Plain cement concrete 1:3:6 mix with crushed stone aggregate 40 mm nominal size mechanically mixed,  placed in foundation and compacted by vibration including curing for 14 days.)</v>
          </cell>
          <cell r="D382" t="str">
            <v>cum</v>
          </cell>
          <cell r="E382">
            <v>1757</v>
          </cell>
        </row>
        <row r="383">
          <cell r="B383" t="str">
            <v>9.2</v>
          </cell>
          <cell r="C383" t="str">
            <v>Laying Reinforced Cement Concrete Pipe NP4/prestrssed concrete pipe on first class bedding in single row . (Laying Reinforced cement concrete pipe NP4/prestrssed concrete pipe for culverts on first class bedding of granular material in single row includin</v>
          </cell>
        </row>
        <row r="384">
          <cell r="B384" t="str">
            <v>A</v>
          </cell>
          <cell r="C384" t="str">
            <v>1000 mm dia</v>
          </cell>
          <cell r="D384" t="str">
            <v>metre</v>
          </cell>
          <cell r="E384">
            <v>3397</v>
          </cell>
        </row>
        <row r="385">
          <cell r="B385" t="str">
            <v>B</v>
          </cell>
          <cell r="C385" t="str">
            <v>1200 mm dia</v>
          </cell>
          <cell r="D385" t="str">
            <v>metre</v>
          </cell>
          <cell r="E385">
            <v>4616</v>
          </cell>
        </row>
        <row r="386">
          <cell r="B386" t="str">
            <v>9.3</v>
          </cell>
          <cell r="C386" t="str">
            <v>Laying Reinforced Cement Concrete Pipe NP 4 /prestrssed concrete pipe on first class bedding in double row . (Laying Reinforced cement concrete pipe NP4 /prestrssed concrete pipe for culverts on first class bedding of granular material in double row inclu</v>
          </cell>
        </row>
        <row r="387">
          <cell r="B387" t="str">
            <v>A</v>
          </cell>
          <cell r="C387" t="str">
            <v>1000 mm dia</v>
          </cell>
          <cell r="D387" t="str">
            <v>metre</v>
          </cell>
          <cell r="E387">
            <v>6806</v>
          </cell>
        </row>
        <row r="388">
          <cell r="B388" t="str">
            <v>B</v>
          </cell>
          <cell r="C388" t="str">
            <v>1200 mm dia</v>
          </cell>
          <cell r="D388" t="str">
            <v>metre</v>
          </cell>
          <cell r="E388">
            <v>9244</v>
          </cell>
        </row>
        <row r="389">
          <cell r="C389" t="str">
            <v>CHAPTER-10</v>
          </cell>
        </row>
        <row r="390">
          <cell r="C390" t="str">
            <v>MAINTENANCE  OF ROADS</v>
          </cell>
        </row>
        <row r="391">
          <cell r="B391" t="str">
            <v>10.1</v>
          </cell>
          <cell r="C391" t="str">
            <v xml:space="preserve">Restoration of Rain Cuts (Restoration of rain cuts with soil,  moorum,  gravel or a mixture of these,  clearing the loose soil,  benching for 300 mm width,  laying fresh material in layers not exceeding 250 mm and compacting with plate compactor or power </v>
          </cell>
          <cell r="D391" t="str">
            <v>cum</v>
          </cell>
          <cell r="E391">
            <v>60</v>
          </cell>
        </row>
        <row r="392">
          <cell r="B392" t="str">
            <v>10.2</v>
          </cell>
          <cell r="C392" t="str">
            <v>Maintenance of Earthen Shoulder (filling with fresh soil) (Making up loss of material/ irregularities on shoulder to the design level by adding fresh approved soil and compacting it with appropriate equipment.)</v>
          </cell>
          <cell r="D392" t="str">
            <v>sqm</v>
          </cell>
          <cell r="E392">
            <v>29</v>
          </cell>
        </row>
        <row r="393">
          <cell r="B393" t="str">
            <v>10.3</v>
          </cell>
          <cell r="C393" t="str">
            <v>Maintenance of Earth Shoulder (stripping excess soil) (Stripping excess soil from the shoulder surface to achieve the approved level and compacting with plate compactor)</v>
          </cell>
          <cell r="D393" t="str">
            <v>sqm</v>
          </cell>
          <cell r="E393">
            <v>9</v>
          </cell>
        </row>
        <row r="394">
          <cell r="A394" t="str">
            <v>D9</v>
          </cell>
          <cell r="B394" t="str">
            <v>10.4</v>
          </cell>
          <cell r="C394" t="str">
            <v>Filling Pot- holes and Patch Repairs with open - graded Premix surfacing,  20mm. (Removal of all failed material,  trimming of completed excavation to provide firm vertical faces,  cleaning of surface,  painting of tack coat on the sides and base of excav</v>
          </cell>
          <cell r="D394" t="str">
            <v>sqm</v>
          </cell>
          <cell r="E394">
            <v>68</v>
          </cell>
        </row>
        <row r="395">
          <cell r="B395" t="str">
            <v>10.5</v>
          </cell>
          <cell r="C395" t="str">
            <v xml:space="preserve">Filling Pot- holes and Patch Repairs with - Bituminous concrete,  40mm. (Removal of all failed material,  trimming of completed excavation to provide firm vertical faces,  cleaning of surface,  painting of tack coat on the sides and base of excavation as </v>
          </cell>
        </row>
        <row r="396">
          <cell r="B396" t="str">
            <v>(i)</v>
          </cell>
          <cell r="C396" t="str">
            <v xml:space="preserve"> for grading I  Material</v>
          </cell>
          <cell r="D396" t="str">
            <v>sqm</v>
          </cell>
          <cell r="E396">
            <v>164</v>
          </cell>
        </row>
        <row r="397">
          <cell r="B397" t="str">
            <v>(ii)</v>
          </cell>
          <cell r="C397" t="str">
            <v>for grading II  Material</v>
          </cell>
          <cell r="D397" t="str">
            <v>sqm</v>
          </cell>
          <cell r="E397">
            <v>173</v>
          </cell>
        </row>
        <row r="398">
          <cell r="B398" t="str">
            <v>10.6</v>
          </cell>
          <cell r="C398" t="str">
            <v>Crack Filling (Filling of crack using slow - curing bitumen emulsion and applying crusher dust in case crack are wider than 3mm.)</v>
          </cell>
          <cell r="D398" t="str">
            <v>metre</v>
          </cell>
          <cell r="E398">
            <v>2</v>
          </cell>
        </row>
        <row r="399">
          <cell r="B399" t="str">
            <v>10.7</v>
          </cell>
          <cell r="C399" t="str">
            <v>Dusting (Applying crusher dust to areas of road where bleeding of excess bitumen has occurred.)</v>
          </cell>
          <cell r="D399" t="str">
            <v>sqm</v>
          </cell>
          <cell r="E399">
            <v>0.42</v>
          </cell>
        </row>
        <row r="400">
          <cell r="B400" t="str">
            <v>10.8 A</v>
          </cell>
          <cell r="C400" t="str">
            <v>Fog Seal (ref item 5.17)</v>
          </cell>
          <cell r="D400" t="str">
            <v>sqm</v>
          </cell>
          <cell r="E400">
            <v>22</v>
          </cell>
        </row>
        <row r="401">
          <cell r="B401" t="str">
            <v>B</v>
          </cell>
          <cell r="C401" t="str">
            <v>Crack Prevention courses. (ref item 5.21)</v>
          </cell>
        </row>
        <row r="402">
          <cell r="B402" t="str">
            <v>(i)</v>
          </cell>
          <cell r="C402" t="str">
            <v>Stress Absorbing Membrane (SAM) crack width less than 6 mm</v>
          </cell>
          <cell r="D402" t="str">
            <v>sqm</v>
          </cell>
          <cell r="E402">
            <v>32</v>
          </cell>
        </row>
        <row r="403">
          <cell r="B403" t="str">
            <v>(ii)</v>
          </cell>
          <cell r="C403" t="str">
            <v>Stress Absorbing Membrane (SAM) with crack width 6 mm to 9 mm</v>
          </cell>
          <cell r="D403" t="str">
            <v>sqm</v>
          </cell>
          <cell r="E403">
            <v>38</v>
          </cell>
        </row>
        <row r="404">
          <cell r="B404" t="str">
            <v>(iii)</v>
          </cell>
          <cell r="C404" t="str">
            <v>Stress Absorbing Membrane (SAM) crack width above 9 mm and cracked area above 50 %</v>
          </cell>
          <cell r="D404" t="str">
            <v>sqm</v>
          </cell>
          <cell r="E404">
            <v>50</v>
          </cell>
        </row>
        <row r="405">
          <cell r="B405" t="str">
            <v>(iv)</v>
          </cell>
          <cell r="C405" t="str">
            <v>Bitumen Impregnated Geotextile</v>
          </cell>
          <cell r="D405" t="str">
            <v>sqm</v>
          </cell>
          <cell r="E405" t="e">
            <v>#VALUE!</v>
          </cell>
        </row>
        <row r="406">
          <cell r="B406" t="str">
            <v>C</v>
          </cell>
          <cell r="C406" t="str">
            <v>Slurry Seal (ref item 5.15)</v>
          </cell>
        </row>
        <row r="407">
          <cell r="A407" t="str">
            <v>D8</v>
          </cell>
          <cell r="B407" t="str">
            <v>(i)</v>
          </cell>
          <cell r="C407" t="str">
            <v xml:space="preserve"> 5 mm thickness</v>
          </cell>
          <cell r="D407" t="str">
            <v>sqm</v>
          </cell>
          <cell r="E407">
            <v>34</v>
          </cell>
        </row>
        <row r="408">
          <cell r="B408" t="str">
            <v>(ii)</v>
          </cell>
          <cell r="C408" t="str">
            <v>3 mm thickness</v>
          </cell>
          <cell r="D408" t="str">
            <v>sqm</v>
          </cell>
          <cell r="E408">
            <v>23</v>
          </cell>
        </row>
        <row r="409">
          <cell r="B409" t="str">
            <v>(iii)</v>
          </cell>
          <cell r="C409" t="str">
            <v>1.5 mm thickness</v>
          </cell>
          <cell r="D409" t="str">
            <v>sqm</v>
          </cell>
          <cell r="E409">
            <v>14</v>
          </cell>
        </row>
        <row r="410">
          <cell r="B410" t="str">
            <v>D</v>
          </cell>
          <cell r="C410" t="str">
            <v>Surface Dressing for maintance works. (ref item 5.9)</v>
          </cell>
        </row>
        <row r="411">
          <cell r="B411" t="str">
            <v>(i)</v>
          </cell>
          <cell r="C411" t="str">
            <v>19 mm nominal chipping size</v>
          </cell>
          <cell r="D411" t="str">
            <v>sqm</v>
          </cell>
          <cell r="E411">
            <v>41</v>
          </cell>
        </row>
        <row r="412">
          <cell r="B412" t="str">
            <v>(ii)</v>
          </cell>
          <cell r="C412" t="str">
            <v>13 mm nominal size chipping</v>
          </cell>
          <cell r="D412" t="str">
            <v>sqm</v>
          </cell>
          <cell r="E412">
            <v>34</v>
          </cell>
        </row>
        <row r="413">
          <cell r="B413" t="str">
            <v>10.9</v>
          </cell>
          <cell r="C413" t="str">
            <v>Repair of joint Grooves with Epoxy Mortar Repair of spalled joint grooves of contraction joints,  longitudinal joints and expansion joints in concrete pavements using epoxy mortar or epoxy concrete)</v>
          </cell>
          <cell r="D413" t="str">
            <v>metre</v>
          </cell>
          <cell r="E413" t="e">
            <v>#VALUE!</v>
          </cell>
        </row>
        <row r="414">
          <cell r="B414" t="str">
            <v>10.10</v>
          </cell>
          <cell r="C414" t="str">
            <v>Repair of old Joints Sealant (Removal of existing sealant and re sealing of contraction,  longitudinal or expansion joints in concrete pavement with fresh sealant material)</v>
          </cell>
          <cell r="D414" t="str">
            <v>metre</v>
          </cell>
          <cell r="E414" t="e">
            <v>#VALUE!</v>
          </cell>
        </row>
        <row r="415">
          <cell r="B415" t="str">
            <v>10.11</v>
          </cell>
          <cell r="C415" t="str">
            <v>Hill Side Drain Clearance (Removal of earth from the choked hill side drain and disposing it on the valley side manually)</v>
          </cell>
          <cell r="D415" t="str">
            <v>metre</v>
          </cell>
          <cell r="E415">
            <v>11</v>
          </cell>
        </row>
        <row r="416">
          <cell r="B416" t="str">
            <v>10.12</v>
          </cell>
          <cell r="C416" t="str">
            <v>Land Slide Clearance in soil (Clearance of land slides in soil and ordinary rock by a bull-dozer D 80 A-12,  180 HP and disposal of the same on the valley side)</v>
          </cell>
          <cell r="D416" t="str">
            <v>cum</v>
          </cell>
          <cell r="E416">
            <v>61</v>
          </cell>
        </row>
        <row r="417">
          <cell r="B417" t="str">
            <v>10.13</v>
          </cell>
          <cell r="C417" t="str">
            <v>Land slide Clearance in Hard Rock Requiring Blasting (Clearing of land slide in hard rock requiring blasting for 50% of the boulders and disposal of the same on the valley side.)</v>
          </cell>
          <cell r="D417" t="str">
            <v>cum</v>
          </cell>
          <cell r="E417">
            <v>109</v>
          </cell>
        </row>
        <row r="418">
          <cell r="B418" t="str">
            <v>10.14</v>
          </cell>
          <cell r="C418" t="str">
            <v>Snow Clearance on Roads with Dozer (Snow clearance from road surface by a bull- dozer 165 Hp and disposing it on the valley side)</v>
          </cell>
          <cell r="D418" t="str">
            <v>cum</v>
          </cell>
          <cell r="E418">
            <v>4</v>
          </cell>
        </row>
        <row r="419">
          <cell r="B419" t="str">
            <v>10.15</v>
          </cell>
          <cell r="C419" t="str">
            <v>Snow Clearance on Roads with Snow Blowers (Snow clearance from road surface by a snow blower and disposing on the valley side.)</v>
          </cell>
          <cell r="D419" t="str">
            <v>cum</v>
          </cell>
          <cell r="E419" t="e">
            <v>#VALUE!</v>
          </cell>
        </row>
        <row r="420">
          <cell r="C420" t="str">
            <v>CHAPTER-11</v>
          </cell>
        </row>
        <row r="421">
          <cell r="C421" t="str">
            <v>HORTICULTURE</v>
          </cell>
        </row>
        <row r="422">
          <cell r="B422" t="str">
            <v>11.1</v>
          </cell>
          <cell r="C422" t="str">
            <v>Spreading of Sludge Farm Yard Manure or/and good Earth (Spreading of sludge farm yard manure or/ and good earth in required thickness (cost of sludge,  farm- yard manure or/and good earth to be paid for separately))</v>
          </cell>
          <cell r="D422" t="str">
            <v>cum</v>
          </cell>
          <cell r="E422">
            <v>7</v>
          </cell>
        </row>
        <row r="423">
          <cell r="B423" t="str">
            <v>11.2</v>
          </cell>
          <cell r="C423" t="str">
            <v>Grassing with ' Doobs' Grass (Grassing with 'Doobs' grass including watering and maintenance of the lawn for 30 days or more till the grass forms a thick lawn free from weeds and fit for moving including supplying good earth if needed)</v>
          </cell>
        </row>
        <row r="424">
          <cell r="B424" t="str">
            <v xml:space="preserve">(i) </v>
          </cell>
          <cell r="C424" t="str">
            <v>In rows 15 cm apart in either direction</v>
          </cell>
          <cell r="D424" t="str">
            <v>sqm</v>
          </cell>
          <cell r="E424" t="e">
            <v>#VALUE!</v>
          </cell>
        </row>
        <row r="425">
          <cell r="B425" t="str">
            <v>(ii)</v>
          </cell>
          <cell r="C425" t="str">
            <v xml:space="preserve"> In rows 7.5 cm apart in either direction</v>
          </cell>
          <cell r="D425" t="str">
            <v>sqm</v>
          </cell>
          <cell r="E425" t="e">
            <v>#VALUE!</v>
          </cell>
        </row>
        <row r="426">
          <cell r="B426" t="str">
            <v>11.3</v>
          </cell>
          <cell r="C426" t="str">
            <v>Making Lawns including Ploughing and Dragging with 'Swagha' Breaking of Clod (Making lawns including ploughing and breaking of clod,  removal of rubbish,  dressing and supplying doobs grass roots and planting at 15 cm apart,  including supplying and sprea</v>
          </cell>
          <cell r="D426" t="str">
            <v>sqm</v>
          </cell>
          <cell r="E426" t="e">
            <v>#VALUE!</v>
          </cell>
        </row>
        <row r="427">
          <cell r="B427" t="str">
            <v>11.4</v>
          </cell>
          <cell r="C427" t="str">
            <v>Maintenance of Lawns or Turfing of Slopes (Maintenance of lawns or Turfing of slopes (rough grassing)      for a period of one year including watering etc)</v>
          </cell>
          <cell r="D427" t="str">
            <v>sqm</v>
          </cell>
          <cell r="E427" t="e">
            <v>#VALUE!</v>
          </cell>
        </row>
        <row r="428">
          <cell r="B428" t="str">
            <v>11.5</v>
          </cell>
          <cell r="C428" t="str">
            <v>Turfing Lawns with Fine Grassing including Ploughing,  Dressing (Turfing lawns with fine grassing including ploughing,  dressing including breaking of clods,  removal of rubbish,  dressing and supplying doobs grass roots at 10 cm apart,  including supplyi</v>
          </cell>
          <cell r="D428" t="str">
            <v>sqm</v>
          </cell>
          <cell r="E428" t="e">
            <v>#VALUE!</v>
          </cell>
        </row>
        <row r="429">
          <cell r="B429" t="str">
            <v>11.6</v>
          </cell>
          <cell r="C429" t="str">
            <v xml:space="preserve">Maintenance of Lawns with Fine Grassing for the First Year </v>
          </cell>
          <cell r="D429" t="str">
            <v>sqm</v>
          </cell>
          <cell r="E429" t="e">
            <v>#VALUE!</v>
          </cell>
        </row>
        <row r="430">
          <cell r="B430" t="str">
            <v>11.7</v>
          </cell>
          <cell r="C430" t="str">
            <v>a)    Planting Permanent Hedges including Digging of Trenches (Planting permanent hedges including digging of trenches,  60 cm wide and 45 cm deep,  refilling the excavated earth mixed with farmyard manure,  supplied at the rate of 4.65 cum per 100 metres</v>
          </cell>
          <cell r="D430" t="str">
            <v>metre</v>
          </cell>
          <cell r="E430" t="e">
            <v>#VALUE!</v>
          </cell>
        </row>
        <row r="431">
          <cell r="B431" t="str">
            <v xml:space="preserve">(b)     </v>
          </cell>
          <cell r="C431" t="str">
            <v>Maintenance of Hedge for one year</v>
          </cell>
          <cell r="D431" t="str">
            <v>metre</v>
          </cell>
          <cell r="E431" t="e">
            <v>#VALUE!</v>
          </cell>
        </row>
        <row r="432">
          <cell r="A432" t="str">
            <v>I3</v>
          </cell>
          <cell r="B432" t="str">
            <v>11.8</v>
          </cell>
          <cell r="C432" t="str">
            <v>a)     Planting Flowering Plants and Shrubs in Central Verge</v>
          </cell>
          <cell r="D432" t="str">
            <v>km</v>
          </cell>
          <cell r="E432">
            <v>75284</v>
          </cell>
        </row>
        <row r="433">
          <cell r="B433" t="str">
            <v xml:space="preserve">(b)    </v>
          </cell>
          <cell r="C433" t="str">
            <v>Maintenance of Flowering Plants and Shrubs in Central Verge for one Year</v>
          </cell>
          <cell r="D433" t="str">
            <v>km</v>
          </cell>
          <cell r="E433">
            <v>52096</v>
          </cell>
        </row>
        <row r="434">
          <cell r="A434" t="str">
            <v>I4</v>
          </cell>
          <cell r="B434" t="str">
            <v>11.9</v>
          </cell>
          <cell r="C434" t="str">
            <v>Planting of Trees and their Maintenance for one Year  (Planting of trees by the road side (Avenue trees) in 0.60 m dia holes,  1 m deep dug in the ground,  mixing the soil with decayed farm yard/sludge mannure,  planting the saplings,  backfilling the tre</v>
          </cell>
          <cell r="D434" t="str">
            <v>each</v>
          </cell>
          <cell r="E434">
            <v>331</v>
          </cell>
        </row>
        <row r="435">
          <cell r="B435" t="str">
            <v>11.10</v>
          </cell>
          <cell r="C435" t="str">
            <v>Renovation Lawns including,  Weeding,  Forking the Ground,  Top Dressing with Forked Soil (Renovation lawns including,  weeding,  forking the ground,  top dressing with forked soil,  watering and maintenance the lawns,  for 30 days or more,  till the gras</v>
          </cell>
          <cell r="D435" t="str">
            <v>sqm</v>
          </cell>
          <cell r="E435">
            <v>4</v>
          </cell>
        </row>
        <row r="436">
          <cell r="B436" t="str">
            <v>11.11</v>
          </cell>
          <cell r="C436" t="str">
            <v>Supply at Site Well Decayed Farm Yard Manure (Supply at site of work well decayed farm yard manure,  from any available source,  approved by the engineer in charge including screening and stacking)</v>
          </cell>
          <cell r="D436" t="str">
            <v>cum</v>
          </cell>
        </row>
        <row r="437">
          <cell r="B437" t="str">
            <v>11.12</v>
          </cell>
          <cell r="C437" t="str">
            <v>Supply at Site of Work/ Store - Deoiled Neem Cake (Supply at site of work/ store- deoiled neem cake duly packed in used gunny bags)</v>
          </cell>
          <cell r="D437" t="str">
            <v>quintal</v>
          </cell>
        </row>
        <row r="438">
          <cell r="B438" t="str">
            <v>11.13</v>
          </cell>
          <cell r="C438" t="str">
            <v>Supplying Sludge (Supplying sludge duly stacked at site/ store)</v>
          </cell>
          <cell r="D438" t="str">
            <v>cum</v>
          </cell>
        </row>
        <row r="439">
          <cell r="B439" t="str">
            <v>11.14</v>
          </cell>
          <cell r="C439" t="str">
            <v>Half Brick Circular Tree Guard,  in 2nd class Brick,  internal diametre 1.25 metres,  and height 1.2 metres,  above ground and 0.20 metre below ground (Half brick circular tree guard,  in 2nd class brick,  internal diametre 1.25 metres,  and height 1.2 me</v>
          </cell>
          <cell r="D439" t="str">
            <v>each</v>
          </cell>
          <cell r="E439">
            <v>567</v>
          </cell>
        </row>
        <row r="440">
          <cell r="B440" t="str">
            <v>11.15</v>
          </cell>
          <cell r="C440" t="str">
            <v>Edging with 2nd class Bricks,  laid dry lengthwise (Edging with 2nd class bricks,  laid dry lengthwise,  including excavation,  refilling,  consolidation,  with a hand packing and spreading nearly surplus earth within a lead of 50 metres)</v>
          </cell>
          <cell r="D440" t="str">
            <v>metre</v>
          </cell>
          <cell r="E440">
            <v>11</v>
          </cell>
        </row>
        <row r="441">
          <cell r="B441" t="str">
            <v>11.16</v>
          </cell>
          <cell r="C441" t="str">
            <v xml:space="preserve">Making Tree Guard 53 cm dia and 1.3 m high as per design from empty bitumen drum (Making tree guard 53 cm dia and 1.3 m high as per design from empty bitumen drum,  slit suitably to permit sun and air, (supplied by the department at stock issue rate)     </v>
          </cell>
          <cell r="D441" t="str">
            <v>each</v>
          </cell>
          <cell r="E441" t="e">
            <v>#VALUE!</v>
          </cell>
        </row>
        <row r="442">
          <cell r="B442" t="str">
            <v>11.17</v>
          </cell>
          <cell r="C442" t="str">
            <v xml:space="preserve">Making Tree Guard 53 cm dia and 2 metres high as per design from empty bitumen drums (Making tree guard 53 cm dia and 2 metres high as per design from empty bitumen drums,  slit suitably to permit sun and air,  ( supplied by the department at stock issue </v>
          </cell>
          <cell r="D442" t="str">
            <v>each</v>
          </cell>
          <cell r="E442" t="e">
            <v>#VALUE!</v>
          </cell>
        </row>
        <row r="443">
          <cell r="A443" t="str">
            <v>i5</v>
          </cell>
          <cell r="B443" t="str">
            <v>11.18</v>
          </cell>
          <cell r="C443" t="str">
            <v>Wrought Iron and Mild Steel Welded Work (Wrought iron and mild steel welded work) (using angles,  square bars,  tees and channel grills,  grating frames,  gates and tree guards of any size and design etc. including cost of screens and welding rods or bolt</v>
          </cell>
          <cell r="D443" t="str">
            <v>quintal</v>
          </cell>
          <cell r="E443">
            <v>4492</v>
          </cell>
        </row>
        <row r="444">
          <cell r="B444" t="str">
            <v>11.19</v>
          </cell>
          <cell r="C444" t="str">
            <v xml:space="preserve">Tree Guard with MS Iron (Providing and fixing MS iron tree guard 60 cm dia and 2 metre high above ground level formed of 4 Nos (25 x 6 mm) and 8 Nos (25 x 3 mm) vertical MS riveted to 3 Nos (25 x 6 mm) iron rings in two halves,  bolted together with 8 mm </v>
          </cell>
          <cell r="D444" t="str">
            <v>each tree guard</v>
          </cell>
          <cell r="E444">
            <v>1175</v>
          </cell>
        </row>
        <row r="445">
          <cell r="B445" t="str">
            <v>11.20</v>
          </cell>
          <cell r="C445" t="str">
            <v>Tree Guard with MS Angle Iron and Steel Wire (Providing and fixing tree guard 0.60 metre square,  2.00 metre high fabricated with MS angle iron 30 x 30 x 3 mm,  MS iron 25 x 3 mm and steel wire3 mm dia welded and fabricated as per design in two halves bol</v>
          </cell>
          <cell r="D445" t="str">
            <v>each tree guard</v>
          </cell>
          <cell r="E445" t="e">
            <v>#VALUE!</v>
          </cell>
        </row>
        <row r="446">
          <cell r="B446" t="str">
            <v>11.21</v>
          </cell>
          <cell r="C446" t="str">
            <v>Compensatory Afforestation (Planting trees as compensatory afforestation at the rate of 290 trees per hectare at a spacing of 6 m by grubbing and leveling the ground upto a depth of 150 mm,  digging holes 0.9 m dia,  1 m deep,  mixing farm yard/sludge man</v>
          </cell>
          <cell r="D446" t="str">
            <v>hectare</v>
          </cell>
          <cell r="E446">
            <v>64850</v>
          </cell>
        </row>
        <row r="447">
          <cell r="C447" t="str">
            <v>CHAPTER-12</v>
          </cell>
        </row>
        <row r="448">
          <cell r="C448" t="str">
            <v>FOUNDATIONS</v>
          </cell>
        </row>
        <row r="449">
          <cell r="B449" t="str">
            <v>12.1</v>
          </cell>
          <cell r="C449" t="str">
            <v>Excavation for Structures (Earth work in excavation of foundation of structures as per drawing and technical specification,  including setting out,  construction of shoring and bracing,  removal of stumps and other deleterious matter,  dressing of sides a</v>
          </cell>
        </row>
        <row r="450">
          <cell r="B450" t="str">
            <v>I</v>
          </cell>
          <cell r="C450" t="str">
            <v>Ordinary soil</v>
          </cell>
        </row>
        <row r="451">
          <cell r="B451" t="str">
            <v>A</v>
          </cell>
          <cell r="C451" t="str">
            <v>Manual Means</v>
          </cell>
        </row>
        <row r="452">
          <cell r="B452" t="str">
            <v>(i)</v>
          </cell>
          <cell r="C452" t="str">
            <v>upto 3 m depth</v>
          </cell>
          <cell r="D452" t="str">
            <v>cum</v>
          </cell>
          <cell r="E452">
            <v>39</v>
          </cell>
        </row>
        <row r="453">
          <cell r="B453" t="str">
            <v>(ii)</v>
          </cell>
          <cell r="C453" t="str">
            <v>3 m to 6 m depth</v>
          </cell>
          <cell r="D453" t="str">
            <v>cum</v>
          </cell>
          <cell r="E453">
            <v>50</v>
          </cell>
        </row>
        <row r="454">
          <cell r="B454" t="str">
            <v>(iii)</v>
          </cell>
          <cell r="C454" t="str">
            <v>Above 6 m depth</v>
          </cell>
          <cell r="D454" t="str">
            <v>cum</v>
          </cell>
          <cell r="E454">
            <v>67</v>
          </cell>
        </row>
        <row r="455">
          <cell r="B455" t="str">
            <v>B</v>
          </cell>
          <cell r="C455" t="str">
            <v>Mechanical Means</v>
          </cell>
        </row>
        <row r="456">
          <cell r="B456" t="str">
            <v>(i)</v>
          </cell>
          <cell r="C456" t="str">
            <v xml:space="preserve">Depth upto 3 m </v>
          </cell>
          <cell r="D456" t="str">
            <v>cum</v>
          </cell>
          <cell r="E456">
            <v>39</v>
          </cell>
        </row>
        <row r="457">
          <cell r="B457" t="str">
            <v>(ii)</v>
          </cell>
          <cell r="C457" t="str">
            <v>Depth 3 m to 6 m</v>
          </cell>
          <cell r="D457" t="str">
            <v>cum</v>
          </cell>
          <cell r="E457">
            <v>44</v>
          </cell>
        </row>
        <row r="458">
          <cell r="B458" t="str">
            <v>(iii)</v>
          </cell>
          <cell r="C458" t="str">
            <v>Depth above 6m</v>
          </cell>
          <cell r="D458" t="str">
            <v>cum</v>
          </cell>
          <cell r="E458">
            <v>53</v>
          </cell>
        </row>
        <row r="459">
          <cell r="B459" t="str">
            <v>II</v>
          </cell>
          <cell r="C459" t="str">
            <v>Ordinary rock (not requiring blasting)</v>
          </cell>
        </row>
        <row r="460">
          <cell r="B460" t="str">
            <v>A</v>
          </cell>
          <cell r="C460" t="str">
            <v>Manual Means</v>
          </cell>
        </row>
        <row r="461">
          <cell r="B461" t="str">
            <v>(i)</v>
          </cell>
          <cell r="C461" t="str">
            <v>Depth upto 3 m</v>
          </cell>
          <cell r="D461" t="str">
            <v>cum</v>
          </cell>
          <cell r="E461">
            <v>56</v>
          </cell>
        </row>
        <row r="462">
          <cell r="B462" t="str">
            <v>B</v>
          </cell>
          <cell r="C462" t="str">
            <v>Mechanical Means</v>
          </cell>
          <cell r="D462" t="str">
            <v>cum</v>
          </cell>
          <cell r="E462">
            <v>50</v>
          </cell>
        </row>
        <row r="463">
          <cell r="B463" t="str">
            <v>III</v>
          </cell>
          <cell r="C463" t="str">
            <v>Hard rock ( requiring blasting )</v>
          </cell>
        </row>
        <row r="464">
          <cell r="B464" t="str">
            <v>A</v>
          </cell>
          <cell r="C464" t="str">
            <v>Manual Means</v>
          </cell>
          <cell r="D464" t="str">
            <v>cum</v>
          </cell>
          <cell r="E464">
            <v>224</v>
          </cell>
        </row>
        <row r="465">
          <cell r="B465" t="str">
            <v>IV</v>
          </cell>
          <cell r="C465" t="str">
            <v>Hard rock ( blasting prohibited )</v>
          </cell>
        </row>
        <row r="466">
          <cell r="B466" t="str">
            <v>A</v>
          </cell>
          <cell r="C466" t="str">
            <v>Mechanical Means</v>
          </cell>
          <cell r="D466" t="str">
            <v>cum</v>
          </cell>
          <cell r="E466">
            <v>262</v>
          </cell>
        </row>
        <row r="467">
          <cell r="B467" t="str">
            <v>V</v>
          </cell>
          <cell r="C467" t="str">
            <v>Marshy soil</v>
          </cell>
        </row>
        <row r="468">
          <cell r="B468" t="str">
            <v>(i)</v>
          </cell>
          <cell r="C468" t="str">
            <v>upto 3 m depth</v>
          </cell>
        </row>
        <row r="469">
          <cell r="B469" t="str">
            <v>A</v>
          </cell>
          <cell r="C469" t="str">
            <v>Manual means</v>
          </cell>
          <cell r="D469" t="str">
            <v>cum</v>
          </cell>
          <cell r="E469">
            <v>216</v>
          </cell>
        </row>
        <row r="470">
          <cell r="B470" t="str">
            <v>B</v>
          </cell>
          <cell r="C470" t="str">
            <v>Mechanical Means</v>
          </cell>
          <cell r="D470" t="str">
            <v>cum</v>
          </cell>
          <cell r="E470">
            <v>61</v>
          </cell>
        </row>
        <row r="471">
          <cell r="B471" t="str">
            <v>VI</v>
          </cell>
          <cell r="C471" t="str">
            <v>Back Filling in Marshy Foundation Pits</v>
          </cell>
          <cell r="D471" t="str">
            <v>cum</v>
          </cell>
          <cell r="E471">
            <v>186</v>
          </cell>
        </row>
        <row r="472">
          <cell r="B472" t="str">
            <v>12.2</v>
          </cell>
          <cell r="C472" t="str">
            <v>Filling Annular Space Around Footing in Rock (Lean cement concrete 1:3:6 nominal mix. Rate may be taken as per items 13.4.)</v>
          </cell>
        </row>
        <row r="473">
          <cell r="B473" t="str">
            <v>12.3</v>
          </cell>
          <cell r="C473" t="str">
            <v>Sand Filling in Foundation Trenches as per Drawing &amp; Technical Specification</v>
          </cell>
          <cell r="D473" t="str">
            <v>cum</v>
          </cell>
          <cell r="E473">
            <v>632</v>
          </cell>
        </row>
        <row r="474">
          <cell r="B474" t="str">
            <v>12.4</v>
          </cell>
          <cell r="C474" t="str">
            <v>PCC 1:3:6 in Foundation (Plain cement concrete 1:3:6 nominal mix in foundation with crushed stone aggregate 40 mm nominal size mechanically mixed,  placed in foundation and compacted by vibration including curing for 14 days.)</v>
          </cell>
          <cell r="D474" t="str">
            <v>cum</v>
          </cell>
          <cell r="E474">
            <v>1979</v>
          </cell>
        </row>
        <row r="475">
          <cell r="B475" t="str">
            <v>12.5</v>
          </cell>
          <cell r="C475" t="str">
            <v>Brick masonry work in cement mortar 1:3 in foundation complete excluding pointing and plastering,  as per drawing and technical specifications</v>
          </cell>
          <cell r="D475" t="str">
            <v>cum</v>
          </cell>
          <cell r="E475">
            <v>2071</v>
          </cell>
        </row>
        <row r="476">
          <cell r="B476" t="str">
            <v>12.6 A</v>
          </cell>
          <cell r="C476" t="str">
            <v>Cement mortar1:3 (1cement :3 sand)</v>
          </cell>
          <cell r="D476" t="str">
            <v>cum</v>
          </cell>
          <cell r="E476">
            <v>2053</v>
          </cell>
        </row>
        <row r="477">
          <cell r="B477" t="str">
            <v>B</v>
          </cell>
          <cell r="C477" t="str">
            <v>Cement mortar1:2 (1cement :2 sand)</v>
          </cell>
          <cell r="D477" t="str">
            <v>cum</v>
          </cell>
          <cell r="E477">
            <v>2517</v>
          </cell>
        </row>
        <row r="478">
          <cell r="B478" t="str">
            <v>C</v>
          </cell>
          <cell r="C478" t="str">
            <v>Cement mortar1:4 (1cement :4 sand)</v>
          </cell>
          <cell r="D478" t="str">
            <v>cum</v>
          </cell>
          <cell r="E478">
            <v>1745</v>
          </cell>
        </row>
        <row r="479">
          <cell r="B479" t="str">
            <v>D</v>
          </cell>
          <cell r="C479" t="str">
            <v>Cement mortar1:6 (1cement :6 sand)</v>
          </cell>
          <cell r="D479" t="str">
            <v>cum</v>
          </cell>
          <cell r="E479">
            <v>1463</v>
          </cell>
        </row>
        <row r="480">
          <cell r="B480" t="str">
            <v>12.7</v>
          </cell>
          <cell r="C480" t="str">
            <v>Stone masonry work in cement mortar 1:3 in foundation complete as drawing and Technical Specification</v>
          </cell>
        </row>
        <row r="481">
          <cell r="B481" t="str">
            <v xml:space="preserve">(a)     </v>
          </cell>
          <cell r="C481" t="str">
            <v>Square Rubble Coursed rubble masonry( first sort )</v>
          </cell>
          <cell r="D481" t="str">
            <v>cum</v>
          </cell>
          <cell r="E481">
            <v>1914</v>
          </cell>
        </row>
        <row r="482">
          <cell r="B482" t="str">
            <v xml:space="preserve">(b)      </v>
          </cell>
          <cell r="C482" t="str">
            <v>Random Rubble Masonry</v>
          </cell>
          <cell r="D482" t="str">
            <v>cum</v>
          </cell>
          <cell r="E482">
            <v>1890</v>
          </cell>
        </row>
        <row r="483">
          <cell r="B483" t="str">
            <v>12.8</v>
          </cell>
          <cell r="C483" t="str">
            <v xml:space="preserve"> Plain/Reinforced cement concrete in open foundation complete as per drawing and technical specifications</v>
          </cell>
        </row>
        <row r="484">
          <cell r="A484" t="str">
            <v>J1</v>
          </cell>
          <cell r="B484" t="str">
            <v>A</v>
          </cell>
          <cell r="C484" t="str">
            <v xml:space="preserve">PCC Grade M15 </v>
          </cell>
          <cell r="D484" t="str">
            <v>cum</v>
          </cell>
          <cell r="E484">
            <v>2384</v>
          </cell>
        </row>
        <row r="485">
          <cell r="A485" t="str">
            <v>J2</v>
          </cell>
          <cell r="B485" t="str">
            <v>B</v>
          </cell>
          <cell r="C485" t="str">
            <v xml:space="preserve">PCC Grade M20 </v>
          </cell>
          <cell r="D485" t="str">
            <v>cum</v>
          </cell>
          <cell r="E485">
            <v>2650</v>
          </cell>
        </row>
        <row r="486">
          <cell r="B486" t="str">
            <v>C</v>
          </cell>
          <cell r="C486" t="str">
            <v>RCC Grade M20</v>
          </cell>
        </row>
        <row r="487">
          <cell r="A487" t="str">
            <v>J3</v>
          </cell>
          <cell r="B487" t="str">
            <v>Case I</v>
          </cell>
          <cell r="C487" t="str">
            <v xml:space="preserve">Using concrete mixer </v>
          </cell>
          <cell r="D487" t="str">
            <v>cum</v>
          </cell>
          <cell r="E487">
            <v>2719</v>
          </cell>
        </row>
        <row r="488">
          <cell r="B488" t="str">
            <v>Case II</v>
          </cell>
          <cell r="C488" t="str">
            <v>With Batching Plant,  Transit Mixer and Concrete Pump</v>
          </cell>
          <cell r="D488" t="str">
            <v>cum</v>
          </cell>
          <cell r="E488">
            <v>2649</v>
          </cell>
        </row>
        <row r="489">
          <cell r="B489" t="str">
            <v>D</v>
          </cell>
          <cell r="C489" t="str">
            <v>PCC Grade M25</v>
          </cell>
        </row>
        <row r="490">
          <cell r="B490" t="str">
            <v>Case I</v>
          </cell>
          <cell r="C490" t="str">
            <v xml:space="preserve">Using concrete Mixer </v>
          </cell>
          <cell r="D490" t="str">
            <v>cum</v>
          </cell>
          <cell r="E490">
            <v>2881</v>
          </cell>
        </row>
        <row r="491">
          <cell r="B491" t="str">
            <v>Case II</v>
          </cell>
          <cell r="C491" t="str">
            <v>With Batching Plant,  Transit Mixer and Concrete Pump</v>
          </cell>
          <cell r="D491" t="str">
            <v>cum</v>
          </cell>
          <cell r="E491">
            <v>2813</v>
          </cell>
        </row>
        <row r="492">
          <cell r="B492" t="str">
            <v>E</v>
          </cell>
          <cell r="C492" t="str">
            <v>RCC Grade M25</v>
          </cell>
        </row>
        <row r="493">
          <cell r="B493" t="str">
            <v>Case I</v>
          </cell>
          <cell r="C493" t="str">
            <v>Using concrete Mixer</v>
          </cell>
          <cell r="D493" t="str">
            <v>cum</v>
          </cell>
          <cell r="E493">
            <v>2952</v>
          </cell>
        </row>
        <row r="494">
          <cell r="B494" t="str">
            <v>Case II</v>
          </cell>
          <cell r="C494" t="str">
            <v>With Batching Plant,  Transit Mixer and Concrete Pump</v>
          </cell>
          <cell r="D494" t="str">
            <v>cum</v>
          </cell>
          <cell r="E494">
            <v>2883</v>
          </cell>
        </row>
        <row r="495">
          <cell r="B495" t="str">
            <v>F</v>
          </cell>
          <cell r="C495" t="str">
            <v xml:space="preserve">PCC Grade M30 </v>
          </cell>
        </row>
        <row r="496">
          <cell r="B496" t="str">
            <v>Case I</v>
          </cell>
          <cell r="C496" t="str">
            <v>Using Concrete Mixer</v>
          </cell>
          <cell r="D496" t="str">
            <v>cum</v>
          </cell>
          <cell r="E496">
            <v>2900</v>
          </cell>
        </row>
        <row r="497">
          <cell r="B497" t="str">
            <v>Case II</v>
          </cell>
          <cell r="C497" t="str">
            <v>Using Batching Plant,  Transit Mixer and Concrete Pump</v>
          </cell>
          <cell r="D497" t="str">
            <v>cum</v>
          </cell>
          <cell r="E497">
            <v>2829</v>
          </cell>
        </row>
        <row r="498">
          <cell r="B498" t="str">
            <v>G</v>
          </cell>
          <cell r="C498" t="str">
            <v>RCC Grade M30</v>
          </cell>
        </row>
        <row r="499">
          <cell r="B499" t="str">
            <v>Case I</v>
          </cell>
          <cell r="C499" t="str">
            <v>Using Concrete Mixer</v>
          </cell>
          <cell r="D499" t="str">
            <v>cum</v>
          </cell>
          <cell r="E499">
            <v>2959</v>
          </cell>
        </row>
        <row r="500">
          <cell r="A500" t="str">
            <v>E-10-1</v>
          </cell>
          <cell r="B500" t="str">
            <v xml:space="preserve">Case II    </v>
          </cell>
          <cell r="C500" t="str">
            <v>Using Batching Plant,  Transit Mixer and Concrete Pump</v>
          </cell>
          <cell r="D500" t="str">
            <v>cum</v>
          </cell>
          <cell r="E500">
            <v>2891</v>
          </cell>
        </row>
        <row r="501">
          <cell r="B501" t="str">
            <v>H</v>
          </cell>
          <cell r="C501" t="str">
            <v xml:space="preserve">RCC Grade M35 </v>
          </cell>
        </row>
        <row r="502">
          <cell r="B502" t="str">
            <v>Case I</v>
          </cell>
          <cell r="C502" t="str">
            <v>Using Concrete Mixer</v>
          </cell>
          <cell r="D502" t="str">
            <v>cum</v>
          </cell>
          <cell r="E502">
            <v>3010</v>
          </cell>
        </row>
        <row r="503">
          <cell r="B503" t="str">
            <v>Case II</v>
          </cell>
          <cell r="C503" t="str">
            <v>Using Batching Plant,  Transit Mixer and Concrete Pump</v>
          </cell>
          <cell r="D503" t="str">
            <v>cum</v>
          </cell>
          <cell r="E503">
            <v>2942</v>
          </cell>
        </row>
        <row r="504">
          <cell r="B504" t="str">
            <v>12.9</v>
          </cell>
          <cell r="C504" t="str">
            <v xml:space="preserve"> Providing and constructing temporary island 16 m diameter for construction of well foundation for 8m dia. Well.</v>
          </cell>
        </row>
        <row r="505">
          <cell r="B505" t="str">
            <v>A</v>
          </cell>
          <cell r="C505" t="str">
            <v>Assuming depth of water 1.0 m and height of island to be 1.25m.</v>
          </cell>
          <cell r="D505" t="str">
            <v>each</v>
          </cell>
          <cell r="E505" t="e">
            <v>#VALUE!</v>
          </cell>
        </row>
        <row r="506">
          <cell r="B506" t="str">
            <v>B</v>
          </cell>
          <cell r="C506" t="str">
            <v>Assuming depth of water 4.0 m and height of island 4.5 m.</v>
          </cell>
          <cell r="D506" t="str">
            <v>each</v>
          </cell>
          <cell r="E506" t="e">
            <v>#VALUE!</v>
          </cell>
        </row>
        <row r="507">
          <cell r="B507" t="str">
            <v>C</v>
          </cell>
          <cell r="C507" t="str">
            <v xml:space="preserve">Providing and constructing one span service road to reach island location from one pier location to another pier location </v>
          </cell>
          <cell r="D507" t="str">
            <v>metre</v>
          </cell>
          <cell r="E507" t="e">
            <v>#VALUE!</v>
          </cell>
        </row>
        <row r="508">
          <cell r="B508" t="str">
            <v>12.10</v>
          </cell>
          <cell r="C508" t="str">
            <v>Providing and laying cutting edge of mild steel weighing 40 kg per metre for well foundation complete as per drawing and technical specification.</v>
          </cell>
          <cell r="D508" t="str">
            <v>tonne</v>
          </cell>
          <cell r="E508">
            <v>52439</v>
          </cell>
        </row>
        <row r="509">
          <cell r="B509" t="str">
            <v>12.11</v>
          </cell>
          <cell r="C509" t="str">
            <v>Plain/Reinforced cement concrete,  in well foundation complete as per drawing and technical specification</v>
          </cell>
        </row>
        <row r="510">
          <cell r="B510" t="str">
            <v>A</v>
          </cell>
          <cell r="C510" t="str">
            <v>Well curb</v>
          </cell>
        </row>
        <row r="511">
          <cell r="B511" t="str">
            <v xml:space="preserve">(i) </v>
          </cell>
          <cell r="C511" t="str">
            <v>RCC M20 Grade</v>
          </cell>
        </row>
        <row r="512">
          <cell r="B512" t="str">
            <v>Case I</v>
          </cell>
          <cell r="C512" t="str">
            <v xml:space="preserve">Using concrete mixer </v>
          </cell>
          <cell r="D512" t="str">
            <v>cum</v>
          </cell>
          <cell r="E512">
            <v>3138</v>
          </cell>
        </row>
        <row r="513">
          <cell r="B513" t="str">
            <v>Case II</v>
          </cell>
          <cell r="C513" t="str">
            <v>With Batching Plant,  Transit Mixer and Concrete Pump</v>
          </cell>
          <cell r="D513" t="str">
            <v>cum</v>
          </cell>
          <cell r="E513">
            <v>3057</v>
          </cell>
        </row>
        <row r="514">
          <cell r="B514" t="str">
            <v xml:space="preserve">(ii) </v>
          </cell>
          <cell r="C514" t="str">
            <v>RCC M25 Grade</v>
          </cell>
        </row>
        <row r="515">
          <cell r="B515" t="str">
            <v>Case I</v>
          </cell>
          <cell r="C515" t="str">
            <v xml:space="preserve">Using concrete mixer </v>
          </cell>
          <cell r="D515" t="str">
            <v>cum</v>
          </cell>
          <cell r="E515">
            <v>3415</v>
          </cell>
        </row>
        <row r="516">
          <cell r="B516" t="str">
            <v>Case II</v>
          </cell>
          <cell r="C516" t="str">
            <v>With Batching Plant,  Transit Mixer and Concrete Pump</v>
          </cell>
          <cell r="D516" t="str">
            <v>cum</v>
          </cell>
          <cell r="E516">
            <v>3463</v>
          </cell>
        </row>
        <row r="517">
          <cell r="B517" t="str">
            <v xml:space="preserve">(iii) </v>
          </cell>
          <cell r="C517" t="str">
            <v>RCC M35 Grade</v>
          </cell>
        </row>
        <row r="518">
          <cell r="B518" t="str">
            <v>Case I</v>
          </cell>
          <cell r="C518" t="str">
            <v xml:space="preserve">Using concrete mixer </v>
          </cell>
          <cell r="D518" t="str">
            <v>cum</v>
          </cell>
          <cell r="E518">
            <v>3507</v>
          </cell>
        </row>
        <row r="519">
          <cell r="B519" t="str">
            <v>Case II</v>
          </cell>
          <cell r="C519" t="str">
            <v>With Batching Plant,  Transit Mixer and Concrete Pump</v>
          </cell>
          <cell r="D519" t="str">
            <v>cum</v>
          </cell>
          <cell r="E519">
            <v>3562</v>
          </cell>
        </row>
        <row r="520">
          <cell r="B520" t="str">
            <v>B</v>
          </cell>
          <cell r="C520" t="str">
            <v>Well steining</v>
          </cell>
        </row>
        <row r="521">
          <cell r="B521" t="str">
            <v>(I)</v>
          </cell>
          <cell r="C521" t="str">
            <v xml:space="preserve">PCC M15 Grade </v>
          </cell>
          <cell r="D521" t="str">
            <v>cum</v>
          </cell>
          <cell r="E521">
            <v>2522</v>
          </cell>
        </row>
        <row r="522">
          <cell r="B522" t="str">
            <v>(ii)</v>
          </cell>
          <cell r="C522" t="str">
            <v xml:space="preserve">PCC M20 Grade </v>
          </cell>
          <cell r="D522" t="str">
            <v>cum</v>
          </cell>
          <cell r="E522">
            <v>2804</v>
          </cell>
        </row>
        <row r="523">
          <cell r="B523" t="str">
            <v>(iii)</v>
          </cell>
          <cell r="C523" t="str">
            <v xml:space="preserve">RCC M20 Grade </v>
          </cell>
        </row>
        <row r="524">
          <cell r="B524" t="str">
            <v>Case I</v>
          </cell>
          <cell r="C524" t="str">
            <v xml:space="preserve">Using concrete mixer </v>
          </cell>
          <cell r="D524" t="str">
            <v>cum</v>
          </cell>
          <cell r="E524">
            <v>2876</v>
          </cell>
        </row>
        <row r="525">
          <cell r="B525" t="str">
            <v>Case II</v>
          </cell>
          <cell r="C525" t="str">
            <v>With Batching Plant,  Transit Mixer and Concrete Pump</v>
          </cell>
          <cell r="D525" t="str">
            <v>cum</v>
          </cell>
          <cell r="E525">
            <v>2802</v>
          </cell>
        </row>
        <row r="526">
          <cell r="B526" t="str">
            <v>(iv)</v>
          </cell>
          <cell r="C526" t="str">
            <v xml:space="preserve">PCC M25 Grade </v>
          </cell>
        </row>
        <row r="527">
          <cell r="B527" t="str">
            <v>Case I</v>
          </cell>
          <cell r="C527" t="str">
            <v xml:space="preserve">Using concrete mixer </v>
          </cell>
          <cell r="D527" t="str">
            <v>cum</v>
          </cell>
          <cell r="E527">
            <v>3055</v>
          </cell>
        </row>
        <row r="528">
          <cell r="B528" t="str">
            <v>Case II</v>
          </cell>
          <cell r="C528" t="str">
            <v>With Batching Plant,  Transit Mixer and Concrete Pump</v>
          </cell>
          <cell r="D528" t="str">
            <v>cum</v>
          </cell>
          <cell r="E528">
            <v>2984</v>
          </cell>
        </row>
        <row r="529">
          <cell r="B529" t="str">
            <v>(v)</v>
          </cell>
          <cell r="C529" t="str">
            <v xml:space="preserve">RCC M25 Grade </v>
          </cell>
        </row>
        <row r="530">
          <cell r="B530" t="str">
            <v>Case I</v>
          </cell>
          <cell r="C530" t="str">
            <v xml:space="preserve">Using concrete mixer </v>
          </cell>
          <cell r="D530" t="str">
            <v>cum</v>
          </cell>
          <cell r="E530">
            <v>3131</v>
          </cell>
        </row>
        <row r="531">
          <cell r="B531" t="str">
            <v>Case II</v>
          </cell>
          <cell r="C531" t="str">
            <v>With Batching Plant,  Transit Mixer and Concrete Pump</v>
          </cell>
          <cell r="D531" t="str">
            <v>cum</v>
          </cell>
          <cell r="E531">
            <v>3174</v>
          </cell>
        </row>
        <row r="532">
          <cell r="B532" t="str">
            <v>(vi)</v>
          </cell>
          <cell r="C532" t="str">
            <v>PCC M30 Grade</v>
          </cell>
        </row>
        <row r="533">
          <cell r="B533" t="str">
            <v>Case I</v>
          </cell>
          <cell r="C533" t="str">
            <v xml:space="preserve">Using concrete mixer </v>
          </cell>
          <cell r="D533" t="str">
            <v>cum</v>
          </cell>
          <cell r="E533">
            <v>3083</v>
          </cell>
        </row>
        <row r="534">
          <cell r="B534" t="str">
            <v>Case II</v>
          </cell>
          <cell r="C534" t="str">
            <v>With Batching Plant,  Transit Mixer and Concrete Pump</v>
          </cell>
          <cell r="D534" t="str">
            <v>cum</v>
          </cell>
          <cell r="E534">
            <v>3007</v>
          </cell>
        </row>
        <row r="535">
          <cell r="B535" t="str">
            <v>(vii)</v>
          </cell>
          <cell r="C535" t="str">
            <v>RCC M30 Grade</v>
          </cell>
        </row>
        <row r="536">
          <cell r="B536" t="str">
            <v>Case I</v>
          </cell>
          <cell r="C536" t="str">
            <v xml:space="preserve">Using concrete mixer </v>
          </cell>
          <cell r="D536" t="str">
            <v>cum</v>
          </cell>
          <cell r="E536">
            <v>3145</v>
          </cell>
        </row>
        <row r="537">
          <cell r="B537" t="str">
            <v>Case II</v>
          </cell>
          <cell r="C537" t="str">
            <v>With Batching Plant,  Transit Mixer and Concrete Pump</v>
          </cell>
          <cell r="D537" t="str">
            <v>cum</v>
          </cell>
          <cell r="E537">
            <v>3072</v>
          </cell>
        </row>
        <row r="538">
          <cell r="B538" t="str">
            <v>(viii)</v>
          </cell>
          <cell r="C538" t="str">
            <v>RCC M35 Grade</v>
          </cell>
        </row>
        <row r="539">
          <cell r="B539" t="str">
            <v>Case I</v>
          </cell>
          <cell r="C539" t="str">
            <v xml:space="preserve">Using concrete mixer </v>
          </cell>
          <cell r="D539" t="str">
            <v>cum</v>
          </cell>
          <cell r="E539">
            <v>3215</v>
          </cell>
        </row>
        <row r="540">
          <cell r="B540" t="str">
            <v>Case II</v>
          </cell>
          <cell r="C540" t="str">
            <v>With Batching Plant,  Transit Mixer and Concrete Pump</v>
          </cell>
          <cell r="D540" t="str">
            <v>cum</v>
          </cell>
          <cell r="E540">
            <v>3266</v>
          </cell>
        </row>
        <row r="541">
          <cell r="B541" t="str">
            <v>(ix)</v>
          </cell>
          <cell r="C541" t="str">
            <v>RCC M40 Grade</v>
          </cell>
          <cell r="E541">
            <v>3303</v>
          </cell>
        </row>
        <row r="542">
          <cell r="B542" t="str">
            <v>C</v>
          </cell>
          <cell r="C542" t="str">
            <v xml:space="preserve">Bottom Plug </v>
          </cell>
        </row>
        <row r="543">
          <cell r="B543" t="str">
            <v>(i)</v>
          </cell>
          <cell r="C543" t="str">
            <v xml:space="preserve">PCC Grade M20 </v>
          </cell>
        </row>
        <row r="544">
          <cell r="B544" t="str">
            <v xml:space="preserve">Case I </v>
          </cell>
          <cell r="C544" t="str">
            <v>Using Concrete Mixer</v>
          </cell>
          <cell r="D544" t="str">
            <v>cum</v>
          </cell>
          <cell r="E544">
            <v>3015</v>
          </cell>
        </row>
        <row r="545">
          <cell r="B545" t="str">
            <v>Case II</v>
          </cell>
          <cell r="C545" t="str">
            <v>Using Batching Plant,  Transit Mixer and Crane/concrete pump</v>
          </cell>
          <cell r="D545" t="str">
            <v>cum</v>
          </cell>
          <cell r="E545">
            <v>2843</v>
          </cell>
        </row>
        <row r="546">
          <cell r="B546" t="str">
            <v>(ii)</v>
          </cell>
          <cell r="C546" t="str">
            <v xml:space="preserve">PCC Grade M25 </v>
          </cell>
        </row>
        <row r="547">
          <cell r="B547" t="str">
            <v>Case I</v>
          </cell>
          <cell r="C547" t="str">
            <v>Using Concrete Mixer</v>
          </cell>
          <cell r="D547" t="str">
            <v>cum</v>
          </cell>
          <cell r="E547">
            <v>3156</v>
          </cell>
        </row>
        <row r="548">
          <cell r="B548" t="str">
            <v>Case II</v>
          </cell>
          <cell r="C548" t="str">
            <v>Using Batching Plant,  Transit Mixer and Crane/concrete pump</v>
          </cell>
          <cell r="D548" t="str">
            <v>cum</v>
          </cell>
          <cell r="E548">
            <v>2982</v>
          </cell>
        </row>
        <row r="549">
          <cell r="B549" t="str">
            <v>(iii)</v>
          </cell>
          <cell r="C549" t="str">
            <v xml:space="preserve">PCC Grade M30 </v>
          </cell>
        </row>
        <row r="550">
          <cell r="B550" t="str">
            <v>Case I</v>
          </cell>
          <cell r="C550" t="str">
            <v>Using Concrete Mixer</v>
          </cell>
          <cell r="D550" t="str">
            <v>cum</v>
          </cell>
          <cell r="E550">
            <v>3182</v>
          </cell>
        </row>
        <row r="551">
          <cell r="B551" t="str">
            <v>Case II</v>
          </cell>
          <cell r="C551" t="str">
            <v>Using Batching Plant,  Transit Mixer and Crane/concrete pump</v>
          </cell>
          <cell r="D551" t="str">
            <v>cum</v>
          </cell>
          <cell r="E551">
            <v>3010</v>
          </cell>
        </row>
        <row r="552">
          <cell r="B552" t="str">
            <v>(iv)</v>
          </cell>
          <cell r="C552" t="str">
            <v xml:space="preserve">PCC Grade M35 </v>
          </cell>
        </row>
        <row r="553">
          <cell r="B553" t="str">
            <v>Case I</v>
          </cell>
          <cell r="C553" t="str">
            <v>Using Concrete Mixer</v>
          </cell>
          <cell r="D553" t="str">
            <v>cum</v>
          </cell>
          <cell r="E553">
            <v>3243</v>
          </cell>
        </row>
        <row r="554">
          <cell r="B554" t="str">
            <v>Case II</v>
          </cell>
          <cell r="C554" t="str">
            <v>Using Batching Plant,  Transit Mixer and Crane/concrete pump</v>
          </cell>
          <cell r="D554" t="str">
            <v>cum</v>
          </cell>
          <cell r="E554">
            <v>3069</v>
          </cell>
        </row>
        <row r="555">
          <cell r="B555" t="str">
            <v>D</v>
          </cell>
          <cell r="C555" t="str">
            <v>Intermediate plug</v>
          </cell>
        </row>
        <row r="556">
          <cell r="B556" t="str">
            <v>(I)</v>
          </cell>
          <cell r="C556" t="str">
            <v>Grade M20 PCC</v>
          </cell>
        </row>
        <row r="557">
          <cell r="B557" t="str">
            <v>Case I</v>
          </cell>
          <cell r="C557" t="str">
            <v>Using Concrete Mixer</v>
          </cell>
          <cell r="D557" t="str">
            <v>cum</v>
          </cell>
          <cell r="E557">
            <v>2892</v>
          </cell>
        </row>
        <row r="558">
          <cell r="B558" t="str">
            <v>Case II</v>
          </cell>
          <cell r="C558" t="str">
            <v>Using Batching Plant,  Transit Mixer and Crane/concrete pump</v>
          </cell>
          <cell r="D558" t="str">
            <v>cum</v>
          </cell>
          <cell r="E558">
            <v>2724</v>
          </cell>
        </row>
        <row r="559">
          <cell r="B559" t="str">
            <v>(ii)</v>
          </cell>
          <cell r="C559" t="str">
            <v>Grade M25 PCC</v>
          </cell>
        </row>
        <row r="560">
          <cell r="B560" t="str">
            <v>Case I</v>
          </cell>
          <cell r="C560" t="str">
            <v>Using Concrete Mixer</v>
          </cell>
          <cell r="D560" t="str">
            <v>cum</v>
          </cell>
          <cell r="E560">
            <v>3025</v>
          </cell>
        </row>
        <row r="561">
          <cell r="B561" t="str">
            <v>Case II</v>
          </cell>
          <cell r="C561" t="str">
            <v>Using Batching Plant,  Transit Mixer and Crane/concrete pump</v>
          </cell>
          <cell r="D561" t="str">
            <v>cum</v>
          </cell>
          <cell r="E561">
            <v>2856</v>
          </cell>
        </row>
        <row r="562">
          <cell r="B562" t="str">
            <v>(iii)</v>
          </cell>
          <cell r="C562" t="str">
            <v>Grade M30 PCC</v>
          </cell>
        </row>
        <row r="563">
          <cell r="B563" t="str">
            <v>Case I</v>
          </cell>
          <cell r="C563" t="str">
            <v>Using Concrete Mixer</v>
          </cell>
          <cell r="D563" t="str">
            <v>cum</v>
          </cell>
          <cell r="E563">
            <v>3051</v>
          </cell>
        </row>
        <row r="564">
          <cell r="B564" t="str">
            <v>Case II</v>
          </cell>
          <cell r="C564" t="str">
            <v>Using Batching Plant,  Transit Mixer and Crane/concrete pump</v>
          </cell>
          <cell r="D564" t="str">
            <v>cum</v>
          </cell>
          <cell r="E564">
            <v>2883</v>
          </cell>
        </row>
        <row r="565">
          <cell r="B565" t="str">
            <v>E</v>
          </cell>
          <cell r="C565" t="str">
            <v>Top plug</v>
          </cell>
        </row>
        <row r="566">
          <cell r="B566" t="str">
            <v>(i)</v>
          </cell>
          <cell r="C566" t="str">
            <v>Grade M15 PCC</v>
          </cell>
        </row>
        <row r="567">
          <cell r="B567" t="str">
            <v>Case I</v>
          </cell>
          <cell r="C567" t="str">
            <v>Using Concrete Mixer</v>
          </cell>
          <cell r="D567" t="str">
            <v>cum</v>
          </cell>
          <cell r="E567">
            <v>2293</v>
          </cell>
        </row>
        <row r="568">
          <cell r="B568" t="str">
            <v>(ii)</v>
          </cell>
          <cell r="C568" t="str">
            <v>Grade M20 PCC</v>
          </cell>
        </row>
        <row r="569">
          <cell r="B569" t="str">
            <v>Case I</v>
          </cell>
          <cell r="C569" t="str">
            <v>Using Concrete Mixer</v>
          </cell>
          <cell r="D569" t="str">
            <v>cum</v>
          </cell>
          <cell r="E569">
            <v>2549</v>
          </cell>
        </row>
        <row r="570">
          <cell r="B570" t="str">
            <v>(iii)</v>
          </cell>
          <cell r="C570" t="str">
            <v>Grade M25 PCC</v>
          </cell>
        </row>
        <row r="571">
          <cell r="B571" t="str">
            <v>Case I</v>
          </cell>
          <cell r="C571" t="str">
            <v>Using Concrete Mixer</v>
          </cell>
          <cell r="D571" t="str">
            <v>cum</v>
          </cell>
          <cell r="E571">
            <v>2777</v>
          </cell>
        </row>
        <row r="572">
          <cell r="B572" t="str">
            <v>Case II</v>
          </cell>
          <cell r="C572" t="str">
            <v>Using Batching Plant,  Transit Mixer and Crane/concrete pump</v>
          </cell>
          <cell r="D572" t="str">
            <v>cum</v>
          </cell>
          <cell r="E572">
            <v>2713</v>
          </cell>
        </row>
        <row r="573">
          <cell r="B573" t="str">
            <v>(iv)</v>
          </cell>
          <cell r="C573" t="str">
            <v>Grade M30 PCC</v>
          </cell>
        </row>
        <row r="574">
          <cell r="B574" t="str">
            <v>Case I</v>
          </cell>
          <cell r="C574" t="str">
            <v>Using Concrete Mixer</v>
          </cell>
          <cell r="D574" t="str">
            <v>cum</v>
          </cell>
          <cell r="E574">
            <v>2802</v>
          </cell>
        </row>
        <row r="575">
          <cell r="B575" t="str">
            <v>Case II</v>
          </cell>
          <cell r="C575" t="str">
            <v>Using Batching Plant,  Transit Mixer and Crane/concrete pump</v>
          </cell>
          <cell r="D575" t="str">
            <v>cum</v>
          </cell>
          <cell r="E575">
            <v>2734</v>
          </cell>
        </row>
        <row r="576">
          <cell r="B576" t="str">
            <v>F</v>
          </cell>
          <cell r="C576" t="str">
            <v>Well cap</v>
          </cell>
        </row>
        <row r="577">
          <cell r="B577" t="str">
            <v>(i)</v>
          </cell>
          <cell r="C577" t="str">
            <v xml:space="preserve"> RCC Grade M20</v>
          </cell>
        </row>
        <row r="578">
          <cell r="B578" t="str">
            <v>Case I</v>
          </cell>
          <cell r="C578" t="str">
            <v>Using concrete Mixer</v>
          </cell>
          <cell r="D578" t="str">
            <v>cum</v>
          </cell>
          <cell r="E578">
            <v>2693</v>
          </cell>
        </row>
        <row r="579">
          <cell r="B579" t="str">
            <v>Case II</v>
          </cell>
          <cell r="C579" t="str">
            <v>Using Batching Plant,  Transit Mixer and Concrete Pump</v>
          </cell>
          <cell r="D579" t="str">
            <v>cum</v>
          </cell>
          <cell r="E579">
            <v>2623</v>
          </cell>
        </row>
        <row r="580">
          <cell r="B580" t="str">
            <v>(ii)</v>
          </cell>
          <cell r="C580" t="str">
            <v>RCC Grade M25</v>
          </cell>
        </row>
        <row r="581">
          <cell r="B581" t="str">
            <v>Case I</v>
          </cell>
          <cell r="C581" t="str">
            <v>Using concrete Mixer</v>
          </cell>
          <cell r="D581" t="str">
            <v>cum</v>
          </cell>
          <cell r="E581">
            <v>2952</v>
          </cell>
        </row>
        <row r="582">
          <cell r="B582" t="str">
            <v>Case II</v>
          </cell>
          <cell r="C582" t="str">
            <v>Using Batching Plant,  Transit Mixer and Concrete Pump</v>
          </cell>
          <cell r="D582" t="str">
            <v>cum</v>
          </cell>
          <cell r="E582">
            <v>2883</v>
          </cell>
        </row>
        <row r="583">
          <cell r="B583" t="str">
            <v>(iii)</v>
          </cell>
          <cell r="C583" t="str">
            <v>RCC Grade M30</v>
          </cell>
        </row>
        <row r="584">
          <cell r="B584" t="str">
            <v>Case I</v>
          </cell>
          <cell r="C584" t="str">
            <v>Using Concrete Mixer</v>
          </cell>
          <cell r="D584" t="str">
            <v>cum</v>
          </cell>
          <cell r="E584">
            <v>2959</v>
          </cell>
        </row>
        <row r="585">
          <cell r="B585" t="str">
            <v>Case II</v>
          </cell>
          <cell r="C585" t="str">
            <v>Using Batching Plant,  Transit Mixer and Concrete Pump</v>
          </cell>
          <cell r="D585" t="str">
            <v>cum</v>
          </cell>
          <cell r="E585">
            <v>2890</v>
          </cell>
        </row>
        <row r="586">
          <cell r="B586" t="str">
            <v>(iv)</v>
          </cell>
          <cell r="C586" t="str">
            <v xml:space="preserve">RCC Grade M35 </v>
          </cell>
        </row>
        <row r="587">
          <cell r="B587" t="str">
            <v>Case I</v>
          </cell>
          <cell r="C587" t="str">
            <v>Using Concrete Mixer</v>
          </cell>
          <cell r="D587" t="str">
            <v>cum</v>
          </cell>
          <cell r="E587">
            <v>3010</v>
          </cell>
        </row>
        <row r="588">
          <cell r="B588" t="str">
            <v>Case II</v>
          </cell>
          <cell r="C588" t="str">
            <v>Using Batching Plant,  Transit Mixer and Concrete Pump</v>
          </cell>
          <cell r="D588" t="str">
            <v>cum</v>
          </cell>
          <cell r="E588">
            <v>2942</v>
          </cell>
        </row>
        <row r="589">
          <cell r="B589" t="str">
            <v>(v)</v>
          </cell>
          <cell r="C589" t="str">
            <v>RCC M40 Grade</v>
          </cell>
          <cell r="D589" t="str">
            <v>cum</v>
          </cell>
          <cell r="E589">
            <v>3114</v>
          </cell>
        </row>
        <row r="590">
          <cell r="B590" t="str">
            <v>12.12</v>
          </cell>
          <cell r="C590" t="str">
            <v>Sinking of 6 m external diameter well ( other than pneumatic method of sinking ) through all types of strata namely sandy soil,  clayey soil and rock as shown against each case,  complete as per drawing and technical specifications. Depth of sinking is re</v>
          </cell>
        </row>
        <row r="591">
          <cell r="B591" t="str">
            <v>A</v>
          </cell>
          <cell r="C591" t="str">
            <v>Sandy soil</v>
          </cell>
        </row>
        <row r="592">
          <cell r="B592" t="str">
            <v>(i)</v>
          </cell>
          <cell r="C592" t="str">
            <v xml:space="preserve"> Depth below bed level upto 3.0 M</v>
          </cell>
          <cell r="D592" t="str">
            <v>metre</v>
          </cell>
          <cell r="E592">
            <v>2825</v>
          </cell>
        </row>
        <row r="593">
          <cell r="B593" t="str">
            <v>(ii)</v>
          </cell>
          <cell r="C593" t="str">
            <v xml:space="preserve"> Beyond 3m upto 10m depth</v>
          </cell>
          <cell r="D593" t="str">
            <v>metre</v>
          </cell>
          <cell r="E593">
            <v>4130</v>
          </cell>
        </row>
        <row r="594">
          <cell r="B594" t="str">
            <v>(iii)</v>
          </cell>
          <cell r="C594" t="str">
            <v>Beyond 10m upto 20m</v>
          </cell>
        </row>
        <row r="595">
          <cell r="B595" t="str">
            <v>a</v>
          </cell>
          <cell r="C595" t="str">
            <v>Add 5% for every additional meter depth of sinking over the rate of sinking for the previous meter</v>
          </cell>
          <cell r="D595" t="str">
            <v>metre</v>
          </cell>
          <cell r="E595">
            <v>5456</v>
          </cell>
        </row>
        <row r="596">
          <cell r="B596" t="str">
            <v>(iv)</v>
          </cell>
          <cell r="C596" t="str">
            <v xml:space="preserve"> Beyond 20m upto 30 m</v>
          </cell>
        </row>
        <row r="597">
          <cell r="B597" t="str">
            <v>a</v>
          </cell>
          <cell r="C597" t="str">
            <v>Add 7.5% for every additional meter depth of sinking over the rate of sinking for the previous meter</v>
          </cell>
          <cell r="D597" t="str">
            <v>metre</v>
          </cell>
          <cell r="E597">
            <v>10234</v>
          </cell>
        </row>
        <row r="598">
          <cell r="B598" t="str">
            <v>b</v>
          </cell>
          <cell r="C598" t="str">
            <v>Add 20% of cost for Kentledge including supports, loading arrangement and Labour .</v>
          </cell>
          <cell r="E598">
            <v>12281</v>
          </cell>
        </row>
        <row r="599">
          <cell r="B599" t="str">
            <v>(v)</v>
          </cell>
          <cell r="C599" t="str">
            <v>Beyond 30m upto 40 m</v>
          </cell>
          <cell r="D599" t="str">
            <v>metre</v>
          </cell>
        </row>
        <row r="600">
          <cell r="B600" t="str">
            <v>a</v>
          </cell>
          <cell r="C600" t="str">
            <v>Add 10% for every additional meter depth of sinking over the rate of sinking for the previous meter</v>
          </cell>
          <cell r="E600">
            <v>24316</v>
          </cell>
        </row>
        <row r="601">
          <cell r="B601" t="str">
            <v>b</v>
          </cell>
          <cell r="C601" t="str">
            <v>Add 20% of cost for Kentledge including supports, loading arrangement and Labour .</v>
          </cell>
          <cell r="D601" t="str">
            <v>metre</v>
          </cell>
          <cell r="E601">
            <v>29179</v>
          </cell>
        </row>
        <row r="602">
          <cell r="B602" t="str">
            <v>B</v>
          </cell>
          <cell r="C602" t="str">
            <v xml:space="preserve"> Clayey soil ( 6m dia. Well )</v>
          </cell>
        </row>
        <row r="603">
          <cell r="B603" t="str">
            <v>(i)</v>
          </cell>
          <cell r="C603" t="str">
            <v xml:space="preserve"> Depth below bed level upto 3.0 M</v>
          </cell>
          <cell r="D603" t="str">
            <v>metre</v>
          </cell>
          <cell r="E603">
            <v>4133</v>
          </cell>
        </row>
        <row r="604">
          <cell r="B604" t="str">
            <v>(ii)</v>
          </cell>
          <cell r="C604" t="str">
            <v xml:space="preserve"> Beyond 3m upto 10m depth</v>
          </cell>
          <cell r="D604" t="str">
            <v>metre</v>
          </cell>
          <cell r="E604" t="e">
            <v>#VALUE!</v>
          </cell>
        </row>
        <row r="605">
          <cell r="B605" t="str">
            <v>(iii)</v>
          </cell>
          <cell r="C605" t="str">
            <v>Beyond 10 m upto 20 m</v>
          </cell>
        </row>
        <row r="606">
          <cell r="B606" t="str">
            <v>a</v>
          </cell>
          <cell r="C606" t="str">
            <v>Add 5% for every additional meter depth of sinking over the rate of sinking for the previous meter</v>
          </cell>
          <cell r="D606" t="str">
            <v>metre</v>
          </cell>
          <cell r="E606" t="e">
            <v>#VALUE!</v>
          </cell>
        </row>
        <row r="607">
          <cell r="B607" t="str">
            <v>b</v>
          </cell>
          <cell r="C607" t="str">
            <v>Add for dewatering @ 5% of cost, if required.</v>
          </cell>
          <cell r="D607" t="str">
            <v>metre</v>
          </cell>
          <cell r="E607" t="e">
            <v>#VALUE!</v>
          </cell>
        </row>
        <row r="608">
          <cell r="B608" t="str">
            <v>(iv)</v>
          </cell>
          <cell r="C608" t="str">
            <v>Beyond 20m upto 30 m</v>
          </cell>
        </row>
        <row r="609">
          <cell r="B609" t="str">
            <v>a</v>
          </cell>
          <cell r="C609" t="str">
            <v>Add 7.5% for every additional meter depth of sinking over the rate of sinking for the previous meter</v>
          </cell>
          <cell r="D609" t="str">
            <v>metre</v>
          </cell>
          <cell r="E609" t="e">
            <v>#VALUE!</v>
          </cell>
        </row>
        <row r="610">
          <cell r="B610" t="str">
            <v>b</v>
          </cell>
          <cell r="C610" t="str">
            <v>Add 5% of cost for dewatering of the cost,  if required</v>
          </cell>
          <cell r="D610" t="str">
            <v>metre</v>
          </cell>
          <cell r="E610" t="e">
            <v>#VALUE!</v>
          </cell>
        </row>
        <row r="611">
          <cell r="B611" t="str">
            <v>c</v>
          </cell>
          <cell r="C611" t="str">
            <v>Add 25% of cost for Kentledge including supports, loading arrangement and Labour ).</v>
          </cell>
          <cell r="D611" t="str">
            <v>metre</v>
          </cell>
          <cell r="E611" t="e">
            <v>#VALUE!</v>
          </cell>
        </row>
        <row r="612">
          <cell r="B612" t="str">
            <v>(v)</v>
          </cell>
          <cell r="C612" t="str">
            <v>Beyond 30m upto 40 m</v>
          </cell>
        </row>
        <row r="613">
          <cell r="B613" t="str">
            <v>a</v>
          </cell>
          <cell r="C613" t="str">
            <v>Add 10% for every additional meter depth of sinking over the rate of sinking for the previous meter</v>
          </cell>
          <cell r="D613" t="str">
            <v>metre</v>
          </cell>
          <cell r="E613" t="e">
            <v>#VALUE!</v>
          </cell>
        </row>
        <row r="614">
          <cell r="B614" t="str">
            <v>b</v>
          </cell>
          <cell r="C614" t="str">
            <v>Add 5% of cost for dewatering,  if required</v>
          </cell>
          <cell r="D614" t="str">
            <v>metre</v>
          </cell>
          <cell r="E614" t="e">
            <v>#VALUE!</v>
          </cell>
        </row>
        <row r="615">
          <cell r="B615" t="str">
            <v>c</v>
          </cell>
          <cell r="C615" t="str">
            <v>Add 20% of cost for Kentledge including supports, loading arrangement and Labour).</v>
          </cell>
          <cell r="D615" t="str">
            <v>metre</v>
          </cell>
          <cell r="E615" t="e">
            <v>#VALUE!</v>
          </cell>
        </row>
        <row r="616">
          <cell r="B616" t="str">
            <v>C</v>
          </cell>
          <cell r="C616" t="str">
            <v xml:space="preserve"> Soft rock (6m dia well )</v>
          </cell>
        </row>
        <row r="617">
          <cell r="B617" t="str">
            <v>(i)</v>
          </cell>
          <cell r="C617" t="str">
            <v>Depth of soft rock strata upto 3m</v>
          </cell>
          <cell r="D617" t="str">
            <v>metre</v>
          </cell>
          <cell r="E617" t="e">
            <v>#VALUE!</v>
          </cell>
        </row>
        <row r="618">
          <cell r="B618" t="str">
            <v>D</v>
          </cell>
          <cell r="C618" t="str">
            <v>Hard rock (6m dia well )</v>
          </cell>
        </row>
        <row r="619">
          <cell r="B619" t="str">
            <v>(i)</v>
          </cell>
          <cell r="C619" t="str">
            <v>Depth of soft rock strata upto 3m</v>
          </cell>
          <cell r="D619" t="str">
            <v>metre</v>
          </cell>
          <cell r="E619" t="e">
            <v>#VALUE!</v>
          </cell>
        </row>
        <row r="620">
          <cell r="B620" t="str">
            <v>12.13</v>
          </cell>
          <cell r="C620" t="str">
            <v>Sinking of 7 m external diameter well ( other than pneumatic method of sinking ) through all types of strata namely sandy soil,  clayey soil and rock as shown against each case,  complete as per drawing and technical specifications. Depth of sinking is re</v>
          </cell>
        </row>
        <row r="621">
          <cell r="B621" t="str">
            <v>A</v>
          </cell>
          <cell r="C621" t="str">
            <v>Sandy soil</v>
          </cell>
        </row>
        <row r="622">
          <cell r="B622" t="str">
            <v>(i)</v>
          </cell>
          <cell r="C622" t="str">
            <v xml:space="preserve"> Depth below bed level upto 3.0 M</v>
          </cell>
          <cell r="D622" t="str">
            <v>metre</v>
          </cell>
          <cell r="E622">
            <v>8725</v>
          </cell>
        </row>
        <row r="623">
          <cell r="B623" t="str">
            <v>(ii)</v>
          </cell>
          <cell r="C623" t="str">
            <v xml:space="preserve"> Beyond 3m upto 10m depth</v>
          </cell>
          <cell r="D623" t="str">
            <v>metre</v>
          </cell>
          <cell r="E623">
            <v>6034</v>
          </cell>
        </row>
        <row r="624">
          <cell r="B624" t="str">
            <v>(iii)</v>
          </cell>
          <cell r="C624" t="str">
            <v xml:space="preserve"> Beyond 10m upto 20m</v>
          </cell>
        </row>
        <row r="625">
          <cell r="B625" t="str">
            <v>a</v>
          </cell>
          <cell r="C625" t="str">
            <v>Add 5% for every additional meter depth of sinking over the rate of sinking for the previous meter</v>
          </cell>
          <cell r="D625" t="str">
            <v>metre</v>
          </cell>
          <cell r="E625">
            <v>7970</v>
          </cell>
        </row>
        <row r="626">
          <cell r="B626" t="str">
            <v>(iv)</v>
          </cell>
          <cell r="C626" t="str">
            <v>Beyond 20m upto 30 m</v>
          </cell>
        </row>
        <row r="627">
          <cell r="B627" t="str">
            <v>a</v>
          </cell>
          <cell r="C627" t="str">
            <v>Add 7.5% for every additional meter depth of sinking over the rate of sinking for the previous meter</v>
          </cell>
          <cell r="D627" t="str">
            <v>metre</v>
          </cell>
          <cell r="E627">
            <v>14950</v>
          </cell>
        </row>
        <row r="628">
          <cell r="B628" t="str">
            <v>b</v>
          </cell>
          <cell r="C628" t="str">
            <v>Add 20% of cost for Kentledge including supports, loading arrangement and Labour) .</v>
          </cell>
          <cell r="D628" t="str">
            <v>metre</v>
          </cell>
          <cell r="E628">
            <v>17940</v>
          </cell>
        </row>
        <row r="629">
          <cell r="B629" t="str">
            <v>(v)</v>
          </cell>
          <cell r="C629" t="str">
            <v xml:space="preserve"> Beyond 30m upto 40 m</v>
          </cell>
        </row>
        <row r="630">
          <cell r="B630" t="str">
            <v>a</v>
          </cell>
          <cell r="C630" t="str">
            <v>Add 10% for every additional meter depth of sinking over the rate of sinking for the previous meter</v>
          </cell>
          <cell r="D630" t="str">
            <v>metre</v>
          </cell>
          <cell r="E630">
            <v>35521</v>
          </cell>
        </row>
        <row r="631">
          <cell r="B631" t="str">
            <v>b</v>
          </cell>
          <cell r="C631" t="str">
            <v>Add 20% of cost for Kentledge including supports, loading arrangement, and Labour etc.</v>
          </cell>
          <cell r="D631" t="str">
            <v>metre</v>
          </cell>
          <cell r="E631">
            <v>42626</v>
          </cell>
        </row>
        <row r="632">
          <cell r="B632" t="str">
            <v>B</v>
          </cell>
          <cell r="C632" t="str">
            <v xml:space="preserve"> Clayey soil ( 7m dia. Well )</v>
          </cell>
        </row>
        <row r="633">
          <cell r="B633" t="str">
            <v>(I)</v>
          </cell>
          <cell r="C633" t="str">
            <v xml:space="preserve"> Depth below bed level upto 3.0 M</v>
          </cell>
          <cell r="D633" t="str">
            <v>metre</v>
          </cell>
          <cell r="E633">
            <v>6034</v>
          </cell>
        </row>
        <row r="634">
          <cell r="B634" t="str">
            <v>(ii)</v>
          </cell>
          <cell r="C634" t="str">
            <v>Beyond 3m upto 10m depth</v>
          </cell>
          <cell r="D634" t="str">
            <v>metre</v>
          </cell>
          <cell r="E634">
            <v>8767</v>
          </cell>
        </row>
        <row r="635">
          <cell r="B635" t="str">
            <v>(iii)</v>
          </cell>
          <cell r="C635" t="str">
            <v>Beyond 10 m upto 20 m</v>
          </cell>
        </row>
        <row r="636">
          <cell r="B636" t="str">
            <v>a</v>
          </cell>
          <cell r="C636" t="str">
            <v>Add 5% for every additional meter depth of sinking over the rate of sinking for the previous meter</v>
          </cell>
          <cell r="D636" t="str">
            <v>metre</v>
          </cell>
          <cell r="E636">
            <v>11578</v>
          </cell>
        </row>
        <row r="637">
          <cell r="B637" t="str">
            <v>b</v>
          </cell>
          <cell r="C637" t="str">
            <v>Add for dewatering @ 5% of cost, if required.</v>
          </cell>
          <cell r="D637" t="str">
            <v>metre</v>
          </cell>
          <cell r="E637">
            <v>12157</v>
          </cell>
        </row>
        <row r="638">
          <cell r="B638" t="str">
            <v>(iv)</v>
          </cell>
          <cell r="C638" t="str">
            <v>Beyond 20m upto 30 m</v>
          </cell>
        </row>
        <row r="639">
          <cell r="B639" t="str">
            <v>a</v>
          </cell>
          <cell r="C639" t="str">
            <v>Add 7.5% for every additional meter depth of sinking over the rate of sinking for the previous meter</v>
          </cell>
          <cell r="D639" t="str">
            <v>metre</v>
          </cell>
          <cell r="E639">
            <v>21718</v>
          </cell>
        </row>
        <row r="640">
          <cell r="B640" t="str">
            <v>b</v>
          </cell>
          <cell r="C640" t="str">
            <v>Add 5% of cost for dewatering on the cost,  if required</v>
          </cell>
          <cell r="D640" t="str">
            <v>metre</v>
          </cell>
          <cell r="E640">
            <v>28504</v>
          </cell>
        </row>
        <row r="641">
          <cell r="B641" t="str">
            <v>c</v>
          </cell>
          <cell r="C641" t="str">
            <v>Add 25% of cost for Kentledge including supports, loading arrangement and Labour ).</v>
          </cell>
          <cell r="D641" t="str">
            <v>metre</v>
          </cell>
          <cell r="E641">
            <v>27147</v>
          </cell>
        </row>
        <row r="642">
          <cell r="B642" t="str">
            <v>(v)</v>
          </cell>
          <cell r="C642" t="str">
            <v>Beyond 30m upto 40 m</v>
          </cell>
        </row>
        <row r="643">
          <cell r="B643" t="str">
            <v>a</v>
          </cell>
          <cell r="C643" t="str">
            <v>Add 10% for every additional meter depth of sinking over the rate of sinking for the previous meter</v>
          </cell>
          <cell r="D643" t="str">
            <v>metre</v>
          </cell>
          <cell r="E643">
            <v>51597</v>
          </cell>
        </row>
        <row r="644">
          <cell r="B644" t="str">
            <v>b</v>
          </cell>
          <cell r="C644" t="str">
            <v>Add 5% of cost for dewatering,  if required</v>
          </cell>
          <cell r="D644" t="str">
            <v>metre</v>
          </cell>
          <cell r="E644">
            <v>65013</v>
          </cell>
        </row>
        <row r="645">
          <cell r="B645" t="str">
            <v>c</v>
          </cell>
          <cell r="C645" t="str">
            <v>Add 20% of cost for Kentledge including supports, loading arrangement and Labour).</v>
          </cell>
          <cell r="E645">
            <v>61917</v>
          </cell>
        </row>
        <row r="646">
          <cell r="B646" t="str">
            <v>C</v>
          </cell>
          <cell r="C646" t="str">
            <v xml:space="preserve"> Soft rock ( 7m dia well )</v>
          </cell>
        </row>
        <row r="647">
          <cell r="B647" t="str">
            <v>(i)</v>
          </cell>
          <cell r="C647" t="str">
            <v>Depth of soft rock strata upto 3m</v>
          </cell>
          <cell r="D647" t="str">
            <v>metre</v>
          </cell>
          <cell r="E647" t="e">
            <v>#VALUE!</v>
          </cell>
        </row>
        <row r="648">
          <cell r="B648" t="str">
            <v>D</v>
          </cell>
          <cell r="C648" t="str">
            <v>Hard rock ( 7m dia well )</v>
          </cell>
        </row>
        <row r="649">
          <cell r="B649" t="str">
            <v>(i)</v>
          </cell>
          <cell r="C649" t="str">
            <v xml:space="preserve">Depth upto 3 m </v>
          </cell>
          <cell r="D649" t="str">
            <v>metre</v>
          </cell>
          <cell r="E649" t="e">
            <v>#VALUE!</v>
          </cell>
        </row>
        <row r="650">
          <cell r="B650" t="str">
            <v>12.14</v>
          </cell>
          <cell r="C650" t="str">
            <v>Sinking of 8 m external diameter well ( other than pneumatic method of sinking ) through all types of strata namely sandy soil,  clayey soil and rock as shown against each case,  complete as per drawing and technical specifications. Depth of sinking is re</v>
          </cell>
        </row>
        <row r="651">
          <cell r="B651" t="str">
            <v>A</v>
          </cell>
          <cell r="C651" t="str">
            <v>Sandy soil</v>
          </cell>
        </row>
        <row r="652">
          <cell r="B652" t="str">
            <v>(i)</v>
          </cell>
          <cell r="C652" t="str">
            <v xml:space="preserve"> Depth below bed level upto 3.0 M</v>
          </cell>
          <cell r="D652" t="str">
            <v>metre</v>
          </cell>
          <cell r="E652">
            <v>5435</v>
          </cell>
        </row>
        <row r="653">
          <cell r="B653" t="str">
            <v>(ii)</v>
          </cell>
          <cell r="C653" t="str">
            <v xml:space="preserve"> Beyond 3m upto 10m depth</v>
          </cell>
          <cell r="D653" t="str">
            <v>metre</v>
          </cell>
          <cell r="E653">
            <v>6747</v>
          </cell>
        </row>
        <row r="654">
          <cell r="B654" t="str">
            <v>(iii)</v>
          </cell>
          <cell r="C654" t="str">
            <v>Beyond 10m upto 20m</v>
          </cell>
        </row>
        <row r="655">
          <cell r="B655" t="str">
            <v>a</v>
          </cell>
          <cell r="C655" t="str">
            <v>Add 5% for every additional meter depth of sinking over the rate of sinking for the previous meter</v>
          </cell>
          <cell r="D655" t="str">
            <v>metre</v>
          </cell>
          <cell r="E655">
            <v>8911</v>
          </cell>
        </row>
        <row r="656">
          <cell r="B656" t="str">
            <v>(iv)</v>
          </cell>
          <cell r="C656" t="str">
            <v>Beyond 20m upto 30 m</v>
          </cell>
        </row>
        <row r="657">
          <cell r="B657" t="str">
            <v>a</v>
          </cell>
          <cell r="C657" t="str">
            <v>Add 7.5% for every additional meter depth of sinking over the rate of sinking for the previous meter</v>
          </cell>
          <cell r="D657" t="str">
            <v>metre</v>
          </cell>
          <cell r="E657">
            <v>16714</v>
          </cell>
        </row>
        <row r="658">
          <cell r="B658" t="str">
            <v>b</v>
          </cell>
          <cell r="C658" t="str">
            <v>Add 20% of cost for Kentledge including supports, loading arrangement and Labour .</v>
          </cell>
          <cell r="D658" t="str">
            <v>metre</v>
          </cell>
          <cell r="E658">
            <v>20056</v>
          </cell>
        </row>
        <row r="659">
          <cell r="B659" t="str">
            <v>(v)</v>
          </cell>
          <cell r="C659" t="str">
            <v xml:space="preserve"> Beyond 30m upto 40 m</v>
          </cell>
        </row>
        <row r="660">
          <cell r="B660" t="str">
            <v>a</v>
          </cell>
          <cell r="C660" t="str">
            <v>Add 10% for every additional meter depth of sinking over the rate of sinking for the previous meter</v>
          </cell>
          <cell r="D660" t="str">
            <v>metre</v>
          </cell>
          <cell r="E660">
            <v>5875</v>
          </cell>
        </row>
        <row r="661">
          <cell r="B661" t="str">
            <v>b</v>
          </cell>
          <cell r="C661" t="str">
            <v>Add 20% of cost for Kentledge including supports, loading arrangement, and Labour etc.</v>
          </cell>
          <cell r="D661" t="str">
            <v>metre</v>
          </cell>
          <cell r="E661">
            <v>7050</v>
          </cell>
        </row>
        <row r="662">
          <cell r="B662" t="str">
            <v>B</v>
          </cell>
          <cell r="C662" t="str">
            <v xml:space="preserve"> Clayey soil ( 8m dia. Well )</v>
          </cell>
        </row>
        <row r="663">
          <cell r="B663" t="str">
            <v>(i)</v>
          </cell>
          <cell r="C663" t="str">
            <v xml:space="preserve"> Depth upto 3.0 M</v>
          </cell>
          <cell r="D663" t="str">
            <v>metre</v>
          </cell>
          <cell r="E663">
            <v>7377</v>
          </cell>
        </row>
        <row r="664">
          <cell r="B664" t="str">
            <v>(ii)</v>
          </cell>
          <cell r="C664" t="str">
            <v>Beyond 3m upto 10m depth</v>
          </cell>
          <cell r="D664" t="str">
            <v>metre</v>
          </cell>
          <cell r="E664" t="e">
            <v>#VALUE!</v>
          </cell>
        </row>
        <row r="665">
          <cell r="B665" t="str">
            <v>(iii)</v>
          </cell>
          <cell r="C665" t="str">
            <v>Beyond 10 m upto 20 m</v>
          </cell>
        </row>
        <row r="666">
          <cell r="B666" t="str">
            <v>a</v>
          </cell>
          <cell r="C666" t="str">
            <v>Add 5% for every additional meter depth of sinking over the rate of sinking for the previous meter</v>
          </cell>
          <cell r="D666" t="str">
            <v>metre</v>
          </cell>
          <cell r="E666" t="e">
            <v>#VALUE!</v>
          </cell>
        </row>
        <row r="667">
          <cell r="B667" t="str">
            <v>b</v>
          </cell>
          <cell r="C667" t="str">
            <v>Add for dewatering @ 5% of cost, if required.</v>
          </cell>
          <cell r="D667" t="str">
            <v>metre</v>
          </cell>
          <cell r="E667" t="e">
            <v>#VALUE!</v>
          </cell>
        </row>
        <row r="668">
          <cell r="B668" t="str">
            <v>(iv)</v>
          </cell>
          <cell r="C668" t="str">
            <v>Beyond 20m upto 30 m</v>
          </cell>
        </row>
        <row r="669">
          <cell r="B669" t="str">
            <v>a</v>
          </cell>
          <cell r="C669" t="str">
            <v>Add 7.5% for every additional meter depth of sinking over the rate of sinking for the previous meter</v>
          </cell>
          <cell r="D669" t="str">
            <v>metre</v>
          </cell>
          <cell r="E669" t="e">
            <v>#VALUE!</v>
          </cell>
        </row>
        <row r="670">
          <cell r="B670" t="str">
            <v>b</v>
          </cell>
          <cell r="C670" t="str">
            <v>Add 5% of cost for dewatering on the cost,  if required</v>
          </cell>
          <cell r="D670" t="str">
            <v>metre</v>
          </cell>
          <cell r="E670" t="e">
            <v>#VALUE!</v>
          </cell>
        </row>
        <row r="671">
          <cell r="B671" t="str">
            <v>c</v>
          </cell>
          <cell r="C671" t="str">
            <v>Add 25% of cost for Kentledge including supports, loading arrangement and Labour ).</v>
          </cell>
          <cell r="D671" t="str">
            <v>metre</v>
          </cell>
          <cell r="E671" t="e">
            <v>#VALUE!</v>
          </cell>
        </row>
        <row r="672">
          <cell r="B672" t="str">
            <v>(v)</v>
          </cell>
          <cell r="C672" t="str">
            <v>Beyond 30m upto 40 m</v>
          </cell>
        </row>
        <row r="673">
          <cell r="B673" t="str">
            <v>a</v>
          </cell>
          <cell r="C673" t="str">
            <v>Add 10% for every additional meter depth of sinking over the rate of sinking for the previous meter</v>
          </cell>
          <cell r="D673" t="str">
            <v>metre</v>
          </cell>
          <cell r="E673" t="e">
            <v>#VALUE!</v>
          </cell>
        </row>
        <row r="674">
          <cell r="B674" t="str">
            <v>b</v>
          </cell>
          <cell r="C674" t="str">
            <v>Add 5% of cost for dewatering,  if required</v>
          </cell>
          <cell r="D674" t="str">
            <v>metre</v>
          </cell>
          <cell r="E674" t="e">
            <v>#VALUE!</v>
          </cell>
        </row>
        <row r="675">
          <cell r="B675" t="str">
            <v>c</v>
          </cell>
          <cell r="C675" t="str">
            <v>Add 20% of cost for Kentledge including supports, loading arrangement and Labour).</v>
          </cell>
          <cell r="D675" t="str">
            <v>metre</v>
          </cell>
          <cell r="E675" t="e">
            <v>#VALUE!</v>
          </cell>
        </row>
        <row r="676">
          <cell r="B676" t="str">
            <v>C</v>
          </cell>
          <cell r="C676" t="str">
            <v xml:space="preserve"> Soft rock ( 8m dia well )</v>
          </cell>
        </row>
        <row r="677">
          <cell r="B677" t="str">
            <v>(i)</v>
          </cell>
          <cell r="C677" t="str">
            <v>Depth in soft rock strata upto 3m</v>
          </cell>
          <cell r="D677" t="str">
            <v>metre</v>
          </cell>
          <cell r="E677" t="e">
            <v>#VALUE!</v>
          </cell>
        </row>
        <row r="678">
          <cell r="B678" t="str">
            <v>D</v>
          </cell>
          <cell r="C678" t="str">
            <v>Hard rock ( 8m dia well )</v>
          </cell>
        </row>
        <row r="679">
          <cell r="B679" t="str">
            <v>(i)</v>
          </cell>
          <cell r="C679" t="str">
            <v xml:space="preserve">Depth in hard rock strata upto 3 m </v>
          </cell>
          <cell r="D679" t="str">
            <v>metre</v>
          </cell>
          <cell r="E679" t="e">
            <v>#VALUE!</v>
          </cell>
        </row>
        <row r="680">
          <cell r="B680" t="str">
            <v>12.15</v>
          </cell>
          <cell r="C680" t="str">
            <v>Sinking of 9 m external diameter well ( other than pneumatic method of sinking ) through all types of strata namely sandy soil,  clayey soil and rock as shown against each case,  complete as per drawing and technical specifications. Depth of sinking is re</v>
          </cell>
        </row>
        <row r="681">
          <cell r="B681" t="str">
            <v>A</v>
          </cell>
          <cell r="C681" t="str">
            <v>Sandy soil</v>
          </cell>
        </row>
        <row r="682">
          <cell r="B682" t="str">
            <v>(i)</v>
          </cell>
          <cell r="C682" t="str">
            <v xml:space="preserve"> Depth below bed level upto 3.0 M</v>
          </cell>
          <cell r="D682" t="str">
            <v>metre</v>
          </cell>
          <cell r="E682">
            <v>5470</v>
          </cell>
        </row>
        <row r="683">
          <cell r="B683" t="str">
            <v>(ii)</v>
          </cell>
          <cell r="C683" t="str">
            <v xml:space="preserve"> Beyond 3m upto 10m depth</v>
          </cell>
          <cell r="D683" t="str">
            <v>metre</v>
          </cell>
          <cell r="E683">
            <v>7415</v>
          </cell>
        </row>
        <row r="684">
          <cell r="B684" t="str">
            <v>(iii)</v>
          </cell>
          <cell r="C684" t="str">
            <v>Beyond 10m upto 20m</v>
          </cell>
        </row>
        <row r="685">
          <cell r="B685" t="str">
            <v>a</v>
          </cell>
          <cell r="C685" t="str">
            <v>Add 5% for every additional meter depth of sinking over the rate of sinking for the previous meter</v>
          </cell>
          <cell r="D685" t="str">
            <v>metre</v>
          </cell>
          <cell r="E685">
            <v>9793</v>
          </cell>
        </row>
        <row r="686">
          <cell r="B686" t="str">
            <v>(iv)</v>
          </cell>
          <cell r="C686" t="str">
            <v>Beyond 20m upto 30 m</v>
          </cell>
        </row>
        <row r="687">
          <cell r="B687" t="str">
            <v>a</v>
          </cell>
          <cell r="C687" t="str">
            <v>Add 7.5% for every additional meter depth of sinking over the rate of sinking for the previous meter</v>
          </cell>
          <cell r="D687" t="str">
            <v>metre</v>
          </cell>
          <cell r="E687">
            <v>18370</v>
          </cell>
        </row>
        <row r="688">
          <cell r="B688" t="str">
            <v>b</v>
          </cell>
          <cell r="C688" t="str">
            <v>Add 20% of cost for Kentledge including supports, loading arrangement and Labour .</v>
          </cell>
          <cell r="D688" t="str">
            <v>metre</v>
          </cell>
          <cell r="E688">
            <v>22044</v>
          </cell>
        </row>
        <row r="689">
          <cell r="B689" t="str">
            <v>(v)</v>
          </cell>
          <cell r="C689" t="str">
            <v xml:space="preserve"> Beyond 30m upto 40 m</v>
          </cell>
        </row>
        <row r="690">
          <cell r="B690" t="str">
            <v>a</v>
          </cell>
          <cell r="C690" t="str">
            <v>Add 10% for every additional meter depth of sinking over the rate of sinking for the previous meter</v>
          </cell>
          <cell r="D690" t="str">
            <v>metre</v>
          </cell>
          <cell r="E690">
            <v>43646</v>
          </cell>
        </row>
        <row r="691">
          <cell r="B691" t="str">
            <v>b</v>
          </cell>
          <cell r="C691" t="str">
            <v>Add 20% of cost for Kentledge including supports, loading arrangement, and Labour etc.</v>
          </cell>
          <cell r="D691" t="str">
            <v>metre</v>
          </cell>
          <cell r="E691">
            <v>52375</v>
          </cell>
        </row>
        <row r="692">
          <cell r="B692" t="str">
            <v>B</v>
          </cell>
          <cell r="C692" t="str">
            <v xml:space="preserve"> Clayey soil ( 9m dia. Well )</v>
          </cell>
        </row>
        <row r="693">
          <cell r="B693" t="str">
            <v>(i)</v>
          </cell>
          <cell r="C693" t="str">
            <v>Depth below bed level upto 3.0 M</v>
          </cell>
          <cell r="D693" t="str">
            <v>metre</v>
          </cell>
          <cell r="E693">
            <v>7749</v>
          </cell>
        </row>
        <row r="694">
          <cell r="B694" t="str">
            <v>(ii)</v>
          </cell>
          <cell r="C694" t="str">
            <v>Beyond 3m upto 10m depth</v>
          </cell>
          <cell r="D694" t="str">
            <v>metre</v>
          </cell>
          <cell r="E694" t="e">
            <v>#VALUE!</v>
          </cell>
        </row>
        <row r="695">
          <cell r="B695" t="str">
            <v>(iii)</v>
          </cell>
          <cell r="C695" t="str">
            <v>Beyond 10 m upto 20 m</v>
          </cell>
        </row>
        <row r="696">
          <cell r="B696" t="str">
            <v>a</v>
          </cell>
          <cell r="C696" t="str">
            <v>Add 5% for every additional meter depth of sinking over the rate of sinking for the previous meter</v>
          </cell>
          <cell r="D696" t="str">
            <v>metre</v>
          </cell>
          <cell r="E696" t="e">
            <v>#VALUE!</v>
          </cell>
        </row>
        <row r="697">
          <cell r="B697" t="str">
            <v>b</v>
          </cell>
          <cell r="C697" t="str">
            <v>Add for dewatering @ 5% of cost, if required.</v>
          </cell>
          <cell r="D697" t="str">
            <v>metre</v>
          </cell>
          <cell r="E697" t="e">
            <v>#VALUE!</v>
          </cell>
        </row>
        <row r="698">
          <cell r="B698" t="str">
            <v>(iv)</v>
          </cell>
          <cell r="C698" t="str">
            <v>Beyond 20m upto 30 m</v>
          </cell>
        </row>
        <row r="699">
          <cell r="B699" t="str">
            <v>a</v>
          </cell>
          <cell r="C699" t="str">
            <v>Add 7.5% for every additional meter depth of sinking over the rate of sinking for the previous meter</v>
          </cell>
          <cell r="D699" t="str">
            <v>metre</v>
          </cell>
          <cell r="E699" t="e">
            <v>#VALUE!</v>
          </cell>
        </row>
        <row r="700">
          <cell r="B700" t="str">
            <v>b</v>
          </cell>
          <cell r="C700" t="str">
            <v>Add 5% of cost for dewatering on the cost,  if required</v>
          </cell>
          <cell r="D700" t="str">
            <v>metre</v>
          </cell>
          <cell r="E700" t="e">
            <v>#VALUE!</v>
          </cell>
        </row>
        <row r="701">
          <cell r="B701" t="str">
            <v>c</v>
          </cell>
          <cell r="C701" t="str">
            <v>Add 25% of cost for Kentledge including supports, loading arrangement and Labour ).</v>
          </cell>
          <cell r="D701" t="str">
            <v>metre</v>
          </cell>
          <cell r="E701" t="e">
            <v>#VALUE!</v>
          </cell>
        </row>
        <row r="702">
          <cell r="B702" t="str">
            <v xml:space="preserve">(v) </v>
          </cell>
          <cell r="C702" t="str">
            <v>Beyond 30m upto 40 m</v>
          </cell>
        </row>
        <row r="703">
          <cell r="B703" t="str">
            <v>a</v>
          </cell>
          <cell r="C703" t="str">
            <v>Add 10% for every additional meter depth of sinking over the rate of sinking for the previous meter</v>
          </cell>
          <cell r="D703" t="str">
            <v>metre</v>
          </cell>
          <cell r="E703" t="e">
            <v>#VALUE!</v>
          </cell>
        </row>
        <row r="704">
          <cell r="B704" t="str">
            <v>b</v>
          </cell>
          <cell r="C704" t="str">
            <v>Add 5% of cost for dewatering,  if required</v>
          </cell>
          <cell r="D704" t="str">
            <v>metre</v>
          </cell>
          <cell r="E704" t="e">
            <v>#VALUE!</v>
          </cell>
        </row>
        <row r="705">
          <cell r="B705" t="str">
            <v>c</v>
          </cell>
          <cell r="C705" t="str">
            <v>Add 20% of cost for Kentledge including supports, loading arrangement and Labour).</v>
          </cell>
          <cell r="D705" t="str">
            <v>metre</v>
          </cell>
          <cell r="E705" t="e">
            <v>#VALUE!</v>
          </cell>
        </row>
        <row r="706">
          <cell r="B706" t="str">
            <v>C</v>
          </cell>
          <cell r="C706" t="str">
            <v xml:space="preserve"> Soft rock ( 9m dia well )</v>
          </cell>
        </row>
        <row r="707">
          <cell r="B707" t="str">
            <v>(i)</v>
          </cell>
          <cell r="C707" t="str">
            <v>Depth upto 3m</v>
          </cell>
          <cell r="D707" t="str">
            <v>metre</v>
          </cell>
          <cell r="E707" t="e">
            <v>#VALUE!</v>
          </cell>
        </row>
        <row r="708">
          <cell r="B708" t="str">
            <v>D</v>
          </cell>
          <cell r="C708" t="str">
            <v>Hard rock ( 9m dia well )</v>
          </cell>
        </row>
        <row r="709">
          <cell r="B709" t="str">
            <v>(i)</v>
          </cell>
          <cell r="C709" t="str">
            <v xml:space="preserve">Depth of hard rock strata upto 3 m </v>
          </cell>
          <cell r="D709" t="str">
            <v>metre</v>
          </cell>
          <cell r="E709" t="e">
            <v>#VALUE!</v>
          </cell>
        </row>
        <row r="710">
          <cell r="B710" t="str">
            <v>12.16</v>
          </cell>
          <cell r="C710" t="str">
            <v>Sinking of 10 m external diameter well ( other than pneumatic method of sinking ) through all types of strata namely sandy soil,  clayey soil and rock as shown against each case,  complete as per drawing and technical specifications. Depth of sinking is r</v>
          </cell>
        </row>
        <row r="711">
          <cell r="B711" t="str">
            <v>A</v>
          </cell>
          <cell r="C711" t="str">
            <v xml:space="preserve"> Sandy soil</v>
          </cell>
        </row>
        <row r="712">
          <cell r="B712" t="str">
            <v>(i)</v>
          </cell>
          <cell r="C712" t="str">
            <v>Depth below bed level upto 3.0 M</v>
          </cell>
          <cell r="D712" t="str">
            <v>metre</v>
          </cell>
          <cell r="E712">
            <v>6702</v>
          </cell>
        </row>
        <row r="713">
          <cell r="B713" t="str">
            <v>(ii)</v>
          </cell>
          <cell r="C713" t="str">
            <v>Beyond 3m upto 10m depth</v>
          </cell>
          <cell r="D713" t="str">
            <v>metre</v>
          </cell>
          <cell r="E713">
            <v>7790</v>
          </cell>
        </row>
        <row r="714">
          <cell r="B714" t="str">
            <v>(iii)</v>
          </cell>
          <cell r="C714" t="str">
            <v>Beyond 10m upto 20m</v>
          </cell>
        </row>
        <row r="715">
          <cell r="B715" t="str">
            <v>a</v>
          </cell>
          <cell r="C715" t="str">
            <v>Add 5% for every additional meter depth of sinking over the rate of sinking for the previous meter</v>
          </cell>
          <cell r="D715" t="str">
            <v>metre</v>
          </cell>
          <cell r="E715">
            <v>10288</v>
          </cell>
        </row>
        <row r="716">
          <cell r="B716" t="str">
            <v>(iv)</v>
          </cell>
          <cell r="C716" t="str">
            <v>Beyond 20m upto 30 m</v>
          </cell>
        </row>
        <row r="717">
          <cell r="B717" t="str">
            <v>a</v>
          </cell>
          <cell r="C717" t="str">
            <v>Add 7.5% for every additional meter depth of sinking over the rate of sinking for the previous meter</v>
          </cell>
          <cell r="D717" t="str">
            <v>metre</v>
          </cell>
          <cell r="E717">
            <v>19297</v>
          </cell>
        </row>
        <row r="718">
          <cell r="B718" t="str">
            <v>b</v>
          </cell>
          <cell r="C718" t="str">
            <v>Add 20% of cost for Kentledge including supports, loading arrangement and Labour .</v>
          </cell>
          <cell r="D718" t="str">
            <v>metre</v>
          </cell>
          <cell r="E718">
            <v>23156</v>
          </cell>
        </row>
        <row r="719">
          <cell r="B719" t="str">
            <v>(v)</v>
          </cell>
          <cell r="C719" t="str">
            <v xml:space="preserve"> Beyond 30m upto 40 m</v>
          </cell>
        </row>
        <row r="720">
          <cell r="B720" t="str">
            <v>a</v>
          </cell>
          <cell r="C720" t="str">
            <v>Add 10% for every additional meter depth of sinking over the rate of sinking for the previous meter</v>
          </cell>
          <cell r="D720" t="str">
            <v>metre</v>
          </cell>
          <cell r="E720">
            <v>45848</v>
          </cell>
        </row>
        <row r="721">
          <cell r="B721" t="str">
            <v>b</v>
          </cell>
          <cell r="C721" t="str">
            <v>Add 20% of cost for Kentledge including supports, loading arrangement, and Labour etc.</v>
          </cell>
          <cell r="D721" t="str">
            <v>metre</v>
          </cell>
          <cell r="E721">
            <v>55017</v>
          </cell>
        </row>
        <row r="722">
          <cell r="B722" t="str">
            <v>B</v>
          </cell>
          <cell r="C722" t="str">
            <v>Clayey soil (10m dia. Well )</v>
          </cell>
        </row>
        <row r="723">
          <cell r="B723" t="str">
            <v>(i)</v>
          </cell>
          <cell r="C723" t="str">
            <v>Depth below bed level upto 3.0 M</v>
          </cell>
          <cell r="D723" t="str">
            <v>metre</v>
          </cell>
          <cell r="E723">
            <v>8318</v>
          </cell>
        </row>
        <row r="724">
          <cell r="B724" t="str">
            <v>(ii)</v>
          </cell>
          <cell r="C724" t="str">
            <v>Beyond 3m upto 10m depth</v>
          </cell>
          <cell r="D724" t="str">
            <v>metre</v>
          </cell>
          <cell r="E724" t="e">
            <v>#VALUE!</v>
          </cell>
        </row>
        <row r="725">
          <cell r="B725" t="str">
            <v>(iii)</v>
          </cell>
          <cell r="C725" t="str">
            <v>Beyond 10 m upto 20 m</v>
          </cell>
        </row>
        <row r="726">
          <cell r="B726" t="str">
            <v>a</v>
          </cell>
          <cell r="C726" t="str">
            <v>Add 5% for every additional meter depth of sinking over the rate of sinking for the previous meter</v>
          </cell>
          <cell r="D726" t="str">
            <v>metre</v>
          </cell>
          <cell r="E726" t="e">
            <v>#VALUE!</v>
          </cell>
        </row>
        <row r="727">
          <cell r="B727" t="str">
            <v>b</v>
          </cell>
          <cell r="C727" t="str">
            <v>Add for dewatering @ 5% of cost, if required.</v>
          </cell>
          <cell r="D727" t="str">
            <v>metre</v>
          </cell>
          <cell r="E727" t="e">
            <v>#VALUE!</v>
          </cell>
        </row>
        <row r="728">
          <cell r="B728" t="str">
            <v>(iv)</v>
          </cell>
          <cell r="C728" t="str">
            <v>Beyond 20m upto 30 m</v>
          </cell>
        </row>
        <row r="729">
          <cell r="B729" t="str">
            <v>a</v>
          </cell>
          <cell r="C729" t="str">
            <v>Add 7.5% for every additional meter depth of sinking over the rate of sinking for the previous meter</v>
          </cell>
          <cell r="D729" t="str">
            <v>metre</v>
          </cell>
          <cell r="E729" t="e">
            <v>#VALUE!</v>
          </cell>
        </row>
        <row r="730">
          <cell r="B730" t="str">
            <v>'b</v>
          </cell>
          <cell r="C730" t="str">
            <v>Add 5% of cost for dewatering on the cost,  if required</v>
          </cell>
          <cell r="D730" t="str">
            <v>metre</v>
          </cell>
          <cell r="E730" t="e">
            <v>#VALUE!</v>
          </cell>
        </row>
        <row r="731">
          <cell r="B731" t="str">
            <v>c</v>
          </cell>
          <cell r="C731" t="str">
            <v>Add 25% of cost for Kentledge including supports, loading arrangement and Labour ).</v>
          </cell>
          <cell r="D731" t="str">
            <v>metre</v>
          </cell>
          <cell r="E731" t="e">
            <v>#VALUE!</v>
          </cell>
        </row>
        <row r="732">
          <cell r="B732" t="str">
            <v xml:space="preserve">(v) </v>
          </cell>
          <cell r="C732" t="str">
            <v>Beyond 30m upto 40 m</v>
          </cell>
        </row>
        <row r="733">
          <cell r="B733" t="str">
            <v>a</v>
          </cell>
          <cell r="C733" t="str">
            <v>Add 10% for every additional meter depth of sinking over the rate of sinking for the previous meter</v>
          </cell>
          <cell r="D733" t="str">
            <v>metre</v>
          </cell>
          <cell r="E733" t="e">
            <v>#VALUE!</v>
          </cell>
        </row>
        <row r="734">
          <cell r="B734" t="str">
            <v>b</v>
          </cell>
          <cell r="C734" t="str">
            <v>Add 5% of cost for dewatering,  if required</v>
          </cell>
          <cell r="D734" t="str">
            <v>metre</v>
          </cell>
          <cell r="E734" t="e">
            <v>#VALUE!</v>
          </cell>
        </row>
        <row r="735">
          <cell r="B735" t="str">
            <v>c</v>
          </cell>
          <cell r="C735" t="str">
            <v>Add 20% of cost for Kentledge including supports, loading arrangement and Labour).</v>
          </cell>
          <cell r="E735" t="e">
            <v>#VALUE!</v>
          </cell>
        </row>
        <row r="736">
          <cell r="B736" t="str">
            <v>C</v>
          </cell>
          <cell r="C736" t="str">
            <v>Soft rock (10m dia well )</v>
          </cell>
        </row>
        <row r="737">
          <cell r="B737" t="str">
            <v>(i)</v>
          </cell>
          <cell r="C737" t="str">
            <v>Depth of soft rock strata upto 3m</v>
          </cell>
          <cell r="D737" t="str">
            <v>metre</v>
          </cell>
          <cell r="E737" t="e">
            <v>#VALUE!</v>
          </cell>
        </row>
        <row r="738">
          <cell r="B738" t="str">
            <v>D</v>
          </cell>
          <cell r="C738" t="str">
            <v>Hard rock (10m dia well )</v>
          </cell>
        </row>
        <row r="739">
          <cell r="B739" t="str">
            <v>(i)</v>
          </cell>
          <cell r="C739" t="str">
            <v>Depth of hard rock strata upto 3 m</v>
          </cell>
          <cell r="D739" t="str">
            <v>metre</v>
          </cell>
          <cell r="E739" t="e">
            <v>#VALUE!</v>
          </cell>
        </row>
        <row r="740">
          <cell r="B740" t="str">
            <v>12.17</v>
          </cell>
          <cell r="C740" t="str">
            <v>Sinking of 11 m external diameter well ( other than pneumatic method of sinking ) through all types of strata namely sandy soil,  clayey soil and rock as shown against each case,  complete as per drawing and technical specifications. Depth of sinking is r</v>
          </cell>
        </row>
        <row r="741">
          <cell r="B741" t="str">
            <v>A</v>
          </cell>
          <cell r="C741" t="str">
            <v xml:space="preserve"> Sandy soil</v>
          </cell>
        </row>
        <row r="742">
          <cell r="B742" t="str">
            <v>(i)</v>
          </cell>
          <cell r="C742" t="str">
            <v>Depth from bed level upto 3.0 M</v>
          </cell>
          <cell r="D742" t="str">
            <v>metre</v>
          </cell>
          <cell r="E742">
            <v>15751</v>
          </cell>
        </row>
        <row r="743">
          <cell r="B743" t="str">
            <v>(ii)</v>
          </cell>
          <cell r="C743" t="str">
            <v>Beyond 3m upto 10m depth</v>
          </cell>
          <cell r="D743" t="str">
            <v>metre</v>
          </cell>
          <cell r="E743">
            <v>11458</v>
          </cell>
        </row>
        <row r="744">
          <cell r="B744" t="str">
            <v>(iii)</v>
          </cell>
          <cell r="C744" t="str">
            <v>Beyond 10m upto 20m</v>
          </cell>
        </row>
        <row r="745">
          <cell r="B745" t="str">
            <v>a</v>
          </cell>
          <cell r="C745" t="str">
            <v>Add 5% for every additional meter depth of sinking over the rate of sinking for the previous meter</v>
          </cell>
          <cell r="D745" t="str">
            <v>metre</v>
          </cell>
          <cell r="E745">
            <v>15132</v>
          </cell>
        </row>
        <row r="746">
          <cell r="B746" t="str">
            <v>(iv)</v>
          </cell>
          <cell r="C746" t="str">
            <v>Beyond 20m upto 30 m</v>
          </cell>
        </row>
        <row r="747">
          <cell r="B747" t="str">
            <v>a</v>
          </cell>
          <cell r="C747" t="str">
            <v>Add 7.5% for every additional meter depth of sinking over the rate of sinking for the previous meter</v>
          </cell>
          <cell r="D747" t="str">
            <v>metre</v>
          </cell>
          <cell r="E747">
            <v>28384</v>
          </cell>
        </row>
        <row r="748">
          <cell r="B748" t="str">
            <v>b</v>
          </cell>
          <cell r="C748" t="str">
            <v>Add 20% of cost for Kentledge including supports, loading arrangement and Labour .</v>
          </cell>
          <cell r="D748" t="str">
            <v>metre</v>
          </cell>
          <cell r="E748">
            <v>34061</v>
          </cell>
        </row>
        <row r="749">
          <cell r="B749" t="str">
            <v>(v)</v>
          </cell>
          <cell r="C749" t="str">
            <v xml:space="preserve"> Beyond 30m upto 40 m</v>
          </cell>
        </row>
        <row r="750">
          <cell r="B750" t="str">
            <v>a</v>
          </cell>
          <cell r="C750" t="str">
            <v>Add 10% for every additional meter depth of sinking over the rate of sinking for the previous meter</v>
          </cell>
          <cell r="D750" t="str">
            <v>metre</v>
          </cell>
          <cell r="E750">
            <v>67436</v>
          </cell>
        </row>
        <row r="751">
          <cell r="B751" t="str">
            <v>b</v>
          </cell>
          <cell r="C751" t="str">
            <v>Add 20% of cost for Kentledge including supports, loading arrangement, and Labour etc.</v>
          </cell>
          <cell r="D751" t="str">
            <v>metre</v>
          </cell>
          <cell r="E751">
            <v>80923</v>
          </cell>
        </row>
        <row r="752">
          <cell r="B752" t="str">
            <v>B</v>
          </cell>
          <cell r="C752" t="str">
            <v>Clayey soil (11 m dia. Well )</v>
          </cell>
        </row>
        <row r="753">
          <cell r="B753" t="str">
            <v>(i)</v>
          </cell>
          <cell r="C753" t="str">
            <v>Depth from bed level upto 3.0 M</v>
          </cell>
          <cell r="D753" t="str">
            <v>metre</v>
          </cell>
          <cell r="E753">
            <v>13847</v>
          </cell>
        </row>
        <row r="754">
          <cell r="B754" t="str">
            <v>(ii)</v>
          </cell>
          <cell r="C754" t="str">
            <v>Beyond 3m upto 10m depth</v>
          </cell>
          <cell r="D754" t="str">
            <v>metre</v>
          </cell>
          <cell r="E754" t="e">
            <v>#VALUE!</v>
          </cell>
        </row>
        <row r="755">
          <cell r="B755" t="str">
            <v>(iii)</v>
          </cell>
          <cell r="C755" t="str">
            <v>Beyond 10 m upto 20 m</v>
          </cell>
        </row>
        <row r="756">
          <cell r="B756" t="str">
            <v>a</v>
          </cell>
          <cell r="C756" t="str">
            <v>Add 5% for every additional meter depth of sinking over the rate of sinking for the previous meter</v>
          </cell>
          <cell r="D756" t="str">
            <v>metre</v>
          </cell>
          <cell r="E756" t="e">
            <v>#VALUE!</v>
          </cell>
        </row>
        <row r="757">
          <cell r="B757" t="str">
            <v>b</v>
          </cell>
          <cell r="C757" t="str">
            <v>Add for dewatering @ 5% of cost, if required.</v>
          </cell>
          <cell r="D757" t="str">
            <v>metre</v>
          </cell>
          <cell r="E757" t="e">
            <v>#VALUE!</v>
          </cell>
        </row>
        <row r="758">
          <cell r="B758" t="str">
            <v>(iv)</v>
          </cell>
          <cell r="C758" t="str">
            <v>Beyond 20m upto 30 m</v>
          </cell>
        </row>
        <row r="759">
          <cell r="B759" t="str">
            <v>a</v>
          </cell>
          <cell r="C759" t="str">
            <v>Add 7.5% for every additional meter depth of sinking over the rate of sinking for the previous meter</v>
          </cell>
          <cell r="D759" t="str">
            <v>metre</v>
          </cell>
          <cell r="E759" t="e">
            <v>#VALUE!</v>
          </cell>
        </row>
        <row r="760">
          <cell r="B760" t="str">
            <v>b</v>
          </cell>
          <cell r="C760" t="str">
            <v>Add 5% of cost for dewatering on the cost,  if required</v>
          </cell>
          <cell r="D760" t="str">
            <v>metre</v>
          </cell>
          <cell r="E760" t="e">
            <v>#VALUE!</v>
          </cell>
        </row>
        <row r="761">
          <cell r="B761" t="str">
            <v>c</v>
          </cell>
          <cell r="C761" t="str">
            <v>Add 25% of cost for Kentledge including supports, loading arrangement and Labour ).</v>
          </cell>
          <cell r="D761" t="str">
            <v>metre</v>
          </cell>
          <cell r="E761" t="e">
            <v>#VALUE!</v>
          </cell>
        </row>
        <row r="762">
          <cell r="B762" t="str">
            <v xml:space="preserve">(v) </v>
          </cell>
          <cell r="C762" t="str">
            <v>Beyond 30m upto 40 m</v>
          </cell>
        </row>
        <row r="763">
          <cell r="B763" t="str">
            <v>a</v>
          </cell>
          <cell r="C763" t="str">
            <v>Add 10% for every additional meter depth of sinking over the rate of sinking for the previous meter</v>
          </cell>
          <cell r="D763" t="str">
            <v>metre</v>
          </cell>
          <cell r="E763" t="e">
            <v>#VALUE!</v>
          </cell>
        </row>
        <row r="764">
          <cell r="B764" t="str">
            <v>b</v>
          </cell>
          <cell r="C764" t="str">
            <v>Add 5% of cost for dewatering,  if required</v>
          </cell>
          <cell r="D764" t="str">
            <v>metre</v>
          </cell>
          <cell r="E764" t="e">
            <v>#VALUE!</v>
          </cell>
        </row>
        <row r="765">
          <cell r="B765" t="str">
            <v>c</v>
          </cell>
          <cell r="C765" t="str">
            <v>Add 20% of cost for Kentledge including supports, loading arrangement and Labour).</v>
          </cell>
          <cell r="D765" t="str">
            <v>metre</v>
          </cell>
          <cell r="E765" t="e">
            <v>#VALUE!</v>
          </cell>
        </row>
        <row r="766">
          <cell r="B766" t="str">
            <v>C</v>
          </cell>
          <cell r="C766" t="str">
            <v>Soft rock (11m dia well )</v>
          </cell>
        </row>
        <row r="767">
          <cell r="B767" t="str">
            <v>(i)</v>
          </cell>
          <cell r="C767" t="str">
            <v>Depth of soft rock strata upto 3m</v>
          </cell>
          <cell r="D767" t="str">
            <v>metre</v>
          </cell>
          <cell r="E767" t="e">
            <v>#VALUE!</v>
          </cell>
        </row>
        <row r="768">
          <cell r="B768" t="str">
            <v>D</v>
          </cell>
          <cell r="C768" t="str">
            <v>Hard rock (11m dia well )</v>
          </cell>
        </row>
        <row r="769">
          <cell r="B769" t="str">
            <v>(i)</v>
          </cell>
          <cell r="C769" t="str">
            <v>Depth of hard rock upto 3 m</v>
          </cell>
          <cell r="D769" t="str">
            <v>metre</v>
          </cell>
          <cell r="E769" t="e">
            <v>#VALUE!</v>
          </cell>
        </row>
        <row r="770">
          <cell r="B770" t="str">
            <v>12.18</v>
          </cell>
          <cell r="C770" t="str">
            <v>Sinking of 12 m external diameter well ( other than pneumatic method of sinking ) through all types of strata namely sandy soil,  clayey soil and rock as shown against each case,  complete as per drawing and technical specifications. Depth of sinking is r</v>
          </cell>
        </row>
        <row r="771">
          <cell r="B771" t="str">
            <v>A</v>
          </cell>
          <cell r="C771" t="str">
            <v xml:space="preserve"> Sandy soil</v>
          </cell>
        </row>
        <row r="772">
          <cell r="B772" t="str">
            <v>(i)</v>
          </cell>
          <cell r="C772" t="str">
            <v>I) Depth below bed level upto 3.0 M</v>
          </cell>
          <cell r="D772" t="str">
            <v>metre</v>
          </cell>
          <cell r="E772">
            <v>32023</v>
          </cell>
        </row>
        <row r="773">
          <cell r="B773" t="str">
            <v>(ii)</v>
          </cell>
          <cell r="C773" t="str">
            <v>Beyond 3m upto 10m depth</v>
          </cell>
          <cell r="D773" t="str">
            <v>metre</v>
          </cell>
          <cell r="E773">
            <v>35350</v>
          </cell>
        </row>
        <row r="774">
          <cell r="B774" t="str">
            <v>(iii)</v>
          </cell>
          <cell r="C774" t="str">
            <v>Beyond 10m upto 20m</v>
          </cell>
        </row>
        <row r="775">
          <cell r="B775" t="str">
            <v>a</v>
          </cell>
          <cell r="C775" t="str">
            <v>Add 5% for every additional meter depth of sinking over the rate of sinking for the previous meter</v>
          </cell>
          <cell r="D775" t="str">
            <v>metre</v>
          </cell>
          <cell r="E775">
            <v>46687</v>
          </cell>
        </row>
        <row r="776">
          <cell r="B776" t="str">
            <v>(iv)</v>
          </cell>
          <cell r="C776" t="str">
            <v>Beyond 20m upto 30 m</v>
          </cell>
        </row>
        <row r="777">
          <cell r="B777" t="str">
            <v>a</v>
          </cell>
          <cell r="C777" t="str">
            <v>Add 7.5% for every additional meter depth of sinking over the rate of sinking for the previous meter</v>
          </cell>
          <cell r="D777" t="str">
            <v>metre</v>
          </cell>
          <cell r="E777">
            <v>87573</v>
          </cell>
        </row>
        <row r="778">
          <cell r="B778" t="str">
            <v>b</v>
          </cell>
          <cell r="C778" t="str">
            <v>Add 20% of cost for Kentledge including supports, loading arrangement and Labour .</v>
          </cell>
          <cell r="D778" t="str">
            <v>metre</v>
          </cell>
          <cell r="E778">
            <v>105087</v>
          </cell>
        </row>
        <row r="779">
          <cell r="B779" t="str">
            <v>(v)</v>
          </cell>
          <cell r="C779" t="str">
            <v xml:space="preserve"> Beyond 30m upto 40 m</v>
          </cell>
        </row>
        <row r="780">
          <cell r="B780" t="str">
            <v>a</v>
          </cell>
          <cell r="C780" t="str">
            <v>Add 10% for every additional meter depth of sinking over the rate of sinking for the previous meter</v>
          </cell>
          <cell r="D780" t="str">
            <v>metre</v>
          </cell>
          <cell r="E780">
            <v>208060</v>
          </cell>
        </row>
        <row r="781">
          <cell r="B781" t="str">
            <v>b</v>
          </cell>
          <cell r="C781" t="str">
            <v>Add 20% of cost for Kentledge including supports, loading arrangement, and Labour etc.</v>
          </cell>
          <cell r="D781" t="str">
            <v>metre</v>
          </cell>
          <cell r="E781">
            <v>249672</v>
          </cell>
        </row>
        <row r="782">
          <cell r="B782" t="str">
            <v>B</v>
          </cell>
          <cell r="C782" t="str">
            <v>Clayey soil (12 m dia. Well )</v>
          </cell>
        </row>
        <row r="783">
          <cell r="B783" t="str">
            <v>(i)</v>
          </cell>
          <cell r="C783" t="str">
            <v>Depth below bed level upto 3.0 M</v>
          </cell>
          <cell r="D783" t="str">
            <v>metre</v>
          </cell>
          <cell r="E783">
            <v>34264</v>
          </cell>
        </row>
        <row r="784">
          <cell r="B784" t="str">
            <v>(ii)</v>
          </cell>
          <cell r="C784" t="str">
            <v>Beyond 3m upto 10m depth</v>
          </cell>
          <cell r="D784" t="str">
            <v>metre</v>
          </cell>
          <cell r="E784" t="e">
            <v>#VALUE!</v>
          </cell>
        </row>
        <row r="785">
          <cell r="B785" t="str">
            <v>(iii)</v>
          </cell>
          <cell r="C785" t="str">
            <v>Beyond 10 m upto 20 m</v>
          </cell>
        </row>
        <row r="786">
          <cell r="B786" t="str">
            <v>a</v>
          </cell>
          <cell r="C786" t="str">
            <v>Add 5% for every additional meter depth of sinking over the rate of sinking for the previous meter</v>
          </cell>
          <cell r="D786" t="str">
            <v>metre</v>
          </cell>
          <cell r="E786" t="e">
            <v>#VALUE!</v>
          </cell>
        </row>
        <row r="787">
          <cell r="B787" t="str">
            <v>b</v>
          </cell>
          <cell r="C787" t="str">
            <v>Add for dewatering @ 5% of cost, if required.</v>
          </cell>
          <cell r="D787" t="str">
            <v>metre</v>
          </cell>
          <cell r="E787" t="e">
            <v>#VALUE!</v>
          </cell>
        </row>
        <row r="788">
          <cell r="B788" t="str">
            <v>(iv)</v>
          </cell>
          <cell r="C788" t="str">
            <v>Beyond 20m upto 30 m</v>
          </cell>
        </row>
        <row r="789">
          <cell r="B789" t="str">
            <v>a</v>
          </cell>
          <cell r="C789" t="str">
            <v>Add 7.5% for every additional meter depth of sinking over the rate of sinking for the previous meter</v>
          </cell>
          <cell r="D789" t="str">
            <v>metre</v>
          </cell>
          <cell r="E789" t="e">
            <v>#VALUE!</v>
          </cell>
        </row>
        <row r="790">
          <cell r="B790" t="str">
            <v>b</v>
          </cell>
          <cell r="C790" t="str">
            <v>Add 5% of cost for dewatering on the cost,  if required</v>
          </cell>
          <cell r="D790" t="str">
            <v>metre</v>
          </cell>
          <cell r="E790" t="e">
            <v>#VALUE!</v>
          </cell>
        </row>
        <row r="791">
          <cell r="B791" t="str">
            <v>c</v>
          </cell>
          <cell r="C791" t="str">
            <v>Add 25% of cost for Kentledge including supports, loading arrangement and Labour ).</v>
          </cell>
          <cell r="D791" t="str">
            <v>metre</v>
          </cell>
          <cell r="E791" t="e">
            <v>#VALUE!</v>
          </cell>
        </row>
        <row r="792">
          <cell r="B792" t="str">
            <v xml:space="preserve">(v) </v>
          </cell>
          <cell r="C792" t="str">
            <v>Beyond 30m upto 40 m</v>
          </cell>
        </row>
        <row r="793">
          <cell r="B793" t="str">
            <v>a</v>
          </cell>
          <cell r="C793" t="str">
            <v>Add 10% for every additional meter depth of sinking over the rate of sinking for the previous meter</v>
          </cell>
          <cell r="D793" t="str">
            <v>metre</v>
          </cell>
          <cell r="E793" t="e">
            <v>#VALUE!</v>
          </cell>
        </row>
        <row r="794">
          <cell r="B794" t="str">
            <v>b</v>
          </cell>
          <cell r="C794" t="str">
            <v>Add 5% of cost for dewatering,  if required</v>
          </cell>
          <cell r="D794" t="str">
            <v>metre</v>
          </cell>
          <cell r="E794" t="e">
            <v>#VALUE!</v>
          </cell>
        </row>
        <row r="795">
          <cell r="B795" t="str">
            <v>c</v>
          </cell>
          <cell r="C795" t="str">
            <v>Add 20% of cost for Kentledge including supports, loading arrangement and Labour).</v>
          </cell>
          <cell r="D795" t="str">
            <v>metre</v>
          </cell>
          <cell r="E795" t="e">
            <v>#VALUE!</v>
          </cell>
        </row>
        <row r="796">
          <cell r="B796" t="str">
            <v>C</v>
          </cell>
          <cell r="C796" t="str">
            <v>Soft rock (12m dia well )</v>
          </cell>
        </row>
        <row r="797">
          <cell r="B797" t="str">
            <v>(i)</v>
          </cell>
          <cell r="C797" t="str">
            <v>Depth of soft rock strata upto 3m</v>
          </cell>
          <cell r="D797" t="str">
            <v>metre</v>
          </cell>
          <cell r="E797" t="e">
            <v>#VALUE!</v>
          </cell>
        </row>
        <row r="798">
          <cell r="B798" t="str">
            <v>D</v>
          </cell>
          <cell r="C798" t="str">
            <v>Hard rock (12m dia well )</v>
          </cell>
        </row>
        <row r="799">
          <cell r="B799" t="str">
            <v>(i)</v>
          </cell>
          <cell r="C799" t="str">
            <v>Depth of hard rock strata upto 3 m</v>
          </cell>
          <cell r="D799" t="str">
            <v>metre</v>
          </cell>
          <cell r="E799" t="e">
            <v>#VALUE!</v>
          </cell>
        </row>
        <row r="800">
          <cell r="B800" t="str">
            <v>12.19</v>
          </cell>
          <cell r="C800" t="str">
            <v>Sinking of Twin D Type well ( other than pneumatic method of sinking ) through all types of strata namely sandy soil,  clayey soil and rock as shown against each case,  complete as per drawing and technical specifications. Depth of sinking is reckoned fro</v>
          </cell>
        </row>
        <row r="801">
          <cell r="B801" t="str">
            <v>A</v>
          </cell>
          <cell r="C801" t="str">
            <v>Sandy soil</v>
          </cell>
        </row>
        <row r="802">
          <cell r="B802" t="str">
            <v>(i)</v>
          </cell>
          <cell r="C802" t="str">
            <v>Depth from bed level upto 3.0 M</v>
          </cell>
          <cell r="D802" t="str">
            <v>metre</v>
          </cell>
          <cell r="E802">
            <v>7298</v>
          </cell>
        </row>
        <row r="803">
          <cell r="B803" t="str">
            <v>(ii)</v>
          </cell>
          <cell r="C803" t="str">
            <v>Beyond 3m upto 10m depth</v>
          </cell>
          <cell r="D803" t="str">
            <v>metre</v>
          </cell>
          <cell r="E803">
            <v>7839</v>
          </cell>
        </row>
        <row r="804">
          <cell r="B804" t="str">
            <v>(iii)</v>
          </cell>
          <cell r="C804" t="str">
            <v>Beyond 10m upto 20m</v>
          </cell>
        </row>
        <row r="805">
          <cell r="B805" t="str">
            <v>a</v>
          </cell>
          <cell r="C805" t="str">
            <v>Add 5% for every additional meter depth of sinking over the rate of sinking for the previous meter</v>
          </cell>
          <cell r="D805" t="str">
            <v>metre</v>
          </cell>
          <cell r="E805">
            <v>10353</v>
          </cell>
        </row>
        <row r="806">
          <cell r="B806" t="str">
            <v>(iv)</v>
          </cell>
          <cell r="C806" t="str">
            <v>Beyond 20m upto 30 m</v>
          </cell>
        </row>
        <row r="807">
          <cell r="B807" t="str">
            <v>a</v>
          </cell>
          <cell r="C807" t="str">
            <v>Add 7.5% for every additional meter depth of sinking over the rate of sinking for the previous meter</v>
          </cell>
          <cell r="D807" t="str">
            <v>metre</v>
          </cell>
          <cell r="E807">
            <v>19421</v>
          </cell>
        </row>
        <row r="808">
          <cell r="B808" t="str">
            <v>b</v>
          </cell>
          <cell r="C808" t="str">
            <v>Add 20% of cost for Kentledge including supports, loading arrangement and Labour .</v>
          </cell>
          <cell r="D808" t="str">
            <v>metre</v>
          </cell>
          <cell r="E808">
            <v>23305</v>
          </cell>
        </row>
        <row r="809">
          <cell r="B809" t="str">
            <v>(v)</v>
          </cell>
          <cell r="C809" t="str">
            <v xml:space="preserve"> Beyond 30m upto 40 m</v>
          </cell>
        </row>
        <row r="810">
          <cell r="B810" t="str">
            <v>a</v>
          </cell>
          <cell r="C810" t="str">
            <v>Add 10% for every additional meter depth of sinking over the rate of sinking for the previous meter</v>
          </cell>
          <cell r="D810" t="str">
            <v>metre</v>
          </cell>
          <cell r="E810">
            <v>46141</v>
          </cell>
        </row>
        <row r="811">
          <cell r="B811" t="str">
            <v>b</v>
          </cell>
          <cell r="C811" t="str">
            <v>Add 20% of cost for Kentledge including supports, loading arrangement, and Labour etc.</v>
          </cell>
          <cell r="D811" t="str">
            <v>metre</v>
          </cell>
          <cell r="E811">
            <v>55369</v>
          </cell>
        </row>
        <row r="812">
          <cell r="B812" t="str">
            <v>B</v>
          </cell>
          <cell r="C812" t="str">
            <v xml:space="preserve"> Clayey soil (Twin D Type Well )</v>
          </cell>
        </row>
        <row r="813">
          <cell r="B813" t="str">
            <v>(i)</v>
          </cell>
          <cell r="C813" t="str">
            <v>Depth below bed level upto 3.0 M</v>
          </cell>
          <cell r="D813" t="str">
            <v>metre</v>
          </cell>
          <cell r="E813">
            <v>8421</v>
          </cell>
        </row>
        <row r="814">
          <cell r="B814" t="str">
            <v>(ii)</v>
          </cell>
          <cell r="C814" t="str">
            <v>Beyond 3m upto 10m depth</v>
          </cell>
          <cell r="D814" t="str">
            <v>metre</v>
          </cell>
          <cell r="E814" t="e">
            <v>#VALUE!</v>
          </cell>
        </row>
        <row r="815">
          <cell r="B815" t="str">
            <v>(iii)</v>
          </cell>
          <cell r="C815" t="str">
            <v>Beyond 10 m upto 20 m</v>
          </cell>
        </row>
        <row r="816">
          <cell r="B816" t="str">
            <v>a</v>
          </cell>
          <cell r="C816" t="str">
            <v>Add 5% for every additional meter depth of sinking over the rate of sinking for the previous meter</v>
          </cell>
          <cell r="D816" t="str">
            <v>metre</v>
          </cell>
          <cell r="E816" t="e">
            <v>#VALUE!</v>
          </cell>
        </row>
        <row r="817">
          <cell r="B817" t="str">
            <v>b</v>
          </cell>
          <cell r="C817" t="str">
            <v>Add for dewatering @ 5% of cost, if required.</v>
          </cell>
          <cell r="D817" t="str">
            <v>metre</v>
          </cell>
          <cell r="E817" t="e">
            <v>#VALUE!</v>
          </cell>
        </row>
        <row r="818">
          <cell r="B818" t="str">
            <v>(iv)</v>
          </cell>
          <cell r="C818" t="str">
            <v>Beyond 20m upto 30 m</v>
          </cell>
        </row>
        <row r="819">
          <cell r="B819" t="str">
            <v>a</v>
          </cell>
          <cell r="C819" t="str">
            <v>Add 7.5% for every additional meter depth of sinking over the rate of sinking for the previous meter</v>
          </cell>
          <cell r="D819" t="str">
            <v>metre</v>
          </cell>
          <cell r="E819" t="e">
            <v>#VALUE!</v>
          </cell>
        </row>
        <row r="820">
          <cell r="B820" t="str">
            <v>b</v>
          </cell>
          <cell r="C820" t="str">
            <v>Add 5% of cost for dewatering on the cost,  if required</v>
          </cell>
          <cell r="D820" t="str">
            <v>metre</v>
          </cell>
          <cell r="E820" t="e">
            <v>#VALUE!</v>
          </cell>
        </row>
        <row r="821">
          <cell r="B821" t="str">
            <v>c</v>
          </cell>
          <cell r="C821" t="str">
            <v>Add 25% of cost for Kentledge including supports, loading arrangement and Labour ).</v>
          </cell>
          <cell r="D821" t="str">
            <v>metre</v>
          </cell>
          <cell r="E821" t="e">
            <v>#VALUE!</v>
          </cell>
        </row>
        <row r="822">
          <cell r="B822" t="str">
            <v xml:space="preserve">(v) </v>
          </cell>
          <cell r="C822" t="str">
            <v>Beyond 30m upto 40 m</v>
          </cell>
        </row>
        <row r="823">
          <cell r="B823" t="str">
            <v>a</v>
          </cell>
          <cell r="C823" t="str">
            <v>Add 10% for every additional meter depth of sinking over the rate of sinking for the previous meter</v>
          </cell>
          <cell r="D823" t="str">
            <v>metre</v>
          </cell>
          <cell r="E823" t="e">
            <v>#VALUE!</v>
          </cell>
        </row>
        <row r="824">
          <cell r="B824" t="str">
            <v>b</v>
          </cell>
          <cell r="C824" t="str">
            <v>Add 5% of cost for dewatering,  if required</v>
          </cell>
          <cell r="D824" t="str">
            <v>metre</v>
          </cell>
          <cell r="E824" t="e">
            <v>#VALUE!</v>
          </cell>
        </row>
        <row r="825">
          <cell r="B825" t="str">
            <v>c</v>
          </cell>
          <cell r="C825" t="str">
            <v>Add 20% of cost for Kentledge including supports, loading arrangement and Labour).</v>
          </cell>
          <cell r="D825" t="str">
            <v>metre</v>
          </cell>
          <cell r="E825" t="e">
            <v>#VALUE!</v>
          </cell>
        </row>
        <row r="826">
          <cell r="B826" t="str">
            <v>C</v>
          </cell>
          <cell r="C826" t="str">
            <v>Soft rock (Twin D Type well )</v>
          </cell>
        </row>
        <row r="827">
          <cell r="B827" t="str">
            <v>(i)</v>
          </cell>
          <cell r="C827" t="str">
            <v>Depth of soft rock strata upto 3m</v>
          </cell>
          <cell r="D827" t="str">
            <v>metre</v>
          </cell>
          <cell r="E827" t="e">
            <v>#VALUE!</v>
          </cell>
        </row>
        <row r="828">
          <cell r="B828" t="str">
            <v>D</v>
          </cell>
          <cell r="C828" t="str">
            <v>Hard rock (Twin D Type well )</v>
          </cell>
        </row>
        <row r="829">
          <cell r="B829" t="str">
            <v>(i)</v>
          </cell>
          <cell r="C829" t="str">
            <v>Depth of hard rock strata upto 3 m</v>
          </cell>
          <cell r="D829" t="str">
            <v>metre</v>
          </cell>
          <cell r="E829" t="e">
            <v>#VALUE!</v>
          </cell>
        </row>
        <row r="830">
          <cell r="B830" t="str">
            <v>12.20</v>
          </cell>
          <cell r="C830" t="str">
            <v>Pneumatic sinking of wells with equipment of approved design, drawing and specifications worked by competent and trained personnel and comprising of compression and decompression chambers,  reducers,  two air locks separately for men and plant &amp; materials</v>
          </cell>
        </row>
        <row r="831">
          <cell r="B831" t="str">
            <v>12.21</v>
          </cell>
          <cell r="C831" t="str">
            <v>Sand filling in wells complete as per drawing and technical specifications</v>
          </cell>
          <cell r="D831" t="str">
            <v>cum</v>
          </cell>
          <cell r="E831">
            <v>632</v>
          </cell>
        </row>
        <row r="832">
          <cell r="B832" t="str">
            <v>12.22</v>
          </cell>
          <cell r="C832" t="str">
            <v>Providing steel liner 10 mm thick for curbs and 6mm thick for steining of wells including fabricating and setting out as per detailed drawing</v>
          </cell>
          <cell r="D832" t="str">
            <v>tonne</v>
          </cell>
          <cell r="E832">
            <v>47823</v>
          </cell>
        </row>
        <row r="833">
          <cell r="B833" t="str">
            <v>12.23</v>
          </cell>
          <cell r="C833" t="str">
            <v>Bored cast-in-situ M35 grade R.C.C. pile excluding reinforcement complete as per drawing and technical specifications and removal of excavated earth with all lifts and lead upto 1000 m. (Pile diameter-750 mm)</v>
          </cell>
          <cell r="D833" t="str">
            <v>metre</v>
          </cell>
          <cell r="E833" t="e">
            <v>#VALUE!</v>
          </cell>
        </row>
        <row r="834">
          <cell r="B834" t="str">
            <v>12.24</v>
          </cell>
          <cell r="C834" t="str">
            <v>Bored cast-in-situ M35 grade R.C.C. pile excluding reinforcement complete as per drawing and technical specifications and removal of excavated earth with all lifts and lead upto 1000 m. (Pile diameter-1000 mm)</v>
          </cell>
          <cell r="D834" t="str">
            <v>metre</v>
          </cell>
          <cell r="E834" t="e">
            <v>#VALUE!</v>
          </cell>
        </row>
        <row r="835">
          <cell r="B835" t="str">
            <v>12.25</v>
          </cell>
          <cell r="C835" t="str">
            <v>Bored cast-in-situ M35 grade R.C.C. pile excluding reinforcement complete as per drawing and technical specifications and removal of excavated earth with all lifts and lead upto 1000 m. (Pile diameter-1200 mm)</v>
          </cell>
          <cell r="D835" t="str">
            <v>metre</v>
          </cell>
          <cell r="E835" t="e">
            <v>#VALUE!</v>
          </cell>
        </row>
        <row r="836">
          <cell r="B836" t="str">
            <v>12.26</v>
          </cell>
          <cell r="C836" t="str">
            <v>Driven cast-in-place vertical M35 grade R.C.C. pile excluding reinforcement complete as per drawing and &amp; Technical Specification (Pile diameter - 750 mm)</v>
          </cell>
          <cell r="D836" t="str">
            <v>metre</v>
          </cell>
          <cell r="E836" t="e">
            <v>#VALUE!</v>
          </cell>
        </row>
        <row r="837">
          <cell r="B837" t="str">
            <v>12.27</v>
          </cell>
          <cell r="C837" t="str">
            <v>Driven cast-in-place vertical M35 grade R.C.C. piles excluding reinforcement complete as per drawing and &amp; Technical Specification (Pile diameter - 1000 mm)</v>
          </cell>
          <cell r="D837" t="str">
            <v>metre</v>
          </cell>
          <cell r="E837" t="e">
            <v>#VALUE!</v>
          </cell>
        </row>
        <row r="838">
          <cell r="B838" t="str">
            <v>12.28</v>
          </cell>
          <cell r="C838" t="str">
            <v>Driven cast-in-place vertical M35 grade R.C.C. piles excluding reinforcement complete as per drawing and &amp; Technical Specification (Pile diameter - 1200 mm)</v>
          </cell>
          <cell r="D838" t="str">
            <v>metre</v>
          </cell>
          <cell r="E838" t="e">
            <v>#VALUE!</v>
          </cell>
        </row>
        <row r="839">
          <cell r="B839" t="str">
            <v>12.29</v>
          </cell>
          <cell r="C839" t="str">
            <v>Driven precast vertical M35 grade R.C.C. piles excluding reinforcement complete as per drawing and &amp; Technical Specification (Pile Diameter=500 mm)</v>
          </cell>
          <cell r="D839" t="str">
            <v>metre</v>
          </cell>
          <cell r="E839" t="e">
            <v>#VALUE!</v>
          </cell>
        </row>
        <row r="840">
          <cell r="B840" t="str">
            <v>12.30</v>
          </cell>
          <cell r="C840" t="str">
            <v>Driven precast vertical M35 grade R.C.C. piles excluding reinforcement complete as per drawing and &amp; Technical Specification (Pile Diameter=750 mm)</v>
          </cell>
          <cell r="D840" t="str">
            <v>metre</v>
          </cell>
          <cell r="E840" t="e">
            <v>#VALUE!</v>
          </cell>
        </row>
        <row r="841">
          <cell r="B841" t="str">
            <v>12.31</v>
          </cell>
          <cell r="C841" t="str">
            <v>Driven precast vertical M35 grade R.C.C. piles excluding reinforcement complete as per drawing and &amp; Technical Specification (Pile Diameter=1000 mm)</v>
          </cell>
          <cell r="D841" t="str">
            <v>metre</v>
          </cell>
          <cell r="E841" t="e">
            <v>#VALUE!</v>
          </cell>
        </row>
        <row r="842">
          <cell r="B842" t="str">
            <v>12.32</v>
          </cell>
          <cell r="C842" t="str">
            <v>Driven precast vertical M35 grade R.C.C. piles excluding reinforcement complete as per drawing and &amp; Technical Specification (Size of pile - 300 mm x 300 mm)</v>
          </cell>
          <cell r="D842" t="str">
            <v>metre</v>
          </cell>
          <cell r="E842" t="e">
            <v>#VALUE!</v>
          </cell>
        </row>
        <row r="843">
          <cell r="B843" t="str">
            <v>12.33</v>
          </cell>
          <cell r="C843" t="str">
            <v>Driven precast vertical M35 grade R.C.C. piles excluding reinforcement complete as per drawing and &amp; Technical Specification (Size of pile - 500 mm x 500 mm)</v>
          </cell>
          <cell r="D843" t="str">
            <v>metre</v>
          </cell>
          <cell r="E843" t="e">
            <v>#VALUE!</v>
          </cell>
        </row>
        <row r="844">
          <cell r="B844" t="str">
            <v>12.34</v>
          </cell>
          <cell r="C844" t="str">
            <v>Driven precast vertical M35 grade R.C.C. piles excluding reinforcement complete as per drawing and &amp; Technical Specification (Size of pile - 750 mm x 750 mm)</v>
          </cell>
          <cell r="D844" t="str">
            <v>metre</v>
          </cell>
          <cell r="E844" t="e">
            <v>#VALUE!</v>
          </cell>
        </row>
        <row r="845">
          <cell r="B845" t="str">
            <v>12.35</v>
          </cell>
          <cell r="C845" t="str">
            <v>Driven vertical steel piles complete as per drawing and &amp; Technical Specification (Section of the pile - H Section steel column 400 x 250 mm (ISHB Series) )</v>
          </cell>
          <cell r="D845" t="str">
            <v>metre</v>
          </cell>
          <cell r="E845" t="e">
            <v>#VALUE!</v>
          </cell>
        </row>
        <row r="846">
          <cell r="B846" t="str">
            <v>12.36</v>
          </cell>
          <cell r="C846" t="str">
            <v>Driven vertical steel piles complete as per drawing and &amp; Technical Specification (Section of the pile - H Section steel column 450 x 250 mm (ISHB Series) )</v>
          </cell>
          <cell r="D846" t="str">
            <v>metre</v>
          </cell>
          <cell r="E846" t="e">
            <v>#VALUE!</v>
          </cell>
        </row>
        <row r="847">
          <cell r="B847" t="str">
            <v>12.37</v>
          </cell>
          <cell r="C847" t="str">
            <v>Pile load test on single vertical pile in accordance with IS:2911(Part-IV)</v>
          </cell>
        </row>
        <row r="848">
          <cell r="B848" t="str">
            <v>12.38</v>
          </cell>
          <cell r="C848" t="str">
            <v>Cement concrete for reinforced concrete in pile cap complete as per drawing and Technical Specification</v>
          </cell>
        </row>
        <row r="849">
          <cell r="B849" t="str">
            <v>A</v>
          </cell>
          <cell r="C849" t="str">
            <v xml:space="preserve">RCC Grade M20 </v>
          </cell>
        </row>
        <row r="850">
          <cell r="B850" t="str">
            <v>(i)</v>
          </cell>
          <cell r="C850" t="str">
            <v>Using Concrete Mixer</v>
          </cell>
          <cell r="D850" t="str">
            <v>cum</v>
          </cell>
          <cell r="E850">
            <v>2699</v>
          </cell>
        </row>
        <row r="851">
          <cell r="B851" t="str">
            <v>(ii)</v>
          </cell>
          <cell r="C851" t="str">
            <v>Using Batching Plant,  Transit Mixer and Concrete Pump</v>
          </cell>
          <cell r="D851" t="str">
            <v>cum</v>
          </cell>
          <cell r="E851">
            <v>2642</v>
          </cell>
        </row>
        <row r="852">
          <cell r="B852" t="str">
            <v>B</v>
          </cell>
          <cell r="C852" t="str">
            <v xml:space="preserve">RCC Grade M25 </v>
          </cell>
        </row>
        <row r="853">
          <cell r="B853" t="str">
            <v>(i)</v>
          </cell>
          <cell r="C853" t="str">
            <v>Using concrete mixer.</v>
          </cell>
          <cell r="D853" t="str">
            <v>cum</v>
          </cell>
          <cell r="E853">
            <v>2948</v>
          </cell>
        </row>
        <row r="854">
          <cell r="B854" t="str">
            <v>(ii)</v>
          </cell>
          <cell r="C854" t="str">
            <v>Using Batching Plant,  Transit Mixer and Concrete Pump</v>
          </cell>
          <cell r="D854" t="str">
            <v>cum</v>
          </cell>
          <cell r="E854">
            <v>2895</v>
          </cell>
        </row>
        <row r="855">
          <cell r="B855" t="str">
            <v>C</v>
          </cell>
          <cell r="C855" t="str">
            <v xml:space="preserve">RCC Grade M30 </v>
          </cell>
        </row>
        <row r="856">
          <cell r="B856" t="str">
            <v>(i)</v>
          </cell>
          <cell r="C856" t="str">
            <v>Using concrete mixer.</v>
          </cell>
          <cell r="D856" t="str">
            <v>cum</v>
          </cell>
          <cell r="E856">
            <v>2979</v>
          </cell>
        </row>
        <row r="857">
          <cell r="B857" t="str">
            <v>(ii)</v>
          </cell>
          <cell r="C857" t="str">
            <v>Using Batching Plant,  Transit Mixer and Concrete Pump</v>
          </cell>
          <cell r="D857" t="str">
            <v>cum</v>
          </cell>
          <cell r="E857">
            <v>2923</v>
          </cell>
        </row>
        <row r="858">
          <cell r="B858" t="str">
            <v>D</v>
          </cell>
          <cell r="C858" t="str">
            <v xml:space="preserve">RCC Grade M35 </v>
          </cell>
        </row>
        <row r="859">
          <cell r="B859" t="str">
            <v>(i)</v>
          </cell>
          <cell r="C859" t="str">
            <v>Using concrete mixer.</v>
          </cell>
          <cell r="D859" t="str">
            <v>cum</v>
          </cell>
          <cell r="E859">
            <v>3045</v>
          </cell>
        </row>
        <row r="860">
          <cell r="B860" t="str">
            <v>(ii)</v>
          </cell>
          <cell r="C860" t="str">
            <v>Using Batching Plant,  Transit Mixer and Concrete Pump</v>
          </cell>
          <cell r="D860" t="str">
            <v>cum</v>
          </cell>
          <cell r="E860">
            <v>2993</v>
          </cell>
        </row>
        <row r="861">
          <cell r="B861" t="str">
            <v>12.39</v>
          </cell>
          <cell r="C861" t="str">
            <v>Levelling course for Pile cap</v>
          </cell>
          <cell r="D861" t="str">
            <v>cum</v>
          </cell>
          <cell r="E861">
            <v>2237</v>
          </cell>
        </row>
        <row r="862">
          <cell r="A862" t="str">
            <v>J5</v>
          </cell>
          <cell r="B862" t="str">
            <v>12.40</v>
          </cell>
          <cell r="C862" t="str">
            <v xml:space="preserve">Supplying,  fitting and placing un-coated HYSD bar reinforcement in foundation complete as per drawing and technical specifications </v>
          </cell>
          <cell r="D862" t="str">
            <v>tonne</v>
          </cell>
          <cell r="E862">
            <v>37633</v>
          </cell>
        </row>
        <row r="863">
          <cell r="B863" t="str">
            <v>12.41</v>
          </cell>
          <cell r="C863" t="str">
            <v>Supplying,  fitting and placing un-coated Mild steel reinforcement complete in foundation as per drawing and technical specification</v>
          </cell>
          <cell r="D863" t="str">
            <v>tonne</v>
          </cell>
          <cell r="E863">
            <v>37734</v>
          </cell>
        </row>
        <row r="864">
          <cell r="C864" t="str">
            <v>CHAPTER-13</v>
          </cell>
        </row>
        <row r="865">
          <cell r="C865" t="str">
            <v>SUB-STRUCTURE</v>
          </cell>
        </row>
        <row r="866">
          <cell r="A866" t="str">
            <v>Ex1</v>
          </cell>
          <cell r="B866" t="str">
            <v>13.1</v>
          </cell>
          <cell r="C866" t="str">
            <v>Brick masonry work in 1:3 in sub-structure complete excluding pointing and plastering,  as per drawing and technical specifications</v>
          </cell>
          <cell r="D866" t="str">
            <v>cum</v>
          </cell>
          <cell r="E866">
            <v>2079</v>
          </cell>
        </row>
        <row r="867">
          <cell r="A867" t="str">
            <v>G4</v>
          </cell>
          <cell r="B867" t="str">
            <v>13.2</v>
          </cell>
          <cell r="C867" t="str">
            <v xml:space="preserve">Pointing with cement mortar (1:3 ) on brick work in substructure as per Technical specifications </v>
          </cell>
          <cell r="D867" t="str">
            <v>sqm</v>
          </cell>
          <cell r="E867">
            <v>223</v>
          </cell>
        </row>
        <row r="868">
          <cell r="B868" t="str">
            <v>13.3</v>
          </cell>
          <cell r="C868" t="str">
            <v xml:space="preserve">Plastering with cement mortar (1:3 ) on brick work in sub-structure as per Technical specifications </v>
          </cell>
          <cell r="D868" t="str">
            <v>sqm</v>
          </cell>
          <cell r="E868">
            <v>532</v>
          </cell>
        </row>
        <row r="869">
          <cell r="B869" t="str">
            <v>13.4</v>
          </cell>
          <cell r="C869" t="str">
            <v>Stone masonry work in cement mortar 1:3 for substructure complete as per drawing and Technical Specifications</v>
          </cell>
        </row>
        <row r="870">
          <cell r="B870" t="str">
            <v>A</v>
          </cell>
          <cell r="C870" t="str">
            <v>Random Rubble Masonry</v>
          </cell>
          <cell r="D870" t="str">
            <v>cum</v>
          </cell>
          <cell r="E870">
            <v>1924</v>
          </cell>
        </row>
        <row r="871">
          <cell r="A871" t="str">
            <v>J4</v>
          </cell>
          <cell r="B871" t="str">
            <v>B</v>
          </cell>
          <cell r="C871" t="str">
            <v>Coursed rubble masonry (first sort )</v>
          </cell>
          <cell r="D871" t="str">
            <v>cum</v>
          </cell>
          <cell r="E871">
            <v>1974</v>
          </cell>
        </row>
        <row r="872">
          <cell r="B872" t="str">
            <v>C</v>
          </cell>
          <cell r="C872" t="str">
            <v>Ashlar masonry ( first sort )</v>
          </cell>
          <cell r="D872" t="str">
            <v>cum</v>
          </cell>
          <cell r="E872">
            <v>2362</v>
          </cell>
        </row>
        <row r="873">
          <cell r="B873" t="str">
            <v>13.5</v>
          </cell>
          <cell r="C873" t="str">
            <v>Plain/Reinforced cement concrete in sub-structure complete as per drawing and technical specifications</v>
          </cell>
        </row>
        <row r="874">
          <cell r="B874" t="str">
            <v>A</v>
          </cell>
          <cell r="C874" t="str">
            <v>PCC Grade M15</v>
          </cell>
        </row>
        <row r="875">
          <cell r="B875" t="str">
            <v>(p)</v>
          </cell>
          <cell r="C875" t="str">
            <v>Height upto 5m</v>
          </cell>
          <cell r="D875" t="str">
            <v>cum</v>
          </cell>
          <cell r="E875">
            <v>2522</v>
          </cell>
        </row>
        <row r="876">
          <cell r="B876" t="str">
            <v>B</v>
          </cell>
          <cell r="C876" t="str">
            <v>PCC Grade M20</v>
          </cell>
        </row>
        <row r="877">
          <cell r="B877" t="str">
            <v>(p)</v>
          </cell>
          <cell r="C877" t="str">
            <v>Height upto 5m</v>
          </cell>
          <cell r="D877" t="str">
            <v>cum</v>
          </cell>
          <cell r="E877">
            <v>2804</v>
          </cell>
        </row>
        <row r="878">
          <cell r="B878" t="str">
            <v>C</v>
          </cell>
          <cell r="C878" t="str">
            <v>PCC Grade M25</v>
          </cell>
        </row>
        <row r="879">
          <cell r="B879" t="str">
            <v>(p)</v>
          </cell>
          <cell r="C879" t="str">
            <v>Height upto 5m</v>
          </cell>
        </row>
        <row r="880">
          <cell r="B880" t="str">
            <v>Case I</v>
          </cell>
          <cell r="C880" t="str">
            <v xml:space="preserve">Using concrete Mixer </v>
          </cell>
          <cell r="D880" t="str">
            <v>cum</v>
          </cell>
          <cell r="E880">
            <v>3055</v>
          </cell>
        </row>
        <row r="881">
          <cell r="B881" t="str">
            <v>Case II</v>
          </cell>
          <cell r="C881" t="str">
            <v>With Batching Plant,  Transit Mixer and Concrete Pump</v>
          </cell>
          <cell r="D881" t="str">
            <v>cum</v>
          </cell>
          <cell r="E881">
            <v>2984</v>
          </cell>
        </row>
        <row r="882">
          <cell r="B882" t="str">
            <v>(q)</v>
          </cell>
          <cell r="C882" t="str">
            <v>Height 5m to 10m</v>
          </cell>
        </row>
        <row r="883">
          <cell r="B883" t="str">
            <v>Case I</v>
          </cell>
          <cell r="C883" t="str">
            <v xml:space="preserve">Using concrete Mixer </v>
          </cell>
          <cell r="D883" t="str">
            <v>cum</v>
          </cell>
          <cell r="E883">
            <v>3166</v>
          </cell>
        </row>
        <row r="884">
          <cell r="B884" t="str">
            <v>Case II</v>
          </cell>
          <cell r="C884" t="str">
            <v>With Batching Plant,  Transit Mixer and Concrete Pump</v>
          </cell>
          <cell r="D884" t="str">
            <v>cum</v>
          </cell>
          <cell r="E884">
            <v>3092</v>
          </cell>
        </row>
        <row r="885">
          <cell r="B885" t="str">
            <v>(r)</v>
          </cell>
          <cell r="C885" t="str">
            <v>Height above 10m</v>
          </cell>
        </row>
        <row r="886">
          <cell r="B886" t="str">
            <v>Case I</v>
          </cell>
          <cell r="C886" t="str">
            <v xml:space="preserve">Using concrete Mixer </v>
          </cell>
          <cell r="D886" t="str">
            <v>cum</v>
          </cell>
          <cell r="E886">
            <v>3305</v>
          </cell>
        </row>
        <row r="887">
          <cell r="B887" t="str">
            <v>Case II</v>
          </cell>
          <cell r="C887" t="str">
            <v>With Batching Plant,  Transit Mixer and Concrete Pump</v>
          </cell>
          <cell r="D887" t="str">
            <v>cum</v>
          </cell>
          <cell r="E887">
            <v>3228</v>
          </cell>
        </row>
        <row r="888">
          <cell r="B888" t="str">
            <v>D</v>
          </cell>
          <cell r="C888" t="str">
            <v>PCC Grade M30</v>
          </cell>
        </row>
        <row r="889">
          <cell r="B889" t="str">
            <v>(p)</v>
          </cell>
          <cell r="C889" t="str">
            <v>Height upto 5m</v>
          </cell>
        </row>
        <row r="890">
          <cell r="B890" t="str">
            <v>Case I</v>
          </cell>
          <cell r="C890" t="str">
            <v xml:space="preserve">Using concrete Mixer </v>
          </cell>
          <cell r="D890" t="str">
            <v>cum</v>
          </cell>
          <cell r="E890">
            <v>3083</v>
          </cell>
        </row>
        <row r="891">
          <cell r="B891" t="str">
            <v>Case II</v>
          </cell>
          <cell r="C891" t="str">
            <v>With Batching Plant,  Transit Mixer and Concrete Pump</v>
          </cell>
          <cell r="D891" t="str">
            <v>cum</v>
          </cell>
          <cell r="E891">
            <v>3007</v>
          </cell>
        </row>
        <row r="892">
          <cell r="B892" t="str">
            <v>(q)</v>
          </cell>
          <cell r="C892" t="str">
            <v>Height 5m to 10m</v>
          </cell>
        </row>
        <row r="893">
          <cell r="B893" t="str">
            <v>Case I</v>
          </cell>
          <cell r="C893" t="str">
            <v xml:space="preserve">Using concrete Mixer </v>
          </cell>
          <cell r="D893" t="str">
            <v>cum</v>
          </cell>
          <cell r="E893">
            <v>3195</v>
          </cell>
        </row>
        <row r="894">
          <cell r="B894" t="str">
            <v>Case II</v>
          </cell>
          <cell r="C894" t="str">
            <v>With Batching Plant,  Transit Mixer and Concrete Pump</v>
          </cell>
          <cell r="D894" t="str">
            <v>cum</v>
          </cell>
          <cell r="E894">
            <v>3116</v>
          </cell>
        </row>
        <row r="895">
          <cell r="B895" t="str">
            <v>(r)</v>
          </cell>
          <cell r="C895" t="str">
            <v>Height above 10m</v>
          </cell>
        </row>
        <row r="896">
          <cell r="B896" t="str">
            <v>Case I</v>
          </cell>
          <cell r="C896" t="str">
            <v xml:space="preserve">Using concrete Mixer </v>
          </cell>
          <cell r="D896" t="str">
            <v>cum</v>
          </cell>
          <cell r="E896">
            <v>3335</v>
          </cell>
        </row>
        <row r="897">
          <cell r="B897" t="str">
            <v>Case II</v>
          </cell>
          <cell r="C897" t="str">
            <v>With Batching Plant,  Transit Mixer and Concrete Pump</v>
          </cell>
          <cell r="D897" t="str">
            <v>cum</v>
          </cell>
          <cell r="E897">
            <v>3253</v>
          </cell>
        </row>
        <row r="898">
          <cell r="B898" t="str">
            <v>E</v>
          </cell>
          <cell r="C898" t="str">
            <v>RCC Grade M20</v>
          </cell>
        </row>
        <row r="899">
          <cell r="B899" t="str">
            <v>(p)</v>
          </cell>
          <cell r="C899" t="str">
            <v>Height upto 5m</v>
          </cell>
        </row>
        <row r="900">
          <cell r="B900" t="str">
            <v>Case I</v>
          </cell>
          <cell r="C900" t="str">
            <v xml:space="preserve">Using concrete Mixer </v>
          </cell>
          <cell r="D900" t="str">
            <v>cum</v>
          </cell>
          <cell r="E900">
            <v>2876</v>
          </cell>
        </row>
        <row r="901">
          <cell r="B901" t="str">
            <v>Case II</v>
          </cell>
          <cell r="C901" t="str">
            <v>With Batching Plant,  Transit Mixer and Concrete Pump</v>
          </cell>
          <cell r="D901" t="str">
            <v>cum</v>
          </cell>
          <cell r="E901">
            <v>2802</v>
          </cell>
        </row>
        <row r="902">
          <cell r="B902" t="str">
            <v>(q)</v>
          </cell>
          <cell r="C902" t="str">
            <v>Height 5m to 10m</v>
          </cell>
        </row>
        <row r="903">
          <cell r="B903" t="str">
            <v>Case I</v>
          </cell>
          <cell r="C903" t="str">
            <v xml:space="preserve">Using concrete Mixer </v>
          </cell>
          <cell r="D903" t="str">
            <v>cum</v>
          </cell>
          <cell r="E903">
            <v>2981</v>
          </cell>
        </row>
        <row r="904">
          <cell r="B904" t="str">
            <v>Case II</v>
          </cell>
          <cell r="C904" t="str">
            <v>With Batching Plant,  Transit Mixer and Concrete Pump</v>
          </cell>
          <cell r="D904" t="str">
            <v>cum</v>
          </cell>
          <cell r="E904">
            <v>2904</v>
          </cell>
        </row>
        <row r="905">
          <cell r="B905" t="str">
            <v>(r)</v>
          </cell>
          <cell r="C905" t="str">
            <v>Height above 10m</v>
          </cell>
        </row>
        <row r="906">
          <cell r="B906" t="str">
            <v>Case I</v>
          </cell>
          <cell r="C906" t="str">
            <v xml:space="preserve">Using concrete Mixer </v>
          </cell>
          <cell r="D906" t="str">
            <v>cum</v>
          </cell>
          <cell r="E906">
            <v>3112</v>
          </cell>
        </row>
        <row r="907">
          <cell r="B907" t="str">
            <v>Case II</v>
          </cell>
          <cell r="C907" t="str">
            <v>With Batching Plant,  Transit Mixer and Concrete Pump</v>
          </cell>
          <cell r="D907" t="str">
            <v>cum</v>
          </cell>
          <cell r="E907">
            <v>3032</v>
          </cell>
        </row>
        <row r="908">
          <cell r="B908" t="str">
            <v>F</v>
          </cell>
          <cell r="C908" t="str">
            <v>RCC Grade M25</v>
          </cell>
        </row>
        <row r="909">
          <cell r="B909" t="str">
            <v>(p)</v>
          </cell>
          <cell r="C909" t="str">
            <v>Height upto 5m</v>
          </cell>
        </row>
        <row r="910">
          <cell r="B910" t="str">
            <v>Case I</v>
          </cell>
          <cell r="C910" t="str">
            <v xml:space="preserve">Using concrete Mixer </v>
          </cell>
          <cell r="D910" t="str">
            <v>cum</v>
          </cell>
          <cell r="E910">
            <v>3131</v>
          </cell>
        </row>
        <row r="911">
          <cell r="B911" t="str">
            <v>Case II</v>
          </cell>
          <cell r="C911" t="str">
            <v>With Batching Plant,  Transit Mixer and Concrete Pump</v>
          </cell>
          <cell r="D911" t="str">
            <v>cum</v>
          </cell>
          <cell r="E911">
            <v>3174</v>
          </cell>
        </row>
        <row r="912">
          <cell r="B912" t="str">
            <v>(q)</v>
          </cell>
          <cell r="C912" t="str">
            <v>Height 5m to 10m</v>
          </cell>
        </row>
        <row r="913">
          <cell r="B913" t="str">
            <v>Case I</v>
          </cell>
          <cell r="C913" t="str">
            <v xml:space="preserve">Using concrete Mixer </v>
          </cell>
          <cell r="D913" t="str">
            <v>cum</v>
          </cell>
          <cell r="E913">
            <v>3233</v>
          </cell>
        </row>
        <row r="914">
          <cell r="B914" t="str">
            <v>Case II</v>
          </cell>
          <cell r="C914" t="str">
            <v>With Batching Plant,  Transit Mixer and Concrete Pump</v>
          </cell>
          <cell r="D914" t="str">
            <v>cum</v>
          </cell>
          <cell r="E914">
            <v>3278</v>
          </cell>
        </row>
        <row r="915">
          <cell r="B915" t="str">
            <v>(r)</v>
          </cell>
          <cell r="C915" t="str">
            <v>Height above 10m</v>
          </cell>
        </row>
        <row r="916">
          <cell r="B916" t="str">
            <v>Case I</v>
          </cell>
          <cell r="C916" t="str">
            <v xml:space="preserve">Using concrete Mixer </v>
          </cell>
          <cell r="D916" t="str">
            <v>cum</v>
          </cell>
          <cell r="E916">
            <v>3387</v>
          </cell>
        </row>
        <row r="917">
          <cell r="B917" t="str">
            <v>Case II</v>
          </cell>
          <cell r="C917" t="str">
            <v>With Batching Plant,  Transit Mixer and Concrete Pump</v>
          </cell>
          <cell r="D917" t="str">
            <v>cum</v>
          </cell>
          <cell r="E917">
            <v>3434</v>
          </cell>
        </row>
        <row r="918">
          <cell r="B918" t="str">
            <v>G</v>
          </cell>
          <cell r="C918" t="str">
            <v>RCC Grade M30</v>
          </cell>
        </row>
        <row r="919">
          <cell r="B919" t="str">
            <v>(p)</v>
          </cell>
          <cell r="C919" t="str">
            <v>Height upto 5m</v>
          </cell>
        </row>
        <row r="920">
          <cell r="B920" t="str">
            <v>Case I</v>
          </cell>
          <cell r="C920" t="str">
            <v xml:space="preserve">Using concrete Mixer </v>
          </cell>
          <cell r="D920" t="str">
            <v>cum</v>
          </cell>
          <cell r="E920">
            <v>3145</v>
          </cell>
        </row>
        <row r="921">
          <cell r="B921" t="str">
            <v>Case II</v>
          </cell>
          <cell r="C921" t="str">
            <v>With Batching Plant,  Transit Mixer and Concrete Pump</v>
          </cell>
          <cell r="D921" t="str">
            <v>cum</v>
          </cell>
          <cell r="E921">
            <v>3072</v>
          </cell>
        </row>
        <row r="922">
          <cell r="B922" t="str">
            <v>(q)</v>
          </cell>
          <cell r="C922" t="str">
            <v>Height 5m to 10m</v>
          </cell>
        </row>
        <row r="923">
          <cell r="B923" t="str">
            <v>Case I</v>
          </cell>
          <cell r="C923" t="str">
            <v xml:space="preserve">Using concrete Mixer </v>
          </cell>
          <cell r="D923" t="str">
            <v>cum</v>
          </cell>
          <cell r="E923">
            <v>3234</v>
          </cell>
        </row>
        <row r="924">
          <cell r="B924" t="str">
            <v>Case II</v>
          </cell>
          <cell r="C924" t="str">
            <v>With Batching Plant,  Transit Mixer and Concrete Pump</v>
          </cell>
          <cell r="D924" t="str">
            <v>cum</v>
          </cell>
          <cell r="E924">
            <v>3159</v>
          </cell>
        </row>
        <row r="925">
          <cell r="B925" t="str">
            <v>(r)</v>
          </cell>
          <cell r="C925" t="str">
            <v>Height above 10m</v>
          </cell>
        </row>
        <row r="926">
          <cell r="B926" t="str">
            <v>Case I</v>
          </cell>
          <cell r="C926" t="str">
            <v xml:space="preserve">Using concrete Mixer </v>
          </cell>
          <cell r="D926" t="str">
            <v>cum</v>
          </cell>
          <cell r="E926">
            <v>3359</v>
          </cell>
        </row>
        <row r="927">
          <cell r="B927" t="str">
            <v>Case II</v>
          </cell>
          <cell r="C927" t="str">
            <v>With Batching Plant,  Transit Mixer and Concrete Pump</v>
          </cell>
          <cell r="D927" t="str">
            <v>cum</v>
          </cell>
          <cell r="E927">
            <v>3282</v>
          </cell>
        </row>
        <row r="928">
          <cell r="B928" t="str">
            <v>H</v>
          </cell>
          <cell r="C928" t="str">
            <v>RCC Grade M35</v>
          </cell>
        </row>
        <row r="929">
          <cell r="B929" t="str">
            <v>(p)</v>
          </cell>
          <cell r="C929" t="str">
            <v>Height upto 5m</v>
          </cell>
        </row>
        <row r="930">
          <cell r="B930" t="str">
            <v>Case I</v>
          </cell>
          <cell r="C930" t="str">
            <v xml:space="preserve">Using concrete Mixer </v>
          </cell>
          <cell r="D930" t="str">
            <v>cum</v>
          </cell>
          <cell r="E930">
            <v>3215</v>
          </cell>
        </row>
        <row r="931">
          <cell r="B931" t="str">
            <v>Case II</v>
          </cell>
          <cell r="C931" t="str">
            <v>With Batching Plant,  Transit Mixer and Concrete Pump</v>
          </cell>
          <cell r="D931" t="str">
            <v>cum</v>
          </cell>
          <cell r="E931">
            <v>3266</v>
          </cell>
        </row>
        <row r="932">
          <cell r="B932" t="str">
            <v>(q)</v>
          </cell>
          <cell r="C932" t="str">
            <v>Height 5m to 10m</v>
          </cell>
        </row>
        <row r="933">
          <cell r="B933" t="str">
            <v>Case I</v>
          </cell>
          <cell r="C933" t="str">
            <v xml:space="preserve">Using concrete Mixer </v>
          </cell>
          <cell r="D933" t="str">
            <v>cum</v>
          </cell>
          <cell r="E933">
            <v>3285</v>
          </cell>
        </row>
        <row r="934">
          <cell r="B934" t="str">
            <v>Case II</v>
          </cell>
          <cell r="C934" t="str">
            <v>With Batching Plant,  Transit Mixer and Concrete Pump</v>
          </cell>
          <cell r="D934" t="str">
            <v>cum</v>
          </cell>
          <cell r="E934">
            <v>3337</v>
          </cell>
        </row>
        <row r="935">
          <cell r="B935" t="str">
            <v>(r)</v>
          </cell>
          <cell r="C935" t="str">
            <v>Height above 10m</v>
          </cell>
        </row>
        <row r="936">
          <cell r="B936" t="str">
            <v>Case I</v>
          </cell>
          <cell r="C936" t="str">
            <v xml:space="preserve">Using concrete Mixer </v>
          </cell>
          <cell r="D936" t="str">
            <v>cum</v>
          </cell>
          <cell r="E936">
            <v>3390</v>
          </cell>
        </row>
        <row r="937">
          <cell r="B937" t="str">
            <v>Case II</v>
          </cell>
          <cell r="C937" t="str">
            <v>With Batching Plant,  Transit Mixer and Concrete Pump</v>
          </cell>
          <cell r="D937" t="str">
            <v>cum</v>
          </cell>
          <cell r="E937">
            <v>3444</v>
          </cell>
        </row>
        <row r="938">
          <cell r="B938" t="str">
            <v>13.6</v>
          </cell>
          <cell r="C938" t="str">
            <v xml:space="preserve">Supplying,  fitting and placing HYSD bar reinforcement in sub-structure complete as per drawing and technical specifications </v>
          </cell>
          <cell r="D938" t="str">
            <v>tonne</v>
          </cell>
          <cell r="E938">
            <v>37676</v>
          </cell>
        </row>
        <row r="939">
          <cell r="B939" t="str">
            <v>13.7</v>
          </cell>
          <cell r="C939" t="str">
            <v xml:space="preserve"> Supplying,  fitting and placing Mild steel reinforcement complete in sub-structure as per drawing and technical specification</v>
          </cell>
          <cell r="D939" t="str">
            <v>tonne</v>
          </cell>
          <cell r="E939">
            <v>37480</v>
          </cell>
        </row>
        <row r="940">
          <cell r="A940" t="str">
            <v>E8</v>
          </cell>
          <cell r="B940" t="str">
            <v>13.8</v>
          </cell>
          <cell r="C940" t="str">
            <v>Providing weep holes in Brick masonry/Plain/Reinforced concrete abutment,  wing wall/return wall with 100 mm dia AC pipe, extending through the full width of the structure with slope of 1V :20H towards drawing foce. Complete as per drawing and Technical s</v>
          </cell>
          <cell r="D940" t="str">
            <v>each</v>
          </cell>
          <cell r="E940">
            <v>45</v>
          </cell>
        </row>
        <row r="941">
          <cell r="B941" t="str">
            <v>13.9</v>
          </cell>
          <cell r="C941" t="str">
            <v xml:space="preserve">Back filling behind abutment,  wing wall and return wall complete as per drawing and Technical specification </v>
          </cell>
        </row>
        <row r="942">
          <cell r="A942" t="str">
            <v>E-30-1</v>
          </cell>
          <cell r="B942" t="str">
            <v>A</v>
          </cell>
          <cell r="C942" t="str">
            <v>Granular material</v>
          </cell>
          <cell r="D942" t="str">
            <v>cum</v>
          </cell>
          <cell r="E942">
            <v>176</v>
          </cell>
        </row>
        <row r="943">
          <cell r="B943" t="str">
            <v>B</v>
          </cell>
          <cell r="C943" t="str">
            <v>Sandy material</v>
          </cell>
          <cell r="D943" t="str">
            <v>cum</v>
          </cell>
          <cell r="E943">
            <v>719</v>
          </cell>
        </row>
        <row r="944">
          <cell r="B944" t="str">
            <v>13.10</v>
          </cell>
          <cell r="C944" t="str">
            <v>Providing and laying of Filter media with granular materials/stone crushed aggregates satisfying the requirements laid down in clause 2504.2.2. of MoRTH specifications to a thickness of not less than 600 mm with smaller size towards the soil and bigger si</v>
          </cell>
          <cell r="D944" t="str">
            <v>cum</v>
          </cell>
          <cell r="E944">
            <v>317</v>
          </cell>
        </row>
        <row r="945">
          <cell r="B945" t="str">
            <v>13.11</v>
          </cell>
          <cell r="C945" t="str">
            <v>Supplying,  fitting and fixing in position true to line and level cast steel rocker bearing conforming to IRC: 83(Pt.-1) section IX and clause 2003 of MoRTH specifications complete including all accessories as per drawing and Technical Specifications.</v>
          </cell>
          <cell r="D945" t="str">
            <v>tonne capacity</v>
          </cell>
          <cell r="E945" t="e">
            <v>#VALUE!</v>
          </cell>
        </row>
        <row r="946">
          <cell r="B946" t="str">
            <v>13.12</v>
          </cell>
          <cell r="C946" t="str">
            <v>Supplying,  fitting and fixing in position true to line and level forged steel roller bearing conforming to IRC: 83(Pt.-1) section IX and clause 2003 of MoRTH specifications complete including all accessories as per drawing and Technical Specifications.</v>
          </cell>
          <cell r="D946" t="str">
            <v>tonne capacity</v>
          </cell>
          <cell r="E946" t="e">
            <v>#VALUE!</v>
          </cell>
        </row>
        <row r="947">
          <cell r="B947" t="str">
            <v>13.13</v>
          </cell>
          <cell r="C947" t="str">
            <v>Supplying,  fitting and fixing in position true to line and level sliding plate bearing with PTFE surface sliding on stainless steel complete including all accessories as per drawing and Technical Specifications and BS: 5400,  section 9.1 &amp; 9.2 (for PTFE)</v>
          </cell>
          <cell r="D947" t="str">
            <v>tonne capacity</v>
          </cell>
          <cell r="E947" t="e">
            <v>#VALUE!</v>
          </cell>
        </row>
        <row r="948">
          <cell r="B948" t="str">
            <v>13.14</v>
          </cell>
          <cell r="C948" t="str">
            <v>Supplying,  fitting and fixing in position true to line and level elastomeric bearing conforming to IRC: 83 (Part-II) section IX and clause 2005 of MoRTH specifications complete including all accessories as per drawing and Technical Specifications.</v>
          </cell>
          <cell r="D948" t="str">
            <v>cubic centimetre</v>
          </cell>
          <cell r="E948" t="e">
            <v>#VALUE!</v>
          </cell>
        </row>
        <row r="949">
          <cell r="B949" t="str">
            <v>13.15</v>
          </cell>
          <cell r="C949" t="str">
            <v>Supplying,  fitting and fixing in position true to line and level sliding plate bearing with stainless steel plate sliding on stainless steel plate with mild steel matrix complete including all accessories as per drawing and Technical Specifications.</v>
          </cell>
          <cell r="D949" t="str">
            <v>tonne capacity</v>
          </cell>
          <cell r="E949" t="e">
            <v>#VALUE!</v>
          </cell>
        </row>
        <row r="950">
          <cell r="B950" t="str">
            <v>13.16</v>
          </cell>
          <cell r="C950" t="str">
            <v>Supplying,  fitting and fixing in position true to line and level POT-PTFE bearing consisting of a metal piston supported by a disc or unreinforced elastomer confined within a metal cylinder,  sealing rings,  dust seals,  PTFE surface sliding against stai</v>
          </cell>
          <cell r="D950" t="str">
            <v>tonne capacity</v>
          </cell>
          <cell r="E950" t="e">
            <v>#VALUE!</v>
          </cell>
        </row>
        <row r="951">
          <cell r="C951" t="str">
            <v>CHAPTER-14</v>
          </cell>
        </row>
        <row r="952">
          <cell r="C952" t="str">
            <v>SUPER-STRUCTURE</v>
          </cell>
        </row>
        <row r="953">
          <cell r="B953" t="str">
            <v>14.1</v>
          </cell>
          <cell r="C953" t="str">
            <v>Furnishing and Placing Reinforced/Prestressed cement concrete in super-structure as per drawing and Technical Specification</v>
          </cell>
        </row>
        <row r="954">
          <cell r="B954" t="str">
            <v>A</v>
          </cell>
          <cell r="C954" t="str">
            <v>RCC Grade M20</v>
          </cell>
        </row>
        <row r="955">
          <cell r="B955" t="str">
            <v>Case I</v>
          </cell>
          <cell r="C955" t="str">
            <v>Using Concrete Mixer</v>
          </cell>
        </row>
        <row r="956">
          <cell r="B956" t="str">
            <v>(i)</v>
          </cell>
          <cell r="C956" t="str">
            <v xml:space="preserve">For solid slab super-structure,  20-30% of (a+b+c)     </v>
          </cell>
        </row>
        <row r="957">
          <cell r="B957" t="str">
            <v>(p)</v>
          </cell>
          <cell r="C957" t="str">
            <v>Height upto 5m</v>
          </cell>
          <cell r="D957" t="str">
            <v>cum</v>
          </cell>
          <cell r="E957">
            <v>3107</v>
          </cell>
        </row>
        <row r="958">
          <cell r="B958" t="str">
            <v>(q)</v>
          </cell>
          <cell r="C958" t="str">
            <v>Height 5m to 10m</v>
          </cell>
          <cell r="D958" t="str">
            <v>cum</v>
          </cell>
          <cell r="E958">
            <v>3237</v>
          </cell>
        </row>
        <row r="959">
          <cell r="B959" t="str">
            <v>(r)</v>
          </cell>
          <cell r="C959" t="str">
            <v>Height above 10m</v>
          </cell>
          <cell r="D959" t="str">
            <v>cum</v>
          </cell>
          <cell r="E959">
            <v>3366</v>
          </cell>
        </row>
        <row r="960">
          <cell r="B960" t="str">
            <v xml:space="preserve">(ii) </v>
          </cell>
          <cell r="C960" t="str">
            <v xml:space="preserve">For T-beam &amp; slab,  25-35% of (a+b+c)     </v>
          </cell>
        </row>
        <row r="961">
          <cell r="B961" t="str">
            <v>(p)</v>
          </cell>
          <cell r="C961" t="str">
            <v>Height upto 5m</v>
          </cell>
          <cell r="D961" t="str">
            <v>cum</v>
          </cell>
          <cell r="E961">
            <v>3237</v>
          </cell>
        </row>
        <row r="962">
          <cell r="B962" t="str">
            <v>(q)</v>
          </cell>
          <cell r="C962" t="str">
            <v>Height 5m to 10m</v>
          </cell>
          <cell r="D962" t="str">
            <v>cum</v>
          </cell>
          <cell r="E962">
            <v>3366</v>
          </cell>
        </row>
        <row r="963">
          <cell r="B963" t="str">
            <v>(r)</v>
          </cell>
          <cell r="C963" t="str">
            <v>Height above 10m</v>
          </cell>
          <cell r="D963" t="str">
            <v>cum</v>
          </cell>
          <cell r="E963">
            <v>3496</v>
          </cell>
        </row>
        <row r="964">
          <cell r="B964" t="str">
            <v>Case II</v>
          </cell>
          <cell r="C964" t="str">
            <v>Using Batching Plant,  Transit Mixer and Concrete Pump</v>
          </cell>
        </row>
        <row r="965">
          <cell r="B965" t="str">
            <v>(i)</v>
          </cell>
          <cell r="C965" t="str">
            <v xml:space="preserve">For solid slab super-structure,  20-30% of (a+b+c)     </v>
          </cell>
        </row>
        <row r="966">
          <cell r="B966" t="str">
            <v>(p)</v>
          </cell>
          <cell r="C966" t="str">
            <v>Height upto 5m</v>
          </cell>
          <cell r="D966" t="str">
            <v>cum</v>
          </cell>
          <cell r="E966">
            <v>3026</v>
          </cell>
        </row>
        <row r="967">
          <cell r="B967" t="str">
            <v>(q)</v>
          </cell>
          <cell r="C967" t="str">
            <v>Height 5m to 10m</v>
          </cell>
          <cell r="D967" t="str">
            <v>cum</v>
          </cell>
          <cell r="E967">
            <v>3152</v>
          </cell>
        </row>
        <row r="968">
          <cell r="B968" t="str">
            <v>(r)</v>
          </cell>
          <cell r="C968" t="str">
            <v>Height above 10m</v>
          </cell>
          <cell r="D968" t="str">
            <v>cum</v>
          </cell>
          <cell r="E968">
            <v>3278</v>
          </cell>
        </row>
        <row r="969">
          <cell r="B969" t="str">
            <v xml:space="preserve">(ii) </v>
          </cell>
          <cell r="C969" t="str">
            <v xml:space="preserve">For T-beam &amp; slab,  25-35% of (a+b+c)     </v>
          </cell>
        </row>
        <row r="970">
          <cell r="B970" t="str">
            <v>(p)</v>
          </cell>
          <cell r="C970" t="str">
            <v>Height upto 5m</v>
          </cell>
          <cell r="D970" t="str">
            <v>cum</v>
          </cell>
          <cell r="E970">
            <v>3152</v>
          </cell>
        </row>
        <row r="971">
          <cell r="B971" t="str">
            <v>(q)</v>
          </cell>
          <cell r="C971" t="str">
            <v>Height 5m to 10m</v>
          </cell>
          <cell r="D971" t="str">
            <v>cum</v>
          </cell>
          <cell r="E971">
            <v>3278</v>
          </cell>
        </row>
        <row r="972">
          <cell r="B972" t="str">
            <v>(r)</v>
          </cell>
          <cell r="C972" t="str">
            <v>Height above 10m</v>
          </cell>
          <cell r="D972" t="str">
            <v>cum</v>
          </cell>
          <cell r="E972">
            <v>3404</v>
          </cell>
        </row>
        <row r="973">
          <cell r="B973" t="str">
            <v>B</v>
          </cell>
          <cell r="C973" t="str">
            <v>RCC Grade M25</v>
          </cell>
        </row>
        <row r="974">
          <cell r="B974" t="str">
            <v>Case I</v>
          </cell>
          <cell r="C974" t="str">
            <v>Using Concrete Mixer</v>
          </cell>
        </row>
        <row r="975">
          <cell r="B975" t="str">
            <v>(i)</v>
          </cell>
          <cell r="C975" t="str">
            <v xml:space="preserve">For solid slab super-structure,  20-30% of (a+b+c)     </v>
          </cell>
        </row>
        <row r="976">
          <cell r="B976" t="str">
            <v>(p)</v>
          </cell>
          <cell r="C976" t="str">
            <v>Height upto 5m</v>
          </cell>
          <cell r="D976" t="str">
            <v>cum</v>
          </cell>
          <cell r="E976">
            <v>3395</v>
          </cell>
        </row>
        <row r="977">
          <cell r="B977" t="str">
            <v>(q)</v>
          </cell>
          <cell r="C977" t="str">
            <v>Height 5m to 10m</v>
          </cell>
          <cell r="D977" t="str">
            <v>cum</v>
          </cell>
          <cell r="E977">
            <v>3536</v>
          </cell>
        </row>
        <row r="978">
          <cell r="B978" t="str">
            <v>(r)</v>
          </cell>
          <cell r="C978" t="str">
            <v>Height above 10m</v>
          </cell>
          <cell r="D978" t="str">
            <v>cum</v>
          </cell>
          <cell r="E978">
            <v>3678</v>
          </cell>
        </row>
        <row r="979">
          <cell r="B979" t="str">
            <v xml:space="preserve">(ii) </v>
          </cell>
          <cell r="C979" t="str">
            <v xml:space="preserve">For T-beam &amp; slab,  25-35% of (a+b+c)     </v>
          </cell>
        </row>
        <row r="980">
          <cell r="B980" t="str">
            <v>(p)</v>
          </cell>
          <cell r="C980" t="str">
            <v>Height upto 5m</v>
          </cell>
          <cell r="D980" t="str">
            <v>cum</v>
          </cell>
          <cell r="E980">
            <v>3536</v>
          </cell>
        </row>
        <row r="981">
          <cell r="B981" t="str">
            <v>(q)</v>
          </cell>
          <cell r="C981" t="str">
            <v>Height 5m to 10m</v>
          </cell>
          <cell r="D981" t="str">
            <v>cum</v>
          </cell>
          <cell r="E981">
            <v>3678</v>
          </cell>
        </row>
        <row r="982">
          <cell r="B982" t="str">
            <v>(r)</v>
          </cell>
          <cell r="C982" t="str">
            <v>Height above 10m</v>
          </cell>
          <cell r="D982" t="str">
            <v>cum</v>
          </cell>
          <cell r="E982">
            <v>3819</v>
          </cell>
        </row>
        <row r="983">
          <cell r="B983" t="str">
            <v>Case II</v>
          </cell>
          <cell r="C983" t="str">
            <v>Using Batching Plant,  Transit Mixer and Concrete Pump</v>
          </cell>
        </row>
        <row r="984">
          <cell r="B984" t="str">
            <v>(i)</v>
          </cell>
          <cell r="C984" t="str">
            <v xml:space="preserve">For solid slab super-structure,  20-30% of (a+b+c)     </v>
          </cell>
        </row>
        <row r="985">
          <cell r="B985" t="str">
            <v>(p)</v>
          </cell>
          <cell r="C985" t="str">
            <v>Height upto 5m</v>
          </cell>
          <cell r="D985" t="str">
            <v>cum</v>
          </cell>
          <cell r="E985">
            <v>3317</v>
          </cell>
        </row>
        <row r="986">
          <cell r="B986" t="str">
            <v>(q)</v>
          </cell>
          <cell r="C986" t="str">
            <v>Height 5m to 10m</v>
          </cell>
          <cell r="D986" t="str">
            <v>cum</v>
          </cell>
          <cell r="E986">
            <v>3455</v>
          </cell>
        </row>
        <row r="987">
          <cell r="B987" t="str">
            <v>(r)</v>
          </cell>
          <cell r="C987" t="str">
            <v>Height above 10m</v>
          </cell>
          <cell r="D987" t="str">
            <v>cum</v>
          </cell>
          <cell r="E987">
            <v>3594</v>
          </cell>
        </row>
        <row r="988">
          <cell r="B988" t="str">
            <v xml:space="preserve">(ii) </v>
          </cell>
          <cell r="C988" t="str">
            <v xml:space="preserve">For T-beam &amp; slab,  25-35% of (a+b+c)     </v>
          </cell>
        </row>
        <row r="989">
          <cell r="B989" t="str">
            <v>(p)</v>
          </cell>
          <cell r="C989" t="str">
            <v>Height upto 5m</v>
          </cell>
          <cell r="D989" t="str">
            <v>cum</v>
          </cell>
          <cell r="E989">
            <v>3455</v>
          </cell>
        </row>
        <row r="990">
          <cell r="B990" t="str">
            <v>(q)</v>
          </cell>
          <cell r="C990" t="str">
            <v>Height 5m to 10m</v>
          </cell>
          <cell r="D990" t="str">
            <v>cum</v>
          </cell>
          <cell r="E990">
            <v>3594</v>
          </cell>
        </row>
        <row r="991">
          <cell r="B991" t="str">
            <v>(r)</v>
          </cell>
          <cell r="C991" t="str">
            <v>Height above 10m</v>
          </cell>
          <cell r="D991" t="str">
            <v>cum</v>
          </cell>
          <cell r="E991">
            <v>3732</v>
          </cell>
        </row>
        <row r="992">
          <cell r="B992" t="str">
            <v>C</v>
          </cell>
          <cell r="C992" t="str">
            <v>RCC Grade M 30</v>
          </cell>
        </row>
        <row r="993">
          <cell r="B993" t="str">
            <v>Case I</v>
          </cell>
          <cell r="C993" t="str">
            <v>Using Concrete Mixer</v>
          </cell>
        </row>
        <row r="994">
          <cell r="B994" t="str">
            <v>(i)</v>
          </cell>
          <cell r="C994" t="str">
            <v xml:space="preserve">For solid slab super-structure,  20-30% of (a+b+c)     </v>
          </cell>
        </row>
        <row r="995">
          <cell r="B995" t="str">
            <v>(p)</v>
          </cell>
          <cell r="C995" t="str">
            <v>Height upto 5m</v>
          </cell>
          <cell r="D995" t="str">
            <v>cum</v>
          </cell>
          <cell r="E995">
            <v>3440</v>
          </cell>
        </row>
        <row r="996">
          <cell r="B996" t="str">
            <v>(q)</v>
          </cell>
          <cell r="C996" t="str">
            <v>Height 5m to 10m</v>
          </cell>
          <cell r="D996" t="str">
            <v>cum</v>
          </cell>
          <cell r="E996">
            <v>3583</v>
          </cell>
        </row>
        <row r="997">
          <cell r="B997" t="str">
            <v>(r)</v>
          </cell>
          <cell r="C997" t="str">
            <v>Height above 10m</v>
          </cell>
          <cell r="D997" t="str">
            <v>cum</v>
          </cell>
          <cell r="E997">
            <v>3727</v>
          </cell>
        </row>
        <row r="998">
          <cell r="B998" t="str">
            <v xml:space="preserve">(ii) </v>
          </cell>
          <cell r="C998" t="str">
            <v xml:space="preserve">For T-beam &amp; slab,  25-35% of (a+b+c)     </v>
          </cell>
        </row>
        <row r="999">
          <cell r="B999" t="str">
            <v>(p)</v>
          </cell>
          <cell r="C999" t="str">
            <v>Height upto 5m</v>
          </cell>
          <cell r="D999" t="str">
            <v>cum</v>
          </cell>
          <cell r="E999">
            <v>3583</v>
          </cell>
        </row>
        <row r="1000">
          <cell r="B1000" t="str">
            <v>(q)</v>
          </cell>
          <cell r="C1000" t="str">
            <v>Height 5m to 10m</v>
          </cell>
          <cell r="D1000" t="str">
            <v>cum</v>
          </cell>
          <cell r="E1000">
            <v>3727</v>
          </cell>
        </row>
        <row r="1001">
          <cell r="B1001" t="str">
            <v>(r)</v>
          </cell>
          <cell r="C1001" t="str">
            <v>Height above 10m</v>
          </cell>
          <cell r="D1001" t="str">
            <v>cum</v>
          </cell>
          <cell r="E1001">
            <v>3870</v>
          </cell>
        </row>
        <row r="1002">
          <cell r="B1002" t="str">
            <v>Case II</v>
          </cell>
          <cell r="C1002" t="str">
            <v>Using Batching Plant,  Transit Mixer and Concrete Pump.</v>
          </cell>
        </row>
        <row r="1003">
          <cell r="B1003" t="str">
            <v>(i)</v>
          </cell>
          <cell r="C1003" t="str">
            <v xml:space="preserve">For solid slab super-structure,  20-30% of (a+b+c)     </v>
          </cell>
        </row>
        <row r="1004">
          <cell r="A1004" t="str">
            <v>E-4-6</v>
          </cell>
          <cell r="B1004" t="str">
            <v>(p)</v>
          </cell>
          <cell r="C1004" t="str">
            <v>Height upto 5m</v>
          </cell>
          <cell r="D1004" t="str">
            <v>cum</v>
          </cell>
          <cell r="E1004">
            <v>3355</v>
          </cell>
        </row>
        <row r="1005">
          <cell r="B1005" t="str">
            <v>(q)</v>
          </cell>
          <cell r="C1005" t="str">
            <v>Height 5m to 10m</v>
          </cell>
          <cell r="D1005" t="str">
            <v>cum</v>
          </cell>
          <cell r="E1005">
            <v>3495</v>
          </cell>
        </row>
        <row r="1006">
          <cell r="B1006" t="str">
            <v>(r)</v>
          </cell>
          <cell r="C1006" t="str">
            <v>Height above 10m</v>
          </cell>
          <cell r="D1006" t="str">
            <v>cum</v>
          </cell>
          <cell r="E1006">
            <v>3635</v>
          </cell>
        </row>
        <row r="1007">
          <cell r="B1007" t="str">
            <v xml:space="preserve">(ii) </v>
          </cell>
          <cell r="C1007" t="str">
            <v xml:space="preserve">For T-beam &amp; slab,  25-35% of (a+b+c)     </v>
          </cell>
        </row>
        <row r="1008">
          <cell r="B1008" t="str">
            <v>(p)</v>
          </cell>
          <cell r="C1008" t="str">
            <v>Height upto 5m</v>
          </cell>
          <cell r="D1008" t="str">
            <v>cum</v>
          </cell>
          <cell r="E1008">
            <v>3495</v>
          </cell>
        </row>
        <row r="1009">
          <cell r="B1009" t="str">
            <v>(q)</v>
          </cell>
          <cell r="C1009" t="str">
            <v>Height 5m to 10m</v>
          </cell>
          <cell r="D1009" t="str">
            <v>cum</v>
          </cell>
          <cell r="E1009">
            <v>3635</v>
          </cell>
        </row>
        <row r="1010">
          <cell r="B1010" t="str">
            <v>(r)</v>
          </cell>
          <cell r="C1010" t="str">
            <v>Height above 10m</v>
          </cell>
          <cell r="D1010" t="str">
            <v>cum</v>
          </cell>
          <cell r="E1010">
            <v>3774</v>
          </cell>
        </row>
        <row r="1011">
          <cell r="B1011" t="str">
            <v>D</v>
          </cell>
          <cell r="C1011" t="str">
            <v xml:space="preserve"> RCC/PSC Grade M35 </v>
          </cell>
        </row>
        <row r="1012">
          <cell r="B1012" t="str">
            <v>Case 1</v>
          </cell>
          <cell r="C1012" t="str">
            <v>Using concrete mixer.</v>
          </cell>
        </row>
        <row r="1013">
          <cell r="B1013" t="str">
            <v>(i)</v>
          </cell>
          <cell r="C1013" t="str">
            <v xml:space="preserve">For solid slab super-structure,  18-28% of (a+b+c)     </v>
          </cell>
        </row>
        <row r="1014">
          <cell r="B1014" t="str">
            <v>(p)</v>
          </cell>
          <cell r="C1014" t="str">
            <v>Height upto 5m</v>
          </cell>
          <cell r="D1014" t="str">
            <v>cum</v>
          </cell>
          <cell r="E1014">
            <v>3457</v>
          </cell>
        </row>
        <row r="1015">
          <cell r="B1015" t="str">
            <v>(q)</v>
          </cell>
          <cell r="C1015" t="str">
            <v>Height 5m to 10m</v>
          </cell>
          <cell r="D1015" t="str">
            <v>cum</v>
          </cell>
          <cell r="E1015">
            <v>3604</v>
          </cell>
        </row>
        <row r="1016">
          <cell r="B1016" t="str">
            <v>(r)</v>
          </cell>
          <cell r="C1016" t="str">
            <v>Height above 10m</v>
          </cell>
          <cell r="D1016" t="str">
            <v>cum</v>
          </cell>
          <cell r="E1016">
            <v>3750</v>
          </cell>
        </row>
        <row r="1017">
          <cell r="B1017" t="str">
            <v xml:space="preserve">(ii) </v>
          </cell>
          <cell r="C1017" t="str">
            <v xml:space="preserve">For T-beam &amp; slab,  23-33% of (a+b+c)     </v>
          </cell>
        </row>
        <row r="1018">
          <cell r="B1018" t="str">
            <v>(p)</v>
          </cell>
          <cell r="C1018" t="str">
            <v>Height upto 5m</v>
          </cell>
          <cell r="D1018" t="str">
            <v>cum</v>
          </cell>
          <cell r="E1018">
            <v>3604</v>
          </cell>
        </row>
        <row r="1019">
          <cell r="B1019" t="str">
            <v>(q)</v>
          </cell>
          <cell r="C1019" t="str">
            <v>Height 5m to 10m</v>
          </cell>
          <cell r="D1019" t="str">
            <v>cum</v>
          </cell>
          <cell r="E1019">
            <v>3750</v>
          </cell>
        </row>
        <row r="1020">
          <cell r="B1020" t="str">
            <v>(r)</v>
          </cell>
          <cell r="C1020" t="str">
            <v>Height above 10m</v>
          </cell>
          <cell r="D1020" t="str">
            <v>cum</v>
          </cell>
          <cell r="E1020">
            <v>3897</v>
          </cell>
        </row>
        <row r="1021">
          <cell r="B1021" t="str">
            <v xml:space="preserve">(iii) </v>
          </cell>
          <cell r="C1021" t="str">
            <v>For box girder and balanced cantilever, 38-58% of cost of concrete.</v>
          </cell>
        </row>
        <row r="1022">
          <cell r="B1022" t="str">
            <v>(p)</v>
          </cell>
          <cell r="C1022" t="str">
            <v>Height upto 5m</v>
          </cell>
          <cell r="D1022" t="str">
            <v>cum</v>
          </cell>
          <cell r="E1022">
            <v>4043</v>
          </cell>
        </row>
        <row r="1023">
          <cell r="B1023" t="str">
            <v>(q)</v>
          </cell>
          <cell r="C1023" t="str">
            <v>Height 5m to 10m</v>
          </cell>
          <cell r="D1023" t="str">
            <v>cum</v>
          </cell>
          <cell r="E1023">
            <v>4336</v>
          </cell>
        </row>
        <row r="1024">
          <cell r="B1024" t="str">
            <v>(r)</v>
          </cell>
          <cell r="C1024" t="str">
            <v>Height above 10m</v>
          </cell>
          <cell r="D1024" t="str">
            <v>cum</v>
          </cell>
          <cell r="E1024">
            <v>4629</v>
          </cell>
        </row>
        <row r="1025">
          <cell r="B1025" t="str">
            <v>Case II</v>
          </cell>
          <cell r="C1025" t="str">
            <v>Using Batching Plant,  Transit Mixer and Concrete Pump</v>
          </cell>
        </row>
        <row r="1026">
          <cell r="B1026" t="str">
            <v>(i)</v>
          </cell>
          <cell r="C1026" t="str">
            <v xml:space="preserve">For solid slab super-structure,  18-28% of (a+b+c)     </v>
          </cell>
        </row>
        <row r="1027">
          <cell r="B1027" t="str">
            <v>(p)</v>
          </cell>
          <cell r="C1027" t="str">
            <v>Height upto 5m</v>
          </cell>
          <cell r="D1027" t="str">
            <v>cum</v>
          </cell>
          <cell r="E1027">
            <v>3371</v>
          </cell>
        </row>
        <row r="1028">
          <cell r="B1028" t="str">
            <v>(q)</v>
          </cell>
          <cell r="C1028" t="str">
            <v>Height 5m to 10m</v>
          </cell>
          <cell r="D1028" t="str">
            <v>cum</v>
          </cell>
          <cell r="E1028">
            <v>3514</v>
          </cell>
        </row>
        <row r="1029">
          <cell r="B1029" t="str">
            <v>(r)</v>
          </cell>
          <cell r="C1029" t="str">
            <v>Height above 10m</v>
          </cell>
          <cell r="D1029" t="str">
            <v>cum</v>
          </cell>
          <cell r="E1029">
            <v>3657</v>
          </cell>
        </row>
        <row r="1030">
          <cell r="B1030" t="str">
            <v xml:space="preserve">(ii) </v>
          </cell>
          <cell r="C1030" t="str">
            <v xml:space="preserve">For T-beam &amp; slab,  23-33% of (a+b+c)     </v>
          </cell>
        </row>
        <row r="1031">
          <cell r="B1031" t="str">
            <v>(p)</v>
          </cell>
          <cell r="C1031" t="str">
            <v>Height upto 5m</v>
          </cell>
          <cell r="D1031" t="str">
            <v>cum</v>
          </cell>
          <cell r="E1031">
            <v>3514</v>
          </cell>
        </row>
        <row r="1032">
          <cell r="B1032" t="str">
            <v>(q)</v>
          </cell>
          <cell r="C1032" t="str">
            <v>Height 5m to 10m</v>
          </cell>
          <cell r="D1032" t="str">
            <v>cum</v>
          </cell>
          <cell r="E1032">
            <v>3657</v>
          </cell>
        </row>
        <row r="1033">
          <cell r="B1033" t="str">
            <v>(r)</v>
          </cell>
          <cell r="C1033" t="str">
            <v>Height above 10m</v>
          </cell>
          <cell r="D1033" t="str">
            <v>cum</v>
          </cell>
          <cell r="E1033">
            <v>3800</v>
          </cell>
        </row>
        <row r="1034">
          <cell r="B1034" t="str">
            <v xml:space="preserve">(iii) </v>
          </cell>
          <cell r="C1034" t="str">
            <v>For box girder and balanced cantilever, 38-58% of cost of concrete.</v>
          </cell>
        </row>
        <row r="1035">
          <cell r="B1035" t="str">
            <v>(p)</v>
          </cell>
          <cell r="C1035" t="str">
            <v>Height upto 5m</v>
          </cell>
          <cell r="D1035" t="str">
            <v>cum</v>
          </cell>
          <cell r="E1035">
            <v>3943</v>
          </cell>
        </row>
        <row r="1036">
          <cell r="B1036" t="str">
            <v>(q)</v>
          </cell>
          <cell r="C1036" t="str">
            <v>Height 5m to 10m</v>
          </cell>
          <cell r="D1036" t="str">
            <v>cum</v>
          </cell>
          <cell r="E1036">
            <v>4228</v>
          </cell>
        </row>
        <row r="1037">
          <cell r="B1037" t="str">
            <v>(r)</v>
          </cell>
          <cell r="C1037" t="str">
            <v>Height above 10m</v>
          </cell>
          <cell r="D1037" t="str">
            <v>cum</v>
          </cell>
          <cell r="E1037">
            <v>4514</v>
          </cell>
        </row>
        <row r="1038">
          <cell r="B1038" t="str">
            <v>E</v>
          </cell>
          <cell r="C1038" t="str">
            <v>PSC Grade M-40</v>
          </cell>
        </row>
        <row r="1039">
          <cell r="B1039" t="str">
            <v>Case 1</v>
          </cell>
          <cell r="C1039" t="str">
            <v>Using concrete mixer.</v>
          </cell>
        </row>
        <row r="1040">
          <cell r="B1040" t="str">
            <v>(i)</v>
          </cell>
          <cell r="C1040" t="str">
            <v xml:space="preserve">For solid slab super-structure,  20-30% of (a+b+c)     </v>
          </cell>
        </row>
        <row r="1041">
          <cell r="B1041" t="str">
            <v>(p)</v>
          </cell>
          <cell r="C1041" t="str">
            <v>Height upto 5m</v>
          </cell>
          <cell r="D1041" t="str">
            <v>cum</v>
          </cell>
          <cell r="E1041">
            <v>3708</v>
          </cell>
        </row>
        <row r="1042">
          <cell r="B1042" t="str">
            <v>(q)</v>
          </cell>
          <cell r="C1042" t="str">
            <v>Height 5m to 10m</v>
          </cell>
          <cell r="D1042" t="str">
            <v>cum</v>
          </cell>
          <cell r="E1042">
            <v>3862</v>
          </cell>
        </row>
        <row r="1043">
          <cell r="B1043" t="str">
            <v>(r)</v>
          </cell>
          <cell r="C1043" t="str">
            <v>Height above 10m</v>
          </cell>
          <cell r="D1043" t="str">
            <v>cum</v>
          </cell>
          <cell r="E1043">
            <v>4017</v>
          </cell>
        </row>
        <row r="1044">
          <cell r="B1044" t="str">
            <v xml:space="preserve">(ii) </v>
          </cell>
          <cell r="C1044" t="str">
            <v xml:space="preserve">For T-beam &amp; slab,  25-35% of (a+b+c)     </v>
          </cell>
        </row>
        <row r="1045">
          <cell r="B1045" t="str">
            <v>(p)</v>
          </cell>
          <cell r="C1045" t="str">
            <v>Height upto 5m</v>
          </cell>
          <cell r="D1045" t="str">
            <v>cum</v>
          </cell>
          <cell r="E1045">
            <v>3862</v>
          </cell>
        </row>
        <row r="1046">
          <cell r="B1046" t="str">
            <v>(q)</v>
          </cell>
          <cell r="C1046" t="str">
            <v>Height 5m to 10m</v>
          </cell>
          <cell r="D1046" t="str">
            <v>cum</v>
          </cell>
          <cell r="E1046">
            <v>4017</v>
          </cell>
        </row>
        <row r="1047">
          <cell r="B1047" t="str">
            <v>(r)</v>
          </cell>
          <cell r="C1047" t="str">
            <v>Height above 10m</v>
          </cell>
          <cell r="D1047" t="str">
            <v>cum</v>
          </cell>
          <cell r="E1047">
            <v>4171</v>
          </cell>
        </row>
        <row r="1048">
          <cell r="B1048" t="str">
            <v>Case II</v>
          </cell>
          <cell r="C1048" t="str">
            <v>Using Batching Plant,  Transit Mixer and Concrete Pump</v>
          </cell>
        </row>
        <row r="1049">
          <cell r="B1049" t="str">
            <v>(i)</v>
          </cell>
          <cell r="C1049" t="str">
            <v xml:space="preserve">For solid slab super-structure,  18-28% of (a+b+c)     </v>
          </cell>
        </row>
        <row r="1050">
          <cell r="B1050" t="str">
            <v>(p)</v>
          </cell>
          <cell r="C1050" t="str">
            <v>Height upto 5m</v>
          </cell>
          <cell r="D1050" t="str">
            <v>cum</v>
          </cell>
          <cell r="E1050">
            <v>3546</v>
          </cell>
        </row>
        <row r="1051">
          <cell r="B1051" t="str">
            <v>(q)</v>
          </cell>
          <cell r="C1051" t="str">
            <v>Height 5m to 10m</v>
          </cell>
          <cell r="D1051" t="str">
            <v>cum</v>
          </cell>
          <cell r="E1051">
            <v>3696</v>
          </cell>
        </row>
        <row r="1052">
          <cell r="B1052" t="str">
            <v>(r)</v>
          </cell>
          <cell r="C1052" t="str">
            <v>Height above 10m</v>
          </cell>
          <cell r="D1052" t="str">
            <v>cum</v>
          </cell>
          <cell r="E1052">
            <v>3847</v>
          </cell>
        </row>
        <row r="1053">
          <cell r="B1053" t="str">
            <v xml:space="preserve">(ii) </v>
          </cell>
          <cell r="C1053" t="str">
            <v xml:space="preserve">For T-beam &amp; slab,  23-33% of (a+b+c)     </v>
          </cell>
        </row>
        <row r="1054">
          <cell r="B1054" t="str">
            <v>(p)</v>
          </cell>
          <cell r="C1054" t="str">
            <v>Height upto 5m</v>
          </cell>
          <cell r="D1054" t="str">
            <v>cum</v>
          </cell>
          <cell r="E1054">
            <v>3696</v>
          </cell>
        </row>
        <row r="1055">
          <cell r="B1055" t="str">
            <v>(q)</v>
          </cell>
          <cell r="C1055" t="str">
            <v>Height 5m to 10m</v>
          </cell>
          <cell r="D1055" t="str">
            <v>cum</v>
          </cell>
          <cell r="E1055">
            <v>3847</v>
          </cell>
        </row>
        <row r="1056">
          <cell r="B1056" t="str">
            <v>(r)</v>
          </cell>
          <cell r="C1056" t="str">
            <v>Height above 10m</v>
          </cell>
          <cell r="D1056" t="str">
            <v>cum</v>
          </cell>
          <cell r="E1056">
            <v>3997</v>
          </cell>
        </row>
        <row r="1057">
          <cell r="B1057" t="str">
            <v xml:space="preserve">(iii) </v>
          </cell>
          <cell r="C1057" t="str">
            <v>For box girder and balanced cantilever, 38-58% of cost of concrete.</v>
          </cell>
        </row>
        <row r="1058">
          <cell r="B1058" t="str">
            <v>(p)</v>
          </cell>
          <cell r="C1058" t="str">
            <v>Height upto 5m</v>
          </cell>
          <cell r="D1058" t="str">
            <v>cum</v>
          </cell>
          <cell r="E1058">
            <v>4147</v>
          </cell>
        </row>
        <row r="1059">
          <cell r="B1059" t="str">
            <v>(q)</v>
          </cell>
          <cell r="C1059" t="str">
            <v>Height 5m to 10m</v>
          </cell>
          <cell r="D1059" t="str">
            <v>cum</v>
          </cell>
          <cell r="E1059">
            <v>4448</v>
          </cell>
        </row>
        <row r="1060">
          <cell r="B1060" t="str">
            <v>(r)</v>
          </cell>
          <cell r="C1060" t="str">
            <v>Height above 10m</v>
          </cell>
          <cell r="D1060" t="str">
            <v>cum</v>
          </cell>
          <cell r="E1060">
            <v>4748</v>
          </cell>
        </row>
        <row r="1061">
          <cell r="B1061" t="str">
            <v>F</v>
          </cell>
          <cell r="C1061" t="str">
            <v>PSC Grade M-45</v>
          </cell>
        </row>
        <row r="1062">
          <cell r="B1062" t="str">
            <v>(i)</v>
          </cell>
          <cell r="C1062" t="str">
            <v xml:space="preserve"> For solid slab/voided slab super-structure,  16-26% of cost of concrete (a+b+c)     </v>
          </cell>
        </row>
        <row r="1063">
          <cell r="B1063" t="str">
            <v>(p)</v>
          </cell>
          <cell r="C1063" t="str">
            <v>Height upto 5m</v>
          </cell>
          <cell r="D1063" t="str">
            <v>cum</v>
          </cell>
          <cell r="E1063">
            <v>3664</v>
          </cell>
        </row>
        <row r="1064">
          <cell r="B1064" t="str">
            <v>(q)</v>
          </cell>
          <cell r="C1064" t="str">
            <v>Height 5m to 10m</v>
          </cell>
          <cell r="D1064" t="str">
            <v>cum</v>
          </cell>
          <cell r="E1064">
            <v>3822</v>
          </cell>
        </row>
        <row r="1065">
          <cell r="B1065" t="str">
            <v>(r)</v>
          </cell>
          <cell r="C1065" t="str">
            <v>Height above 10m</v>
          </cell>
          <cell r="D1065" t="str">
            <v>cum</v>
          </cell>
          <cell r="E1065">
            <v>3980</v>
          </cell>
        </row>
        <row r="1066">
          <cell r="B1066" t="str">
            <v xml:space="preserve">(ii) </v>
          </cell>
          <cell r="C1066" t="str">
            <v>For I-beam &amp; slab including launching of precast girders by launching truss upto 40 m span,  21-31% of cost of concrete.</v>
          </cell>
        </row>
        <row r="1067">
          <cell r="B1067" t="str">
            <v>(p)</v>
          </cell>
          <cell r="C1067" t="str">
            <v>Height upto 5m</v>
          </cell>
          <cell r="D1067" t="str">
            <v>cum</v>
          </cell>
          <cell r="E1067">
            <v>3822</v>
          </cell>
        </row>
        <row r="1068">
          <cell r="B1068" t="str">
            <v>(q)</v>
          </cell>
          <cell r="C1068" t="str">
            <v>Height 5m to 10m</v>
          </cell>
          <cell r="D1068" t="str">
            <v>cum</v>
          </cell>
          <cell r="E1068">
            <v>3980</v>
          </cell>
        </row>
        <row r="1069">
          <cell r="B1069" t="str">
            <v>(r)</v>
          </cell>
          <cell r="C1069" t="str">
            <v>Height above 10m</v>
          </cell>
          <cell r="D1069" t="str">
            <v>cum</v>
          </cell>
          <cell r="E1069">
            <v>4138</v>
          </cell>
        </row>
        <row r="1070">
          <cell r="B1070" t="str">
            <v xml:space="preserve">(iii) </v>
          </cell>
          <cell r="C1070" t="str">
            <v>For cast-in-situ box girder,  segmental construction and balanced cantilever,  36-56% of cost of concrete.</v>
          </cell>
        </row>
        <row r="1071">
          <cell r="B1071" t="str">
            <v>(p)</v>
          </cell>
          <cell r="C1071" t="str">
            <v>Height upto 5m</v>
          </cell>
          <cell r="D1071" t="str">
            <v>cum</v>
          </cell>
          <cell r="E1071">
            <v>4296</v>
          </cell>
        </row>
        <row r="1072">
          <cell r="B1072" t="str">
            <v>(q)</v>
          </cell>
          <cell r="C1072" t="str">
            <v>Height 5m to 10m</v>
          </cell>
          <cell r="D1072" t="str">
            <v>cum</v>
          </cell>
          <cell r="E1072">
            <v>4612</v>
          </cell>
        </row>
        <row r="1073">
          <cell r="B1073" t="str">
            <v>(r)</v>
          </cell>
          <cell r="C1073" t="str">
            <v>Height above 10m</v>
          </cell>
          <cell r="D1073" t="str">
            <v>cum</v>
          </cell>
          <cell r="E1073">
            <v>4928</v>
          </cell>
        </row>
        <row r="1074">
          <cell r="B1074" t="str">
            <v>G</v>
          </cell>
          <cell r="C1074" t="str">
            <v>PSC Grade M-50</v>
          </cell>
        </row>
        <row r="1075">
          <cell r="B1075" t="str">
            <v>(i)</v>
          </cell>
          <cell r="C1075" t="str">
            <v>For cast-in-situ box girder,  segmental construction and balanced cantilever,  35-55% of cost of concrete</v>
          </cell>
        </row>
        <row r="1076">
          <cell r="B1076" t="str">
            <v>(p)</v>
          </cell>
          <cell r="C1076" t="str">
            <v>Height upto 5m</v>
          </cell>
          <cell r="D1076" t="str">
            <v>cum</v>
          </cell>
          <cell r="E1076">
            <v>4413</v>
          </cell>
        </row>
        <row r="1077">
          <cell r="B1077" t="str">
            <v>(q)</v>
          </cell>
          <cell r="C1077" t="str">
            <v>Height 5m to 10m</v>
          </cell>
          <cell r="D1077" t="str">
            <v>cum</v>
          </cell>
          <cell r="E1077">
            <v>4740</v>
          </cell>
        </row>
        <row r="1078">
          <cell r="B1078" t="str">
            <v>(r)</v>
          </cell>
          <cell r="C1078" t="str">
            <v>Height above 10m</v>
          </cell>
          <cell r="D1078" t="str">
            <v>cum</v>
          </cell>
          <cell r="E1078">
            <v>5067</v>
          </cell>
        </row>
        <row r="1079">
          <cell r="B1079" t="str">
            <v>H</v>
          </cell>
          <cell r="C1079" t="str">
            <v>PSC Grade M- 55</v>
          </cell>
        </row>
        <row r="1080">
          <cell r="B1080" t="str">
            <v>(i)</v>
          </cell>
          <cell r="C1080" t="str">
            <v>For cast-in-situ box girder,  segmental construction and balanced cantilever,  35-55% of cost of concrete</v>
          </cell>
        </row>
        <row r="1081">
          <cell r="B1081" t="str">
            <v>(p)</v>
          </cell>
          <cell r="C1081" t="str">
            <v>Height upto 5m</v>
          </cell>
          <cell r="D1081" t="str">
            <v>cum</v>
          </cell>
          <cell r="E1081">
            <v>4645</v>
          </cell>
        </row>
        <row r="1082">
          <cell r="B1082" t="str">
            <v>(q)</v>
          </cell>
          <cell r="C1082" t="str">
            <v>Height 5m to 10m</v>
          </cell>
          <cell r="D1082" t="str">
            <v>cum</v>
          </cell>
          <cell r="E1082">
            <v>4989</v>
          </cell>
        </row>
        <row r="1083">
          <cell r="B1083" t="str">
            <v>(r)</v>
          </cell>
          <cell r="C1083" t="str">
            <v>Height above 10m</v>
          </cell>
          <cell r="D1083" t="str">
            <v>cum</v>
          </cell>
          <cell r="E1083">
            <v>5333.4105</v>
          </cell>
        </row>
        <row r="1084">
          <cell r="B1084" t="str">
            <v>14.2</v>
          </cell>
          <cell r="C1084" t="str">
            <v xml:space="preserve">a)     Supplying, fitting and placing HYSD bar reinforcement in super-structure complete as per drawing and technical specifications </v>
          </cell>
          <cell r="D1084" t="str">
            <v>tonne</v>
          </cell>
          <cell r="E1084">
            <v>38122</v>
          </cell>
        </row>
        <row r="1085">
          <cell r="B1085" t="str">
            <v>14.3</v>
          </cell>
          <cell r="C1085" t="str">
            <v>High tensile steel wires/strands including all accessories for stressing,  stressing operations and grouting complete as per drawing and Technical Specifications</v>
          </cell>
          <cell r="D1085" t="str">
            <v>tonne</v>
          </cell>
          <cell r="E1085" t="e">
            <v>#VALUE!</v>
          </cell>
        </row>
        <row r="1086">
          <cell r="B1086" t="str">
            <v>14.4</v>
          </cell>
          <cell r="C1086" t="str">
            <v>Providing and laying Cement concrete wearing coat M-30 grade including reinforcement complete as per drawing and Technical Specifications</v>
          </cell>
          <cell r="D1086" t="str">
            <v>cum</v>
          </cell>
          <cell r="E1086">
            <v>5671</v>
          </cell>
        </row>
        <row r="1087">
          <cell r="B1087" t="str">
            <v>14.5</v>
          </cell>
          <cell r="C1087" t="str">
            <v>Mastic Asphalt (Providing and laying 12 mm thick mastic asphalt wearing course on top of deck slab excluding prime coat with paving grade bitumen meeting the requirements given in table 500-29,  prepared by using mastic cooker and laid to required level a</v>
          </cell>
          <cell r="D1087" t="str">
            <v>sqm</v>
          </cell>
          <cell r="E1087" t="e">
            <v>#VALUE!</v>
          </cell>
        </row>
        <row r="1088">
          <cell r="B1088" t="str">
            <v>14.6</v>
          </cell>
          <cell r="C1088" t="str">
            <v>Construction of precast RCC railing of M30 Grade,  aggregate size not exceeding 12 mm,  true to line and grade,  tolurence of vertical RCC post not to exceed 1 in 500,  centre to centre spacing between vertical post not to exceed 2000 mm,  leaving adequat</v>
          </cell>
          <cell r="D1088" t="str">
            <v>metre</v>
          </cell>
          <cell r="E1088">
            <v>984</v>
          </cell>
        </row>
        <row r="1089">
          <cell r="B1089" t="str">
            <v>14.7</v>
          </cell>
          <cell r="C1089" t="str">
            <v>Construction of RCC railing of M30 Grade in-situ with 20 mm nominal size aggregate,  true to line and grade,  tolurence of vertical RCC post not to exceed 1 in 500,  centre to centre spacing between vertical post not to exceed 2000 mm,  leaving adequate s</v>
          </cell>
          <cell r="D1089" t="str">
            <v>metre</v>
          </cell>
          <cell r="E1089">
            <v>954</v>
          </cell>
        </row>
        <row r="1090">
          <cell r="B1090" t="str">
            <v>14.8</v>
          </cell>
          <cell r="C1090" t="str">
            <v>Providing,  fitting and fixing mild steel railing complete as per drawing and Technical Specification</v>
          </cell>
          <cell r="D1090" t="str">
            <v>metre</v>
          </cell>
          <cell r="E1090">
            <v>1981</v>
          </cell>
        </row>
        <row r="1091">
          <cell r="B1091" t="str">
            <v>14.9</v>
          </cell>
          <cell r="C1091" t="str">
            <v>Drainage Spouts complete as per drawing and Technical specification</v>
          </cell>
          <cell r="D1091" t="str">
            <v>each</v>
          </cell>
          <cell r="E1091" t="e">
            <v>#VALUE!</v>
          </cell>
        </row>
        <row r="1092">
          <cell r="B1092" t="str">
            <v>14.10</v>
          </cell>
          <cell r="C1092" t="str">
            <v>PCC M15 Grade leveling course below approach slab complete as per drawing and Technical specification</v>
          </cell>
          <cell r="D1092" t="str">
            <v>cum</v>
          </cell>
          <cell r="E1092">
            <v>2293</v>
          </cell>
        </row>
        <row r="1093">
          <cell r="B1093" t="str">
            <v>14.11</v>
          </cell>
          <cell r="C1093" t="str">
            <v>Reinforced cement concrete approach slab including reinforcement and formwork complete as per drawing and Technical specification</v>
          </cell>
          <cell r="D1093" t="str">
            <v>cum</v>
          </cell>
          <cell r="E1093">
            <v>4755</v>
          </cell>
        </row>
        <row r="1094">
          <cell r="B1094" t="str">
            <v>14.12</v>
          </cell>
          <cell r="C1094" t="str">
            <v>Providing anti-corrosive treatment to HYSD reinforcement with Fusion Bonded Epoxy Coating (FBEC)     (To be taken as per the prevailing market rates.)</v>
          </cell>
          <cell r="D1094" t="str">
            <v>tonne</v>
          </cell>
        </row>
        <row r="1095">
          <cell r="B1095" t="str">
            <v>14.13</v>
          </cell>
          <cell r="C1095" t="str">
            <v>Precast - pretensioned Girders (Providing,  precasting,  transportation and placing in position precast pretensioned concrete girders as per drawing and technical specifications)</v>
          </cell>
          <cell r="D1095" t="str">
            <v>cum</v>
          </cell>
          <cell r="E1095" t="e">
            <v>#VALUE!</v>
          </cell>
        </row>
        <row r="1096">
          <cell r="B1096" t="str">
            <v>14.14</v>
          </cell>
          <cell r="C1096" t="str">
            <v>Providing and fixing Helical pipes in voided concrete slabs</v>
          </cell>
          <cell r="D1096" t="str">
            <v>metre</v>
          </cell>
          <cell r="E1096" t="e">
            <v>#VALUE!</v>
          </cell>
        </row>
        <row r="1097">
          <cell r="B1097" t="str">
            <v>14.15</v>
          </cell>
          <cell r="C1097" t="str">
            <v>Crash Barriers (The rate analysis for rigid crash barrier in reinforced cement concrete,  semi-rigid crash barrier with metal beam and flexible crash barrier with wire ropes have been made and included in chapter-8 on Traffic and Transportation.)</v>
          </cell>
        </row>
        <row r="1098">
          <cell r="B1098" t="str">
            <v>14.16</v>
          </cell>
          <cell r="C1098" t="str">
            <v>Painting on concrete surface (Providing and applying 2 coats of water based cement paint to unplastered concrete surface after cleaning the surface of dirt,  dust,  oil,  grease,  efflorescence and applying paint @ of 1 litre for 2 Sq.m. )</v>
          </cell>
          <cell r="D1098" t="str">
            <v>metre</v>
          </cell>
          <cell r="E1098" t="e">
            <v>#VALUE!</v>
          </cell>
        </row>
        <row r="1099">
          <cell r="B1099" t="str">
            <v>14.17</v>
          </cell>
          <cell r="C1099" t="str">
            <v>Burried Joint (Providing and laying a burried expansion joint,  expansion gap being 20 mm,  covered with 12 mm thick,  200 mm wide galvanised wieldable structural steel plate as per IS: 2062,  placed symmetrical to centre line of the joint,  resting freel</v>
          </cell>
          <cell r="D1099" t="str">
            <v>metre</v>
          </cell>
          <cell r="E1099" t="e">
            <v>#VALUE!</v>
          </cell>
        </row>
        <row r="1100">
          <cell r="B1100" t="str">
            <v>14.18</v>
          </cell>
          <cell r="C1100" t="str">
            <v>Filler joint</v>
          </cell>
        </row>
        <row r="1101">
          <cell r="B1101" t="str">
            <v>(i)</v>
          </cell>
          <cell r="C1101" t="str">
            <v>Providing &amp; fixing 2 mm thick corrugated copper plate in expansion joint complete as per drawing &amp; Technical Specification.</v>
          </cell>
          <cell r="D1101" t="str">
            <v>metre</v>
          </cell>
          <cell r="E1101" t="e">
            <v>#VALUE!</v>
          </cell>
        </row>
        <row r="1102">
          <cell r="B1102" t="str">
            <v>(ii)</v>
          </cell>
          <cell r="C1102" t="str">
            <v>Providing &amp; fixing 20 mm thick compressible fibre board in expansion joint complete as per drawing &amp; Technical Specification.</v>
          </cell>
          <cell r="D1102" t="str">
            <v>metre</v>
          </cell>
          <cell r="E1102" t="e">
            <v>#VALUE!</v>
          </cell>
        </row>
        <row r="1103">
          <cell r="B1103" t="str">
            <v>(iii)</v>
          </cell>
          <cell r="C1103" t="str">
            <v xml:space="preserve">Providing and fixing in position 20 mm thick premoulded joint filler in expansion joint for fixed ends of simply supported spans not exceeding 10 m to cater for a horizontal movement upto 20 mm,  covered with sealant complete as per drawing and technical </v>
          </cell>
          <cell r="D1103" t="str">
            <v>metre</v>
          </cell>
          <cell r="E1103">
            <v>243</v>
          </cell>
        </row>
        <row r="1104">
          <cell r="B1104" t="str">
            <v>(iv)</v>
          </cell>
          <cell r="C1104" t="str">
            <v>Providing and filling joint sealing compound as per drawings and technical specifications with coarse sand and 6% bitumen by weight</v>
          </cell>
          <cell r="D1104" t="str">
            <v>metre</v>
          </cell>
          <cell r="E1104">
            <v>9</v>
          </cell>
        </row>
        <row r="1105">
          <cell r="B1105" t="str">
            <v>14.19</v>
          </cell>
          <cell r="C1105" t="str">
            <v>Asphaltic Plug joint (Providing and laying of asphaltic plug joint to provide for horizontal movement of 25 mm and vertical movement of 2 mm,  depth of joint varying from 75 mm to 100 mm,  width varying from 500 mm to 750 mm (in traffic direction),  cover</v>
          </cell>
          <cell r="D1105" t="str">
            <v>metre</v>
          </cell>
          <cell r="E1105" t="e">
            <v>#VALUE!</v>
          </cell>
        </row>
        <row r="1106">
          <cell r="B1106" t="str">
            <v>14.20</v>
          </cell>
          <cell r="C1106" t="str">
            <v>Elastomeric Slab Steel Expansion Joint (Providing and laying of an elastomeric slab steel expansion joint,  catering to right or skew (less than 20 deg.,  moderately curved with maximum horizontal movement upto 50 mm,  complete as per approved drawings an</v>
          </cell>
          <cell r="D1106" t="str">
            <v>metre</v>
          </cell>
          <cell r="E1106" t="e">
            <v>#VALUE!</v>
          </cell>
        </row>
        <row r="1107">
          <cell r="B1107" t="str">
            <v>14.21</v>
          </cell>
          <cell r="C1107" t="str">
            <v>Compression Seal Joint (Providing and laying of compression seal joint consisting of steel armoured nosing at two edges of the joint gap suitably anchored to the deck concrete and a preformed chloroprene elastomer or closed cell foam joint sealer compress</v>
          </cell>
          <cell r="D1107" t="str">
            <v>metre</v>
          </cell>
          <cell r="E1107" t="e">
            <v>#VALUE!</v>
          </cell>
        </row>
        <row r="1108">
          <cell r="B1108" t="str">
            <v>14.22</v>
          </cell>
          <cell r="C1108" t="str">
            <v>Strip Seal Expansion Joint (Providing and laying of a strip seal expansion joint catering to maximum horizontal movement upto 70 mm,  complete as per approved drawings and standard specifications to be installed by the manufacturer/supplier or their autho</v>
          </cell>
          <cell r="D1108" t="str">
            <v>metre</v>
          </cell>
          <cell r="E1108" t="e">
            <v>#VALUE!</v>
          </cell>
        </row>
        <row r="1109">
          <cell r="B1109" t="str">
            <v>14.23</v>
          </cell>
          <cell r="C1109" t="str">
            <v>Modular Strip / Box Seal Joint (Providing and laying of a modular strip Box steel expansion joint including anchorage catering to a horizontal movement beyond 70 mm and upto 140mm,  complete as per approved drawings and standard specifications to be insta</v>
          </cell>
          <cell r="D1109" t="str">
            <v>metre</v>
          </cell>
          <cell r="E1109" t="e">
            <v>#VALUE!</v>
          </cell>
        </row>
        <row r="1110">
          <cell r="B1110" t="str">
            <v>14.24</v>
          </cell>
          <cell r="C1110" t="str">
            <v>Modular Strip / Box Seal Joint (Providing and laying of a modular strip box seal expansion joint catering to a horizontal movement beyond 140mm and upto 210mm,  complete as per approved drawings and standard specifications to be installed by the manufactu</v>
          </cell>
          <cell r="D1110" t="str">
            <v>metre</v>
          </cell>
          <cell r="E1110" t="e">
            <v>#VALUE!</v>
          </cell>
        </row>
        <row r="1111">
          <cell r="C1111" t="str">
            <v>CHAPTER-15</v>
          </cell>
        </row>
        <row r="1112">
          <cell r="C1112" t="str">
            <v>RIVER TRAINING AND PROTECTION WORKS</v>
          </cell>
        </row>
        <row r="1113">
          <cell r="B1113" t="str">
            <v>15.1</v>
          </cell>
          <cell r="C1113" t="str">
            <v>Providing and laying boulders apron on river bed for protection against scour with stone boulders weighing not less than 40 kg each complete as per drawing and Technical specification.</v>
          </cell>
        </row>
        <row r="1114">
          <cell r="B1114" t="str">
            <v>A</v>
          </cell>
          <cell r="C1114" t="str">
            <v>Boulder laid dry without wire crates.</v>
          </cell>
          <cell r="D1114" t="str">
            <v>cum</v>
          </cell>
          <cell r="E1114">
            <v>562</v>
          </cell>
        </row>
        <row r="1115">
          <cell r="B1115" t="str">
            <v>15.2</v>
          </cell>
          <cell r="C1115" t="str">
            <v xml:space="preserve"> Boulder apron laid in wire crates (Providing and laying of boulder apron laid in wire crates made with 4mm dia GI wire conforming to IS: 280 &amp; IS:4826 in 100mm x 100mm mesh (weaved diagonally) including 10% extra for laps and joints laid with stone bould</v>
          </cell>
          <cell r="D1115" t="str">
            <v>cum</v>
          </cell>
          <cell r="E1115" t="e">
            <v>#VALUE!</v>
          </cell>
        </row>
        <row r="1116">
          <cell r="B1116" t="str">
            <v>15.3</v>
          </cell>
          <cell r="C1116" t="str">
            <v>Cement concrete blocks (size 0.5 x 0.5 x 0.5 m) (Providing and laying of apron with cement concrete blocks of size 0.5x0.5x0.5 m cast in-situ and made with nominal mix of M-15 grade cement concrete with a minimum cement content of 250 kg/cum as per IRC: 2</v>
          </cell>
          <cell r="D1116" t="str">
            <v>cum</v>
          </cell>
          <cell r="E1116">
            <v>2432</v>
          </cell>
        </row>
        <row r="1117">
          <cell r="B1117" t="str">
            <v>15.4</v>
          </cell>
          <cell r="C1117" t="str">
            <v>Providing and laying Pitching on slopes laid over prepared filter media including boulder apron laid dry in front of toe of embankment complete as per drawing and Technical specifications</v>
          </cell>
        </row>
        <row r="1118">
          <cell r="A1118" t="str">
            <v>G1</v>
          </cell>
          <cell r="B1118" t="str">
            <v>A</v>
          </cell>
          <cell r="C1118" t="str">
            <v>Stone/Boulder</v>
          </cell>
          <cell r="D1118" t="str">
            <v>cum</v>
          </cell>
          <cell r="E1118">
            <v>562</v>
          </cell>
        </row>
        <row r="1119">
          <cell r="B1119" t="str">
            <v>B</v>
          </cell>
          <cell r="C1119" t="str">
            <v xml:space="preserve"> Cement Concrete blocks of size 0.3x0.3 x0.3 m cast in cement concrete of Grade M15</v>
          </cell>
          <cell r="D1119" t="str">
            <v>cum</v>
          </cell>
          <cell r="E1119">
            <v>2432</v>
          </cell>
        </row>
        <row r="1120">
          <cell r="A1120" t="str">
            <v>G2</v>
          </cell>
          <cell r="B1120" t="str">
            <v>15.5</v>
          </cell>
          <cell r="C1120" t="str">
            <v>Providing and laying Filter material underneath pitching in slopes complete as per drawing and Technical specification</v>
          </cell>
          <cell r="D1120" t="str">
            <v>cum</v>
          </cell>
          <cell r="E1120">
            <v>373</v>
          </cell>
        </row>
        <row r="1121">
          <cell r="B1121" t="str">
            <v>15.6</v>
          </cell>
          <cell r="C1121" t="str">
            <v>Geotextile Filter (Laying of a geotextile filter between pitching and embankment slopes on which pitching is laid to prevent escape of the embankment material through the voids of the stone pitching/cement concrete blocks as well as to allow free movement</v>
          </cell>
          <cell r="D1121" t="str">
            <v>sqm</v>
          </cell>
          <cell r="E1121" t="e">
            <v>#VALUE!</v>
          </cell>
        </row>
        <row r="1122">
          <cell r="B1122" t="str">
            <v>15.7</v>
          </cell>
          <cell r="C1122" t="str">
            <v>Toe protection (A toe wall for toe protection can either be in dry rubble masonry in case of dry rubble pitching or pitching with stones in wire crates or it can be in PCC M15 nominal mix if cement concrete block have been used for pitching . Rates for to</v>
          </cell>
        </row>
        <row r="1123">
          <cell r="B1123" t="str">
            <v>15.8</v>
          </cell>
          <cell r="C1123" t="str">
            <v>Providing and laying Flooring complete as per drawing and Technical specifications laid over cement concrete bedding.</v>
          </cell>
        </row>
        <row r="1124">
          <cell r="A1124" t="str">
            <v>E-31-1</v>
          </cell>
          <cell r="B1124" t="str">
            <v>A</v>
          </cell>
          <cell r="C1124" t="str">
            <v xml:space="preserve"> Rubble stone laid in cement mortar 1:3</v>
          </cell>
          <cell r="D1124" t="str">
            <v>cum</v>
          </cell>
          <cell r="E1124">
            <v>2153</v>
          </cell>
        </row>
        <row r="1125">
          <cell r="B1125" t="str">
            <v>B</v>
          </cell>
          <cell r="C1125" t="str">
            <v>Cement Concrete blocks Grade M15</v>
          </cell>
          <cell r="D1125" t="str">
            <v>cum</v>
          </cell>
          <cell r="E1125">
            <v>3202</v>
          </cell>
        </row>
        <row r="1126">
          <cell r="B1126" t="str">
            <v>15.9</v>
          </cell>
          <cell r="C1126" t="str">
            <v>Dry rubble Flooring</v>
          </cell>
          <cell r="D1126" t="str">
            <v>cum</v>
          </cell>
          <cell r="E1126">
            <v>678</v>
          </cell>
        </row>
        <row r="1127">
          <cell r="B1127" t="str">
            <v>15.10</v>
          </cell>
          <cell r="C1127" t="str">
            <v>Curtain wall complete as per drawing and Technical specification</v>
          </cell>
        </row>
        <row r="1128">
          <cell r="A1128" t="str">
            <v>E32</v>
          </cell>
          <cell r="B1128" t="str">
            <v>A</v>
          </cell>
          <cell r="C1128" t="str">
            <v>Stone masonry in cement mortar (1:3)</v>
          </cell>
          <cell r="D1128" t="str">
            <v>cum</v>
          </cell>
          <cell r="E1128">
            <v>1914</v>
          </cell>
        </row>
        <row r="1129">
          <cell r="B1129" t="str">
            <v>B</v>
          </cell>
          <cell r="C1129" t="str">
            <v>Cement concrete Grade M15</v>
          </cell>
          <cell r="D1129" t="str">
            <v>cum</v>
          </cell>
          <cell r="E1129">
            <v>2384</v>
          </cell>
        </row>
        <row r="1130">
          <cell r="A1130" t="str">
            <v>G5</v>
          </cell>
          <cell r="B1130" t="str">
            <v>15.11</v>
          </cell>
          <cell r="C1130" t="str">
            <v>Flexible Apron :Construction of flexible apron 1 m thick comprising of loose stone boulders weighing not less than 40 kg beyond curtain wall.</v>
          </cell>
          <cell r="D1130" t="str">
            <v>cum</v>
          </cell>
          <cell r="E1130">
            <v>579</v>
          </cell>
        </row>
        <row r="1131">
          <cell r="B1131" t="str">
            <v>15.12</v>
          </cell>
          <cell r="C1131" t="str">
            <v xml:space="preserve">Gabian Structure for Retaining Earth (Providing and construction of a gabain structure for retaining earth with segments of wire crates of size 7 m x 3 m x 0.6 m each divided into 1.5 m compartments by cross netting,  made from 4 mm galvanised steel wire </v>
          </cell>
          <cell r="D1131" t="str">
            <v>cum</v>
          </cell>
          <cell r="E1131" t="e">
            <v>#VALUE!</v>
          </cell>
        </row>
        <row r="1132">
          <cell r="B1132" t="str">
            <v>15.13</v>
          </cell>
          <cell r="C1132" t="str">
            <v xml:space="preserve">Gabian Structure for Erosion Control,  River Training Works and Protection works (Providing and constructing gabain structures for erosion control,  river training works and protection works with wire crates of size 2 m x 1 m x 0.3 m each divided into 1m </v>
          </cell>
          <cell r="D1132" t="str">
            <v>cum</v>
          </cell>
          <cell r="E1132" t="e">
            <v>#VALUE!</v>
          </cell>
        </row>
        <row r="1133">
          <cell r="C1133" t="str">
            <v>CHAPTER-16</v>
          </cell>
        </row>
        <row r="1134">
          <cell r="C1134" t="str">
            <v>REPAIR AND REHABILITATION</v>
          </cell>
        </row>
        <row r="1135">
          <cell r="B1135" t="str">
            <v>16.1</v>
          </cell>
          <cell r="C1135" t="str">
            <v>Removal of existing cement concrete wearing coat including its disposal complete as per Technical specification without causing any detrimental effect to any part of the bridge structure and removal of dismantled material with all lifts and lead upto 1000</v>
          </cell>
          <cell r="D1135" t="str">
            <v>sqm</v>
          </cell>
          <cell r="E1135">
            <v>71</v>
          </cell>
        </row>
        <row r="1136">
          <cell r="B1136" t="str">
            <v>16.2</v>
          </cell>
          <cell r="C1136" t="str">
            <v>Removal of existing asphaltic wearing coat comprising of 50 mm thick asphaltic concrete laid over 12 mm thick mastic asphalt including disposal with all lift and lead upto 1000m.</v>
          </cell>
          <cell r="D1136" t="str">
            <v>sqm</v>
          </cell>
          <cell r="E1136">
            <v>54</v>
          </cell>
        </row>
        <row r="1137">
          <cell r="B1137" t="str">
            <v>16.3</v>
          </cell>
          <cell r="C1137" t="str">
            <v>Guniting concrete surface with cement mortar applied with compressor after cleaning surface and spraying with epoxy complete as per Technical specification</v>
          </cell>
          <cell r="D1137" t="str">
            <v>sqm</v>
          </cell>
          <cell r="E1137" t="e">
            <v>#VALUE!</v>
          </cell>
        </row>
        <row r="1138">
          <cell r="B1138" t="str">
            <v>16.4</v>
          </cell>
          <cell r="C1138" t="str">
            <v>Providing and inserting nipples with approved fixing compound after drilling holes for grouting as per Technical specifications including subsequent cutting/removal and sealing of the hole as necessary of nipples after completion of grouting with Cement/E</v>
          </cell>
          <cell r="D1138" t="str">
            <v>each</v>
          </cell>
          <cell r="E1138" t="e">
            <v>#VALUE!</v>
          </cell>
        </row>
        <row r="1139">
          <cell r="B1139" t="str">
            <v>16.5</v>
          </cell>
          <cell r="C1139" t="str">
            <v>Sealing of cracks/porous concrete by injection process through nipples/Grouting complete as per Technical specification.</v>
          </cell>
        </row>
        <row r="1140">
          <cell r="A1140" t="str">
            <v>w1</v>
          </cell>
          <cell r="B1140" t="str">
            <v>A</v>
          </cell>
          <cell r="C1140" t="str">
            <v>Cement Grout</v>
          </cell>
          <cell r="D1140" t="str">
            <v>kg</v>
          </cell>
          <cell r="E1140">
            <v>38</v>
          </cell>
        </row>
        <row r="1141">
          <cell r="B1141" t="str">
            <v>B</v>
          </cell>
          <cell r="C1141" t="str">
            <v xml:space="preserve"> Cement mortar (1:1) Grouting</v>
          </cell>
          <cell r="D1141" t="str">
            <v>kg</v>
          </cell>
          <cell r="E1141">
            <v>68</v>
          </cell>
        </row>
        <row r="1142">
          <cell r="B1142" t="str">
            <v>16.6</v>
          </cell>
          <cell r="C1142" t="str">
            <v>Patching of damaged concrete surface with polymer concrete and curing compounds,  initiator and promoter,  available in present formulations,  to be applied as per instructions of manufacturer and as approved by the Engineer.</v>
          </cell>
          <cell r="D1142" t="str">
            <v>sqm</v>
          </cell>
          <cell r="E1142" t="e">
            <v>#VALUE!</v>
          </cell>
        </row>
        <row r="1143">
          <cell r="B1143" t="str">
            <v>16.7</v>
          </cell>
          <cell r="C1143" t="str">
            <v>Sealing of crack / porous concrete with Epoxy Grout by injection through nipples complete as per clause 2803.1.</v>
          </cell>
          <cell r="D1143" t="str">
            <v>kg</v>
          </cell>
          <cell r="E1143" t="e">
            <v>#VALUE!</v>
          </cell>
        </row>
        <row r="1144">
          <cell r="B1144" t="str">
            <v>16.8</v>
          </cell>
          <cell r="C1144" t="str">
            <v>Applying epoxy mortar over leached,  honey combed and spalled concrete surface and exposed steel reinforcement complete as per Technical specification</v>
          </cell>
          <cell r="D1144" t="str">
            <v>sqm</v>
          </cell>
          <cell r="E1144" t="e">
            <v>#VALUE!</v>
          </cell>
        </row>
        <row r="1145">
          <cell r="B1145" t="str">
            <v>16.9</v>
          </cell>
          <cell r="C1145" t="str">
            <v xml:space="preserve">Removal of defective concrete,  cleaning the surface thoroughly,  applying the shotcrete mixture mechanically with compressed air under pressure,  comprising of cement,  sand,  coarse aggregates,  water and quick setting compound in the proportion as per </v>
          </cell>
          <cell r="D1145" t="str">
            <v>sqm</v>
          </cell>
          <cell r="E1145" t="e">
            <v>#VALUE!</v>
          </cell>
        </row>
        <row r="1146">
          <cell r="B1146" t="str">
            <v>16.10</v>
          </cell>
          <cell r="C1146" t="str">
            <v xml:space="preserve"> Applying pre-packed cement based polymer mortar of strength 45 Mpa at 28 days for replacement of spalled concrete</v>
          </cell>
          <cell r="D1146" t="str">
            <v>sqm</v>
          </cell>
          <cell r="E1146" t="e">
            <v>#VALUE!</v>
          </cell>
        </row>
        <row r="1147">
          <cell r="B1147" t="str">
            <v>16.11</v>
          </cell>
          <cell r="C1147" t="str">
            <v>Eproxy bonding of new concrete to old concrete</v>
          </cell>
          <cell r="D1147" t="str">
            <v>sqm</v>
          </cell>
          <cell r="E1147" t="e">
            <v>#VALUE!</v>
          </cell>
        </row>
        <row r="1148">
          <cell r="B1148" t="str">
            <v>16.12</v>
          </cell>
          <cell r="C1148" t="str">
            <v>Providing external prestressing with high tensile steel wires/strands including drilling for passage of prestessing steel,  all accessories for stressing and stressing operation and grouting complete as per drawing and Technical specification</v>
          </cell>
          <cell r="D1148" t="str">
            <v>tonne</v>
          </cell>
          <cell r="E1148" t="e">
            <v>#VALUE!</v>
          </cell>
        </row>
        <row r="1149">
          <cell r="B1149" t="str">
            <v>16.13</v>
          </cell>
          <cell r="C1149" t="str">
            <v>Providing external prestressing with high tensile steel wires/strands including drilling for passage of prestessing steel,  all accessories for stressing and stressing operation and grouting complete as per drawing and Technical specification</v>
          </cell>
          <cell r="D1149" t="str">
            <v>tonne</v>
          </cell>
          <cell r="E1149" t="e">
            <v>#VALUE!</v>
          </cell>
        </row>
        <row r="1150">
          <cell r="B1150" t="str">
            <v>16.14</v>
          </cell>
          <cell r="C1150" t="str">
            <v>Providing external prestressing with high tensile steel wires/strands including drilling for passage of prestessing steel,  all accessories for stressing and stressing operation and grouting complete as per drawing and Technical specification</v>
          </cell>
          <cell r="D1150" t="str">
            <v>tonne</v>
          </cell>
          <cell r="E1150" t="e">
            <v>#VALUE!</v>
          </cell>
        </row>
        <row r="1151">
          <cell r="B1151" t="str">
            <v>16.15</v>
          </cell>
          <cell r="C1151" t="str">
            <v>Replacement of bearings complete as per Technical specification</v>
          </cell>
          <cell r="D1151" t="str">
            <v>each</v>
          </cell>
          <cell r="E1151" t="e">
            <v>#VALUE!</v>
          </cell>
        </row>
        <row r="1152">
          <cell r="B1152" t="str">
            <v>16.16</v>
          </cell>
          <cell r="C1152" t="str">
            <v>Rectification of bearings as per Technical specifications</v>
          </cell>
          <cell r="D1152" t="str">
            <v>each</v>
          </cell>
          <cell r="E1152" t="e">
            <v>#VALUE!</v>
          </cell>
        </row>
        <row r="1153">
          <cell r="B1153" t="str">
            <v>16.17</v>
          </cell>
          <cell r="C1153" t="str">
            <v>Replacement of Expansion Joints complete as per drawings</v>
          </cell>
          <cell r="D1153" t="str">
            <v>metre</v>
          </cell>
          <cell r="E1153" t="e">
            <v>#VALUE!</v>
          </cell>
        </row>
        <row r="1154">
          <cell r="B1154" t="str">
            <v>16.18</v>
          </cell>
          <cell r="C1154" t="str">
            <v>Replacement of damaged concrete railing.</v>
          </cell>
          <cell r="D1154" t="str">
            <v>metre</v>
          </cell>
          <cell r="E1154">
            <v>103</v>
          </cell>
        </row>
        <row r="1155">
          <cell r="B1155" t="str">
            <v>16.19</v>
          </cell>
          <cell r="C1155" t="str">
            <v>Replacement of crash barrier.</v>
          </cell>
          <cell r="D1155" t="str">
            <v>metre</v>
          </cell>
          <cell r="E1155">
            <v>164</v>
          </cell>
        </row>
        <row r="1156">
          <cell r="B1156" t="str">
            <v>16.20</v>
          </cell>
          <cell r="C1156" t="str">
            <v>Replacement of damaged mild steel railing</v>
          </cell>
          <cell r="D1156" t="str">
            <v>metre</v>
          </cell>
          <cell r="E1156">
            <v>91</v>
          </cell>
        </row>
        <row r="1157">
          <cell r="B1157" t="str">
            <v>16.21</v>
          </cell>
          <cell r="C1157" t="str">
            <v>Repair of crash barrier (Repair of concrete crash barrier with cement concrete of M-30 grade by cutting and trimming the damaged portion to a regular shape,  cleaning the area to be repaired thoroughly,  applying cement concrete after erection of proper f</v>
          </cell>
          <cell r="D1157" t="str">
            <v>metre</v>
          </cell>
          <cell r="E1157">
            <v>88</v>
          </cell>
        </row>
        <row r="1158">
          <cell r="B1158" t="str">
            <v>16.22</v>
          </cell>
          <cell r="C1158" t="str">
            <v>Repair of RCC Railing (Carrying out repair of RCC M30 railing to bring it to the original shape.)</v>
          </cell>
          <cell r="D1158" t="str">
            <v>metre</v>
          </cell>
          <cell r="E1158">
            <v>66</v>
          </cell>
        </row>
        <row r="1159">
          <cell r="B1159" t="str">
            <v>16.23</v>
          </cell>
          <cell r="C1159" t="str">
            <v>Repair of steel Railing (Repair of steel railing to bring it to the original shape)</v>
          </cell>
          <cell r="D1159" t="str">
            <v>metre</v>
          </cell>
          <cell r="E1159">
            <v>191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FO Diff"/>
      <sheetName val="Summ"/>
      <sheetName val="Price"/>
      <sheetName val="FG"/>
      <sheetName val="Depot"/>
      <sheetName val="Exp"/>
      <sheetName val="Cost"/>
      <sheetName val="M B-QtyRecn"/>
      <sheetName val="Patil"/>
      <sheetName val="Che-Pack"/>
      <sheetName val="WIP"/>
      <sheetName val="More then 365 days stock"/>
      <sheetName val="POY Data"/>
      <sheetName val="DP"/>
      <sheetName val="Yarn"/>
      <sheetName val="SUMMARY"/>
      <sheetName val="AnnexIII"/>
      <sheetName val="Comp"/>
      <sheetName val="M B_QtyRecn"/>
      <sheetName val="Sheet1"/>
      <sheetName val="Valu 300602 FI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RAMA Group June 02"/>
      <sheetName val="Profit Reco."/>
      <sheetName val="Excise Duty reworking"/>
      <sheetName val="Pending List"/>
      <sheetName val="IRTL"/>
      <sheetName val="CONSOLIDATED"/>
      <sheetName val="FINAL P&amp;L 02-03"/>
      <sheetName val="M B-QtyRecn"/>
      <sheetName val="NSR_E"/>
      <sheetName val="TOT_COST"/>
      <sheetName val="MFG FORE"/>
      <sheetName val="Input"/>
      <sheetName val="Sheet1"/>
      <sheetName val="MHC-T2-Eng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
      <sheetName val="ap imp mar02"/>
      <sheetName val="ap local mar02"/>
      <sheetName val="ap imp apr02"/>
      <sheetName val="ap local apr02"/>
      <sheetName val="annc"/>
      <sheetName val="ann n b"/>
      <sheetName val="ann n a"/>
      <sheetName val="CURRASSCOMP Nov"/>
      <sheetName val="WORKING CAPITAL"/>
      <sheetName val="BS YARN MAY02"/>
      <sheetName val="Annex-I"/>
      <sheetName val="AnnexII"/>
      <sheetName val="AnnexIII"/>
      <sheetName val="raw matl"/>
      <sheetName val="INDORAMA Group June 02"/>
      <sheetName val="A"/>
      <sheetName val="Sept-03"/>
      <sheetName val="Phy-43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5">
          <cell r="O5">
            <v>0.37666666666666665</v>
          </cell>
        </row>
      </sheetData>
      <sheetData sheetId="14"/>
      <sheetData sheetId="15" refreshError="1"/>
      <sheetData sheetId="16" refreshError="1"/>
      <sheetData sheetId="17" refreshError="1"/>
      <sheetData sheetId="1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Index"/>
      <sheetName val="Assum"/>
      <sheetName val="Operation"/>
      <sheetName val="Manpower"/>
      <sheetName val="Common"/>
      <sheetName val="GLANCE"/>
      <sheetName val="Profit"/>
      <sheetName val="PMIX"/>
      <sheetName val="RMPrice"/>
      <sheetName val="ExPrice"/>
      <sheetName val="LoPrice"/>
      <sheetName val="Pack"/>
      <sheetName val="Stores"/>
      <sheetName val="sheet"/>
      <sheetName val="Sheet1"/>
      <sheetName val="Graph"/>
      <sheetName val="Salary"/>
      <sheetName val="Admn"/>
      <sheetName val="Inttwork"/>
      <sheetName val="Power"/>
      <sheetName val="Expenses"/>
      <sheetName val="phasep&amp;l"/>
      <sheetName val="EXPR(FR)"/>
      <sheetName val="Selling"/>
      <sheetName val="Profit (2)"/>
      <sheetName val="000000"/>
      <sheetName val="Cover "/>
      <sheetName val="Highlights"/>
      <sheetName val=" C 1- 3"/>
      <sheetName val="RawLand"/>
      <sheetName val="sales"/>
      <sheetName val="CONTRB"/>
      <sheetName val="CONTWRK"/>
      <sheetName val="PV I"/>
      <sheetName val="PC"/>
      <sheetName val="Pc II"/>
      <sheetName val="B_S"/>
      <sheetName val="machbal"/>
      <sheetName val="Cont"/>
      <sheetName val="Prd_cont"/>
      <sheetName val="AdmnOH"/>
      <sheetName val="Powcost"/>
      <sheetName val="powcost (2)"/>
      <sheetName val="utlcost"/>
      <sheetName val="AnnexIII"/>
      <sheetName val="MISC"/>
      <sheetName val="Hidde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7">
          <cell r="A7" t="str">
            <v>Month</v>
          </cell>
          <cell r="B7" t="str">
            <v>No. Of</v>
          </cell>
          <cell r="C7" t="str">
            <v>No. Of</v>
          </cell>
          <cell r="D7" t="str">
            <v>Direct Stores</v>
          </cell>
          <cell r="E7" t="str">
            <v>Other</v>
          </cell>
          <cell r="F7" t="str">
            <v>Total Stores</v>
          </cell>
        </row>
        <row r="8">
          <cell r="B8" t="str">
            <v>Days</v>
          </cell>
          <cell r="C8" t="str">
            <v>Spindles</v>
          </cell>
          <cell r="D8" t="str">
            <v>Expenses</v>
          </cell>
          <cell r="E8" t="str">
            <v>Allocation</v>
          </cell>
          <cell r="F8" t="str">
            <v>Expenses</v>
          </cell>
        </row>
        <row r="9">
          <cell r="C9" t="str">
            <v>(in Lacs)</v>
          </cell>
          <cell r="D9" t="str">
            <v>(Rs. Lacs)</v>
          </cell>
          <cell r="E9" t="str">
            <v>(Rs. Lacs)</v>
          </cell>
          <cell r="F9" t="str">
            <v>(Rs. Lacs)</v>
          </cell>
        </row>
        <row r="10">
          <cell r="A10" t="str">
            <v>Rs./Spdl/Shift</v>
          </cell>
          <cell r="D10">
            <v>0.5161</v>
          </cell>
          <cell r="E10">
            <v>0.20675576048383063</v>
          </cell>
          <cell r="F10">
            <v>0.7228557604838306</v>
          </cell>
        </row>
        <row r="11">
          <cell r="A11">
            <v>36617</v>
          </cell>
          <cell r="B11">
            <v>30</v>
          </cell>
          <cell r="C11">
            <v>53.351999999999997</v>
          </cell>
          <cell r="D11">
            <v>27.534967199999997</v>
          </cell>
          <cell r="E11">
            <v>10.96</v>
          </cell>
          <cell r="F11">
            <v>38.494967199999998</v>
          </cell>
        </row>
        <row r="12">
          <cell r="A12">
            <v>36647</v>
          </cell>
          <cell r="B12">
            <v>30</v>
          </cell>
          <cell r="C12">
            <v>53.351999999999997</v>
          </cell>
          <cell r="D12">
            <v>27.534967199999997</v>
          </cell>
          <cell r="E12">
            <v>11.05</v>
          </cell>
          <cell r="F12">
            <v>38.584967199999994</v>
          </cell>
        </row>
        <row r="13">
          <cell r="A13">
            <v>36678</v>
          </cell>
          <cell r="B13">
            <v>30</v>
          </cell>
          <cell r="C13">
            <v>53.351999999999997</v>
          </cell>
          <cell r="D13">
            <v>27.534967199999997</v>
          </cell>
          <cell r="E13">
            <v>11.14</v>
          </cell>
          <cell r="F13">
            <v>38.674967199999998</v>
          </cell>
        </row>
        <row r="14">
          <cell r="A14">
            <v>36708</v>
          </cell>
          <cell r="B14">
            <v>31</v>
          </cell>
          <cell r="C14">
            <v>55.130400000000002</v>
          </cell>
          <cell r="D14">
            <v>28.45279944</v>
          </cell>
          <cell r="E14">
            <v>11.25</v>
          </cell>
          <cell r="F14">
            <v>39.70279944</v>
          </cell>
        </row>
        <row r="15">
          <cell r="A15">
            <v>36739</v>
          </cell>
          <cell r="B15">
            <v>30</v>
          </cell>
          <cell r="C15">
            <v>53.351999999999997</v>
          </cell>
          <cell r="D15">
            <v>27.534967199999997</v>
          </cell>
          <cell r="E15">
            <v>11.25</v>
          </cell>
          <cell r="F15">
            <v>38.784967199999997</v>
          </cell>
        </row>
        <row r="16">
          <cell r="A16">
            <v>36770</v>
          </cell>
          <cell r="B16">
            <v>29</v>
          </cell>
          <cell r="C16">
            <v>51.573599999999999</v>
          </cell>
          <cell r="D16">
            <v>26.617134960000001</v>
          </cell>
          <cell r="E16">
            <v>11.14</v>
          </cell>
          <cell r="F16">
            <v>37.757134960000002</v>
          </cell>
        </row>
        <row r="17">
          <cell r="A17">
            <v>36800</v>
          </cell>
          <cell r="B17">
            <v>30</v>
          </cell>
          <cell r="C17">
            <v>53.351999999999997</v>
          </cell>
          <cell r="D17">
            <v>27.534967199999997</v>
          </cell>
          <cell r="E17">
            <v>10.959999999999999</v>
          </cell>
          <cell r="F17">
            <v>38.494967199999998</v>
          </cell>
        </row>
        <row r="18">
          <cell r="A18">
            <v>36831</v>
          </cell>
          <cell r="B18">
            <v>30</v>
          </cell>
          <cell r="C18">
            <v>53.351999999999997</v>
          </cell>
          <cell r="D18">
            <v>27.534967199999997</v>
          </cell>
          <cell r="E18">
            <v>10.87</v>
          </cell>
          <cell r="F18">
            <v>38.404967199999994</v>
          </cell>
        </row>
        <row r="19">
          <cell r="A19">
            <v>36861</v>
          </cell>
          <cell r="B19">
            <v>31</v>
          </cell>
          <cell r="C19">
            <v>55.130400000000002</v>
          </cell>
          <cell r="D19">
            <v>28.45279944</v>
          </cell>
          <cell r="E19">
            <v>10.959999999999999</v>
          </cell>
          <cell r="F19">
            <v>39.412799440000001</v>
          </cell>
        </row>
        <row r="20">
          <cell r="A20">
            <v>36892</v>
          </cell>
          <cell r="B20">
            <v>31</v>
          </cell>
          <cell r="C20">
            <v>55.130400000000002</v>
          </cell>
          <cell r="D20">
            <v>28.45279944</v>
          </cell>
          <cell r="E20">
            <v>10.959999999999999</v>
          </cell>
          <cell r="F20">
            <v>39.412799440000001</v>
          </cell>
        </row>
        <row r="21">
          <cell r="A21">
            <v>36923</v>
          </cell>
          <cell r="B21">
            <v>28</v>
          </cell>
          <cell r="C21">
            <v>49.795200000000001</v>
          </cell>
          <cell r="D21">
            <v>25.699302720000002</v>
          </cell>
          <cell r="E21">
            <v>10.780000000000001</v>
          </cell>
          <cell r="F21">
            <v>36.479302720000007</v>
          </cell>
        </row>
        <row r="22">
          <cell r="A22">
            <v>36951</v>
          </cell>
          <cell r="B22">
            <v>30</v>
          </cell>
          <cell r="C22">
            <v>53.351999999999997</v>
          </cell>
          <cell r="D22">
            <v>27.534967199999997</v>
          </cell>
          <cell r="E22">
            <v>11.05</v>
          </cell>
          <cell r="F22">
            <v>38.584967199999994</v>
          </cell>
        </row>
        <row r="23">
          <cell r="A23" t="str">
            <v>Total</v>
          </cell>
          <cell r="B23">
            <v>360</v>
          </cell>
          <cell r="C23">
            <v>640.22399999999993</v>
          </cell>
          <cell r="D23">
            <v>330.41960639999991</v>
          </cell>
          <cell r="E23">
            <v>132.37</v>
          </cell>
          <cell r="F23">
            <v>462.78960640000003</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RING "/>
      <sheetName val="LINER"/>
      <sheetName val="EXPANSION JOINT"/>
      <sheetName val="CIS MAIN BERTH-1"/>
      <sheetName val="Working"/>
      <sheetName val="Stores"/>
    </sheetNames>
    <sheetDataSet>
      <sheetData sheetId="0"/>
      <sheetData sheetId="1"/>
      <sheetData sheetId="2"/>
      <sheetData sheetId="3"/>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
      <sheetName val="summary sheet"/>
      <sheetName val="Logistics-Ports"/>
      <sheetName val="Detailed-Mundra-Co-Sourcing"/>
      <sheetName val="Detailed -Hazira-Co-Sourcing"/>
      <sheetName val="Detailed-Dahej--Co-Sourcing"/>
      <sheetName val="Detailed -AICTPL--Co-Sourcing"/>
      <sheetName val="Outsoursed Audit"/>
      <sheetName val="Manpower Master"/>
      <sheetName val="Inhouse_Port Wise "/>
      <sheetName val="Summary"/>
      <sheetName val="Sheet1"/>
      <sheetName val="Detailed Working"/>
    </sheetNames>
    <sheetDataSet>
      <sheetData sheetId="0">
        <row r="1">
          <cell r="F1" t="str">
            <v>LOGISTICS</v>
          </cell>
          <cell r="I1" t="str">
            <v>ENERGY</v>
          </cell>
          <cell r="L1" t="str">
            <v>AGRO</v>
          </cell>
          <cell r="O1" t="str">
            <v>RESOURCES</v>
          </cell>
        </row>
        <row r="2">
          <cell r="F2" t="str">
            <v>Mandays Involved  (Nos)</v>
          </cell>
          <cell r="I2" t="str">
            <v>Mandays Involved  (Nos)</v>
          </cell>
          <cell r="L2" t="str">
            <v>Mandays Involved  (Nos)</v>
          </cell>
          <cell r="O2" t="str">
            <v>Mandays Involved  (Nos)</v>
          </cell>
        </row>
        <row r="3">
          <cell r="A3" t="str">
            <v>Function / Area</v>
          </cell>
          <cell r="B3" t="str">
            <v>Category</v>
          </cell>
          <cell r="C3" t="str">
            <v>Sector</v>
          </cell>
          <cell r="D3" t="str">
            <v>Business</v>
          </cell>
          <cell r="E3" t="str">
            <v>Frequency</v>
          </cell>
          <cell r="F3" t="str">
            <v>SH</v>
          </cell>
          <cell r="G3" t="str">
            <v>AM</v>
          </cell>
          <cell r="H3" t="str">
            <v>AE</v>
          </cell>
          <cell r="I3" t="str">
            <v>SH</v>
          </cell>
          <cell r="J3" t="str">
            <v>AM</v>
          </cell>
          <cell r="K3" t="str">
            <v>AE</v>
          </cell>
          <cell r="L3" t="str">
            <v>SH</v>
          </cell>
          <cell r="M3" t="str">
            <v>AM</v>
          </cell>
          <cell r="N3" t="str">
            <v>AE</v>
          </cell>
          <cell r="O3" t="str">
            <v>SH</v>
          </cell>
          <cell r="P3" t="str">
            <v>AM</v>
          </cell>
          <cell r="Q3" t="str">
            <v>AE</v>
          </cell>
        </row>
        <row r="4">
          <cell r="A4" t="str">
            <v>Revenue Management</v>
          </cell>
          <cell r="B4" t="str">
            <v>business Specific - Common</v>
          </cell>
          <cell r="C4" t="str">
            <v>Common</v>
          </cell>
          <cell r="D4" t="str">
            <v>Common</v>
          </cell>
          <cell r="E4" t="str">
            <v>Half Yearly</v>
          </cell>
        </row>
        <row r="5">
          <cell r="A5" t="str">
            <v>Procurement</v>
          </cell>
          <cell r="B5" t="str">
            <v>business Specific - Common</v>
          </cell>
          <cell r="C5" t="str">
            <v>Common</v>
          </cell>
          <cell r="D5" t="str">
            <v>Common</v>
          </cell>
          <cell r="E5" t="str">
            <v>Half Yearly</v>
          </cell>
        </row>
        <row r="6">
          <cell r="A6" t="str">
            <v xml:space="preserve">Inventory Management </v>
          </cell>
          <cell r="B6" t="str">
            <v>business Specific - Common</v>
          </cell>
          <cell r="C6" t="str">
            <v>Common</v>
          </cell>
          <cell r="D6" t="str">
            <v>Common</v>
          </cell>
          <cell r="E6" t="str">
            <v>Yearly</v>
          </cell>
        </row>
        <row r="7">
          <cell r="A7" t="str">
            <v>Plant &amp; Maintenance</v>
          </cell>
          <cell r="B7" t="str">
            <v>business Specific - Common</v>
          </cell>
          <cell r="C7" t="str">
            <v>Common</v>
          </cell>
          <cell r="D7" t="str">
            <v>Common</v>
          </cell>
          <cell r="E7" t="str">
            <v>Yearly</v>
          </cell>
        </row>
        <row r="8">
          <cell r="A8" t="str">
            <v>Logistics</v>
          </cell>
          <cell r="B8" t="str">
            <v>business Specific - Common</v>
          </cell>
          <cell r="C8" t="str">
            <v>Common</v>
          </cell>
          <cell r="D8" t="str">
            <v>Common</v>
          </cell>
          <cell r="E8" t="str">
            <v>Yearly</v>
          </cell>
        </row>
        <row r="9">
          <cell r="A9" t="str">
            <v>Security and Health, Safety &amp; Environment (HSE)</v>
          </cell>
          <cell r="B9" t="str">
            <v>business Specific - Common</v>
          </cell>
          <cell r="C9" t="str">
            <v>Common</v>
          </cell>
          <cell r="D9" t="str">
            <v>Common</v>
          </cell>
          <cell r="E9" t="str">
            <v>Yearly</v>
          </cell>
        </row>
        <row r="10">
          <cell r="A10" t="str">
            <v>Projects</v>
          </cell>
          <cell r="B10" t="str">
            <v>business Specific - Common</v>
          </cell>
          <cell r="C10" t="str">
            <v>Common</v>
          </cell>
          <cell r="D10" t="str">
            <v>Common</v>
          </cell>
          <cell r="E10" t="str">
            <v>Half Yearly</v>
          </cell>
        </row>
        <row r="11">
          <cell r="A11" t="str">
            <v>Fixed Assets Management</v>
          </cell>
          <cell r="B11" t="str">
            <v>business Specific - Common</v>
          </cell>
          <cell r="C11" t="str">
            <v>Common</v>
          </cell>
          <cell r="D11" t="str">
            <v>Common</v>
          </cell>
          <cell r="E11" t="str">
            <v>Yearly</v>
          </cell>
        </row>
        <row r="12">
          <cell r="A12" t="str">
            <v>Business Development and Marketing</v>
          </cell>
          <cell r="B12" t="str">
            <v>business Specific - Common</v>
          </cell>
          <cell r="C12" t="str">
            <v>Common</v>
          </cell>
          <cell r="D12" t="str">
            <v>Common</v>
          </cell>
          <cell r="E12" t="str">
            <v>Half Yearly</v>
          </cell>
        </row>
        <row r="13">
          <cell r="A13" t="str">
            <v>Statutory &amp; Regulatory  Compliance</v>
          </cell>
          <cell r="B13" t="str">
            <v>business Specific - Common</v>
          </cell>
          <cell r="C13" t="str">
            <v>Common</v>
          </cell>
          <cell r="D13" t="str">
            <v>Common</v>
          </cell>
          <cell r="E13" t="str">
            <v>Quarterly</v>
          </cell>
        </row>
        <row r="14">
          <cell r="A14" t="str">
            <v>Human Resource &amp; Administration</v>
          </cell>
          <cell r="B14" t="str">
            <v>business Specific - Common</v>
          </cell>
          <cell r="C14" t="str">
            <v>Common</v>
          </cell>
          <cell r="D14" t="str">
            <v>Common</v>
          </cell>
          <cell r="E14" t="str">
            <v>Yearly</v>
          </cell>
        </row>
        <row r="15">
          <cell r="A15" t="str">
            <v>Shared Services [B2P,O2C and R2R]</v>
          </cell>
          <cell r="B15" t="str">
            <v>Centralised</v>
          </cell>
          <cell r="C15" t="str">
            <v>Common</v>
          </cell>
          <cell r="D15" t="str">
            <v>Common</v>
          </cell>
        </row>
        <row r="16">
          <cell r="A16" t="str">
            <v>Treasury [ Forex &amp; Debt Management]</v>
          </cell>
          <cell r="B16" t="str">
            <v>Centralised</v>
          </cell>
          <cell r="C16" t="str">
            <v>Common</v>
          </cell>
          <cell r="D16" t="str">
            <v>Common</v>
          </cell>
          <cell r="E16" t="str">
            <v>Quarterly</v>
          </cell>
        </row>
        <row r="17">
          <cell r="A17" t="str">
            <v>Information Technology</v>
          </cell>
          <cell r="B17" t="str">
            <v>Centralised</v>
          </cell>
          <cell r="C17" t="str">
            <v>Common</v>
          </cell>
          <cell r="D17" t="str">
            <v>Common</v>
          </cell>
          <cell r="E17" t="str">
            <v>Yearly</v>
          </cell>
        </row>
        <row r="18">
          <cell r="A18" t="str">
            <v>Insurance</v>
          </cell>
          <cell r="B18" t="str">
            <v>Centralised</v>
          </cell>
          <cell r="C18" t="str">
            <v>Common</v>
          </cell>
          <cell r="D18" t="str">
            <v>Common</v>
          </cell>
          <cell r="E18" t="str">
            <v>Yearly</v>
          </cell>
        </row>
        <row r="19">
          <cell r="A19" t="str">
            <v>Secretarial</v>
          </cell>
          <cell r="B19" t="str">
            <v>Centralised</v>
          </cell>
          <cell r="C19" t="str">
            <v>Common</v>
          </cell>
          <cell r="D19" t="str">
            <v>Common</v>
          </cell>
          <cell r="E19" t="str">
            <v>Quarterly</v>
          </cell>
        </row>
        <row r="20">
          <cell r="A20" t="str">
            <v>Legal</v>
          </cell>
          <cell r="B20" t="str">
            <v>Centralised</v>
          </cell>
          <cell r="C20" t="str">
            <v>Common</v>
          </cell>
          <cell r="D20" t="str">
            <v>Common</v>
          </cell>
          <cell r="E20" t="str">
            <v>Yearly</v>
          </cell>
        </row>
        <row r="21">
          <cell r="A21" t="str">
            <v>Investor Relation</v>
          </cell>
          <cell r="B21" t="str">
            <v>Centralised</v>
          </cell>
          <cell r="C21" t="str">
            <v>Common</v>
          </cell>
          <cell r="D21" t="str">
            <v>CSR</v>
          </cell>
          <cell r="E21" t="str">
            <v>Yearly</v>
          </cell>
        </row>
        <row r="22">
          <cell r="A22" t="str">
            <v>Corporate Social Responsibility (CSR - GAIMS &amp; Sterling, AF &amp; AVM)</v>
          </cell>
          <cell r="B22" t="str">
            <v>Centralised</v>
          </cell>
          <cell r="C22" t="str">
            <v>Common</v>
          </cell>
          <cell r="D22" t="str">
            <v>Common</v>
          </cell>
          <cell r="E22" t="str">
            <v>Half Yearly</v>
          </cell>
        </row>
        <row r="23">
          <cell r="A23" t="str">
            <v>Corporate Communication</v>
          </cell>
          <cell r="B23" t="str">
            <v>Centralised</v>
          </cell>
          <cell r="C23" t="str">
            <v>Common</v>
          </cell>
          <cell r="D23" t="str">
            <v>Common</v>
          </cell>
          <cell r="E23" t="str">
            <v>Yearly</v>
          </cell>
        </row>
        <row r="24">
          <cell r="A24" t="str">
            <v>Corporate Affairs</v>
          </cell>
          <cell r="B24" t="str">
            <v>Centralised</v>
          </cell>
          <cell r="C24" t="str">
            <v>Common</v>
          </cell>
          <cell r="D24" t="str">
            <v>Common</v>
          </cell>
          <cell r="E24" t="str">
            <v>Yearly</v>
          </cell>
        </row>
        <row r="25">
          <cell r="A25" t="str">
            <v>Operations - Mining : Mine Exploration</v>
          </cell>
          <cell r="B25" t="str">
            <v>Business Specific</v>
          </cell>
          <cell r="C25" t="str">
            <v>Resources</v>
          </cell>
          <cell r="D25" t="str">
            <v>Mining</v>
          </cell>
          <cell r="E25" t="str">
            <v>Half Yearly</v>
          </cell>
        </row>
        <row r="26">
          <cell r="A26" t="str">
            <v>Operations - Mining :  Mine Plan</v>
          </cell>
          <cell r="B26" t="str">
            <v>Business Specific</v>
          </cell>
          <cell r="C26" t="str">
            <v>Resources</v>
          </cell>
          <cell r="D26" t="str">
            <v>Mining</v>
          </cell>
          <cell r="E26" t="str">
            <v>Half Yearly</v>
          </cell>
        </row>
        <row r="27">
          <cell r="A27" t="str">
            <v>Operations - Mining : Mine Lease Mangement</v>
          </cell>
          <cell r="B27" t="str">
            <v>Business Specific</v>
          </cell>
          <cell r="C27" t="str">
            <v>Resources</v>
          </cell>
          <cell r="D27" t="str">
            <v>Mining</v>
          </cell>
          <cell r="E27" t="str">
            <v>Half Yearly</v>
          </cell>
        </row>
        <row r="28">
          <cell r="A28" t="str">
            <v>Operations - Mining : Overburden Removal</v>
          </cell>
          <cell r="B28" t="str">
            <v>Business Specific</v>
          </cell>
          <cell r="C28" t="str">
            <v>Resources</v>
          </cell>
          <cell r="D28" t="str">
            <v>Mining</v>
          </cell>
          <cell r="E28" t="str">
            <v>Half Yearly</v>
          </cell>
        </row>
        <row r="29">
          <cell r="A29" t="str">
            <v>Operations - Mining : Stripping Ratio Mintoring</v>
          </cell>
          <cell r="B29" t="str">
            <v>Business Specific</v>
          </cell>
          <cell r="C29" t="str">
            <v>Resources</v>
          </cell>
          <cell r="D29" t="str">
            <v>Mining</v>
          </cell>
          <cell r="E29" t="str">
            <v>Half Yearly</v>
          </cell>
        </row>
        <row r="30">
          <cell r="A30" t="str">
            <v>Operations - Mining : Blasting Process</v>
          </cell>
          <cell r="B30" t="str">
            <v>Business Specific</v>
          </cell>
          <cell r="C30" t="str">
            <v>Resources</v>
          </cell>
          <cell r="D30" t="str">
            <v>Mining</v>
          </cell>
          <cell r="E30" t="str">
            <v>Half Yearly</v>
          </cell>
        </row>
        <row r="31">
          <cell r="A31" t="str">
            <v>Operations - Mining : Relocation  &amp; Rehabilitation</v>
          </cell>
          <cell r="B31" t="str">
            <v>Business Specific</v>
          </cell>
          <cell r="C31" t="str">
            <v>Resources</v>
          </cell>
          <cell r="D31" t="str">
            <v>Mining</v>
          </cell>
          <cell r="E31" t="str">
            <v>Half Yearly</v>
          </cell>
        </row>
        <row r="32">
          <cell r="A32" t="str">
            <v>Operations - Mine Contract Review</v>
          </cell>
          <cell r="B32" t="str">
            <v>Business Specific</v>
          </cell>
          <cell r="C32" t="str">
            <v>Resources</v>
          </cell>
          <cell r="D32" t="str">
            <v>Mining</v>
          </cell>
          <cell r="E32" t="str">
            <v>Half Yearly</v>
          </cell>
        </row>
        <row r="33">
          <cell r="A33" t="str">
            <v>Operations - Shipping</v>
          </cell>
          <cell r="B33" t="str">
            <v>Business Specific</v>
          </cell>
          <cell r="C33" t="str">
            <v>Resources</v>
          </cell>
          <cell r="D33" t="str">
            <v>Shipping</v>
          </cell>
          <cell r="E33" t="str">
            <v>Yearly</v>
          </cell>
        </row>
        <row r="34">
          <cell r="A34" t="str">
            <v>Operations - Coal to Poly Generation</v>
          </cell>
          <cell r="B34" t="str">
            <v>Business Specific</v>
          </cell>
          <cell r="C34" t="str">
            <v>Resources</v>
          </cell>
          <cell r="D34" t="str">
            <v>Mining</v>
          </cell>
          <cell r="E34" t="str">
            <v>Half Yearly</v>
          </cell>
        </row>
        <row r="35">
          <cell r="A35" t="str">
            <v>Operations - Bunkering</v>
          </cell>
          <cell r="B35" t="str">
            <v>Business Specific</v>
          </cell>
          <cell r="C35" t="str">
            <v>Resources</v>
          </cell>
          <cell r="D35" t="str">
            <v>Bunkering</v>
          </cell>
          <cell r="E35" t="str">
            <v>Half Yearly</v>
          </cell>
        </row>
        <row r="36">
          <cell r="A36" t="str">
            <v>Operations - Aviation</v>
          </cell>
          <cell r="B36" t="str">
            <v>Business Specific</v>
          </cell>
          <cell r="C36" t="str">
            <v>Resources</v>
          </cell>
          <cell r="D36" t="str">
            <v>Aviation</v>
          </cell>
          <cell r="E36" t="str">
            <v>Half Yearly</v>
          </cell>
        </row>
        <row r="37">
          <cell r="A37" t="str">
            <v>Warehouse management</v>
          </cell>
          <cell r="B37" t="str">
            <v>Business Specific</v>
          </cell>
          <cell r="C37" t="str">
            <v>Agro</v>
          </cell>
          <cell r="D37" t="str">
            <v>AWL</v>
          </cell>
          <cell r="E37" t="str">
            <v>Quarterly</v>
          </cell>
        </row>
        <row r="38">
          <cell r="A38" t="str">
            <v>Depot Costing</v>
          </cell>
          <cell r="B38" t="str">
            <v>Business Specific</v>
          </cell>
          <cell r="C38" t="str">
            <v>Agro</v>
          </cell>
          <cell r="D38" t="str">
            <v>AWL</v>
          </cell>
          <cell r="E38" t="str">
            <v>Yearly</v>
          </cell>
        </row>
        <row r="39">
          <cell r="A39" t="str">
            <v>Yield Analysis</v>
          </cell>
          <cell r="B39" t="str">
            <v>Business Specific</v>
          </cell>
          <cell r="C39" t="str">
            <v>Agro</v>
          </cell>
          <cell r="D39" t="str">
            <v>AWL</v>
          </cell>
          <cell r="E39" t="str">
            <v>Yearly</v>
          </cell>
        </row>
        <row r="40">
          <cell r="A40" t="str">
            <v>Weighbridge operations</v>
          </cell>
          <cell r="B40" t="str">
            <v>Business Specific</v>
          </cell>
          <cell r="C40" t="str">
            <v>Agro</v>
          </cell>
          <cell r="D40" t="str">
            <v>AWL</v>
          </cell>
          <cell r="E40" t="str">
            <v>Yearly</v>
          </cell>
        </row>
        <row r="41">
          <cell r="A41" t="str">
            <v xml:space="preserve"> Production losses/wastages</v>
          </cell>
          <cell r="B41" t="str">
            <v>Business Specific</v>
          </cell>
          <cell r="C41" t="str">
            <v>Agro</v>
          </cell>
          <cell r="D41" t="str">
            <v>AWL</v>
          </cell>
          <cell r="E41" t="str">
            <v>Half Yearly</v>
          </cell>
        </row>
        <row r="42">
          <cell r="A42" t="str">
            <v>Vehicle Management</v>
          </cell>
          <cell r="B42" t="str">
            <v>Business Specific</v>
          </cell>
          <cell r="C42" t="str">
            <v>Agro</v>
          </cell>
          <cell r="D42" t="str">
            <v>AWL</v>
          </cell>
          <cell r="E42" t="str">
            <v>Yearly</v>
          </cell>
        </row>
        <row r="43">
          <cell r="A43" t="str">
            <v>Packing Material Losses</v>
          </cell>
          <cell r="B43" t="str">
            <v>Business Specific</v>
          </cell>
          <cell r="C43" t="str">
            <v>Agro</v>
          </cell>
          <cell r="D43" t="str">
            <v>AWL</v>
          </cell>
          <cell r="E43" t="str">
            <v>Yearly</v>
          </cell>
        </row>
        <row r="44">
          <cell r="A44" t="str">
            <v>Receipt, maintenance &amp; dispatch of Packed Stock &amp; Redressing material at Depots</v>
          </cell>
          <cell r="B44" t="str">
            <v>Business Specific</v>
          </cell>
          <cell r="C44" t="str">
            <v>Agro</v>
          </cell>
          <cell r="D44" t="str">
            <v>AWL</v>
          </cell>
        </row>
        <row r="45">
          <cell r="A45" t="str">
            <v>Appointment of CFA/Licensor</v>
          </cell>
          <cell r="B45" t="str">
            <v>Business Specific</v>
          </cell>
          <cell r="C45" t="str">
            <v>Agro</v>
          </cell>
          <cell r="D45" t="str">
            <v>AWL</v>
          </cell>
        </row>
        <row r="46">
          <cell r="A46" t="str">
            <v xml:space="preserve">Operations - Control Atmospheric Units </v>
          </cell>
          <cell r="B46" t="str">
            <v>Business Specific</v>
          </cell>
          <cell r="C46" t="str">
            <v>Agro</v>
          </cell>
          <cell r="D46" t="str">
            <v>AAFL</v>
          </cell>
        </row>
        <row r="47">
          <cell r="A47" t="str">
            <v>Operations - Grain Stroage &amp; Logistics</v>
          </cell>
          <cell r="B47" t="str">
            <v>Business Specific</v>
          </cell>
          <cell r="C47" t="str">
            <v>Agro</v>
          </cell>
          <cell r="D47" t="str">
            <v>AALL</v>
          </cell>
        </row>
        <row r="48">
          <cell r="A48" t="str">
            <v>Coal Planning</v>
          </cell>
          <cell r="B48" t="str">
            <v>Business Specific</v>
          </cell>
          <cell r="C48" t="str">
            <v>Resources</v>
          </cell>
          <cell r="D48" t="str">
            <v>Coal Trading</v>
          </cell>
          <cell r="E48" t="str">
            <v>Half Yearly</v>
          </cell>
        </row>
        <row r="49">
          <cell r="A49" t="str">
            <v>Agreement with Port</v>
          </cell>
          <cell r="B49" t="str">
            <v>Business Specific</v>
          </cell>
          <cell r="C49" t="str">
            <v>Resources</v>
          </cell>
          <cell r="D49" t="str">
            <v>Coal Trading</v>
          </cell>
          <cell r="E49" t="str">
            <v>Half Yearly</v>
          </cell>
        </row>
        <row r="50">
          <cell r="A50" t="str">
            <v>Ship arrival &amp; Scheduling</v>
          </cell>
          <cell r="B50" t="str">
            <v>Business Specific</v>
          </cell>
          <cell r="C50" t="str">
            <v>Resources</v>
          </cell>
          <cell r="D50" t="str">
            <v>Coal Trading</v>
          </cell>
          <cell r="E50" t="str">
            <v>Half Yearly</v>
          </cell>
        </row>
        <row r="51">
          <cell r="A51" t="str">
            <v>Demurrage( Port &amp; Ship)</v>
          </cell>
          <cell r="B51" t="str">
            <v>Business Specific</v>
          </cell>
          <cell r="C51" t="str">
            <v>Resources</v>
          </cell>
          <cell r="D51" t="str">
            <v>Coal Trading</v>
          </cell>
          <cell r="E51" t="str">
            <v>Half Yearly</v>
          </cell>
        </row>
        <row r="52">
          <cell r="A52" t="str">
            <v>Coal Receipt at port &amp; accounting in SAP</v>
          </cell>
          <cell r="B52" t="str">
            <v>Business Specific</v>
          </cell>
          <cell r="C52" t="str">
            <v>Resources</v>
          </cell>
          <cell r="D52" t="str">
            <v>Coal Trading</v>
          </cell>
          <cell r="E52" t="str">
            <v>Half Yearly</v>
          </cell>
        </row>
        <row r="53">
          <cell r="A53" t="str">
            <v>Coal testing &amp; sampling at port</v>
          </cell>
          <cell r="B53" t="str">
            <v>Business Specific</v>
          </cell>
          <cell r="C53" t="str">
            <v>Resources</v>
          </cell>
          <cell r="D53" t="str">
            <v>Coal Trading</v>
          </cell>
          <cell r="E53" t="str">
            <v>Half Yearly</v>
          </cell>
        </row>
        <row r="54">
          <cell r="A54" t="str">
            <v>Blending process at Port</v>
          </cell>
          <cell r="B54" t="str">
            <v>Business Specific</v>
          </cell>
          <cell r="C54" t="str">
            <v>Resources</v>
          </cell>
          <cell r="D54" t="str">
            <v>Coal Trading</v>
          </cell>
          <cell r="E54" t="str">
            <v>Half Yearly</v>
          </cell>
        </row>
        <row r="55">
          <cell r="A55" t="str">
            <v>Coal Storage, security, safety, rehandling at port</v>
          </cell>
          <cell r="B55" t="str">
            <v>Business Specific</v>
          </cell>
          <cell r="C55" t="str">
            <v>Resources</v>
          </cell>
          <cell r="D55" t="str">
            <v>Coal Trading</v>
          </cell>
          <cell r="E55" t="str">
            <v>Half Yearly</v>
          </cell>
        </row>
        <row r="56">
          <cell r="A56" t="str">
            <v>Payment of taxes and duties at Port</v>
          </cell>
          <cell r="B56" t="str">
            <v>Business Specific</v>
          </cell>
          <cell r="C56" t="str">
            <v>Resources</v>
          </cell>
          <cell r="D56" t="str">
            <v>Coal Trading</v>
          </cell>
          <cell r="E56" t="str">
            <v>Half Yearly</v>
          </cell>
        </row>
        <row r="57">
          <cell r="A57" t="str">
            <v>Coal receipt, storage, security, safety, re-handling at plant</v>
          </cell>
          <cell r="B57" t="str">
            <v>Business Specific</v>
          </cell>
          <cell r="C57" t="str">
            <v>Resources</v>
          </cell>
          <cell r="D57" t="str">
            <v>Coal Trading</v>
          </cell>
          <cell r="E57" t="str">
            <v>Half Yearly</v>
          </cell>
        </row>
        <row r="58">
          <cell r="A58" t="str">
            <v>Coal quality and quantity check, physical verification at plant</v>
          </cell>
          <cell r="B58" t="str">
            <v>Business Specific</v>
          </cell>
          <cell r="C58" t="str">
            <v>Resources</v>
          </cell>
          <cell r="D58" t="str">
            <v>Coal Trading</v>
          </cell>
          <cell r="E58" t="str">
            <v>Half Yearly</v>
          </cell>
        </row>
        <row r="59">
          <cell r="A59" t="str">
            <v>Losses due to handling at plant</v>
          </cell>
          <cell r="B59" t="str">
            <v>Business Specific</v>
          </cell>
          <cell r="C59" t="str">
            <v>Resources</v>
          </cell>
          <cell r="D59" t="str">
            <v>Coal Trading</v>
          </cell>
          <cell r="E59" t="str">
            <v>Half Yearly</v>
          </cell>
        </row>
        <row r="60">
          <cell r="A60" t="str">
            <v>Coal Quality verification</v>
          </cell>
          <cell r="B60" t="str">
            <v>Business Specific</v>
          </cell>
          <cell r="C60" t="str">
            <v>Resources</v>
          </cell>
          <cell r="D60" t="str">
            <v>Coal Trading</v>
          </cell>
          <cell r="E60" t="str">
            <v>Half Yearly</v>
          </cell>
        </row>
        <row r="61">
          <cell r="A61" t="str">
            <v>Reconciliation of Coal Quality</v>
          </cell>
          <cell r="B61" t="str">
            <v>Business Specific</v>
          </cell>
          <cell r="C61" t="str">
            <v>Resources</v>
          </cell>
          <cell r="D61" t="str">
            <v>Coal Trading</v>
          </cell>
          <cell r="E61" t="str">
            <v>Half Yearly</v>
          </cell>
        </row>
        <row r="62">
          <cell r="A62" t="str">
            <v>Settlement of Quality deviations</v>
          </cell>
          <cell r="B62" t="str">
            <v>Business Specific</v>
          </cell>
          <cell r="C62" t="str">
            <v>Resources</v>
          </cell>
          <cell r="D62" t="str">
            <v>Coal Trading</v>
          </cell>
          <cell r="E62" t="str">
            <v>Half Yearly</v>
          </cell>
        </row>
        <row r="63">
          <cell r="A63" t="str">
            <v>Operation</v>
          </cell>
          <cell r="B63" t="str">
            <v>Business Specific</v>
          </cell>
          <cell r="C63" t="str">
            <v>Energy</v>
          </cell>
          <cell r="D63" t="str">
            <v>Transmission</v>
          </cell>
        </row>
        <row r="64">
          <cell r="A64" t="str">
            <v>Outage Management</v>
          </cell>
          <cell r="B64" t="str">
            <v>Business Specific</v>
          </cell>
          <cell r="C64" t="str">
            <v>Energy</v>
          </cell>
          <cell r="D64" t="str">
            <v>Transmission</v>
          </cell>
        </row>
        <row r="65">
          <cell r="A65" t="str">
            <v>Generation forecasting, scheduling and despatch</v>
          </cell>
          <cell r="B65" t="str">
            <v>Business Specific</v>
          </cell>
          <cell r="C65" t="str">
            <v>Energy</v>
          </cell>
          <cell r="D65" t="str">
            <v>solar</v>
          </cell>
        </row>
        <row r="66">
          <cell r="A66" t="str">
            <v>PV module cleaning system and plant maintenance</v>
          </cell>
          <cell r="B66" t="str">
            <v>Business Specific</v>
          </cell>
          <cell r="C66" t="str">
            <v>Energy</v>
          </cell>
          <cell r="D66" t="str">
            <v>solar</v>
          </cell>
        </row>
        <row r="67">
          <cell r="A67" t="str">
            <v>Electrical systems</v>
          </cell>
          <cell r="B67" t="str">
            <v>Business Specific</v>
          </cell>
          <cell r="C67" t="str">
            <v>Energy</v>
          </cell>
          <cell r="D67" t="str">
            <v>solar</v>
          </cell>
        </row>
        <row r="68">
          <cell r="A68" t="str">
            <v>Power generation and self consumption</v>
          </cell>
          <cell r="B68" t="str">
            <v>Business Specific</v>
          </cell>
          <cell r="C68" t="str">
            <v>Energy</v>
          </cell>
          <cell r="D68" t="str">
            <v>solar</v>
          </cell>
        </row>
        <row r="69">
          <cell r="A69" t="str">
            <v>Fly Ash Generation &amp; Disposal at Power Plant</v>
          </cell>
          <cell r="B69" t="str">
            <v>Business Specific</v>
          </cell>
          <cell r="C69" t="str">
            <v>Energy</v>
          </cell>
          <cell r="D69" t="str">
            <v>Power Generation</v>
          </cell>
        </row>
        <row r="70">
          <cell r="A70" t="str">
            <v>Coal Pulverization &amp; Mixing with Primary Air</v>
          </cell>
          <cell r="B70" t="str">
            <v>Business Specific</v>
          </cell>
          <cell r="C70" t="str">
            <v>Energy</v>
          </cell>
          <cell r="D70" t="str">
            <v>Power Generation</v>
          </cell>
        </row>
        <row r="71">
          <cell r="A71" t="str">
            <v>Production of RO &amp; DM Water</v>
          </cell>
          <cell r="B71" t="str">
            <v>Business Specific</v>
          </cell>
          <cell r="C71" t="str">
            <v>Energy</v>
          </cell>
          <cell r="D71" t="str">
            <v>Power Generation</v>
          </cell>
        </row>
        <row r="72">
          <cell r="A72" t="str">
            <v>Combustion of Coal</v>
          </cell>
          <cell r="B72" t="str">
            <v>Business Specific</v>
          </cell>
          <cell r="C72" t="str">
            <v>Energy</v>
          </cell>
          <cell r="D72" t="str">
            <v>Power Generation</v>
          </cell>
        </row>
        <row r="73">
          <cell r="A73" t="str">
            <v>Steam Cycle</v>
          </cell>
          <cell r="B73" t="str">
            <v>Business Specific</v>
          </cell>
          <cell r="C73" t="str">
            <v>Energy</v>
          </cell>
          <cell r="D73" t="str">
            <v>Power Generation</v>
          </cell>
        </row>
        <row r="74">
          <cell r="A74" t="str">
            <v>Cooling Water Cycle</v>
          </cell>
          <cell r="B74" t="str">
            <v>Business Specific</v>
          </cell>
          <cell r="C74" t="str">
            <v>Energy</v>
          </cell>
          <cell r="D74" t="str">
            <v>Power Generation</v>
          </cell>
        </row>
        <row r="75">
          <cell r="A75" t="str">
            <v>Outages</v>
          </cell>
          <cell r="B75" t="str">
            <v>Business Specific</v>
          </cell>
          <cell r="C75" t="str">
            <v>Energy</v>
          </cell>
          <cell r="D75" t="str">
            <v>Power Generation</v>
          </cell>
        </row>
        <row r="76">
          <cell r="A76" t="str">
            <v>Auxiliary Consumption</v>
          </cell>
          <cell r="B76" t="str">
            <v>Business Specific</v>
          </cell>
          <cell r="C76" t="str">
            <v>Energy</v>
          </cell>
          <cell r="D76" t="str">
            <v>Power Generation</v>
          </cell>
        </row>
        <row r="77">
          <cell r="A77" t="str">
            <v>Plant Operations</v>
          </cell>
          <cell r="B77" t="str">
            <v>Business Specific</v>
          </cell>
          <cell r="C77" t="str">
            <v>Energy</v>
          </cell>
          <cell r="D77" t="str">
            <v>Power Generation</v>
          </cell>
        </row>
        <row r="78">
          <cell r="A78" t="str">
            <v>Performance Parameters</v>
          </cell>
          <cell r="B78" t="str">
            <v>Business Specific</v>
          </cell>
          <cell r="C78" t="str">
            <v>Energy</v>
          </cell>
          <cell r="D78" t="str">
            <v>Power Generation</v>
          </cell>
        </row>
        <row r="79">
          <cell r="A79" t="str">
            <v>O&amp;M Quality</v>
          </cell>
          <cell r="B79" t="str">
            <v>Business Specific</v>
          </cell>
          <cell r="C79" t="str">
            <v>Energy</v>
          </cell>
          <cell r="D79" t="str">
            <v>Power Generation</v>
          </cell>
        </row>
        <row r="80">
          <cell r="A80" t="str">
            <v>Plant Optimisation &amp; Performance Improvement</v>
          </cell>
          <cell r="B80" t="str">
            <v>Business Specific</v>
          </cell>
          <cell r="C80" t="str">
            <v>Energy</v>
          </cell>
          <cell r="D80" t="str">
            <v>Power Generation</v>
          </cell>
        </row>
        <row r="81">
          <cell r="A81" t="str">
            <v>O&amp;M Safety</v>
          </cell>
          <cell r="B81" t="str">
            <v>Business Specific</v>
          </cell>
          <cell r="C81" t="str">
            <v>Energy</v>
          </cell>
          <cell r="D81" t="str">
            <v>Power Generation</v>
          </cell>
        </row>
        <row r="82">
          <cell r="A82" t="str">
            <v>Maintenance of equipment</v>
          </cell>
          <cell r="B82" t="str">
            <v>Business Specific</v>
          </cell>
          <cell r="C82" t="str">
            <v>Energy</v>
          </cell>
          <cell r="D82" t="str">
            <v>Gas Distribution</v>
          </cell>
        </row>
        <row r="83">
          <cell r="A83" t="str">
            <v>DSR reconciliation</v>
          </cell>
          <cell r="B83" t="str">
            <v>Business Specific</v>
          </cell>
          <cell r="C83" t="str">
            <v>Energy</v>
          </cell>
          <cell r="D83" t="str">
            <v>Gas Distribution</v>
          </cell>
        </row>
        <row r="84">
          <cell r="A84" t="str">
            <v>Gas Purchase Agreement</v>
          </cell>
          <cell r="B84" t="str">
            <v>Business Specific</v>
          </cell>
          <cell r="C84" t="str">
            <v>Energy</v>
          </cell>
          <cell r="D84" t="str">
            <v>Gas Distribution</v>
          </cell>
        </row>
        <row r="85">
          <cell r="A85" t="str">
            <v>Gas Transmission Agreement</v>
          </cell>
          <cell r="B85" t="str">
            <v>Business Specific</v>
          </cell>
          <cell r="C85" t="str">
            <v>Energy</v>
          </cell>
          <cell r="D85" t="str">
            <v>Gas Distribution</v>
          </cell>
        </row>
        <row r="86">
          <cell r="A86" t="str">
            <v>Gas Reconcilaition at Entry Level</v>
          </cell>
          <cell r="B86" t="str">
            <v>Business Specific</v>
          </cell>
          <cell r="C86" t="str">
            <v>Energy</v>
          </cell>
          <cell r="D86" t="str">
            <v>Gas Distribution</v>
          </cell>
        </row>
        <row r="87">
          <cell r="A87" t="str">
            <v>Gas Reconcilaition at Exit Level</v>
          </cell>
          <cell r="B87" t="str">
            <v>Business Specific</v>
          </cell>
          <cell r="C87" t="str">
            <v>Energy</v>
          </cell>
          <cell r="D87" t="str">
            <v>Gas Distribution</v>
          </cell>
        </row>
        <row r="88">
          <cell r="A88" t="str">
            <v>Reconciliation of purchase and sales quanity reconciliation</v>
          </cell>
          <cell r="B88" t="str">
            <v>Business Specific</v>
          </cell>
          <cell r="C88" t="str">
            <v>Energy</v>
          </cell>
          <cell r="D88" t="str">
            <v>Gas Distribution</v>
          </cell>
        </row>
        <row r="89">
          <cell r="A89" t="str">
            <v>Nomination / scheduling of gas</v>
          </cell>
          <cell r="B89" t="str">
            <v>Business Specific</v>
          </cell>
          <cell r="C89" t="str">
            <v>Energy</v>
          </cell>
          <cell r="D89" t="str">
            <v>Gas Distribution</v>
          </cell>
        </row>
        <row r="90">
          <cell r="A90" t="str">
            <v>Port Operations - Dry Cargo and Container</v>
          </cell>
          <cell r="B90" t="str">
            <v>Business Specific</v>
          </cell>
          <cell r="C90" t="str">
            <v>Logistics</v>
          </cell>
          <cell r="D90" t="str">
            <v>Ports</v>
          </cell>
        </row>
        <row r="91">
          <cell r="A91" t="str">
            <v xml:space="preserve">Port Operations - Liquid Cargo </v>
          </cell>
          <cell r="B91" t="str">
            <v>Business Specific</v>
          </cell>
          <cell r="C91" t="str">
            <v>Logistics</v>
          </cell>
          <cell r="D91" t="str">
            <v>Ports</v>
          </cell>
        </row>
        <row r="92">
          <cell r="A92" t="str">
            <v xml:space="preserve">Port Operations - Marine </v>
          </cell>
          <cell r="B92" t="str">
            <v>Business Specific</v>
          </cell>
          <cell r="C92" t="str">
            <v>Logistics</v>
          </cell>
          <cell r="D92" t="str">
            <v>Ports</v>
          </cell>
        </row>
        <row r="93">
          <cell r="A93" t="str">
            <v>Port Operations - Railway</v>
          </cell>
          <cell r="B93" t="str">
            <v>Business Specific</v>
          </cell>
          <cell r="C93" t="str">
            <v>Logistics</v>
          </cell>
          <cell r="D93" t="str">
            <v>Ports</v>
          </cell>
        </row>
        <row r="94">
          <cell r="A94" t="str">
            <v>Port Operations - Dredging</v>
          </cell>
          <cell r="B94" t="str">
            <v>Business Specific</v>
          </cell>
          <cell r="C94" t="str">
            <v>Logistics</v>
          </cell>
          <cell r="D94" t="str">
            <v>Ports</v>
          </cell>
        </row>
        <row r="95">
          <cell r="A95" t="str">
            <v xml:space="preserve">SEZ  </v>
          </cell>
          <cell r="B95" t="str">
            <v>Business Specific</v>
          </cell>
          <cell r="C95" t="str">
            <v>Logistics</v>
          </cell>
          <cell r="D95" t="str">
            <v>Ports</v>
          </cell>
        </row>
        <row r="96">
          <cell r="A96" t="str">
            <v>Logistics spend budget</v>
          </cell>
          <cell r="B96" t="str">
            <v>Business Specific</v>
          </cell>
          <cell r="C96" t="str">
            <v>Logistics</v>
          </cell>
          <cell r="D96" t="str">
            <v>Logistics</v>
          </cell>
        </row>
        <row r="97">
          <cell r="A97" t="str">
            <v>Logistics planning</v>
          </cell>
          <cell r="B97" t="str">
            <v>Business Specific</v>
          </cell>
          <cell r="C97" t="str">
            <v>Logistics</v>
          </cell>
          <cell r="D97" t="str">
            <v>Logistics</v>
          </cell>
        </row>
        <row r="98">
          <cell r="A98" t="str">
            <v>Transporters' selection</v>
          </cell>
          <cell r="B98" t="str">
            <v>Business Specific</v>
          </cell>
          <cell r="C98" t="str">
            <v>Logistics</v>
          </cell>
          <cell r="D98" t="str">
            <v>Logistics</v>
          </cell>
        </row>
        <row r="99">
          <cell r="A99" t="str">
            <v>Allocation of share of business to logistics service provider</v>
          </cell>
          <cell r="B99" t="str">
            <v>Business Specific</v>
          </cell>
          <cell r="C99" t="str">
            <v>Logistics</v>
          </cell>
          <cell r="D99" t="str">
            <v>Logistics</v>
          </cell>
        </row>
        <row r="100">
          <cell r="A100" t="str">
            <v>Contract awarding</v>
          </cell>
          <cell r="B100" t="str">
            <v>Business Specific</v>
          </cell>
          <cell r="C100" t="str">
            <v>Logistics</v>
          </cell>
          <cell r="D100" t="str">
            <v>Logistics</v>
          </cell>
        </row>
        <row r="101">
          <cell r="A101" t="str">
            <v>Contract compliance management</v>
          </cell>
          <cell r="B101" t="str">
            <v>Business Specific</v>
          </cell>
          <cell r="C101" t="str">
            <v>Logistics</v>
          </cell>
          <cell r="D101" t="str">
            <v>Logistics</v>
          </cell>
        </row>
        <row r="102">
          <cell r="A102" t="str">
            <v>Price revisions</v>
          </cell>
          <cell r="B102" t="str">
            <v>Business Specific</v>
          </cell>
          <cell r="C102" t="str">
            <v>Logistics</v>
          </cell>
          <cell r="D102" t="str">
            <v>Logistics</v>
          </cell>
        </row>
        <row r="103">
          <cell r="A103" t="str">
            <v>Transporters' performance monitoring</v>
          </cell>
          <cell r="B103" t="str">
            <v>Business Specific</v>
          </cell>
          <cell r="C103" t="str">
            <v>Logistics</v>
          </cell>
          <cell r="D103" t="str">
            <v>Logistics</v>
          </cell>
        </row>
        <row r="104">
          <cell r="A104" t="str">
            <v>Transporter's related statutory clearances</v>
          </cell>
          <cell r="B104" t="str">
            <v>Business Specific</v>
          </cell>
          <cell r="C104" t="str">
            <v>Logistics</v>
          </cell>
          <cell r="D104" t="str">
            <v>Logistics</v>
          </cell>
        </row>
        <row r="105">
          <cell r="A105" t="str">
            <v>CHA Operations</v>
          </cell>
          <cell r="B105" t="str">
            <v>Business Specific</v>
          </cell>
          <cell r="C105" t="str">
            <v>Logistics</v>
          </cell>
          <cell r="D105" t="str">
            <v>Logistics</v>
          </cell>
        </row>
        <row r="106">
          <cell r="A106" t="str">
            <v>System Integration</v>
          </cell>
          <cell r="B106" t="str">
            <v>Business Specific</v>
          </cell>
          <cell r="C106" t="str">
            <v>Logistics</v>
          </cell>
          <cell r="D106" t="str">
            <v>Logistics</v>
          </cell>
        </row>
        <row r="107">
          <cell r="A107" t="str">
            <v>Inventory storage planning</v>
          </cell>
          <cell r="B107" t="str">
            <v>Business Specific</v>
          </cell>
          <cell r="C107" t="str">
            <v>Logistics</v>
          </cell>
          <cell r="D107" t="str">
            <v>Logistics</v>
          </cell>
        </row>
        <row r="108">
          <cell r="A108" t="str">
            <v>Issuance of Cargo</v>
          </cell>
          <cell r="B108" t="str">
            <v>Business Specific</v>
          </cell>
          <cell r="C108" t="str">
            <v>Logistics</v>
          </cell>
          <cell r="D108" t="str">
            <v>Logistics</v>
          </cell>
        </row>
        <row r="109">
          <cell r="A109" t="str">
            <v>Physical varification process &amp; stock reco</v>
          </cell>
          <cell r="B109" t="str">
            <v>Business Specific</v>
          </cell>
          <cell r="C109" t="str">
            <v>Logistics</v>
          </cell>
          <cell r="D109" t="str">
            <v>Logistics</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D7C23-D564-44EF-B44C-BB727EC6F791}">
  <sheetPr>
    <pageSetUpPr fitToPage="1"/>
  </sheetPr>
  <dimension ref="A1:P120"/>
  <sheetViews>
    <sheetView zoomScale="70" zoomScaleNormal="70" workbookViewId="0">
      <pane ySplit="1" topLeftCell="A2" activePane="bottomLeft" state="frozen"/>
      <selection pane="bottomLeft" activeCell="P23" sqref="P23"/>
    </sheetView>
  </sheetViews>
  <sheetFormatPr defaultRowHeight="19.95" customHeight="1" x14ac:dyDescent="0.3"/>
  <cols>
    <col min="1" max="1" width="11" style="9" customWidth="1"/>
    <col min="2" max="3" width="13.77734375" style="41" customWidth="1"/>
    <col min="4" max="4" width="30.77734375" style="9" customWidth="1"/>
    <col min="5" max="5" width="20" style="10" bestFit="1" customWidth="1"/>
    <col min="6" max="6" width="10.109375" style="10" customWidth="1"/>
    <col min="7" max="7" width="12.77734375" style="9" customWidth="1"/>
    <col min="8" max="8" width="14.5546875" style="9" customWidth="1"/>
    <col min="9" max="9" width="16.6640625" style="9" customWidth="1"/>
    <col min="10" max="10" width="12.77734375" style="9" customWidth="1"/>
    <col min="11" max="11" width="14.44140625" style="9" customWidth="1"/>
    <col min="12" max="12" width="12.77734375" style="9" customWidth="1"/>
    <col min="13" max="13" width="24.5546875" style="9" customWidth="1"/>
    <col min="14" max="14" width="45.5546875" style="11" bestFit="1" customWidth="1"/>
    <col min="15" max="16384" width="8.88671875" style="9"/>
  </cols>
  <sheetData>
    <row r="1" spans="1:15" ht="127.8" x14ac:dyDescent="0.3">
      <c r="A1" s="102" t="s">
        <v>271</v>
      </c>
      <c r="B1" s="102" t="s">
        <v>206</v>
      </c>
      <c r="C1" s="102" t="s">
        <v>324</v>
      </c>
      <c r="D1" s="103" t="s">
        <v>1</v>
      </c>
      <c r="E1" s="102" t="s">
        <v>0</v>
      </c>
      <c r="F1" s="102" t="s">
        <v>318</v>
      </c>
      <c r="G1" s="77" t="s">
        <v>330</v>
      </c>
      <c r="H1" s="77" t="s">
        <v>341</v>
      </c>
      <c r="I1" s="107" t="s">
        <v>337</v>
      </c>
      <c r="J1" s="107" t="s">
        <v>338</v>
      </c>
      <c r="K1" s="107" t="s">
        <v>339</v>
      </c>
      <c r="L1" s="77" t="s">
        <v>340</v>
      </c>
      <c r="M1" s="86" t="s">
        <v>370</v>
      </c>
      <c r="N1" s="12" t="s">
        <v>46</v>
      </c>
      <c r="O1" s="9" t="s">
        <v>402</v>
      </c>
    </row>
    <row r="2" spans="1:15" ht="46.8" x14ac:dyDescent="0.3">
      <c r="A2" s="135" t="s">
        <v>40</v>
      </c>
      <c r="B2" s="88" t="s">
        <v>209</v>
      </c>
      <c r="C2" s="88" t="s">
        <v>342</v>
      </c>
      <c r="D2" s="89" t="s">
        <v>343</v>
      </c>
      <c r="E2" s="89" t="s">
        <v>375</v>
      </c>
      <c r="F2" s="88"/>
      <c r="G2" s="82" t="s">
        <v>247</v>
      </c>
      <c r="H2" s="82" t="s">
        <v>247</v>
      </c>
      <c r="I2" s="82" t="s">
        <v>247</v>
      </c>
      <c r="J2" s="78">
        <v>45976</v>
      </c>
      <c r="K2" s="78">
        <v>45976</v>
      </c>
      <c r="L2" s="78">
        <v>46006</v>
      </c>
      <c r="M2" s="104">
        <v>0.8</v>
      </c>
      <c r="N2" s="60"/>
    </row>
    <row r="3" spans="1:15" ht="30" customHeight="1" x14ac:dyDescent="0.3">
      <c r="A3" s="135"/>
      <c r="B3" s="88" t="s">
        <v>209</v>
      </c>
      <c r="C3" s="88" t="s">
        <v>342</v>
      </c>
      <c r="D3" s="89" t="s">
        <v>344</v>
      </c>
      <c r="E3" s="89" t="s">
        <v>345</v>
      </c>
      <c r="F3" s="88"/>
      <c r="G3" s="82" t="s">
        <v>247</v>
      </c>
      <c r="H3" s="82" t="s">
        <v>247</v>
      </c>
      <c r="I3" s="82" t="s">
        <v>247</v>
      </c>
      <c r="J3" s="78">
        <v>45960</v>
      </c>
      <c r="K3" s="78" t="s">
        <v>261</v>
      </c>
      <c r="L3" s="78" t="s">
        <v>261</v>
      </c>
      <c r="M3" s="104">
        <v>0.5</v>
      </c>
      <c r="N3" s="60"/>
    </row>
    <row r="4" spans="1:15" ht="31.2" x14ac:dyDescent="0.3">
      <c r="A4" s="135"/>
      <c r="B4" s="88" t="s">
        <v>209</v>
      </c>
      <c r="C4" s="88" t="s">
        <v>342</v>
      </c>
      <c r="D4" s="89" t="s">
        <v>346</v>
      </c>
      <c r="E4" s="89" t="s">
        <v>347</v>
      </c>
      <c r="F4" s="88"/>
      <c r="G4" s="82" t="s">
        <v>247</v>
      </c>
      <c r="H4" s="82" t="s">
        <v>247</v>
      </c>
      <c r="I4" s="82" t="s">
        <v>247</v>
      </c>
      <c r="J4" s="78">
        <v>45991</v>
      </c>
      <c r="K4" s="78">
        <v>45991</v>
      </c>
      <c r="L4" s="78">
        <v>46006</v>
      </c>
      <c r="M4" s="104">
        <v>0.6</v>
      </c>
      <c r="N4" s="60"/>
    </row>
    <row r="5" spans="1:15" ht="30" customHeight="1" x14ac:dyDescent="0.3">
      <c r="A5" s="135"/>
      <c r="B5" s="88" t="s">
        <v>209</v>
      </c>
      <c r="C5" s="88" t="s">
        <v>342</v>
      </c>
      <c r="D5" s="89" t="s">
        <v>348</v>
      </c>
      <c r="E5" s="89" t="s">
        <v>345</v>
      </c>
      <c r="F5" s="88"/>
      <c r="G5" s="82" t="s">
        <v>247</v>
      </c>
      <c r="H5" s="82" t="s">
        <v>247</v>
      </c>
      <c r="I5" s="82" t="s">
        <v>247</v>
      </c>
      <c r="J5" s="78">
        <v>46021</v>
      </c>
      <c r="K5" s="78">
        <v>45991</v>
      </c>
      <c r="L5" s="78">
        <v>46037</v>
      </c>
      <c r="M5" s="104">
        <v>0.55000000000000004</v>
      </c>
      <c r="N5" s="60"/>
    </row>
    <row r="6" spans="1:15" ht="46.8" x14ac:dyDescent="0.3">
      <c r="A6" s="135"/>
      <c r="B6" s="88" t="s">
        <v>209</v>
      </c>
      <c r="C6" s="88" t="s">
        <v>342</v>
      </c>
      <c r="D6" s="89" t="s">
        <v>355</v>
      </c>
      <c r="E6" s="89" t="s">
        <v>383</v>
      </c>
      <c r="F6" s="88"/>
      <c r="G6" s="82" t="s">
        <v>247</v>
      </c>
      <c r="H6" s="79" t="s">
        <v>261</v>
      </c>
      <c r="I6" s="82" t="s">
        <v>247</v>
      </c>
      <c r="J6" s="79" t="s">
        <v>261</v>
      </c>
      <c r="K6" s="78">
        <v>46038</v>
      </c>
      <c r="L6" s="78">
        <v>46111</v>
      </c>
      <c r="M6" s="104">
        <v>0.45</v>
      </c>
      <c r="N6" s="60"/>
    </row>
    <row r="7" spans="1:15" ht="30" customHeight="1" x14ac:dyDescent="0.3">
      <c r="A7" s="135"/>
      <c r="B7" s="88" t="s">
        <v>209</v>
      </c>
      <c r="C7" s="88" t="s">
        <v>342</v>
      </c>
      <c r="D7" s="90" t="s">
        <v>6</v>
      </c>
      <c r="E7" s="89" t="s">
        <v>349</v>
      </c>
      <c r="F7" s="88"/>
      <c r="G7" s="82" t="s">
        <v>247</v>
      </c>
      <c r="H7" s="82" t="s">
        <v>247</v>
      </c>
      <c r="I7" s="82" t="s">
        <v>247</v>
      </c>
      <c r="J7" s="78">
        <v>45991</v>
      </c>
      <c r="K7" s="78">
        <v>45991</v>
      </c>
      <c r="L7" s="78">
        <v>46021</v>
      </c>
      <c r="M7" s="104">
        <v>0.35</v>
      </c>
      <c r="N7" s="60"/>
    </row>
    <row r="8" spans="1:15" ht="30" customHeight="1" x14ac:dyDescent="0.3">
      <c r="A8" s="135"/>
      <c r="B8" s="88" t="s">
        <v>209</v>
      </c>
      <c r="C8" s="88" t="s">
        <v>342</v>
      </c>
      <c r="D8" s="90" t="s">
        <v>83</v>
      </c>
      <c r="E8" s="89" t="s">
        <v>350</v>
      </c>
      <c r="F8" s="88"/>
      <c r="G8" s="82" t="s">
        <v>247</v>
      </c>
      <c r="H8" s="82" t="s">
        <v>247</v>
      </c>
      <c r="I8" s="82" t="s">
        <v>247</v>
      </c>
      <c r="J8" s="78">
        <v>45991</v>
      </c>
      <c r="K8" s="78">
        <v>45991</v>
      </c>
      <c r="L8" s="78">
        <v>46021</v>
      </c>
      <c r="M8" s="104">
        <v>0.3</v>
      </c>
      <c r="N8" s="65"/>
    </row>
    <row r="9" spans="1:15" ht="30" customHeight="1" x14ac:dyDescent="0.3">
      <c r="A9" s="135"/>
      <c r="B9" s="88" t="s">
        <v>209</v>
      </c>
      <c r="C9" s="88" t="s">
        <v>342</v>
      </c>
      <c r="D9" s="90" t="s">
        <v>107</v>
      </c>
      <c r="E9" s="89" t="s">
        <v>351</v>
      </c>
      <c r="F9" s="88"/>
      <c r="G9" s="82" t="s">
        <v>247</v>
      </c>
      <c r="H9" s="79" t="s">
        <v>261</v>
      </c>
      <c r="I9" s="82" t="s">
        <v>247</v>
      </c>
      <c r="J9" s="79" t="s">
        <v>261</v>
      </c>
      <c r="K9" s="78">
        <v>45991</v>
      </c>
      <c r="L9" s="79" t="s">
        <v>261</v>
      </c>
      <c r="M9" s="104">
        <v>0.75</v>
      </c>
      <c r="N9" s="60"/>
    </row>
    <row r="10" spans="1:15" ht="30" customHeight="1" x14ac:dyDescent="0.3">
      <c r="A10" s="135"/>
      <c r="B10" s="88" t="s">
        <v>209</v>
      </c>
      <c r="C10" s="88" t="s">
        <v>342</v>
      </c>
      <c r="D10" s="90" t="s">
        <v>352</v>
      </c>
      <c r="E10" s="89" t="s">
        <v>353</v>
      </c>
      <c r="F10" s="88"/>
      <c r="G10" s="78"/>
      <c r="H10" s="79" t="s">
        <v>261</v>
      </c>
      <c r="I10" s="78"/>
      <c r="J10" s="79" t="s">
        <v>261</v>
      </c>
      <c r="K10" s="78"/>
      <c r="L10" s="78">
        <v>46021</v>
      </c>
      <c r="M10" s="104">
        <v>0</v>
      </c>
      <c r="N10" s="60"/>
    </row>
    <row r="11" spans="1:15" ht="30" customHeight="1" x14ac:dyDescent="0.3">
      <c r="A11" s="135"/>
      <c r="B11" s="88" t="s">
        <v>209</v>
      </c>
      <c r="C11" s="88" t="s">
        <v>342</v>
      </c>
      <c r="D11" s="90" t="s">
        <v>354</v>
      </c>
      <c r="E11" s="89" t="s">
        <v>353</v>
      </c>
      <c r="F11" s="88"/>
      <c r="G11" s="78"/>
      <c r="H11" s="78"/>
      <c r="I11" s="78"/>
      <c r="J11" s="62"/>
      <c r="K11" s="62"/>
      <c r="L11" s="78">
        <v>46021</v>
      </c>
      <c r="M11" s="104">
        <v>0</v>
      </c>
      <c r="N11" s="65"/>
    </row>
    <row r="12" spans="1:15" ht="46.8" x14ac:dyDescent="0.3">
      <c r="A12" s="135"/>
      <c r="B12" s="88" t="s">
        <v>209</v>
      </c>
      <c r="C12" s="88" t="s">
        <v>342</v>
      </c>
      <c r="D12" s="90" t="s">
        <v>356</v>
      </c>
      <c r="E12" s="89" t="s">
        <v>376</v>
      </c>
      <c r="F12" s="88"/>
      <c r="G12" s="78"/>
      <c r="H12" s="79" t="s">
        <v>261</v>
      </c>
      <c r="I12" s="78"/>
      <c r="J12" s="79" t="s">
        <v>261</v>
      </c>
      <c r="K12" s="62"/>
      <c r="L12" s="78">
        <v>46111</v>
      </c>
      <c r="M12" s="104">
        <v>0.25</v>
      </c>
      <c r="N12" s="65"/>
    </row>
    <row r="13" spans="1:15" ht="46.8" x14ac:dyDescent="0.3">
      <c r="A13" s="135"/>
      <c r="B13" s="88" t="s">
        <v>209</v>
      </c>
      <c r="C13" s="88" t="s">
        <v>342</v>
      </c>
      <c r="D13" s="90" t="s">
        <v>357</v>
      </c>
      <c r="E13" s="89" t="s">
        <v>377</v>
      </c>
      <c r="F13" s="88"/>
      <c r="G13" s="78"/>
      <c r="H13" s="78"/>
      <c r="I13" s="78"/>
      <c r="J13" s="62"/>
      <c r="K13" s="62"/>
      <c r="L13" s="78">
        <v>46111</v>
      </c>
      <c r="M13" s="104">
        <v>0.25</v>
      </c>
      <c r="N13" s="65"/>
    </row>
    <row r="14" spans="1:15" ht="46.8" x14ac:dyDescent="0.3">
      <c r="A14" s="135"/>
      <c r="B14" s="88" t="s">
        <v>209</v>
      </c>
      <c r="C14" s="88" t="s">
        <v>342</v>
      </c>
      <c r="D14" s="127" t="s">
        <v>406</v>
      </c>
      <c r="E14" s="89" t="s">
        <v>376</v>
      </c>
      <c r="F14" s="88"/>
      <c r="G14" s="78"/>
      <c r="H14" s="79" t="s">
        <v>261</v>
      </c>
      <c r="I14" s="78"/>
      <c r="J14" s="79" t="s">
        <v>261</v>
      </c>
      <c r="K14" s="62"/>
      <c r="L14" s="78">
        <v>46111</v>
      </c>
      <c r="M14" s="104">
        <v>0.25</v>
      </c>
      <c r="N14" s="65"/>
    </row>
    <row r="15" spans="1:15" ht="30" customHeight="1" x14ac:dyDescent="0.3">
      <c r="A15" s="122"/>
      <c r="B15" s="97" t="s">
        <v>371</v>
      </c>
      <c r="C15" s="91" t="s">
        <v>342</v>
      </c>
      <c r="D15" s="92" t="s">
        <v>372</v>
      </c>
      <c r="E15" s="100" t="s">
        <v>390</v>
      </c>
      <c r="F15" s="91"/>
      <c r="G15" s="125" t="s">
        <v>247</v>
      </c>
      <c r="H15" s="79" t="s">
        <v>261</v>
      </c>
      <c r="I15" s="126" t="s">
        <v>247</v>
      </c>
      <c r="J15" s="79" t="s">
        <v>261</v>
      </c>
      <c r="K15" s="117"/>
      <c r="L15" s="78">
        <v>46111</v>
      </c>
      <c r="M15" s="104">
        <v>0.6</v>
      </c>
      <c r="N15" s="118"/>
    </row>
    <row r="16" spans="1:15" ht="30" customHeight="1" x14ac:dyDescent="0.3">
      <c r="A16" s="122"/>
      <c r="B16" s="97" t="s">
        <v>371</v>
      </c>
      <c r="C16" s="91" t="s">
        <v>342</v>
      </c>
      <c r="D16" s="92" t="s">
        <v>373</v>
      </c>
      <c r="E16" s="100" t="s">
        <v>76</v>
      </c>
      <c r="F16" s="91"/>
      <c r="G16" s="117"/>
      <c r="H16" s="79" t="s">
        <v>261</v>
      </c>
      <c r="I16" s="62"/>
      <c r="J16" s="79" t="s">
        <v>261</v>
      </c>
      <c r="K16" s="117"/>
      <c r="L16" s="78">
        <v>46111</v>
      </c>
      <c r="M16" s="104">
        <v>0.05</v>
      </c>
      <c r="N16" s="118"/>
    </row>
    <row r="17" spans="1:16" ht="30" customHeight="1" x14ac:dyDescent="0.3">
      <c r="A17" s="122"/>
      <c r="B17" s="97" t="s">
        <v>371</v>
      </c>
      <c r="C17" s="91" t="s">
        <v>342</v>
      </c>
      <c r="D17" s="92" t="s">
        <v>386</v>
      </c>
      <c r="E17" s="100" t="s">
        <v>76</v>
      </c>
      <c r="F17" s="91"/>
      <c r="G17" s="117"/>
      <c r="H17" s="79" t="s">
        <v>261</v>
      </c>
      <c r="I17" s="62"/>
      <c r="J17" s="79" t="s">
        <v>261</v>
      </c>
      <c r="K17" s="117"/>
      <c r="L17" s="78">
        <v>45991</v>
      </c>
      <c r="M17" s="104">
        <v>0.6</v>
      </c>
      <c r="N17" s="118" t="s">
        <v>400</v>
      </c>
    </row>
    <row r="18" spans="1:16" ht="30" customHeight="1" x14ac:dyDescent="0.3">
      <c r="A18" s="122"/>
      <c r="B18" s="97" t="s">
        <v>371</v>
      </c>
      <c r="C18" s="91" t="s">
        <v>342</v>
      </c>
      <c r="D18" s="92" t="s">
        <v>388</v>
      </c>
      <c r="E18" s="100" t="s">
        <v>76</v>
      </c>
      <c r="F18" s="91"/>
      <c r="G18" s="117"/>
      <c r="H18" s="79" t="s">
        <v>261</v>
      </c>
      <c r="I18" s="62"/>
      <c r="J18" s="79" t="s">
        <v>261</v>
      </c>
      <c r="K18" s="117"/>
      <c r="L18" s="78">
        <v>46052</v>
      </c>
      <c r="M18" s="104">
        <v>0.05</v>
      </c>
      <c r="N18" s="118"/>
    </row>
    <row r="19" spans="1:16" ht="30" customHeight="1" x14ac:dyDescent="0.3">
      <c r="A19" s="122"/>
      <c r="B19" s="97" t="s">
        <v>371</v>
      </c>
      <c r="C19" s="91" t="s">
        <v>342</v>
      </c>
      <c r="D19" s="92" t="s">
        <v>374</v>
      </c>
      <c r="E19" s="100" t="s">
        <v>76</v>
      </c>
      <c r="F19" s="91"/>
      <c r="G19" s="117"/>
      <c r="H19" s="79" t="s">
        <v>261</v>
      </c>
      <c r="I19" s="62"/>
      <c r="J19" s="79" t="s">
        <v>261</v>
      </c>
      <c r="K19" s="117"/>
      <c r="L19" s="78">
        <v>46111</v>
      </c>
      <c r="M19" s="104">
        <v>0</v>
      </c>
      <c r="N19" s="118"/>
      <c r="P19" s="9" t="s">
        <v>407</v>
      </c>
    </row>
    <row r="20" spans="1:16" ht="30" customHeight="1" x14ac:dyDescent="0.3">
      <c r="A20" s="122"/>
      <c r="B20" s="97" t="s">
        <v>208</v>
      </c>
      <c r="C20" s="97" t="s">
        <v>328</v>
      </c>
      <c r="D20" s="92" t="s">
        <v>381</v>
      </c>
      <c r="E20" s="100" t="s">
        <v>382</v>
      </c>
      <c r="F20" s="91"/>
      <c r="G20" s="82" t="s">
        <v>247</v>
      </c>
      <c r="H20" s="79" t="s">
        <v>261</v>
      </c>
      <c r="I20" s="82" t="s">
        <v>247</v>
      </c>
      <c r="J20" s="79" t="s">
        <v>261</v>
      </c>
      <c r="K20" s="78">
        <v>46111</v>
      </c>
      <c r="L20" s="78">
        <v>46111</v>
      </c>
      <c r="M20" s="104">
        <v>0.35</v>
      </c>
      <c r="N20" s="118"/>
      <c r="P20" s="9" t="s">
        <v>408</v>
      </c>
    </row>
    <row r="21" spans="1:16" ht="30" customHeight="1" x14ac:dyDescent="0.3">
      <c r="A21" s="122"/>
      <c r="B21" s="97" t="s">
        <v>371</v>
      </c>
      <c r="C21" s="91" t="s">
        <v>342</v>
      </c>
      <c r="D21" s="92" t="s">
        <v>387</v>
      </c>
      <c r="E21" s="100" t="s">
        <v>396</v>
      </c>
      <c r="F21" s="108"/>
      <c r="G21" s="117"/>
      <c r="H21" s="79" t="s">
        <v>261</v>
      </c>
      <c r="I21" s="62"/>
      <c r="J21" s="79" t="s">
        <v>261</v>
      </c>
      <c r="K21" s="117"/>
      <c r="L21" s="123">
        <v>45991</v>
      </c>
      <c r="M21" s="104">
        <v>0</v>
      </c>
      <c r="N21" s="118"/>
      <c r="P21" s="9" t="s">
        <v>409</v>
      </c>
    </row>
    <row r="22" spans="1:16" ht="30" customHeight="1" x14ac:dyDescent="0.3">
      <c r="A22" s="122"/>
      <c r="B22" s="97" t="s">
        <v>371</v>
      </c>
      <c r="C22" s="91" t="s">
        <v>342</v>
      </c>
      <c r="D22" s="122" t="s">
        <v>392</v>
      </c>
      <c r="E22" s="100" t="s">
        <v>396</v>
      </c>
      <c r="F22" s="108"/>
      <c r="G22" s="117"/>
      <c r="H22" s="79" t="s">
        <v>261</v>
      </c>
      <c r="I22" s="62"/>
      <c r="J22" s="79" t="s">
        <v>261</v>
      </c>
      <c r="K22" s="117"/>
      <c r="L22" s="123">
        <v>46021</v>
      </c>
      <c r="M22" s="104">
        <v>0</v>
      </c>
      <c r="N22" s="118"/>
      <c r="P22" s="9" t="s">
        <v>410</v>
      </c>
    </row>
    <row r="23" spans="1:16" ht="30" customHeight="1" x14ac:dyDescent="0.3">
      <c r="A23" s="122"/>
      <c r="B23" s="97" t="s">
        <v>371</v>
      </c>
      <c r="C23" s="91" t="s">
        <v>342</v>
      </c>
      <c r="D23" s="122" t="s">
        <v>389</v>
      </c>
      <c r="E23" s="100" t="s">
        <v>395</v>
      </c>
      <c r="F23" s="108"/>
      <c r="G23" s="117"/>
      <c r="H23" s="79" t="s">
        <v>261</v>
      </c>
      <c r="I23" s="62"/>
      <c r="J23" s="79" t="s">
        <v>261</v>
      </c>
      <c r="K23" s="117"/>
      <c r="L23" s="123">
        <v>46111</v>
      </c>
      <c r="M23" s="104">
        <v>0.05</v>
      </c>
      <c r="N23" s="118"/>
      <c r="P23" s="9" t="s">
        <v>411</v>
      </c>
    </row>
    <row r="24" spans="1:16" ht="30" customHeight="1" x14ac:dyDescent="0.3">
      <c r="A24" s="122"/>
      <c r="B24" s="97" t="s">
        <v>371</v>
      </c>
      <c r="C24" s="91" t="s">
        <v>342</v>
      </c>
      <c r="D24" s="122" t="s">
        <v>391</v>
      </c>
      <c r="E24" s="124" t="s">
        <v>390</v>
      </c>
      <c r="F24" s="108"/>
      <c r="G24" s="82" t="s">
        <v>247</v>
      </c>
      <c r="H24" s="79" t="s">
        <v>261</v>
      </c>
      <c r="I24" s="82" t="s">
        <v>247</v>
      </c>
      <c r="J24" s="79" t="s">
        <v>261</v>
      </c>
      <c r="K24" s="117"/>
      <c r="L24" s="123">
        <v>46111</v>
      </c>
      <c r="M24" s="104">
        <v>0.9</v>
      </c>
      <c r="N24" s="118"/>
    </row>
    <row r="25" spans="1:16" ht="30" customHeight="1" x14ac:dyDescent="0.3">
      <c r="A25" s="122"/>
      <c r="B25" s="97" t="s">
        <v>371</v>
      </c>
      <c r="C25" s="91" t="s">
        <v>342</v>
      </c>
      <c r="D25" s="122" t="s">
        <v>393</v>
      </c>
      <c r="E25" s="124" t="s">
        <v>394</v>
      </c>
      <c r="F25" s="108"/>
      <c r="G25" s="82" t="s">
        <v>247</v>
      </c>
      <c r="H25" s="79" t="s">
        <v>261</v>
      </c>
      <c r="I25" s="82" t="s">
        <v>247</v>
      </c>
      <c r="J25" s="79" t="s">
        <v>261</v>
      </c>
      <c r="K25" s="117"/>
      <c r="L25" s="123">
        <v>46052</v>
      </c>
      <c r="M25" s="104">
        <v>0</v>
      </c>
      <c r="N25" s="118"/>
    </row>
    <row r="26" spans="1:16" ht="30" customHeight="1" x14ac:dyDescent="0.3">
      <c r="A26" s="122"/>
      <c r="B26" s="97" t="s">
        <v>371</v>
      </c>
      <c r="C26" s="91" t="s">
        <v>342</v>
      </c>
      <c r="D26" s="122" t="s">
        <v>403</v>
      </c>
      <c r="E26" s="124" t="s">
        <v>394</v>
      </c>
      <c r="F26" s="108"/>
      <c r="G26" s="117"/>
      <c r="H26" s="79" t="s">
        <v>261</v>
      </c>
      <c r="I26" s="62"/>
      <c r="J26" s="79" t="s">
        <v>261</v>
      </c>
      <c r="K26" s="117"/>
      <c r="L26" s="123">
        <v>46203</v>
      </c>
      <c r="M26" s="104"/>
      <c r="N26" s="118"/>
    </row>
    <row r="27" spans="1:16" ht="30" customHeight="1" x14ac:dyDescent="0.3">
      <c r="A27" s="122"/>
      <c r="B27" s="97" t="s">
        <v>371</v>
      </c>
      <c r="C27" s="91" t="s">
        <v>342</v>
      </c>
      <c r="D27" s="122" t="s">
        <v>404</v>
      </c>
      <c r="E27" s="124" t="s">
        <v>405</v>
      </c>
      <c r="F27" s="108"/>
      <c r="G27" s="117"/>
      <c r="H27" s="117"/>
      <c r="I27" s="117"/>
      <c r="J27" s="117"/>
      <c r="K27" s="117"/>
      <c r="L27" s="123">
        <v>46203</v>
      </c>
      <c r="M27" s="104"/>
      <c r="N27" s="118"/>
    </row>
    <row r="28" spans="1:16" ht="112.2" x14ac:dyDescent="0.3">
      <c r="A28" s="102" t="s">
        <v>271</v>
      </c>
      <c r="B28" s="102" t="s">
        <v>206</v>
      </c>
      <c r="C28" s="102" t="s">
        <v>324</v>
      </c>
      <c r="D28" s="103" t="s">
        <v>1</v>
      </c>
      <c r="E28" s="102" t="s">
        <v>0</v>
      </c>
      <c r="F28" s="102" t="s">
        <v>318</v>
      </c>
      <c r="G28" s="77" t="s">
        <v>330</v>
      </c>
      <c r="H28" s="77" t="s">
        <v>331</v>
      </c>
      <c r="I28" s="77" t="s">
        <v>332</v>
      </c>
      <c r="J28" s="77" t="s">
        <v>333</v>
      </c>
      <c r="K28" s="77" t="s">
        <v>334</v>
      </c>
      <c r="L28" s="77" t="s">
        <v>335</v>
      </c>
      <c r="M28" s="86" t="s">
        <v>336</v>
      </c>
      <c r="N28" s="12" t="s">
        <v>46</v>
      </c>
    </row>
    <row r="29" spans="1:16" ht="30" customHeight="1" x14ac:dyDescent="0.3">
      <c r="A29" s="135" t="s">
        <v>56</v>
      </c>
      <c r="B29" s="88" t="s">
        <v>207</v>
      </c>
      <c r="C29" s="88" t="s">
        <v>111</v>
      </c>
      <c r="D29" s="89" t="s">
        <v>58</v>
      </c>
      <c r="E29" s="88" t="s">
        <v>61</v>
      </c>
      <c r="F29" s="88"/>
      <c r="G29" s="82" t="s">
        <v>265</v>
      </c>
      <c r="H29" s="82" t="s">
        <v>265</v>
      </c>
      <c r="I29" s="82" t="s">
        <v>265</v>
      </c>
      <c r="J29" s="78">
        <v>45976</v>
      </c>
      <c r="K29" s="78">
        <v>46111</v>
      </c>
      <c r="L29" s="78">
        <v>46172</v>
      </c>
      <c r="M29" s="104">
        <v>0.3</v>
      </c>
      <c r="N29" s="60" t="s">
        <v>215</v>
      </c>
    </row>
    <row r="30" spans="1:16" ht="30" customHeight="1" x14ac:dyDescent="0.3">
      <c r="A30" s="135"/>
      <c r="B30" s="88" t="s">
        <v>207</v>
      </c>
      <c r="C30" s="88" t="s">
        <v>111</v>
      </c>
      <c r="D30" s="89" t="s">
        <v>2</v>
      </c>
      <c r="E30" s="88" t="s">
        <v>61</v>
      </c>
      <c r="F30" s="88"/>
      <c r="G30" s="82" t="s">
        <v>265</v>
      </c>
      <c r="H30" s="82" t="s">
        <v>265</v>
      </c>
      <c r="I30" s="82" t="s">
        <v>265</v>
      </c>
      <c r="J30" s="78">
        <v>45976</v>
      </c>
      <c r="K30" s="78">
        <v>46111</v>
      </c>
      <c r="L30" s="78">
        <v>46172</v>
      </c>
      <c r="M30" s="104">
        <v>0.3</v>
      </c>
      <c r="N30" s="60" t="s">
        <v>215</v>
      </c>
    </row>
    <row r="31" spans="1:16" ht="30" customHeight="1" x14ac:dyDescent="0.3">
      <c r="A31" s="135"/>
      <c r="B31" s="88" t="s">
        <v>207</v>
      </c>
      <c r="C31" s="88" t="s">
        <v>111</v>
      </c>
      <c r="D31" s="89" t="s">
        <v>59</v>
      </c>
      <c r="E31" s="88" t="s">
        <v>61</v>
      </c>
      <c r="F31" s="88"/>
      <c r="G31" s="82" t="s">
        <v>265</v>
      </c>
      <c r="H31" s="82" t="s">
        <v>265</v>
      </c>
      <c r="I31" s="82" t="s">
        <v>265</v>
      </c>
      <c r="J31" s="78">
        <v>45976</v>
      </c>
      <c r="K31" s="78">
        <v>46111</v>
      </c>
      <c r="L31" s="78">
        <v>46172</v>
      </c>
      <c r="M31" s="104">
        <v>0.3</v>
      </c>
      <c r="N31" s="60" t="s">
        <v>215</v>
      </c>
    </row>
    <row r="32" spans="1:16" ht="30" customHeight="1" x14ac:dyDescent="0.3">
      <c r="A32" s="135"/>
      <c r="B32" s="88" t="s">
        <v>207</v>
      </c>
      <c r="C32" s="88" t="s">
        <v>111</v>
      </c>
      <c r="D32" s="89" t="s">
        <v>60</v>
      </c>
      <c r="E32" s="88" t="s">
        <v>61</v>
      </c>
      <c r="F32" s="88"/>
      <c r="G32" s="82" t="s">
        <v>265</v>
      </c>
      <c r="H32" s="82" t="s">
        <v>265</v>
      </c>
      <c r="I32" s="82" t="s">
        <v>265</v>
      </c>
      <c r="J32" s="78">
        <v>45976</v>
      </c>
      <c r="K32" s="78">
        <v>46111</v>
      </c>
      <c r="L32" s="78">
        <v>46172</v>
      </c>
      <c r="M32" s="104">
        <v>0.3</v>
      </c>
      <c r="N32" s="60" t="s">
        <v>215</v>
      </c>
    </row>
    <row r="33" spans="1:14" ht="30" customHeight="1" x14ac:dyDescent="0.3">
      <c r="A33" s="135"/>
      <c r="B33" s="88" t="s">
        <v>207</v>
      </c>
      <c r="C33" s="88" t="s">
        <v>111</v>
      </c>
      <c r="D33" s="89" t="s">
        <v>310</v>
      </c>
      <c r="E33" s="88"/>
      <c r="F33" s="88"/>
      <c r="G33" s="80" t="s">
        <v>292</v>
      </c>
      <c r="H33" s="78"/>
      <c r="I33" s="78"/>
      <c r="J33" s="78"/>
      <c r="K33" s="78"/>
      <c r="L33" s="78"/>
      <c r="M33" s="104">
        <v>0.05</v>
      </c>
      <c r="N33" s="60"/>
    </row>
    <row r="34" spans="1:14" ht="30" customHeight="1" x14ac:dyDescent="0.3">
      <c r="A34" s="135"/>
      <c r="B34" s="88" t="s">
        <v>207</v>
      </c>
      <c r="C34" s="88" t="s">
        <v>111</v>
      </c>
      <c r="D34" s="90" t="s">
        <v>62</v>
      </c>
      <c r="E34" s="88" t="s">
        <v>61</v>
      </c>
      <c r="F34" s="88"/>
      <c r="G34" s="82" t="s">
        <v>265</v>
      </c>
      <c r="H34" s="85" t="s">
        <v>315</v>
      </c>
      <c r="I34" s="82" t="s">
        <v>265</v>
      </c>
      <c r="J34" s="78">
        <v>45976</v>
      </c>
      <c r="K34" s="78">
        <v>46111</v>
      </c>
      <c r="L34" s="78">
        <v>46172</v>
      </c>
      <c r="M34" s="104">
        <v>0.3</v>
      </c>
      <c r="N34" s="60" t="s">
        <v>215</v>
      </c>
    </row>
    <row r="35" spans="1:14" ht="30" customHeight="1" x14ac:dyDescent="0.3">
      <c r="A35" s="135"/>
      <c r="B35" s="88" t="s">
        <v>207</v>
      </c>
      <c r="C35" s="88" t="s">
        <v>325</v>
      </c>
      <c r="D35" s="90" t="s">
        <v>284</v>
      </c>
      <c r="E35" s="88"/>
      <c r="F35" s="88"/>
      <c r="G35" s="80" t="s">
        <v>292</v>
      </c>
      <c r="H35" s="79" t="s">
        <v>261</v>
      </c>
      <c r="I35" s="79" t="s">
        <v>261</v>
      </c>
      <c r="J35" s="62"/>
      <c r="K35" s="62"/>
      <c r="L35" s="62"/>
      <c r="M35" s="104">
        <v>0.05</v>
      </c>
      <c r="N35" s="65"/>
    </row>
    <row r="36" spans="1:14" ht="30" customHeight="1" x14ac:dyDescent="0.3">
      <c r="A36" s="135"/>
      <c r="B36" s="88" t="s">
        <v>207</v>
      </c>
      <c r="C36" s="88" t="s">
        <v>111</v>
      </c>
      <c r="D36" s="90" t="s">
        <v>291</v>
      </c>
      <c r="E36" s="88" t="s">
        <v>61</v>
      </c>
      <c r="F36" s="88"/>
      <c r="G36" s="82" t="s">
        <v>265</v>
      </c>
      <c r="H36" s="85" t="s">
        <v>315</v>
      </c>
      <c r="I36" s="82" t="s">
        <v>265</v>
      </c>
      <c r="J36" s="78">
        <v>45976</v>
      </c>
      <c r="K36" s="78">
        <v>46111</v>
      </c>
      <c r="L36" s="78">
        <v>46172</v>
      </c>
      <c r="M36" s="104">
        <v>0.3</v>
      </c>
      <c r="N36" s="60" t="s">
        <v>215</v>
      </c>
    </row>
    <row r="37" spans="1:14" ht="30" customHeight="1" x14ac:dyDescent="0.3">
      <c r="A37" s="135"/>
      <c r="B37" s="88" t="s">
        <v>207</v>
      </c>
      <c r="C37" s="88" t="s">
        <v>111</v>
      </c>
      <c r="D37" s="90" t="s">
        <v>290</v>
      </c>
      <c r="E37" s="88" t="s">
        <v>69</v>
      </c>
      <c r="F37" s="88"/>
      <c r="G37" s="82" t="s">
        <v>265</v>
      </c>
      <c r="H37" s="85" t="s">
        <v>317</v>
      </c>
      <c r="I37" s="83" t="s">
        <v>316</v>
      </c>
      <c r="J37" s="78">
        <v>46042</v>
      </c>
      <c r="K37" s="78">
        <v>46068</v>
      </c>
      <c r="L37" s="78">
        <v>46111</v>
      </c>
      <c r="M37" s="104">
        <v>0.3</v>
      </c>
      <c r="N37" s="60" t="s">
        <v>215</v>
      </c>
    </row>
    <row r="38" spans="1:14" ht="30" customHeight="1" x14ac:dyDescent="0.3">
      <c r="A38" s="135"/>
      <c r="B38" s="88" t="s">
        <v>207</v>
      </c>
      <c r="C38" s="88" t="s">
        <v>326</v>
      </c>
      <c r="D38" s="90" t="s">
        <v>178</v>
      </c>
      <c r="E38" s="88" t="s">
        <v>179</v>
      </c>
      <c r="F38" s="88"/>
      <c r="G38" s="80" t="s">
        <v>319</v>
      </c>
      <c r="H38" s="82" t="s">
        <v>247</v>
      </c>
      <c r="I38" s="81">
        <v>45960</v>
      </c>
      <c r="J38" s="62"/>
      <c r="K38" s="62"/>
      <c r="L38" s="62"/>
      <c r="M38" s="104">
        <v>0.3</v>
      </c>
      <c r="N38" s="65" t="s">
        <v>227</v>
      </c>
    </row>
    <row r="39" spans="1:14" ht="30" customHeight="1" x14ac:dyDescent="0.3">
      <c r="A39" s="135"/>
      <c r="B39" s="88" t="s">
        <v>207</v>
      </c>
      <c r="C39" s="88" t="s">
        <v>328</v>
      </c>
      <c r="D39" s="90" t="s">
        <v>213</v>
      </c>
      <c r="E39" s="88"/>
      <c r="F39" s="88"/>
      <c r="G39" s="80" t="s">
        <v>292</v>
      </c>
      <c r="H39" s="79" t="s">
        <v>261</v>
      </c>
      <c r="I39" s="79" t="s">
        <v>261</v>
      </c>
      <c r="J39" s="62"/>
      <c r="K39" s="62"/>
      <c r="L39" s="62"/>
      <c r="M39" s="104">
        <v>0.05</v>
      </c>
      <c r="N39" s="65" t="s">
        <v>214</v>
      </c>
    </row>
    <row r="40" spans="1:14" ht="30" customHeight="1" x14ac:dyDescent="0.3">
      <c r="A40" s="136" t="s">
        <v>257</v>
      </c>
      <c r="B40" s="91" t="s">
        <v>207</v>
      </c>
      <c r="C40" s="91" t="s">
        <v>326</v>
      </c>
      <c r="D40" s="92" t="s">
        <v>82</v>
      </c>
      <c r="E40" s="91" t="s">
        <v>124</v>
      </c>
      <c r="F40" s="91"/>
      <c r="G40" s="82" t="s">
        <v>247</v>
      </c>
      <c r="H40" s="82" t="s">
        <v>247</v>
      </c>
      <c r="I40" s="83" t="s">
        <v>267</v>
      </c>
      <c r="J40" s="62"/>
      <c r="K40" s="62"/>
      <c r="L40" s="62"/>
      <c r="M40" s="104">
        <v>0.3</v>
      </c>
      <c r="N40" s="60" t="s">
        <v>238</v>
      </c>
    </row>
    <row r="41" spans="1:14" ht="30" customHeight="1" x14ac:dyDescent="0.3">
      <c r="A41" s="136"/>
      <c r="B41" s="91" t="s">
        <v>207</v>
      </c>
      <c r="C41" s="91" t="s">
        <v>326</v>
      </c>
      <c r="D41" s="92" t="s">
        <v>256</v>
      </c>
      <c r="E41" s="91" t="s">
        <v>71</v>
      </c>
      <c r="F41" s="91"/>
      <c r="G41" s="82" t="s">
        <v>247</v>
      </c>
      <c r="H41" s="82" t="s">
        <v>247</v>
      </c>
      <c r="I41" s="83" t="s">
        <v>266</v>
      </c>
      <c r="J41" s="62"/>
      <c r="K41" s="62"/>
      <c r="L41" s="62"/>
      <c r="M41" s="104">
        <v>0.3</v>
      </c>
      <c r="N41" s="60"/>
    </row>
    <row r="42" spans="1:14" ht="30" customHeight="1" x14ac:dyDescent="0.3">
      <c r="A42" s="136"/>
      <c r="B42" s="91" t="s">
        <v>207</v>
      </c>
      <c r="C42" s="91" t="s">
        <v>326</v>
      </c>
      <c r="D42" s="92" t="s">
        <v>9</v>
      </c>
      <c r="E42" s="91" t="s">
        <v>70</v>
      </c>
      <c r="F42" s="91"/>
      <c r="G42" s="82" t="s">
        <v>247</v>
      </c>
      <c r="H42" s="82" t="s">
        <v>247</v>
      </c>
      <c r="I42" s="83" t="s">
        <v>262</v>
      </c>
      <c r="J42" s="62"/>
      <c r="K42" s="62"/>
      <c r="L42" s="62"/>
      <c r="M42" s="104">
        <v>0.3</v>
      </c>
      <c r="N42" s="60" t="s">
        <v>237</v>
      </c>
    </row>
    <row r="43" spans="1:14" ht="30" customHeight="1" x14ac:dyDescent="0.3">
      <c r="A43" s="136"/>
      <c r="B43" s="91" t="s">
        <v>207</v>
      </c>
      <c r="C43" s="91" t="s">
        <v>326</v>
      </c>
      <c r="D43" s="92" t="s">
        <v>397</v>
      </c>
      <c r="E43" s="91"/>
      <c r="F43" s="91"/>
      <c r="G43" s="80" t="s">
        <v>320</v>
      </c>
      <c r="H43" s="62"/>
      <c r="I43" s="62"/>
      <c r="J43" s="62"/>
      <c r="K43" s="62"/>
      <c r="L43" s="62"/>
      <c r="M43" s="104">
        <v>0.05</v>
      </c>
      <c r="N43" s="60"/>
    </row>
    <row r="44" spans="1:14" ht="30" customHeight="1" x14ac:dyDescent="0.3">
      <c r="A44" s="136"/>
      <c r="B44" s="91" t="s">
        <v>207</v>
      </c>
      <c r="C44" s="91" t="s">
        <v>326</v>
      </c>
      <c r="D44" s="92" t="s">
        <v>293</v>
      </c>
      <c r="E44" s="91"/>
      <c r="F44" s="91"/>
      <c r="G44" s="80" t="s">
        <v>320</v>
      </c>
      <c r="H44" s="62"/>
      <c r="I44" s="62"/>
      <c r="J44" s="62"/>
      <c r="K44" s="62"/>
      <c r="L44" s="62"/>
      <c r="M44" s="104">
        <v>0.05</v>
      </c>
      <c r="N44" s="60"/>
    </row>
    <row r="45" spans="1:14" ht="30" customHeight="1" x14ac:dyDescent="0.3">
      <c r="A45" s="135" t="s">
        <v>313</v>
      </c>
      <c r="B45" s="88" t="s">
        <v>207</v>
      </c>
      <c r="C45" s="88" t="s">
        <v>326</v>
      </c>
      <c r="D45" s="90" t="s">
        <v>3</v>
      </c>
      <c r="E45" s="88" t="s">
        <v>71</v>
      </c>
      <c r="F45" s="88"/>
      <c r="G45" s="82" t="s">
        <v>247</v>
      </c>
      <c r="H45" s="82" t="s">
        <v>247</v>
      </c>
      <c r="I45" s="83" t="s">
        <v>266</v>
      </c>
      <c r="J45" s="62"/>
      <c r="K45" s="62"/>
      <c r="L45" s="62"/>
      <c r="M45" s="104">
        <v>0.3</v>
      </c>
      <c r="N45" s="60" t="s">
        <v>248</v>
      </c>
    </row>
    <row r="46" spans="1:14" ht="30" customHeight="1" x14ac:dyDescent="0.3">
      <c r="A46" s="135"/>
      <c r="B46" s="88" t="s">
        <v>207</v>
      </c>
      <c r="C46" s="88" t="s">
        <v>326</v>
      </c>
      <c r="D46" s="90" t="s">
        <v>294</v>
      </c>
      <c r="E46" s="88"/>
      <c r="F46" s="88"/>
      <c r="G46" s="80" t="s">
        <v>292</v>
      </c>
      <c r="H46" s="82"/>
      <c r="I46" s="83"/>
      <c r="J46" s="62"/>
      <c r="K46" s="62"/>
      <c r="L46" s="62"/>
      <c r="M46" s="104">
        <v>0.05</v>
      </c>
      <c r="N46" s="60"/>
    </row>
    <row r="47" spans="1:14" ht="30" hidden="1" customHeight="1" x14ac:dyDescent="0.3">
      <c r="A47" s="136" t="s">
        <v>285</v>
      </c>
      <c r="B47" s="91" t="s">
        <v>207</v>
      </c>
      <c r="C47" s="91"/>
      <c r="D47" s="92" t="s">
        <v>286</v>
      </c>
      <c r="E47" s="91"/>
      <c r="F47" s="91"/>
      <c r="G47" s="80" t="s">
        <v>292</v>
      </c>
      <c r="H47" s="79" t="s">
        <v>261</v>
      </c>
      <c r="I47" s="79" t="s">
        <v>261</v>
      </c>
      <c r="J47" s="62"/>
      <c r="K47" s="62"/>
      <c r="L47" s="62"/>
      <c r="M47" s="104">
        <v>0.05</v>
      </c>
      <c r="N47" s="65" t="s">
        <v>214</v>
      </c>
    </row>
    <row r="48" spans="1:14" ht="30" customHeight="1" x14ac:dyDescent="0.3">
      <c r="A48" s="136"/>
      <c r="B48" s="91" t="s">
        <v>207</v>
      </c>
      <c r="C48" s="91" t="s">
        <v>325</v>
      </c>
      <c r="D48" s="92" t="s">
        <v>287</v>
      </c>
      <c r="E48" s="91"/>
      <c r="F48" s="91"/>
      <c r="G48" s="80" t="s">
        <v>292</v>
      </c>
      <c r="H48" s="79" t="s">
        <v>261</v>
      </c>
      <c r="I48" s="79" t="s">
        <v>261</v>
      </c>
      <c r="J48" s="62"/>
      <c r="K48" s="62"/>
      <c r="L48" s="62"/>
      <c r="M48" s="104">
        <v>0.05</v>
      </c>
      <c r="N48" s="65"/>
    </row>
    <row r="49" spans="1:14" ht="30" customHeight="1" x14ac:dyDescent="0.3">
      <c r="A49" s="136"/>
      <c r="B49" s="91" t="s">
        <v>207</v>
      </c>
      <c r="C49" s="91" t="s">
        <v>325</v>
      </c>
      <c r="D49" s="92" t="s">
        <v>288</v>
      </c>
      <c r="E49" s="91"/>
      <c r="F49" s="91"/>
      <c r="G49" s="80" t="s">
        <v>292</v>
      </c>
      <c r="H49" s="79" t="s">
        <v>261</v>
      </c>
      <c r="I49" s="79" t="s">
        <v>261</v>
      </c>
      <c r="J49" s="62"/>
      <c r="K49" s="62"/>
      <c r="L49" s="62"/>
      <c r="M49" s="104">
        <v>0.05</v>
      </c>
      <c r="N49" s="65"/>
    </row>
    <row r="50" spans="1:14" ht="30" customHeight="1" x14ac:dyDescent="0.3">
      <c r="A50" s="136"/>
      <c r="B50" s="91" t="s">
        <v>207</v>
      </c>
      <c r="C50" s="91" t="s">
        <v>325</v>
      </c>
      <c r="D50" s="92" t="s">
        <v>289</v>
      </c>
      <c r="E50" s="91"/>
      <c r="F50" s="91"/>
      <c r="G50" s="80" t="s">
        <v>292</v>
      </c>
      <c r="H50" s="79" t="s">
        <v>261</v>
      </c>
      <c r="I50" s="79" t="s">
        <v>261</v>
      </c>
      <c r="J50" s="62"/>
      <c r="K50" s="62"/>
      <c r="L50" s="62"/>
      <c r="M50" s="104">
        <v>0.05</v>
      </c>
      <c r="N50" s="65"/>
    </row>
    <row r="51" spans="1:14" ht="30" customHeight="1" x14ac:dyDescent="0.3">
      <c r="A51" s="134" t="s">
        <v>258</v>
      </c>
      <c r="B51" s="88" t="s">
        <v>207</v>
      </c>
      <c r="C51" s="88" t="s">
        <v>111</v>
      </c>
      <c r="D51" s="90" t="s">
        <v>273</v>
      </c>
      <c r="E51" s="88" t="s">
        <v>66</v>
      </c>
      <c r="F51" s="88"/>
      <c r="G51" s="82" t="s">
        <v>247</v>
      </c>
      <c r="H51" s="82" t="s">
        <v>247</v>
      </c>
      <c r="I51" s="82" t="s">
        <v>247</v>
      </c>
      <c r="J51" s="62"/>
      <c r="K51" s="62"/>
      <c r="L51" s="62"/>
      <c r="M51" s="105">
        <v>0.3</v>
      </c>
      <c r="N51" s="60" t="s">
        <v>217</v>
      </c>
    </row>
    <row r="52" spans="1:14" ht="30" customHeight="1" x14ac:dyDescent="0.3">
      <c r="A52" s="134"/>
      <c r="B52" s="88" t="s">
        <v>207</v>
      </c>
      <c r="C52" s="88" t="s">
        <v>111</v>
      </c>
      <c r="D52" s="90" t="s">
        <v>274</v>
      </c>
      <c r="E52" s="88" t="s">
        <v>66</v>
      </c>
      <c r="F52" s="88"/>
      <c r="G52" s="82" t="s">
        <v>247</v>
      </c>
      <c r="H52" s="82" t="s">
        <v>247</v>
      </c>
      <c r="I52" s="82" t="s">
        <v>247</v>
      </c>
      <c r="J52" s="62"/>
      <c r="K52" s="62"/>
      <c r="L52" s="62"/>
      <c r="M52" s="105">
        <v>0.05</v>
      </c>
      <c r="N52" s="60"/>
    </row>
    <row r="53" spans="1:14" ht="30" customHeight="1" x14ac:dyDescent="0.3">
      <c r="A53" s="134"/>
      <c r="B53" s="88" t="s">
        <v>207</v>
      </c>
      <c r="C53" s="88" t="s">
        <v>111</v>
      </c>
      <c r="D53" s="90" t="s">
        <v>277</v>
      </c>
      <c r="E53" s="88"/>
      <c r="F53" s="88"/>
      <c r="G53" s="80" t="s">
        <v>275</v>
      </c>
      <c r="H53" s="78"/>
      <c r="I53" s="78"/>
      <c r="J53" s="62"/>
      <c r="K53" s="62"/>
      <c r="L53" s="62"/>
      <c r="M53" s="105">
        <v>0.05</v>
      </c>
      <c r="N53" s="65" t="s">
        <v>214</v>
      </c>
    </row>
    <row r="54" spans="1:14" ht="30" customHeight="1" x14ac:dyDescent="0.3">
      <c r="A54" s="134"/>
      <c r="B54" s="88" t="s">
        <v>207</v>
      </c>
      <c r="C54" s="88" t="s">
        <v>111</v>
      </c>
      <c r="D54" s="90" t="s">
        <v>272</v>
      </c>
      <c r="E54" s="88"/>
      <c r="F54" s="88"/>
      <c r="G54" s="80" t="s">
        <v>275</v>
      </c>
      <c r="H54" s="78"/>
      <c r="I54" s="78"/>
      <c r="J54" s="62"/>
      <c r="K54" s="62"/>
      <c r="L54" s="62"/>
      <c r="M54" s="105">
        <v>0.05</v>
      </c>
      <c r="N54" s="65"/>
    </row>
    <row r="55" spans="1:14" ht="30" customHeight="1" x14ac:dyDescent="0.3">
      <c r="A55" s="134"/>
      <c r="B55" s="88" t="s">
        <v>207</v>
      </c>
      <c r="C55" s="88" t="s">
        <v>111</v>
      </c>
      <c r="D55" s="90" t="s">
        <v>276</v>
      </c>
      <c r="E55" s="88"/>
      <c r="F55" s="88"/>
      <c r="G55" s="80" t="s">
        <v>275</v>
      </c>
      <c r="H55" s="79" t="s">
        <v>261</v>
      </c>
      <c r="I55" s="79" t="s">
        <v>261</v>
      </c>
      <c r="J55" s="62"/>
      <c r="K55" s="62"/>
      <c r="L55" s="62"/>
      <c r="M55" s="106">
        <v>0.05</v>
      </c>
      <c r="N55" s="65" t="s">
        <v>214</v>
      </c>
    </row>
    <row r="56" spans="1:14" ht="30" customHeight="1" x14ac:dyDescent="0.3">
      <c r="A56" s="134"/>
      <c r="B56" s="93" t="s">
        <v>208</v>
      </c>
      <c r="C56" s="93" t="s">
        <v>327</v>
      </c>
      <c r="D56" s="90" t="s">
        <v>136</v>
      </c>
      <c r="E56" s="88"/>
      <c r="F56" s="88"/>
      <c r="G56" s="82" t="s">
        <v>262</v>
      </c>
      <c r="H56" s="82" t="s">
        <v>247</v>
      </c>
      <c r="I56" s="82" t="s">
        <v>247</v>
      </c>
      <c r="J56" s="62"/>
      <c r="K56" s="62"/>
      <c r="L56" s="62"/>
      <c r="M56" s="106">
        <v>0.05</v>
      </c>
      <c r="N56" s="60" t="s">
        <v>219</v>
      </c>
    </row>
    <row r="57" spans="1:14" ht="30" customHeight="1" x14ac:dyDescent="0.3">
      <c r="A57" s="134"/>
      <c r="B57" s="93" t="s">
        <v>207</v>
      </c>
      <c r="C57" s="93" t="s">
        <v>111</v>
      </c>
      <c r="D57" s="90" t="s">
        <v>278</v>
      </c>
      <c r="E57" s="88"/>
      <c r="F57" s="88"/>
      <c r="G57" s="80" t="s">
        <v>279</v>
      </c>
      <c r="H57" s="82"/>
      <c r="I57" s="82"/>
      <c r="J57" s="62"/>
      <c r="K57" s="62"/>
      <c r="L57" s="62"/>
      <c r="M57" s="106">
        <v>0.05</v>
      </c>
      <c r="N57" s="60"/>
    </row>
    <row r="58" spans="1:14" ht="30" customHeight="1" x14ac:dyDescent="0.3">
      <c r="A58" s="136" t="s">
        <v>305</v>
      </c>
      <c r="B58" s="94" t="s">
        <v>207</v>
      </c>
      <c r="C58" s="94" t="s">
        <v>111</v>
      </c>
      <c r="D58" s="95" t="s">
        <v>306</v>
      </c>
      <c r="E58" s="96"/>
      <c r="F58" s="96"/>
      <c r="G58" s="80" t="s">
        <v>275</v>
      </c>
      <c r="H58" s="78"/>
      <c r="I58" s="78"/>
      <c r="J58" s="62"/>
      <c r="K58" s="62"/>
      <c r="L58" s="62"/>
      <c r="M58" s="106">
        <v>0.05</v>
      </c>
      <c r="N58" s="60" t="s">
        <v>239</v>
      </c>
    </row>
    <row r="59" spans="1:14" ht="30" customHeight="1" x14ac:dyDescent="0.3">
      <c r="A59" s="136"/>
      <c r="B59" s="94" t="s">
        <v>207</v>
      </c>
      <c r="C59" s="94" t="s">
        <v>111</v>
      </c>
      <c r="D59" s="92" t="s">
        <v>307</v>
      </c>
      <c r="E59" s="91"/>
      <c r="F59" s="91"/>
      <c r="G59" s="80" t="s">
        <v>275</v>
      </c>
      <c r="H59" s="78"/>
      <c r="I59" s="78"/>
      <c r="J59" s="62"/>
      <c r="K59" s="62"/>
      <c r="L59" s="62"/>
      <c r="M59" s="106">
        <v>0.05</v>
      </c>
      <c r="N59" s="60"/>
    </row>
    <row r="60" spans="1:14" ht="30" customHeight="1" x14ac:dyDescent="0.3">
      <c r="A60" s="136"/>
      <c r="B60" s="94" t="s">
        <v>207</v>
      </c>
      <c r="C60" s="94" t="s">
        <v>111</v>
      </c>
      <c r="D60" s="92" t="s">
        <v>309</v>
      </c>
      <c r="E60" s="91"/>
      <c r="F60" s="91"/>
      <c r="G60" s="80" t="s">
        <v>275</v>
      </c>
      <c r="H60" s="78"/>
      <c r="I60" s="78"/>
      <c r="J60" s="62"/>
      <c r="K60" s="62"/>
      <c r="L60" s="62"/>
      <c r="M60" s="106">
        <v>0.05</v>
      </c>
      <c r="N60" s="60"/>
    </row>
    <row r="61" spans="1:14" ht="30" customHeight="1" x14ac:dyDescent="0.3">
      <c r="A61" s="135" t="s">
        <v>283</v>
      </c>
      <c r="B61" s="93" t="s">
        <v>207</v>
      </c>
      <c r="C61" s="93" t="s">
        <v>111</v>
      </c>
      <c r="D61" s="90" t="s">
        <v>304</v>
      </c>
      <c r="E61" s="88" t="s">
        <v>228</v>
      </c>
      <c r="F61" s="88"/>
      <c r="G61" s="82" t="s">
        <v>262</v>
      </c>
      <c r="H61" s="82" t="s">
        <v>247</v>
      </c>
      <c r="I61" s="78">
        <v>45954</v>
      </c>
      <c r="J61" s="62"/>
      <c r="K61" s="62"/>
      <c r="L61" s="62"/>
      <c r="M61" s="106">
        <v>0.2</v>
      </c>
      <c r="N61" s="60" t="s">
        <v>253</v>
      </c>
    </row>
    <row r="62" spans="1:14" ht="30" customHeight="1" x14ac:dyDescent="0.3">
      <c r="A62" s="135"/>
      <c r="B62" s="93" t="s">
        <v>207</v>
      </c>
      <c r="C62" s="93" t="s">
        <v>111</v>
      </c>
      <c r="D62" s="90" t="s">
        <v>308</v>
      </c>
      <c r="E62" s="88"/>
      <c r="F62" s="88"/>
      <c r="G62" s="80" t="s">
        <v>263</v>
      </c>
      <c r="H62" s="78"/>
      <c r="I62" s="78"/>
      <c r="J62" s="62"/>
      <c r="K62" s="62"/>
      <c r="L62" s="62"/>
      <c r="M62" s="106">
        <v>0.05</v>
      </c>
      <c r="N62" s="60"/>
    </row>
    <row r="63" spans="1:14" ht="30" customHeight="1" x14ac:dyDescent="0.3">
      <c r="A63" s="135"/>
      <c r="B63" s="93" t="s">
        <v>207</v>
      </c>
      <c r="C63" s="93" t="s">
        <v>111</v>
      </c>
      <c r="D63" s="90" t="s">
        <v>281</v>
      </c>
      <c r="E63" s="88"/>
      <c r="F63" s="88"/>
      <c r="G63" s="80" t="s">
        <v>263</v>
      </c>
      <c r="H63" s="78"/>
      <c r="I63" s="78"/>
      <c r="J63" s="62"/>
      <c r="K63" s="62"/>
      <c r="L63" s="62"/>
      <c r="M63" s="106">
        <v>0.05</v>
      </c>
      <c r="N63" s="60"/>
    </row>
    <row r="64" spans="1:14" ht="30" customHeight="1" x14ac:dyDescent="0.3">
      <c r="A64" s="135"/>
      <c r="B64" s="93" t="s">
        <v>207</v>
      </c>
      <c r="C64" s="93" t="s">
        <v>111</v>
      </c>
      <c r="D64" s="90" t="s">
        <v>282</v>
      </c>
      <c r="E64" s="88"/>
      <c r="F64" s="88"/>
      <c r="G64" s="80" t="s">
        <v>263</v>
      </c>
      <c r="H64" s="78"/>
      <c r="I64" s="78"/>
      <c r="J64" s="62"/>
      <c r="K64" s="62"/>
      <c r="L64" s="62"/>
      <c r="M64" s="106">
        <v>0.05</v>
      </c>
      <c r="N64" s="60"/>
    </row>
    <row r="65" spans="1:14" ht="30" customHeight="1" x14ac:dyDescent="0.3">
      <c r="A65" s="135"/>
      <c r="B65" s="93" t="s">
        <v>207</v>
      </c>
      <c r="C65" s="93" t="s">
        <v>111</v>
      </c>
      <c r="D65" s="90" t="s">
        <v>280</v>
      </c>
      <c r="E65" s="88"/>
      <c r="F65" s="88"/>
      <c r="G65" s="80" t="s">
        <v>263</v>
      </c>
      <c r="H65" s="78"/>
      <c r="I65" s="78"/>
      <c r="J65" s="62"/>
      <c r="K65" s="62"/>
      <c r="L65" s="62"/>
      <c r="M65" s="106">
        <v>0.05</v>
      </c>
      <c r="N65" s="60"/>
    </row>
    <row r="66" spans="1:14" ht="30" customHeight="1" x14ac:dyDescent="0.3">
      <c r="A66" s="136" t="s">
        <v>314</v>
      </c>
      <c r="B66" s="97" t="s">
        <v>207</v>
      </c>
      <c r="C66" s="97" t="s">
        <v>111</v>
      </c>
      <c r="D66" s="92" t="s">
        <v>295</v>
      </c>
      <c r="E66" s="91" t="s">
        <v>218</v>
      </c>
      <c r="F66" s="91"/>
      <c r="G66" s="80" t="s">
        <v>321</v>
      </c>
      <c r="H66" s="78"/>
      <c r="I66" s="78"/>
      <c r="J66" s="62"/>
      <c r="K66" s="62"/>
      <c r="L66" s="62"/>
      <c r="M66" s="106">
        <v>0.05</v>
      </c>
      <c r="N66" s="60" t="s">
        <v>239</v>
      </c>
    </row>
    <row r="67" spans="1:14" ht="30" customHeight="1" x14ac:dyDescent="0.3">
      <c r="A67" s="136"/>
      <c r="B67" s="97" t="s">
        <v>207</v>
      </c>
      <c r="C67" s="97" t="s">
        <v>111</v>
      </c>
      <c r="D67" s="92" t="s">
        <v>296</v>
      </c>
      <c r="E67" s="91"/>
      <c r="F67" s="91"/>
      <c r="G67" s="80" t="s">
        <v>321</v>
      </c>
      <c r="H67" s="78"/>
      <c r="I67" s="78"/>
      <c r="J67" s="62"/>
      <c r="K67" s="62"/>
      <c r="L67" s="62"/>
      <c r="M67" s="106">
        <v>0.05</v>
      </c>
      <c r="N67" s="60"/>
    </row>
    <row r="68" spans="1:14" ht="30" customHeight="1" x14ac:dyDescent="0.3">
      <c r="A68" s="136"/>
      <c r="B68" s="97" t="s">
        <v>207</v>
      </c>
      <c r="C68" s="97" t="s">
        <v>111</v>
      </c>
      <c r="D68" s="92" t="s">
        <v>297</v>
      </c>
      <c r="E68" s="91"/>
      <c r="F68" s="91"/>
      <c r="G68" s="80" t="s">
        <v>321</v>
      </c>
      <c r="H68" s="78"/>
      <c r="I68" s="78"/>
      <c r="J68" s="62"/>
      <c r="K68" s="62"/>
      <c r="L68" s="62"/>
      <c r="M68" s="106">
        <v>0.05</v>
      </c>
      <c r="N68" s="60"/>
    </row>
    <row r="69" spans="1:14" ht="30" customHeight="1" x14ac:dyDescent="0.3">
      <c r="A69" s="136"/>
      <c r="B69" s="97" t="s">
        <v>207</v>
      </c>
      <c r="C69" s="97" t="s">
        <v>111</v>
      </c>
      <c r="D69" s="92" t="s">
        <v>298</v>
      </c>
      <c r="E69" s="91"/>
      <c r="F69" s="91"/>
      <c r="G69" s="80" t="s">
        <v>321</v>
      </c>
      <c r="H69" s="78"/>
      <c r="I69" s="78"/>
      <c r="J69" s="62"/>
      <c r="K69" s="62"/>
      <c r="L69" s="62"/>
      <c r="M69" s="106">
        <v>0.05</v>
      </c>
      <c r="N69" s="60"/>
    </row>
    <row r="70" spans="1:14" ht="30" customHeight="1" x14ac:dyDescent="0.3">
      <c r="A70" s="135" t="s">
        <v>300</v>
      </c>
      <c r="B70" s="93" t="s">
        <v>207</v>
      </c>
      <c r="C70" s="93" t="s">
        <v>325</v>
      </c>
      <c r="D70" s="90" t="s">
        <v>299</v>
      </c>
      <c r="E70" s="88" t="s">
        <v>229</v>
      </c>
      <c r="F70" s="88"/>
      <c r="G70" s="83" t="s">
        <v>262</v>
      </c>
      <c r="H70" s="80">
        <v>45948</v>
      </c>
      <c r="I70" s="78"/>
      <c r="J70" s="62"/>
      <c r="K70" s="62"/>
      <c r="L70" s="62"/>
      <c r="M70" s="106">
        <v>0.2</v>
      </c>
      <c r="N70" s="60" t="s">
        <v>240</v>
      </c>
    </row>
    <row r="71" spans="1:14" ht="30" customHeight="1" x14ac:dyDescent="0.3">
      <c r="A71" s="135"/>
      <c r="B71" s="93" t="s">
        <v>207</v>
      </c>
      <c r="C71" s="93" t="s">
        <v>325</v>
      </c>
      <c r="D71" s="90" t="s">
        <v>251</v>
      </c>
      <c r="E71" s="88" t="s">
        <v>252</v>
      </c>
      <c r="F71" s="88"/>
      <c r="G71" s="83" t="s">
        <v>262</v>
      </c>
      <c r="H71" s="79" t="s">
        <v>261</v>
      </c>
      <c r="I71" s="79" t="s">
        <v>261</v>
      </c>
      <c r="J71" s="62"/>
      <c r="K71" s="62"/>
      <c r="L71" s="62"/>
      <c r="M71" s="106">
        <v>0.3</v>
      </c>
      <c r="N71" s="60"/>
    </row>
    <row r="72" spans="1:14" ht="30" customHeight="1" x14ac:dyDescent="0.3">
      <c r="A72" s="135"/>
      <c r="B72" s="93" t="s">
        <v>207</v>
      </c>
      <c r="C72" s="93" t="s">
        <v>325</v>
      </c>
      <c r="D72" s="90" t="s">
        <v>301</v>
      </c>
      <c r="E72" s="88"/>
      <c r="F72" s="88"/>
      <c r="G72" s="80" t="s">
        <v>322</v>
      </c>
      <c r="H72" s="62"/>
      <c r="I72" s="62"/>
      <c r="J72" s="62"/>
      <c r="K72" s="62"/>
      <c r="L72" s="62"/>
      <c r="M72" s="106">
        <v>0.05</v>
      </c>
      <c r="N72" s="60"/>
    </row>
    <row r="73" spans="1:14" ht="30" customHeight="1" x14ac:dyDescent="0.3">
      <c r="A73" s="135"/>
      <c r="B73" s="93" t="s">
        <v>207</v>
      </c>
      <c r="C73" s="93" t="s">
        <v>325</v>
      </c>
      <c r="D73" s="90" t="s">
        <v>302</v>
      </c>
      <c r="E73" s="88"/>
      <c r="F73" s="88"/>
      <c r="G73" s="80" t="s">
        <v>323</v>
      </c>
      <c r="H73" s="62"/>
      <c r="I73" s="62"/>
      <c r="J73" s="62"/>
      <c r="K73" s="62"/>
      <c r="L73" s="62"/>
      <c r="M73" s="106">
        <v>0</v>
      </c>
      <c r="N73" s="60"/>
    </row>
    <row r="74" spans="1:14" ht="30" customHeight="1" x14ac:dyDescent="0.3">
      <c r="A74" s="135"/>
      <c r="B74" s="93" t="s">
        <v>207</v>
      </c>
      <c r="C74" s="93" t="s">
        <v>325</v>
      </c>
      <c r="D74" s="90" t="s">
        <v>303</v>
      </c>
      <c r="E74" s="88"/>
      <c r="F74" s="88"/>
      <c r="G74" s="80" t="s">
        <v>398</v>
      </c>
      <c r="H74" s="62"/>
      <c r="I74" s="62"/>
      <c r="J74" s="62"/>
      <c r="K74" s="62"/>
      <c r="L74" s="62"/>
      <c r="M74" s="106">
        <v>0</v>
      </c>
      <c r="N74" s="60"/>
    </row>
    <row r="75" spans="1:14" ht="30" customHeight="1" x14ac:dyDescent="0.3">
      <c r="A75" s="136" t="s">
        <v>259</v>
      </c>
      <c r="B75" s="97" t="s">
        <v>208</v>
      </c>
      <c r="C75" s="97" t="s">
        <v>111</v>
      </c>
      <c r="D75" s="92" t="s">
        <v>34</v>
      </c>
      <c r="E75" s="91" t="s">
        <v>218</v>
      </c>
      <c r="F75" s="91"/>
      <c r="G75" s="80" t="s">
        <v>264</v>
      </c>
      <c r="H75" s="78"/>
      <c r="I75" s="78"/>
      <c r="J75" s="62"/>
      <c r="K75" s="62"/>
      <c r="L75" s="62"/>
      <c r="M75" s="106">
        <v>0.05</v>
      </c>
      <c r="N75" s="60" t="s">
        <v>220</v>
      </c>
    </row>
    <row r="76" spans="1:14" ht="30" customHeight="1" x14ac:dyDescent="0.3">
      <c r="A76" s="136"/>
      <c r="B76" s="97" t="s">
        <v>208</v>
      </c>
      <c r="C76" s="97" t="s">
        <v>111</v>
      </c>
      <c r="D76" s="92" t="s">
        <v>35</v>
      </c>
      <c r="E76" s="91" t="s">
        <v>218</v>
      </c>
      <c r="F76" s="91"/>
      <c r="G76" s="80" t="s">
        <v>264</v>
      </c>
      <c r="H76" s="78"/>
      <c r="I76" s="78"/>
      <c r="J76" s="62"/>
      <c r="K76" s="62"/>
      <c r="L76" s="62"/>
      <c r="M76" s="106">
        <v>0.05</v>
      </c>
      <c r="N76" s="60" t="s">
        <v>220</v>
      </c>
    </row>
    <row r="77" spans="1:14" ht="30" customHeight="1" x14ac:dyDescent="0.3">
      <c r="A77" s="136"/>
      <c r="B77" s="97" t="s">
        <v>208</v>
      </c>
      <c r="C77" s="97" t="s">
        <v>111</v>
      </c>
      <c r="D77" s="92" t="s">
        <v>39</v>
      </c>
      <c r="E77" s="91" t="s">
        <v>218</v>
      </c>
      <c r="F77" s="91"/>
      <c r="G77" s="80" t="s">
        <v>264</v>
      </c>
      <c r="H77" s="78"/>
      <c r="I77" s="78"/>
      <c r="J77" s="62"/>
      <c r="K77" s="62"/>
      <c r="L77" s="62"/>
      <c r="M77" s="106">
        <v>0.05</v>
      </c>
      <c r="N77" s="60" t="s">
        <v>220</v>
      </c>
    </row>
    <row r="78" spans="1:14" ht="30" customHeight="1" x14ac:dyDescent="0.3">
      <c r="A78" s="136"/>
      <c r="B78" s="97" t="s">
        <v>208</v>
      </c>
      <c r="C78" s="97" t="s">
        <v>111</v>
      </c>
      <c r="D78" s="92" t="s">
        <v>311</v>
      </c>
      <c r="E78" s="91" t="s">
        <v>218</v>
      </c>
      <c r="F78" s="91"/>
      <c r="G78" s="80" t="s">
        <v>264</v>
      </c>
      <c r="H78" s="78"/>
      <c r="I78" s="78"/>
      <c r="J78" s="62"/>
      <c r="K78" s="62"/>
      <c r="L78" s="62"/>
      <c r="M78" s="106">
        <v>0.05</v>
      </c>
      <c r="N78" s="60"/>
    </row>
    <row r="79" spans="1:14" ht="30" customHeight="1" x14ac:dyDescent="0.3">
      <c r="A79" s="87" t="s">
        <v>312</v>
      </c>
      <c r="B79" s="93"/>
      <c r="C79" s="93" t="s">
        <v>325</v>
      </c>
      <c r="D79" s="90" t="s">
        <v>312</v>
      </c>
      <c r="E79" s="88" t="s">
        <v>218</v>
      </c>
      <c r="F79" s="88"/>
      <c r="G79" s="80"/>
      <c r="H79" s="78"/>
      <c r="I79" s="78"/>
      <c r="J79" s="62"/>
      <c r="K79" s="62"/>
      <c r="L79" s="62"/>
      <c r="M79" s="106">
        <v>0</v>
      </c>
      <c r="N79" s="60"/>
    </row>
    <row r="80" spans="1:14" ht="30" customHeight="1" x14ac:dyDescent="0.3">
      <c r="A80" s="138" t="s">
        <v>401</v>
      </c>
      <c r="B80" s="91" t="s">
        <v>208</v>
      </c>
      <c r="C80" s="98" t="s">
        <v>327</v>
      </c>
      <c r="D80" s="99" t="s">
        <v>184</v>
      </c>
      <c r="E80" s="100" t="s">
        <v>230</v>
      </c>
      <c r="F80" s="100"/>
      <c r="G80" s="82" t="s">
        <v>247</v>
      </c>
      <c r="H80" s="82" t="s">
        <v>247</v>
      </c>
      <c r="I80" s="82" t="s">
        <v>247</v>
      </c>
      <c r="J80" s="78">
        <v>46052</v>
      </c>
      <c r="K80" s="78">
        <v>46068</v>
      </c>
      <c r="L80" s="78">
        <v>46111</v>
      </c>
      <c r="M80" s="106">
        <v>0.3</v>
      </c>
      <c r="N80" s="60" t="s">
        <v>235</v>
      </c>
    </row>
    <row r="81" spans="1:14" ht="30" customHeight="1" x14ac:dyDescent="0.3">
      <c r="A81" s="138"/>
      <c r="B81" s="91" t="s">
        <v>208</v>
      </c>
      <c r="C81" s="98" t="s">
        <v>327</v>
      </c>
      <c r="D81" s="99" t="s">
        <v>185</v>
      </c>
      <c r="E81" s="100" t="s">
        <v>231</v>
      </c>
      <c r="F81" s="100"/>
      <c r="G81" s="82" t="s">
        <v>247</v>
      </c>
      <c r="H81" s="82" t="s">
        <v>247</v>
      </c>
      <c r="I81" s="82" t="s">
        <v>247</v>
      </c>
      <c r="J81" s="78">
        <v>46068</v>
      </c>
      <c r="K81" s="78">
        <f>J81+30</f>
        <v>46098</v>
      </c>
      <c r="L81" s="78">
        <v>46111</v>
      </c>
      <c r="M81" s="106">
        <v>0.1</v>
      </c>
      <c r="N81" s="60" t="s">
        <v>234</v>
      </c>
    </row>
    <row r="82" spans="1:14" ht="78" x14ac:dyDescent="0.3">
      <c r="A82" s="138"/>
      <c r="B82" s="91" t="s">
        <v>208</v>
      </c>
      <c r="C82" s="98" t="s">
        <v>327</v>
      </c>
      <c r="D82" s="99" t="s">
        <v>127</v>
      </c>
      <c r="E82" s="100" t="s">
        <v>232</v>
      </c>
      <c r="F82" s="100"/>
      <c r="G82" s="82" t="s">
        <v>247</v>
      </c>
      <c r="H82" s="82" t="s">
        <v>247</v>
      </c>
      <c r="I82" s="82" t="s">
        <v>247</v>
      </c>
      <c r="J82" s="78">
        <v>46006</v>
      </c>
      <c r="K82" s="78">
        <v>46037</v>
      </c>
      <c r="L82" s="78">
        <v>46111</v>
      </c>
      <c r="M82" s="106">
        <v>0.3</v>
      </c>
      <c r="N82" s="60" t="s">
        <v>235</v>
      </c>
    </row>
    <row r="83" spans="1:14" ht="30" customHeight="1" x14ac:dyDescent="0.3">
      <c r="A83" s="138"/>
      <c r="B83" s="91" t="s">
        <v>208</v>
      </c>
      <c r="C83" s="98" t="s">
        <v>327</v>
      </c>
      <c r="D83" s="92" t="s">
        <v>24</v>
      </c>
      <c r="E83" s="91" t="s">
        <v>139</v>
      </c>
      <c r="F83" s="91"/>
      <c r="G83" s="82" t="s">
        <v>247</v>
      </c>
      <c r="H83" s="81">
        <v>46310</v>
      </c>
      <c r="I83" s="82" t="s">
        <v>247</v>
      </c>
      <c r="J83" s="78">
        <v>46052</v>
      </c>
      <c r="K83" s="78">
        <v>46081</v>
      </c>
      <c r="L83" s="78">
        <v>46111</v>
      </c>
      <c r="M83" s="106">
        <v>0.2</v>
      </c>
      <c r="N83" s="60" t="s">
        <v>233</v>
      </c>
    </row>
    <row r="84" spans="1:14" ht="30" customHeight="1" x14ac:dyDescent="0.3">
      <c r="A84" s="138"/>
      <c r="B84" s="91" t="s">
        <v>208</v>
      </c>
      <c r="C84" s="98" t="s">
        <v>327</v>
      </c>
      <c r="D84" s="92" t="s">
        <v>25</v>
      </c>
      <c r="E84" s="91" t="s">
        <v>218</v>
      </c>
      <c r="F84" s="91"/>
      <c r="G84" s="80" t="s">
        <v>264</v>
      </c>
      <c r="H84" s="78"/>
      <c r="I84" s="78"/>
      <c r="J84" s="62"/>
      <c r="K84" s="62"/>
      <c r="L84" s="62"/>
      <c r="M84" s="106">
        <v>0.05</v>
      </c>
      <c r="N84" s="60" t="s">
        <v>137</v>
      </c>
    </row>
    <row r="85" spans="1:14" ht="30" customHeight="1" x14ac:dyDescent="0.3">
      <c r="A85" s="138"/>
      <c r="B85" s="91" t="s">
        <v>208</v>
      </c>
      <c r="C85" s="98" t="s">
        <v>327</v>
      </c>
      <c r="D85" s="92" t="s">
        <v>26</v>
      </c>
      <c r="E85" s="91" t="s">
        <v>218</v>
      </c>
      <c r="F85" s="91"/>
      <c r="G85" s="80" t="s">
        <v>264</v>
      </c>
      <c r="H85" s="78"/>
      <c r="I85" s="78"/>
      <c r="J85" s="62"/>
      <c r="K85" s="62"/>
      <c r="L85" s="62"/>
      <c r="M85" s="106">
        <v>0.05</v>
      </c>
      <c r="N85" s="60" t="s">
        <v>137</v>
      </c>
    </row>
    <row r="86" spans="1:14" ht="30" customHeight="1" x14ac:dyDescent="0.3">
      <c r="A86" s="138"/>
      <c r="B86" s="91" t="s">
        <v>208</v>
      </c>
      <c r="C86" s="98" t="s">
        <v>327</v>
      </c>
      <c r="D86" s="92" t="s">
        <v>126</v>
      </c>
      <c r="E86" s="91" t="s">
        <v>218</v>
      </c>
      <c r="F86" s="91"/>
      <c r="G86" s="80" t="s">
        <v>268</v>
      </c>
      <c r="H86" s="78"/>
      <c r="I86" s="78"/>
      <c r="J86" s="62"/>
      <c r="K86" s="62"/>
      <c r="L86" s="62"/>
      <c r="M86" s="106">
        <v>0.05</v>
      </c>
      <c r="N86" s="60" t="s">
        <v>186</v>
      </c>
    </row>
    <row r="87" spans="1:14" ht="30" customHeight="1" x14ac:dyDescent="0.3">
      <c r="A87" s="138"/>
      <c r="B87" s="91" t="s">
        <v>208</v>
      </c>
      <c r="C87" s="98" t="s">
        <v>327</v>
      </c>
      <c r="D87" s="92" t="s">
        <v>27</v>
      </c>
      <c r="E87" s="91" t="s">
        <v>241</v>
      </c>
      <c r="F87" s="91"/>
      <c r="G87" s="82" t="s">
        <v>247</v>
      </c>
      <c r="H87" s="79" t="s">
        <v>261</v>
      </c>
      <c r="I87" s="79" t="s">
        <v>261</v>
      </c>
      <c r="J87" s="62"/>
      <c r="K87" s="62"/>
      <c r="L87" s="62"/>
      <c r="M87" s="106">
        <v>0.3</v>
      </c>
      <c r="N87" s="60" t="s">
        <v>186</v>
      </c>
    </row>
    <row r="88" spans="1:14" ht="30" customHeight="1" x14ac:dyDescent="0.3">
      <c r="A88" s="139" t="s">
        <v>260</v>
      </c>
      <c r="B88" s="88" t="s">
        <v>208</v>
      </c>
      <c r="C88" s="88" t="s">
        <v>327</v>
      </c>
      <c r="D88" s="90" t="s">
        <v>28</v>
      </c>
      <c r="E88" s="88" t="s">
        <v>218</v>
      </c>
      <c r="F88" s="88"/>
      <c r="G88" s="80" t="s">
        <v>269</v>
      </c>
      <c r="H88" s="78"/>
      <c r="I88" s="78"/>
      <c r="J88" s="62"/>
      <c r="K88" s="62"/>
      <c r="L88" s="62"/>
      <c r="M88" s="106">
        <v>0.05</v>
      </c>
      <c r="N88" s="60" t="s">
        <v>138</v>
      </c>
    </row>
    <row r="89" spans="1:14" ht="30" customHeight="1" x14ac:dyDescent="0.3">
      <c r="A89" s="139"/>
      <c r="B89" s="88" t="s">
        <v>208</v>
      </c>
      <c r="C89" s="88" t="s">
        <v>327</v>
      </c>
      <c r="D89" s="90" t="s">
        <v>29</v>
      </c>
      <c r="E89" s="88" t="s">
        <v>218</v>
      </c>
      <c r="F89" s="88"/>
      <c r="G89" s="80" t="s">
        <v>269</v>
      </c>
      <c r="H89" s="78"/>
      <c r="I89" s="78"/>
      <c r="J89" s="62"/>
      <c r="K89" s="62"/>
      <c r="L89" s="62"/>
      <c r="M89" s="106">
        <v>0.05</v>
      </c>
      <c r="N89" s="60" t="s">
        <v>138</v>
      </c>
    </row>
    <row r="90" spans="1:14" ht="30" customHeight="1" x14ac:dyDescent="0.3">
      <c r="A90" s="139"/>
      <c r="B90" s="88" t="s">
        <v>208</v>
      </c>
      <c r="C90" s="88" t="s">
        <v>327</v>
      </c>
      <c r="D90" s="90" t="s">
        <v>30</v>
      </c>
      <c r="E90" s="88" t="s">
        <v>218</v>
      </c>
      <c r="F90" s="88"/>
      <c r="G90" s="80" t="s">
        <v>269</v>
      </c>
      <c r="H90" s="78"/>
      <c r="I90" s="78"/>
      <c r="J90" s="62"/>
      <c r="K90" s="62"/>
      <c r="L90" s="62"/>
      <c r="M90" s="106">
        <v>0.05</v>
      </c>
      <c r="N90" s="60" t="s">
        <v>138</v>
      </c>
    </row>
    <row r="91" spans="1:14" ht="30" customHeight="1" x14ac:dyDescent="0.3">
      <c r="A91" s="139"/>
      <c r="B91" s="88" t="s">
        <v>208</v>
      </c>
      <c r="C91" s="88" t="s">
        <v>327</v>
      </c>
      <c r="D91" s="90" t="s">
        <v>31</v>
      </c>
      <c r="E91" s="88" t="s">
        <v>218</v>
      </c>
      <c r="F91" s="88"/>
      <c r="G91" s="80" t="s">
        <v>269</v>
      </c>
      <c r="H91" s="78"/>
      <c r="I91" s="78"/>
      <c r="J91" s="62"/>
      <c r="K91" s="62"/>
      <c r="L91" s="62"/>
      <c r="M91" s="106">
        <v>0.05</v>
      </c>
      <c r="N91" s="60" t="s">
        <v>138</v>
      </c>
    </row>
    <row r="92" spans="1:14" ht="30" customHeight="1" x14ac:dyDescent="0.3">
      <c r="A92" s="139"/>
      <c r="B92" s="88" t="s">
        <v>208</v>
      </c>
      <c r="C92" s="88" t="s">
        <v>327</v>
      </c>
      <c r="D92" s="90" t="s">
        <v>384</v>
      </c>
      <c r="E92" s="88" t="s">
        <v>218</v>
      </c>
      <c r="F92" s="88"/>
      <c r="G92" s="80" t="s">
        <v>269</v>
      </c>
      <c r="H92" s="78"/>
      <c r="I92" s="78"/>
      <c r="J92" s="62"/>
      <c r="K92" s="62"/>
      <c r="L92" s="62"/>
      <c r="M92" s="106">
        <v>0.05</v>
      </c>
      <c r="N92" s="60" t="s">
        <v>138</v>
      </c>
    </row>
    <row r="93" spans="1:14" ht="30" customHeight="1" x14ac:dyDescent="0.3">
      <c r="A93" s="139"/>
      <c r="B93" s="88" t="s">
        <v>208</v>
      </c>
      <c r="C93" s="88" t="s">
        <v>327</v>
      </c>
      <c r="D93" s="90" t="s">
        <v>32</v>
      </c>
      <c r="E93" s="88" t="s">
        <v>218</v>
      </c>
      <c r="F93" s="88"/>
      <c r="G93" s="80" t="s">
        <v>269</v>
      </c>
      <c r="H93" s="78"/>
      <c r="I93" s="78"/>
      <c r="J93" s="62"/>
      <c r="K93" s="62"/>
      <c r="L93" s="62"/>
      <c r="M93" s="106">
        <v>0.05</v>
      </c>
      <c r="N93" s="60" t="s">
        <v>138</v>
      </c>
    </row>
    <row r="94" spans="1:14" ht="30" customHeight="1" x14ac:dyDescent="0.3">
      <c r="A94" s="139"/>
      <c r="B94" s="88" t="s">
        <v>208</v>
      </c>
      <c r="C94" s="88" t="s">
        <v>385</v>
      </c>
      <c r="D94" s="90" t="s">
        <v>181</v>
      </c>
      <c r="E94" s="88" t="s">
        <v>218</v>
      </c>
      <c r="F94" s="88"/>
      <c r="G94" s="80" t="s">
        <v>269</v>
      </c>
      <c r="H94" s="78"/>
      <c r="I94" s="78"/>
      <c r="J94" s="62"/>
      <c r="K94" s="62"/>
      <c r="L94" s="62"/>
      <c r="M94" s="106">
        <v>0.05</v>
      </c>
      <c r="N94" s="60" t="s">
        <v>106</v>
      </c>
    </row>
    <row r="95" spans="1:14" ht="30" customHeight="1" x14ac:dyDescent="0.3">
      <c r="A95" s="139"/>
      <c r="B95" s="88" t="s">
        <v>208</v>
      </c>
      <c r="C95" s="88" t="s">
        <v>385</v>
      </c>
      <c r="D95" s="90" t="s">
        <v>182</v>
      </c>
      <c r="E95" s="88" t="s">
        <v>218</v>
      </c>
      <c r="F95" s="88"/>
      <c r="G95" s="80" t="s">
        <v>269</v>
      </c>
      <c r="H95" s="78"/>
      <c r="I95" s="78"/>
      <c r="J95" s="62"/>
      <c r="K95" s="62"/>
      <c r="L95" s="62"/>
      <c r="M95" s="106">
        <v>0.05</v>
      </c>
      <c r="N95" s="60" t="s">
        <v>183</v>
      </c>
    </row>
    <row r="96" spans="1:14" ht="30" customHeight="1" x14ac:dyDescent="0.3">
      <c r="A96" s="139"/>
      <c r="B96" s="88" t="s">
        <v>208</v>
      </c>
      <c r="C96" s="88" t="s">
        <v>385</v>
      </c>
      <c r="D96" s="90" t="s">
        <v>33</v>
      </c>
      <c r="E96" s="88" t="s">
        <v>218</v>
      </c>
      <c r="F96" s="88"/>
      <c r="G96" s="80" t="s">
        <v>269</v>
      </c>
      <c r="H96" s="78"/>
      <c r="I96" s="78"/>
      <c r="J96" s="62"/>
      <c r="K96" s="62"/>
      <c r="L96" s="62"/>
      <c r="M96" s="106">
        <v>0.05</v>
      </c>
      <c r="N96" s="60" t="s">
        <v>106</v>
      </c>
    </row>
    <row r="97" spans="1:14" ht="30" customHeight="1" x14ac:dyDescent="0.3">
      <c r="A97" s="138" t="s">
        <v>16</v>
      </c>
      <c r="B97" s="97" t="s">
        <v>208</v>
      </c>
      <c r="C97" s="97" t="s">
        <v>328</v>
      </c>
      <c r="D97" s="92" t="s">
        <v>36</v>
      </c>
      <c r="E97" s="91" t="s">
        <v>218</v>
      </c>
      <c r="F97" s="91"/>
      <c r="G97" s="80" t="s">
        <v>270</v>
      </c>
      <c r="H97" s="78"/>
      <c r="I97" s="78"/>
      <c r="J97" s="62"/>
      <c r="K97" s="62"/>
      <c r="L97" s="62"/>
      <c r="M97" s="106">
        <v>0</v>
      </c>
      <c r="N97" s="60" t="s">
        <v>140</v>
      </c>
    </row>
    <row r="98" spans="1:14" ht="30" customHeight="1" x14ac:dyDescent="0.3">
      <c r="A98" s="138"/>
      <c r="B98" s="97" t="s">
        <v>208</v>
      </c>
      <c r="C98" s="97" t="s">
        <v>328</v>
      </c>
      <c r="D98" s="92" t="s">
        <v>37</v>
      </c>
      <c r="E98" s="91" t="s">
        <v>218</v>
      </c>
      <c r="F98" s="91"/>
      <c r="G98" s="80" t="s">
        <v>270</v>
      </c>
      <c r="H98" s="78"/>
      <c r="I98" s="78"/>
      <c r="J98" s="62"/>
      <c r="K98" s="62"/>
      <c r="L98" s="62"/>
      <c r="M98" s="106">
        <v>0</v>
      </c>
      <c r="N98" s="60" t="s">
        <v>140</v>
      </c>
    </row>
    <row r="99" spans="1:14" ht="30" customHeight="1" x14ac:dyDescent="0.3">
      <c r="A99" s="138"/>
      <c r="B99" s="97" t="s">
        <v>209</v>
      </c>
      <c r="C99" s="97" t="s">
        <v>328</v>
      </c>
      <c r="D99" s="101" t="s">
        <v>150</v>
      </c>
      <c r="E99" s="91" t="s">
        <v>153</v>
      </c>
      <c r="F99" s="91"/>
      <c r="G99" s="82" t="s">
        <v>247</v>
      </c>
      <c r="H99" s="82" t="s">
        <v>247</v>
      </c>
      <c r="I99" s="82" t="s">
        <v>247</v>
      </c>
      <c r="J99" s="82" t="s">
        <v>247</v>
      </c>
      <c r="K99" s="82" t="s">
        <v>247</v>
      </c>
      <c r="L99" s="82" t="s">
        <v>247</v>
      </c>
      <c r="M99" s="106">
        <v>1</v>
      </c>
      <c r="N99" s="60"/>
    </row>
    <row r="100" spans="1:14" ht="30" customHeight="1" x14ac:dyDescent="0.3">
      <c r="A100" s="138"/>
      <c r="B100" s="97" t="s">
        <v>209</v>
      </c>
      <c r="C100" s="97" t="s">
        <v>328</v>
      </c>
      <c r="D100" s="101" t="s">
        <v>329</v>
      </c>
      <c r="E100" s="91"/>
      <c r="F100" s="91"/>
      <c r="G100" s="80" t="s">
        <v>270</v>
      </c>
      <c r="H100" s="78"/>
      <c r="I100" s="78"/>
      <c r="J100" s="59"/>
      <c r="K100" s="59"/>
      <c r="L100" s="59"/>
      <c r="M100" s="106">
        <v>0</v>
      </c>
      <c r="N100" s="60"/>
    </row>
    <row r="101" spans="1:14" ht="30" customHeight="1" x14ac:dyDescent="0.3">
      <c r="A101" s="138"/>
      <c r="B101" s="109" t="s">
        <v>209</v>
      </c>
      <c r="C101" s="109" t="s">
        <v>328</v>
      </c>
      <c r="D101" s="110" t="s">
        <v>133</v>
      </c>
      <c r="E101" s="111"/>
      <c r="F101" s="111"/>
      <c r="G101" s="112" t="s">
        <v>270</v>
      </c>
      <c r="H101" s="113"/>
      <c r="I101" s="113"/>
      <c r="J101" s="114"/>
      <c r="K101" s="114"/>
      <c r="L101" s="114"/>
      <c r="M101" s="115">
        <v>0</v>
      </c>
      <c r="N101" s="116"/>
    </row>
    <row r="102" spans="1:14" ht="30" customHeight="1" x14ac:dyDescent="0.3">
      <c r="A102" s="139" t="s">
        <v>359</v>
      </c>
      <c r="B102" s="93" t="s">
        <v>209</v>
      </c>
      <c r="C102" s="93" t="s">
        <v>342</v>
      </c>
      <c r="D102" s="90" t="s">
        <v>361</v>
      </c>
      <c r="E102" s="88" t="s">
        <v>156</v>
      </c>
      <c r="F102" s="88"/>
      <c r="G102" s="82" t="s">
        <v>247</v>
      </c>
      <c r="H102" s="79" t="s">
        <v>261</v>
      </c>
      <c r="I102" s="79" t="s">
        <v>261</v>
      </c>
      <c r="J102" s="78">
        <v>45976</v>
      </c>
      <c r="K102" s="123">
        <v>45991</v>
      </c>
      <c r="L102" s="123">
        <v>46021</v>
      </c>
      <c r="M102" s="115">
        <v>0</v>
      </c>
      <c r="N102" s="118"/>
    </row>
    <row r="103" spans="1:14" ht="30" customHeight="1" x14ac:dyDescent="0.3">
      <c r="A103" s="139"/>
      <c r="B103" s="93" t="s">
        <v>209</v>
      </c>
      <c r="C103" s="93" t="s">
        <v>342</v>
      </c>
      <c r="D103" s="90" t="s">
        <v>42</v>
      </c>
      <c r="E103" s="88" t="s">
        <v>156</v>
      </c>
      <c r="F103" s="88"/>
      <c r="G103" s="82" t="s">
        <v>247</v>
      </c>
      <c r="H103" s="79" t="s">
        <v>261</v>
      </c>
      <c r="I103" s="79" t="s">
        <v>261</v>
      </c>
      <c r="J103" s="78">
        <v>45976</v>
      </c>
      <c r="K103" s="123">
        <v>45991</v>
      </c>
      <c r="L103" s="123">
        <v>46021</v>
      </c>
      <c r="M103" s="115">
        <v>0</v>
      </c>
      <c r="N103" s="118"/>
    </row>
    <row r="104" spans="1:14" ht="30" customHeight="1" x14ac:dyDescent="0.3">
      <c r="A104" s="139"/>
      <c r="B104" s="93" t="s">
        <v>209</v>
      </c>
      <c r="C104" s="93" t="s">
        <v>342</v>
      </c>
      <c r="D104" s="90" t="s">
        <v>366</v>
      </c>
      <c r="E104" s="88"/>
      <c r="F104" s="88"/>
      <c r="G104" s="117"/>
      <c r="H104" s="79" t="s">
        <v>261</v>
      </c>
      <c r="I104" s="79" t="s">
        <v>261</v>
      </c>
      <c r="J104" s="117"/>
      <c r="K104" s="117"/>
      <c r="L104" s="117"/>
      <c r="M104" s="115">
        <v>0</v>
      </c>
      <c r="N104" s="118"/>
    </row>
    <row r="105" spans="1:14" ht="30" customHeight="1" x14ac:dyDescent="0.3">
      <c r="A105" s="136" t="s">
        <v>360</v>
      </c>
      <c r="B105" s="97" t="s">
        <v>209</v>
      </c>
      <c r="C105" s="97" t="s">
        <v>342</v>
      </c>
      <c r="D105" s="92" t="s">
        <v>361</v>
      </c>
      <c r="E105" s="91" t="s">
        <v>156</v>
      </c>
      <c r="F105" s="91"/>
      <c r="G105" s="112" t="s">
        <v>399</v>
      </c>
      <c r="H105" s="79" t="s">
        <v>261</v>
      </c>
      <c r="I105" s="79" t="s">
        <v>261</v>
      </c>
      <c r="J105" s="78">
        <v>45976</v>
      </c>
      <c r="K105" s="123">
        <v>45991</v>
      </c>
      <c r="L105" s="123">
        <v>46021</v>
      </c>
      <c r="M105" s="115">
        <v>0</v>
      </c>
      <c r="N105" s="118"/>
    </row>
    <row r="106" spans="1:14" ht="30" customHeight="1" x14ac:dyDescent="0.3">
      <c r="A106" s="136"/>
      <c r="B106" s="97" t="s">
        <v>209</v>
      </c>
      <c r="C106" s="97" t="s">
        <v>342</v>
      </c>
      <c r="D106" s="92" t="s">
        <v>362</v>
      </c>
      <c r="E106" s="91" t="s">
        <v>156</v>
      </c>
      <c r="F106" s="91"/>
      <c r="G106" s="112" t="s">
        <v>399</v>
      </c>
      <c r="H106" s="79" t="s">
        <v>261</v>
      </c>
      <c r="I106" s="79" t="s">
        <v>261</v>
      </c>
      <c r="J106" s="78">
        <v>45976</v>
      </c>
      <c r="K106" s="123">
        <v>45991</v>
      </c>
      <c r="L106" s="123">
        <v>46021</v>
      </c>
      <c r="M106" s="115">
        <v>0</v>
      </c>
      <c r="N106" s="118"/>
    </row>
    <row r="107" spans="1:14" ht="30" customHeight="1" x14ac:dyDescent="0.3">
      <c r="A107" s="136"/>
      <c r="B107" s="97" t="s">
        <v>209</v>
      </c>
      <c r="C107" s="97" t="s">
        <v>342</v>
      </c>
      <c r="D107" s="92" t="s">
        <v>363</v>
      </c>
      <c r="E107" s="91"/>
      <c r="F107" s="91"/>
      <c r="G107" s="117"/>
      <c r="H107" s="79" t="s">
        <v>261</v>
      </c>
      <c r="I107" s="79" t="s">
        <v>261</v>
      </c>
      <c r="J107" s="117"/>
      <c r="K107" s="117"/>
      <c r="L107" s="117"/>
      <c r="M107" s="115">
        <v>0</v>
      </c>
      <c r="N107" s="118"/>
    </row>
    <row r="108" spans="1:14" ht="30" customHeight="1" x14ac:dyDescent="0.3">
      <c r="A108" s="136"/>
      <c r="B108" s="97" t="s">
        <v>209</v>
      </c>
      <c r="C108" s="97" t="s">
        <v>342</v>
      </c>
      <c r="D108" s="92" t="s">
        <v>83</v>
      </c>
      <c r="E108" s="91"/>
      <c r="F108" s="91"/>
      <c r="G108" s="117"/>
      <c r="H108" s="79" t="s">
        <v>261</v>
      </c>
      <c r="I108" s="79" t="s">
        <v>261</v>
      </c>
      <c r="J108" s="117"/>
      <c r="K108" s="117"/>
      <c r="L108" s="117"/>
      <c r="M108" s="115">
        <v>0</v>
      </c>
      <c r="N108" s="118"/>
    </row>
    <row r="109" spans="1:14" ht="30" customHeight="1" x14ac:dyDescent="0.3">
      <c r="A109" s="136"/>
      <c r="B109" s="97" t="s">
        <v>209</v>
      </c>
      <c r="C109" s="97" t="s">
        <v>342</v>
      </c>
      <c r="D109" s="92" t="s">
        <v>6</v>
      </c>
      <c r="E109" s="91"/>
      <c r="F109" s="91"/>
      <c r="G109" s="117"/>
      <c r="H109" s="79" t="s">
        <v>261</v>
      </c>
      <c r="I109" s="79" t="s">
        <v>261</v>
      </c>
      <c r="J109" s="117"/>
      <c r="K109" s="117"/>
      <c r="L109" s="117"/>
      <c r="M109" s="115">
        <v>0</v>
      </c>
      <c r="N109" s="118"/>
    </row>
    <row r="110" spans="1:14" ht="30" customHeight="1" x14ac:dyDescent="0.3">
      <c r="A110" s="136"/>
      <c r="B110" s="97" t="s">
        <v>209</v>
      </c>
      <c r="C110" s="97" t="s">
        <v>342</v>
      </c>
      <c r="D110" s="92" t="s">
        <v>2</v>
      </c>
      <c r="E110" s="91"/>
      <c r="F110" s="91"/>
      <c r="G110" s="117"/>
      <c r="H110" s="79" t="s">
        <v>261</v>
      </c>
      <c r="I110" s="79" t="s">
        <v>261</v>
      </c>
      <c r="J110" s="117"/>
      <c r="K110" s="117"/>
      <c r="L110" s="117"/>
      <c r="M110" s="115">
        <v>0</v>
      </c>
      <c r="N110" s="118"/>
    </row>
    <row r="111" spans="1:14" ht="30" customHeight="1" x14ac:dyDescent="0.3">
      <c r="A111" s="136"/>
      <c r="B111" s="97" t="s">
        <v>209</v>
      </c>
      <c r="C111" s="97" t="s">
        <v>342</v>
      </c>
      <c r="D111" s="92" t="s">
        <v>364</v>
      </c>
      <c r="E111" s="91"/>
      <c r="F111" s="91"/>
      <c r="G111" s="117"/>
      <c r="H111" s="79" t="s">
        <v>261</v>
      </c>
      <c r="I111" s="79" t="s">
        <v>261</v>
      </c>
      <c r="J111" s="117"/>
      <c r="K111" s="117"/>
      <c r="L111" s="117"/>
      <c r="M111" s="115">
        <v>0</v>
      </c>
      <c r="N111" s="118"/>
    </row>
    <row r="112" spans="1:14" ht="30" customHeight="1" x14ac:dyDescent="0.3">
      <c r="A112" s="136"/>
      <c r="B112" s="97" t="s">
        <v>209</v>
      </c>
      <c r="C112" s="97" t="s">
        <v>342</v>
      </c>
      <c r="D112" s="92" t="s">
        <v>356</v>
      </c>
      <c r="E112" s="91"/>
      <c r="F112" s="91"/>
      <c r="G112" s="117"/>
      <c r="H112" s="79" t="s">
        <v>261</v>
      </c>
      <c r="I112" s="79" t="s">
        <v>261</v>
      </c>
      <c r="J112" s="117"/>
      <c r="K112" s="117"/>
      <c r="L112" s="117"/>
      <c r="M112" s="115">
        <v>0</v>
      </c>
      <c r="N112" s="118"/>
    </row>
    <row r="113" spans="1:14" ht="30" customHeight="1" x14ac:dyDescent="0.3">
      <c r="A113" s="136"/>
      <c r="B113" s="97" t="s">
        <v>209</v>
      </c>
      <c r="C113" s="97" t="s">
        <v>342</v>
      </c>
      <c r="D113" s="92" t="s">
        <v>21</v>
      </c>
      <c r="E113" s="91"/>
      <c r="F113" s="91"/>
      <c r="G113" s="117"/>
      <c r="H113" s="79" t="s">
        <v>261</v>
      </c>
      <c r="I113" s="79" t="s">
        <v>261</v>
      </c>
      <c r="J113" s="117"/>
      <c r="K113" s="117"/>
      <c r="L113" s="117"/>
      <c r="M113" s="115">
        <v>0</v>
      </c>
      <c r="N113" s="118"/>
    </row>
    <row r="114" spans="1:14" ht="30" customHeight="1" x14ac:dyDescent="0.3">
      <c r="A114" s="136"/>
      <c r="B114" s="97" t="s">
        <v>209</v>
      </c>
      <c r="C114" s="97" t="s">
        <v>342</v>
      </c>
      <c r="D114" s="92" t="s">
        <v>365</v>
      </c>
      <c r="E114" s="91"/>
      <c r="F114" s="91"/>
      <c r="G114" s="117"/>
      <c r="H114" s="79" t="s">
        <v>261</v>
      </c>
      <c r="I114" s="79" t="s">
        <v>261</v>
      </c>
      <c r="J114" s="117"/>
      <c r="K114" s="117"/>
      <c r="L114" s="117"/>
      <c r="M114" s="115">
        <v>0</v>
      </c>
      <c r="N114" s="118"/>
    </row>
    <row r="115" spans="1:14" ht="30" customHeight="1" x14ac:dyDescent="0.3">
      <c r="A115" s="140" t="s">
        <v>367</v>
      </c>
      <c r="B115" s="93" t="s">
        <v>211</v>
      </c>
      <c r="C115" s="93" t="s">
        <v>342</v>
      </c>
      <c r="D115" s="90" t="s">
        <v>361</v>
      </c>
      <c r="E115" s="88"/>
      <c r="F115" s="88"/>
      <c r="G115" s="117"/>
      <c r="H115" s="79" t="s">
        <v>261</v>
      </c>
      <c r="I115" s="79" t="s">
        <v>261</v>
      </c>
      <c r="J115" s="117"/>
      <c r="K115" s="117"/>
      <c r="L115" s="117"/>
      <c r="M115" s="115">
        <v>0</v>
      </c>
      <c r="N115" s="118"/>
    </row>
    <row r="116" spans="1:14" ht="30" customHeight="1" x14ac:dyDescent="0.3">
      <c r="A116" s="140"/>
      <c r="B116" s="93" t="s">
        <v>211</v>
      </c>
      <c r="C116" s="93" t="s">
        <v>342</v>
      </c>
      <c r="D116" s="90" t="s">
        <v>368</v>
      </c>
      <c r="E116" s="88"/>
      <c r="F116" s="88"/>
      <c r="G116" s="117"/>
      <c r="H116" s="79" t="s">
        <v>261</v>
      </c>
      <c r="I116" s="79" t="s">
        <v>261</v>
      </c>
      <c r="J116" s="117"/>
      <c r="K116" s="117"/>
      <c r="L116" s="117"/>
      <c r="M116" s="115">
        <v>0</v>
      </c>
      <c r="N116" s="118"/>
    </row>
    <row r="117" spans="1:14" ht="30" customHeight="1" x14ac:dyDescent="0.3">
      <c r="A117" s="140"/>
      <c r="B117" s="93" t="s">
        <v>211</v>
      </c>
      <c r="C117" s="93" t="s">
        <v>342</v>
      </c>
      <c r="D117" s="90" t="s">
        <v>356</v>
      </c>
      <c r="E117" s="88"/>
      <c r="F117" s="88"/>
      <c r="G117" s="117"/>
      <c r="H117" s="79" t="s">
        <v>261</v>
      </c>
      <c r="I117" s="79" t="s">
        <v>261</v>
      </c>
      <c r="J117" s="117"/>
      <c r="K117" s="117"/>
      <c r="L117" s="117"/>
      <c r="M117" s="115">
        <v>0</v>
      </c>
      <c r="N117" s="118"/>
    </row>
    <row r="118" spans="1:14" ht="30" customHeight="1" x14ac:dyDescent="0.3">
      <c r="A118" s="137" t="s">
        <v>369</v>
      </c>
      <c r="B118" s="119" t="s">
        <v>211</v>
      </c>
      <c r="C118" s="119" t="s">
        <v>342</v>
      </c>
      <c r="D118" s="120" t="s">
        <v>378</v>
      </c>
      <c r="E118" s="121"/>
      <c r="F118" s="121"/>
      <c r="G118" s="117"/>
      <c r="H118" s="79" t="s">
        <v>261</v>
      </c>
      <c r="I118" s="79" t="s">
        <v>261</v>
      </c>
      <c r="J118" s="117"/>
      <c r="K118" s="117"/>
      <c r="L118" s="117"/>
      <c r="M118" s="115">
        <v>0</v>
      </c>
      <c r="N118" s="118"/>
    </row>
    <row r="119" spans="1:14" ht="30" customHeight="1" x14ac:dyDescent="0.3">
      <c r="A119" s="137"/>
      <c r="B119" s="119" t="s">
        <v>211</v>
      </c>
      <c r="C119" s="119" t="s">
        <v>342</v>
      </c>
      <c r="D119" s="120" t="s">
        <v>379</v>
      </c>
      <c r="E119" s="121"/>
      <c r="F119" s="121"/>
      <c r="G119" s="117"/>
      <c r="H119" s="79" t="s">
        <v>261</v>
      </c>
      <c r="I119" s="79" t="s">
        <v>261</v>
      </c>
      <c r="J119" s="117"/>
      <c r="K119" s="117"/>
      <c r="L119" s="117"/>
      <c r="M119" s="115">
        <v>0</v>
      </c>
      <c r="N119" s="118"/>
    </row>
    <row r="120" spans="1:14" ht="30" customHeight="1" x14ac:dyDescent="0.3">
      <c r="A120" s="137"/>
      <c r="B120" s="119" t="s">
        <v>211</v>
      </c>
      <c r="C120" s="119" t="s">
        <v>342</v>
      </c>
      <c r="D120" s="120" t="s">
        <v>380</v>
      </c>
      <c r="E120" s="121"/>
      <c r="F120" s="121"/>
      <c r="G120" s="117"/>
      <c r="H120" s="79" t="s">
        <v>261</v>
      </c>
      <c r="I120" s="79" t="s">
        <v>261</v>
      </c>
      <c r="J120" s="117"/>
      <c r="K120" s="117"/>
      <c r="L120" s="117"/>
      <c r="M120" s="106">
        <v>0</v>
      </c>
      <c r="N120" s="118"/>
    </row>
  </sheetData>
  <mergeCells count="18">
    <mergeCell ref="A118:A120"/>
    <mergeCell ref="A58:A60"/>
    <mergeCell ref="A61:A65"/>
    <mergeCell ref="A66:A69"/>
    <mergeCell ref="A70:A74"/>
    <mergeCell ref="A75:A78"/>
    <mergeCell ref="A80:A87"/>
    <mergeCell ref="A88:A96"/>
    <mergeCell ref="A97:A101"/>
    <mergeCell ref="A102:A104"/>
    <mergeCell ref="A105:A114"/>
    <mergeCell ref="A115:A117"/>
    <mergeCell ref="A51:A57"/>
    <mergeCell ref="A2:A14"/>
    <mergeCell ref="A29:A39"/>
    <mergeCell ref="A40:A44"/>
    <mergeCell ref="A45:A46"/>
    <mergeCell ref="A47:A50"/>
  </mergeCells>
  <conditionalFormatting sqref="M1:M1048576">
    <cfRule type="dataBar" priority="1">
      <dataBar>
        <cfvo type="min"/>
        <cfvo type="max"/>
        <color rgb="FF63C384"/>
      </dataBar>
      <extLst>
        <ext xmlns:x14="http://schemas.microsoft.com/office/spreadsheetml/2009/9/main" uri="{B025F937-C7B1-47D3-B67F-A62EFF666E3E}">
          <x14:id>{2FF9C5D9-A011-4FA3-9343-4B0247259889}</x14:id>
        </ext>
      </extLst>
    </cfRule>
  </conditionalFormatting>
  <conditionalFormatting sqref="M2:M20">
    <cfRule type="dataBar" priority="8">
      <dataBar>
        <cfvo type="min"/>
        <cfvo type="max"/>
        <color rgb="FF63C384"/>
      </dataBar>
      <extLst>
        <ext xmlns:x14="http://schemas.microsoft.com/office/spreadsheetml/2009/9/main" uri="{B025F937-C7B1-47D3-B67F-A62EFF666E3E}">
          <x14:id>{B9B976DA-C650-4BE5-88DC-3898E6A163A8}</x14:id>
        </ext>
      </extLst>
    </cfRule>
  </conditionalFormatting>
  <conditionalFormatting sqref="M2:M27">
    <cfRule type="dataBar" priority="6">
      <dataBar>
        <cfvo type="min"/>
        <cfvo type="max"/>
        <color rgb="FF63C384"/>
      </dataBar>
      <extLst>
        <ext xmlns:x14="http://schemas.microsoft.com/office/spreadsheetml/2009/9/main" uri="{B025F937-C7B1-47D3-B67F-A62EFF666E3E}">
          <x14:id>{94BE57A2-870D-4B78-BAA8-D74CA87EA436}</x14:id>
        </ext>
      </extLst>
    </cfRule>
  </conditionalFormatting>
  <conditionalFormatting sqref="M21">
    <cfRule type="dataBar" priority="7">
      <dataBar>
        <cfvo type="min"/>
        <cfvo type="max"/>
        <color rgb="FF63C384"/>
      </dataBar>
      <extLst>
        <ext xmlns:x14="http://schemas.microsoft.com/office/spreadsheetml/2009/9/main" uri="{B025F937-C7B1-47D3-B67F-A62EFF666E3E}">
          <x14:id>{CEF75A53-0CA6-43AE-BCBB-AEE090CC7964}</x14:id>
        </ext>
      </extLst>
    </cfRule>
  </conditionalFormatting>
  <conditionalFormatting sqref="M22:M27">
    <cfRule type="dataBar" priority="5">
      <dataBar>
        <cfvo type="min"/>
        <cfvo type="max"/>
        <color rgb="FF63C384"/>
      </dataBar>
      <extLst>
        <ext xmlns:x14="http://schemas.microsoft.com/office/spreadsheetml/2009/9/main" uri="{B025F937-C7B1-47D3-B67F-A62EFF666E3E}">
          <x14:id>{453A7F61-A37C-45A8-B8C7-1B0B975A3260}</x14:id>
        </ext>
      </extLst>
    </cfRule>
  </conditionalFormatting>
  <conditionalFormatting sqref="M29:M87">
    <cfRule type="dataBar" priority="2">
      <dataBar>
        <cfvo type="min"/>
        <cfvo type="max"/>
        <color rgb="FF63C384"/>
      </dataBar>
      <extLst>
        <ext xmlns:x14="http://schemas.microsoft.com/office/spreadsheetml/2009/9/main" uri="{B025F937-C7B1-47D3-B67F-A62EFF666E3E}">
          <x14:id>{09563C59-F191-4A55-AFA6-DA3798570062}</x14:id>
        </ext>
      </extLst>
    </cfRule>
  </conditionalFormatting>
  <conditionalFormatting sqref="M29:M120">
    <cfRule type="dataBar" priority="3">
      <dataBar>
        <cfvo type="min"/>
        <cfvo type="max"/>
        <color rgb="FF63C384"/>
      </dataBar>
      <extLst>
        <ext xmlns:x14="http://schemas.microsoft.com/office/spreadsheetml/2009/9/main" uri="{B025F937-C7B1-47D3-B67F-A62EFF666E3E}">
          <x14:id>{EB2091AC-7321-45E0-B4AA-598CA1BEA148}</x14:id>
        </ext>
      </extLst>
    </cfRule>
  </conditionalFormatting>
  <pageMargins left="0.23622047244094491" right="0.23622047244094491" top="0.35433070866141736" bottom="0.35433070866141736" header="0.31496062992125984" footer="0.31496062992125984"/>
  <pageSetup paperSize="8" scale="54" fitToHeight="0" orientation="portrait" r:id="rId1"/>
  <extLst>
    <ext xmlns:x14="http://schemas.microsoft.com/office/spreadsheetml/2009/9/main" uri="{78C0D931-6437-407d-A8EE-F0AAD7539E65}">
      <x14:conditionalFormattings>
        <x14:conditionalFormatting xmlns:xm="http://schemas.microsoft.com/office/excel/2006/main">
          <x14:cfRule type="dataBar" id="{2FF9C5D9-A011-4FA3-9343-4B0247259889}">
            <x14:dataBar minLength="0" maxLength="100" border="1" negativeBarBorderColorSameAsPositive="0">
              <x14:cfvo type="autoMin"/>
              <x14:cfvo type="autoMax"/>
              <x14:borderColor rgb="FF63C384"/>
              <x14:negativeFillColor rgb="FFFF0000"/>
              <x14:negativeBorderColor rgb="FFFF0000"/>
              <x14:axisColor rgb="FF000000"/>
            </x14:dataBar>
          </x14:cfRule>
          <xm:sqref>M1:M1048576</xm:sqref>
        </x14:conditionalFormatting>
        <x14:conditionalFormatting xmlns:xm="http://schemas.microsoft.com/office/excel/2006/main">
          <x14:cfRule type="dataBar" id="{B9B976DA-C650-4BE5-88DC-3898E6A163A8}">
            <x14:dataBar minLength="0" maxLength="100" border="1" negativeBarBorderColorSameAsPositive="0">
              <x14:cfvo type="autoMin"/>
              <x14:cfvo type="autoMax"/>
              <x14:borderColor rgb="FF63C384"/>
              <x14:negativeFillColor rgb="FFFF0000"/>
              <x14:negativeBorderColor rgb="FFFF0000"/>
              <x14:axisColor rgb="FF000000"/>
            </x14:dataBar>
          </x14:cfRule>
          <xm:sqref>M2:M20</xm:sqref>
        </x14:conditionalFormatting>
        <x14:conditionalFormatting xmlns:xm="http://schemas.microsoft.com/office/excel/2006/main">
          <x14:cfRule type="dataBar" id="{94BE57A2-870D-4B78-BAA8-D74CA87EA436}">
            <x14:dataBar minLength="0" maxLength="100" border="1" negativeBarBorderColorSameAsPositive="0">
              <x14:cfvo type="autoMin"/>
              <x14:cfvo type="autoMax"/>
              <x14:borderColor rgb="FF63C384"/>
              <x14:negativeFillColor rgb="FFFF0000"/>
              <x14:negativeBorderColor rgb="FFFF0000"/>
              <x14:axisColor rgb="FF000000"/>
            </x14:dataBar>
          </x14:cfRule>
          <xm:sqref>M2:M27</xm:sqref>
        </x14:conditionalFormatting>
        <x14:conditionalFormatting xmlns:xm="http://schemas.microsoft.com/office/excel/2006/main">
          <x14:cfRule type="dataBar" id="{CEF75A53-0CA6-43AE-BCBB-AEE090CC7964}">
            <x14:dataBar minLength="0" maxLength="100" border="1" negativeBarBorderColorSameAsPositive="0">
              <x14:cfvo type="autoMin"/>
              <x14:cfvo type="autoMax"/>
              <x14:borderColor rgb="FF63C384"/>
              <x14:negativeFillColor rgb="FFFF0000"/>
              <x14:negativeBorderColor rgb="FFFF0000"/>
              <x14:axisColor rgb="FF000000"/>
            </x14:dataBar>
          </x14:cfRule>
          <xm:sqref>M21</xm:sqref>
        </x14:conditionalFormatting>
        <x14:conditionalFormatting xmlns:xm="http://schemas.microsoft.com/office/excel/2006/main">
          <x14:cfRule type="dataBar" id="{453A7F61-A37C-45A8-B8C7-1B0B975A3260}">
            <x14:dataBar minLength="0" maxLength="100" border="1" negativeBarBorderColorSameAsPositive="0">
              <x14:cfvo type="autoMin"/>
              <x14:cfvo type="autoMax"/>
              <x14:borderColor rgb="FF63C384"/>
              <x14:negativeFillColor rgb="FFFF0000"/>
              <x14:negativeBorderColor rgb="FFFF0000"/>
              <x14:axisColor rgb="FF000000"/>
            </x14:dataBar>
          </x14:cfRule>
          <xm:sqref>M22:M27</xm:sqref>
        </x14:conditionalFormatting>
        <x14:conditionalFormatting xmlns:xm="http://schemas.microsoft.com/office/excel/2006/main">
          <x14:cfRule type="dataBar" id="{09563C59-F191-4A55-AFA6-DA3798570062}">
            <x14:dataBar minLength="0" maxLength="100" border="1" negativeBarBorderColorSameAsPositive="0">
              <x14:cfvo type="autoMin"/>
              <x14:cfvo type="autoMax"/>
              <x14:borderColor rgb="FF63C384"/>
              <x14:negativeFillColor rgb="FFFF0000"/>
              <x14:negativeBorderColor rgb="FFFF0000"/>
              <x14:axisColor rgb="FF000000"/>
            </x14:dataBar>
          </x14:cfRule>
          <xm:sqref>M29:M87</xm:sqref>
        </x14:conditionalFormatting>
        <x14:conditionalFormatting xmlns:xm="http://schemas.microsoft.com/office/excel/2006/main">
          <x14:cfRule type="dataBar" id="{EB2091AC-7321-45E0-B4AA-598CA1BEA148}">
            <x14:dataBar minLength="0" maxLength="100" border="1" negativeBarBorderColorSameAsPositive="0">
              <x14:cfvo type="autoMin"/>
              <x14:cfvo type="autoMax"/>
              <x14:borderColor rgb="FF63C384"/>
              <x14:negativeFillColor rgb="FFFF0000"/>
              <x14:negativeBorderColor rgb="FFFF0000"/>
              <x14:axisColor rgb="FF000000"/>
            </x14:dataBar>
          </x14:cfRule>
          <xm:sqref>M29:M120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0E2FF-F206-48ED-A66F-25C821F17DDE}">
  <sheetPr>
    <pageSetUpPr fitToPage="1"/>
  </sheetPr>
  <dimension ref="A1:P83"/>
  <sheetViews>
    <sheetView tabSelected="1" zoomScale="70" zoomScaleNormal="70" workbookViewId="0">
      <pane ySplit="1" topLeftCell="A2" activePane="bottomLeft" state="frozen"/>
      <selection pane="bottomLeft" activeCell="H8" sqref="H8"/>
    </sheetView>
  </sheetViews>
  <sheetFormatPr defaultRowHeight="19.95" customHeight="1" x14ac:dyDescent="0.3"/>
  <cols>
    <col min="1" max="1" width="11" style="9" customWidth="1"/>
    <col min="2" max="2" width="9.6640625" style="41" hidden="1" customWidth="1"/>
    <col min="3" max="3" width="13.44140625" style="41" hidden="1" customWidth="1"/>
    <col min="4" max="4" width="37.21875" style="9" bestFit="1" customWidth="1"/>
    <col min="5" max="5" width="23.6640625" style="10" customWidth="1"/>
    <col min="6" max="6" width="7.5546875" style="10" hidden="1" customWidth="1"/>
    <col min="7" max="7" width="12.77734375" style="9" customWidth="1"/>
    <col min="8" max="8" width="14.5546875" style="9" customWidth="1"/>
    <col min="9" max="9" width="15.77734375" style="9" customWidth="1"/>
    <col min="10" max="12" width="12.77734375" style="9" customWidth="1"/>
    <col min="13" max="13" width="24.5546875" style="9" hidden="1" customWidth="1"/>
    <col min="14" max="14" width="45.5546875" style="11" bestFit="1" customWidth="1"/>
    <col min="15" max="16384" width="8.88671875" style="9"/>
  </cols>
  <sheetData>
    <row r="1" spans="1:14" ht="145.19999999999999" customHeight="1" x14ac:dyDescent="0.3">
      <c r="A1" s="30" t="s">
        <v>1</v>
      </c>
      <c r="B1" s="30" t="s">
        <v>437</v>
      </c>
      <c r="C1" s="30" t="s">
        <v>324</v>
      </c>
      <c r="D1" s="29" t="s">
        <v>1</v>
      </c>
      <c r="E1" s="30" t="s">
        <v>0</v>
      </c>
      <c r="F1" s="102" t="s">
        <v>318</v>
      </c>
      <c r="G1" s="77" t="s">
        <v>330</v>
      </c>
      <c r="H1" s="77" t="s">
        <v>331</v>
      </c>
      <c r="I1" s="77" t="s">
        <v>332</v>
      </c>
      <c r="J1" s="77" t="s">
        <v>333</v>
      </c>
      <c r="K1" s="77" t="s">
        <v>523</v>
      </c>
      <c r="L1" s="77" t="s">
        <v>335</v>
      </c>
      <c r="M1" s="86" t="s">
        <v>336</v>
      </c>
      <c r="N1" s="30" t="s">
        <v>46</v>
      </c>
    </row>
    <row r="2" spans="1:14" ht="30" customHeight="1" x14ac:dyDescent="0.3">
      <c r="A2" s="141" t="s">
        <v>56</v>
      </c>
      <c r="B2" s="88" t="s">
        <v>207</v>
      </c>
      <c r="C2" s="88" t="s">
        <v>111</v>
      </c>
      <c r="D2" s="89" t="s">
        <v>481</v>
      </c>
      <c r="E2" s="88" t="s">
        <v>61</v>
      </c>
      <c r="F2" s="88"/>
      <c r="G2" s="82" t="s">
        <v>247</v>
      </c>
      <c r="H2" s="82" t="s">
        <v>265</v>
      </c>
      <c r="I2" s="82" t="s">
        <v>265</v>
      </c>
      <c r="J2" s="81">
        <v>45991</v>
      </c>
      <c r="K2" s="78">
        <v>46111</v>
      </c>
      <c r="L2" s="78">
        <v>46172</v>
      </c>
      <c r="M2" s="104">
        <v>0.4</v>
      </c>
      <c r="N2" s="60" t="s">
        <v>520</v>
      </c>
    </row>
    <row r="3" spans="1:14" ht="30" customHeight="1" x14ac:dyDescent="0.3">
      <c r="A3" s="142"/>
      <c r="B3" s="88" t="s">
        <v>207</v>
      </c>
      <c r="C3" s="88" t="s">
        <v>111</v>
      </c>
      <c r="D3" s="89" t="s">
        <v>310</v>
      </c>
      <c r="E3" s="88"/>
      <c r="F3" s="88"/>
      <c r="G3" s="80">
        <v>46001</v>
      </c>
      <c r="H3" s="78"/>
      <c r="I3" s="78"/>
      <c r="J3" s="78"/>
      <c r="K3" s="78"/>
      <c r="L3" s="78"/>
      <c r="M3" s="104">
        <v>0.05</v>
      </c>
      <c r="N3" s="60" t="s">
        <v>521</v>
      </c>
    </row>
    <row r="4" spans="1:14" ht="30" customHeight="1" x14ac:dyDescent="0.3">
      <c r="A4" s="142"/>
      <c r="B4" s="88" t="s">
        <v>207</v>
      </c>
      <c r="C4" s="88" t="s">
        <v>325</v>
      </c>
      <c r="D4" s="90" t="s">
        <v>284</v>
      </c>
      <c r="E4" s="88"/>
      <c r="F4" s="88"/>
      <c r="G4" s="80">
        <v>46001</v>
      </c>
      <c r="H4" s="79" t="s">
        <v>261</v>
      </c>
      <c r="I4" s="79" t="s">
        <v>261</v>
      </c>
      <c r="J4" s="62"/>
      <c r="K4" s="62"/>
      <c r="L4" s="62"/>
      <c r="M4" s="104">
        <v>0.05</v>
      </c>
      <c r="N4" s="65" t="s">
        <v>525</v>
      </c>
    </row>
    <row r="5" spans="1:14" ht="30" customHeight="1" x14ac:dyDescent="0.3">
      <c r="A5" s="142"/>
      <c r="B5" s="88" t="s">
        <v>207</v>
      </c>
      <c r="C5" s="88" t="s">
        <v>111</v>
      </c>
      <c r="D5" s="90" t="s">
        <v>291</v>
      </c>
      <c r="E5" s="88" t="s">
        <v>61</v>
      </c>
      <c r="F5" s="88"/>
      <c r="G5" s="82" t="s">
        <v>265</v>
      </c>
      <c r="H5" s="82" t="s">
        <v>247</v>
      </c>
      <c r="I5" s="82" t="s">
        <v>265</v>
      </c>
      <c r="J5" s="81">
        <v>46037</v>
      </c>
      <c r="K5" s="78">
        <v>46111</v>
      </c>
      <c r="L5" s="78">
        <v>46172</v>
      </c>
      <c r="M5" s="104">
        <v>0.3</v>
      </c>
      <c r="N5" s="60" t="s">
        <v>518</v>
      </c>
    </row>
    <row r="6" spans="1:14" ht="30" customHeight="1" x14ac:dyDescent="0.3">
      <c r="A6" s="143"/>
      <c r="B6" s="88" t="s">
        <v>207</v>
      </c>
      <c r="C6" s="88" t="s">
        <v>111</v>
      </c>
      <c r="D6" s="90" t="s">
        <v>290</v>
      </c>
      <c r="E6" s="88" t="s">
        <v>69</v>
      </c>
      <c r="F6" s="88"/>
      <c r="G6" s="82" t="s">
        <v>265</v>
      </c>
      <c r="H6" s="82" t="s">
        <v>417</v>
      </c>
      <c r="I6" s="83" t="s">
        <v>316</v>
      </c>
      <c r="J6" s="80" t="s">
        <v>418</v>
      </c>
      <c r="K6" s="78">
        <v>46068</v>
      </c>
      <c r="L6" s="78">
        <v>46111</v>
      </c>
      <c r="M6" s="104">
        <v>0.3</v>
      </c>
      <c r="N6" s="60" t="s">
        <v>518</v>
      </c>
    </row>
    <row r="7" spans="1:14" ht="30" customHeight="1" x14ac:dyDescent="0.3">
      <c r="A7" s="144" t="s">
        <v>257</v>
      </c>
      <c r="B7" s="88" t="s">
        <v>207</v>
      </c>
      <c r="C7" s="88" t="s">
        <v>326</v>
      </c>
      <c r="D7" s="92" t="s">
        <v>178</v>
      </c>
      <c r="E7" s="97" t="s">
        <v>179</v>
      </c>
      <c r="F7" s="88"/>
      <c r="G7" s="82" t="s">
        <v>420</v>
      </c>
      <c r="H7" s="82" t="s">
        <v>247</v>
      </c>
      <c r="I7" s="79" t="s">
        <v>261</v>
      </c>
      <c r="J7" s="79" t="s">
        <v>261</v>
      </c>
      <c r="K7" s="62"/>
      <c r="L7" s="62"/>
      <c r="M7" s="104">
        <v>0.5</v>
      </c>
      <c r="N7" s="65" t="s">
        <v>519</v>
      </c>
    </row>
    <row r="8" spans="1:14" ht="30" customHeight="1" x14ac:dyDescent="0.3">
      <c r="A8" s="145"/>
      <c r="B8" s="88" t="s">
        <v>207</v>
      </c>
      <c r="C8" s="88" t="s">
        <v>328</v>
      </c>
      <c r="D8" s="92" t="s">
        <v>213</v>
      </c>
      <c r="E8" s="92"/>
      <c r="F8" s="88"/>
      <c r="G8" s="80">
        <v>46001</v>
      </c>
      <c r="H8" s="62"/>
      <c r="I8" s="62"/>
      <c r="J8" s="62"/>
      <c r="K8" s="62"/>
      <c r="L8" s="62"/>
      <c r="M8" s="104">
        <v>0.05</v>
      </c>
      <c r="N8" s="65" t="s">
        <v>524</v>
      </c>
    </row>
    <row r="9" spans="1:14" ht="30" customHeight="1" x14ac:dyDescent="0.3">
      <c r="A9" s="145"/>
      <c r="B9" s="91" t="s">
        <v>207</v>
      </c>
      <c r="C9" s="91" t="s">
        <v>326</v>
      </c>
      <c r="D9" s="92" t="s">
        <v>479</v>
      </c>
      <c r="E9" s="91" t="s">
        <v>124</v>
      </c>
      <c r="F9" s="91"/>
      <c r="G9" s="82" t="s">
        <v>247</v>
      </c>
      <c r="H9" s="82" t="s">
        <v>416</v>
      </c>
      <c r="I9" s="83" t="s">
        <v>267</v>
      </c>
      <c r="J9" s="80">
        <v>46037</v>
      </c>
      <c r="K9" s="128">
        <v>46052</v>
      </c>
      <c r="L9" s="128">
        <v>46068</v>
      </c>
      <c r="M9" s="104">
        <v>0.3</v>
      </c>
      <c r="N9" s="60" t="s">
        <v>518</v>
      </c>
    </row>
    <row r="10" spans="1:14" ht="30" customHeight="1" x14ac:dyDescent="0.3">
      <c r="A10" s="145"/>
      <c r="B10" s="91" t="s">
        <v>207</v>
      </c>
      <c r="C10" s="91" t="s">
        <v>326</v>
      </c>
      <c r="D10" s="92" t="s">
        <v>256</v>
      </c>
      <c r="E10" s="91" t="s">
        <v>71</v>
      </c>
      <c r="F10" s="91"/>
      <c r="G10" s="82" t="s">
        <v>247</v>
      </c>
      <c r="H10" s="82" t="s">
        <v>247</v>
      </c>
      <c r="I10" s="83" t="s">
        <v>266</v>
      </c>
      <c r="J10" s="80">
        <v>46037</v>
      </c>
      <c r="K10" s="128">
        <v>46052</v>
      </c>
      <c r="L10" s="78">
        <v>46111</v>
      </c>
      <c r="M10" s="104">
        <v>0.3</v>
      </c>
      <c r="N10" s="60" t="s">
        <v>518</v>
      </c>
    </row>
    <row r="11" spans="1:14" ht="30" customHeight="1" x14ac:dyDescent="0.3">
      <c r="A11" s="145"/>
      <c r="B11" s="91" t="s">
        <v>207</v>
      </c>
      <c r="C11" s="91" t="s">
        <v>326</v>
      </c>
      <c r="D11" s="92" t="s">
        <v>9</v>
      </c>
      <c r="E11" s="91" t="s">
        <v>71</v>
      </c>
      <c r="F11" s="91"/>
      <c r="G11" s="82" t="s">
        <v>247</v>
      </c>
      <c r="H11" s="82" t="s">
        <v>503</v>
      </c>
      <c r="I11" s="83" t="s">
        <v>262</v>
      </c>
      <c r="J11" s="80">
        <v>46037</v>
      </c>
      <c r="K11" s="128">
        <v>46052</v>
      </c>
      <c r="L11" s="78">
        <v>46111</v>
      </c>
      <c r="M11" s="104">
        <v>0.3</v>
      </c>
      <c r="N11" s="60" t="s">
        <v>518</v>
      </c>
    </row>
    <row r="12" spans="1:14" ht="30" customHeight="1" x14ac:dyDescent="0.3">
      <c r="A12" s="146"/>
      <c r="B12" s="91" t="s">
        <v>207</v>
      </c>
      <c r="C12" s="91" t="s">
        <v>326</v>
      </c>
      <c r="D12" s="92" t="s">
        <v>397</v>
      </c>
      <c r="E12" s="91" t="s">
        <v>71</v>
      </c>
      <c r="F12" s="91"/>
      <c r="G12" s="82" t="s">
        <v>247</v>
      </c>
      <c r="H12" s="82" t="s">
        <v>247</v>
      </c>
      <c r="I12" s="82" t="s">
        <v>247</v>
      </c>
      <c r="J12" s="80">
        <v>46037</v>
      </c>
      <c r="K12" s="128">
        <v>46052</v>
      </c>
      <c r="L12" s="78">
        <v>46111</v>
      </c>
      <c r="M12" s="104">
        <v>0.05</v>
      </c>
      <c r="N12" s="60" t="s">
        <v>518</v>
      </c>
    </row>
    <row r="13" spans="1:14" ht="30" customHeight="1" x14ac:dyDescent="0.3">
      <c r="A13" s="141" t="s">
        <v>313</v>
      </c>
      <c r="B13" s="88" t="s">
        <v>207</v>
      </c>
      <c r="C13" s="88" t="s">
        <v>326</v>
      </c>
      <c r="D13" s="127" t="s">
        <v>522</v>
      </c>
      <c r="E13" s="88" t="s">
        <v>70</v>
      </c>
      <c r="F13" s="88"/>
      <c r="G13" s="82" t="s">
        <v>247</v>
      </c>
      <c r="H13" s="82" t="s">
        <v>247</v>
      </c>
      <c r="I13" s="83" t="s">
        <v>266</v>
      </c>
      <c r="J13" s="81">
        <v>46016</v>
      </c>
      <c r="K13" s="78">
        <v>46021</v>
      </c>
      <c r="L13" s="78">
        <v>46116</v>
      </c>
      <c r="M13" s="104">
        <v>0.3</v>
      </c>
      <c r="N13" s="60" t="s">
        <v>518</v>
      </c>
    </row>
    <row r="14" spans="1:14" ht="30" customHeight="1" x14ac:dyDescent="0.3">
      <c r="A14" s="142"/>
      <c r="B14" s="88" t="s">
        <v>207</v>
      </c>
      <c r="C14" s="88" t="s">
        <v>326</v>
      </c>
      <c r="D14" s="90" t="s">
        <v>294</v>
      </c>
      <c r="E14" s="88"/>
      <c r="F14" s="88"/>
      <c r="G14" s="80" t="s">
        <v>292</v>
      </c>
      <c r="H14" s="82"/>
      <c r="I14" s="83"/>
      <c r="J14" s="62"/>
      <c r="K14" s="62"/>
      <c r="L14" s="62"/>
      <c r="M14" s="104">
        <v>0.05</v>
      </c>
      <c r="N14" s="60"/>
    </row>
    <row r="15" spans="1:14" ht="30" customHeight="1" x14ac:dyDescent="0.3">
      <c r="A15" s="142"/>
      <c r="B15" s="91" t="s">
        <v>207</v>
      </c>
      <c r="C15" s="91"/>
      <c r="D15" s="92" t="s">
        <v>286</v>
      </c>
      <c r="E15" s="91"/>
      <c r="F15" s="91"/>
      <c r="G15" s="80">
        <v>45991</v>
      </c>
      <c r="H15" s="79" t="s">
        <v>261</v>
      </c>
      <c r="I15" s="79" t="s">
        <v>261</v>
      </c>
      <c r="J15" s="62"/>
      <c r="K15" s="62"/>
      <c r="L15" s="62"/>
      <c r="M15" s="104">
        <v>0.05</v>
      </c>
      <c r="N15" s="65" t="s">
        <v>214</v>
      </c>
    </row>
    <row r="16" spans="1:14" ht="30" customHeight="1" x14ac:dyDescent="0.3">
      <c r="A16" s="142"/>
      <c r="B16" s="91" t="s">
        <v>207</v>
      </c>
      <c r="C16" s="91" t="s">
        <v>325</v>
      </c>
      <c r="D16" s="92" t="s">
        <v>287</v>
      </c>
      <c r="E16" s="91"/>
      <c r="F16" s="91"/>
      <c r="G16" s="80">
        <v>45966</v>
      </c>
      <c r="H16" s="79" t="s">
        <v>261</v>
      </c>
      <c r="I16" s="79" t="s">
        <v>261</v>
      </c>
      <c r="J16" s="62"/>
      <c r="K16" s="62"/>
      <c r="L16" s="62"/>
      <c r="M16" s="104">
        <v>0.05</v>
      </c>
      <c r="N16" s="65" t="s">
        <v>214</v>
      </c>
    </row>
    <row r="17" spans="1:16" ht="30" customHeight="1" x14ac:dyDescent="0.3">
      <c r="A17" s="142"/>
      <c r="B17" s="91" t="s">
        <v>207</v>
      </c>
      <c r="C17" s="91" t="s">
        <v>325</v>
      </c>
      <c r="D17" s="92" t="s">
        <v>288</v>
      </c>
      <c r="E17" s="91"/>
      <c r="F17" s="91"/>
      <c r="G17" s="80">
        <v>45966</v>
      </c>
      <c r="H17" s="79" t="s">
        <v>261</v>
      </c>
      <c r="I17" s="79" t="s">
        <v>261</v>
      </c>
      <c r="J17" s="62"/>
      <c r="K17" s="62"/>
      <c r="L17" s="62"/>
      <c r="M17" s="104">
        <v>0.05</v>
      </c>
      <c r="N17" s="65" t="s">
        <v>214</v>
      </c>
    </row>
    <row r="18" spans="1:16" ht="27.6" customHeight="1" x14ac:dyDescent="0.3">
      <c r="A18" s="143"/>
      <c r="B18" s="91" t="s">
        <v>207</v>
      </c>
      <c r="C18" s="91" t="s">
        <v>325</v>
      </c>
      <c r="D18" s="92" t="s">
        <v>289</v>
      </c>
      <c r="E18" s="91"/>
      <c r="F18" s="91"/>
      <c r="G18" s="80">
        <v>45966</v>
      </c>
      <c r="H18" s="79" t="s">
        <v>261</v>
      </c>
      <c r="I18" s="79" t="s">
        <v>261</v>
      </c>
      <c r="J18" s="62"/>
      <c r="K18" s="62"/>
      <c r="L18" s="62"/>
      <c r="M18" s="104">
        <v>0.05</v>
      </c>
      <c r="N18" s="65" t="s">
        <v>214</v>
      </c>
    </row>
    <row r="19" spans="1:16" ht="30" customHeight="1" x14ac:dyDescent="0.3">
      <c r="A19" s="134" t="s">
        <v>258</v>
      </c>
      <c r="B19" s="88" t="s">
        <v>207</v>
      </c>
      <c r="C19" s="88" t="s">
        <v>111</v>
      </c>
      <c r="D19" s="90" t="s">
        <v>273</v>
      </c>
      <c r="E19" s="88" t="s">
        <v>66</v>
      </c>
      <c r="F19" s="88"/>
      <c r="G19" s="82" t="s">
        <v>247</v>
      </c>
      <c r="H19" s="82" t="s">
        <v>247</v>
      </c>
      <c r="I19" s="82" t="s">
        <v>247</v>
      </c>
      <c r="J19" s="81">
        <v>46052</v>
      </c>
      <c r="K19" s="78">
        <v>46068</v>
      </c>
      <c r="L19" s="78">
        <v>46096</v>
      </c>
      <c r="M19" s="105">
        <v>0.4</v>
      </c>
      <c r="N19" s="60" t="s">
        <v>518</v>
      </c>
    </row>
    <row r="20" spans="1:16" ht="30" customHeight="1" x14ac:dyDescent="0.3">
      <c r="A20" s="134"/>
      <c r="B20" s="88" t="s">
        <v>207</v>
      </c>
      <c r="C20" s="88" t="s">
        <v>111</v>
      </c>
      <c r="D20" s="90" t="s">
        <v>274</v>
      </c>
      <c r="E20" s="88" t="s">
        <v>66</v>
      </c>
      <c r="F20" s="88"/>
      <c r="G20" s="82" t="s">
        <v>247</v>
      </c>
      <c r="H20" s="82" t="s">
        <v>247</v>
      </c>
      <c r="I20" s="82" t="s">
        <v>247</v>
      </c>
      <c r="J20" s="81">
        <v>46052</v>
      </c>
      <c r="K20" s="78">
        <v>46068</v>
      </c>
      <c r="L20" s="78">
        <v>46096</v>
      </c>
      <c r="M20" s="105">
        <v>0.4</v>
      </c>
      <c r="N20" s="60" t="s">
        <v>518</v>
      </c>
    </row>
    <row r="21" spans="1:16" ht="30" customHeight="1" x14ac:dyDescent="0.3">
      <c r="A21" s="134"/>
      <c r="B21" s="88" t="s">
        <v>207</v>
      </c>
      <c r="C21" s="88" t="s">
        <v>111</v>
      </c>
      <c r="D21" s="90" t="s">
        <v>277</v>
      </c>
      <c r="E21" s="88"/>
      <c r="F21" s="88"/>
      <c r="G21" s="80">
        <v>45991</v>
      </c>
      <c r="H21" s="78"/>
      <c r="I21" s="78"/>
      <c r="J21" s="62"/>
      <c r="K21" s="62"/>
      <c r="L21" s="62"/>
      <c r="M21" s="105">
        <v>7.0000000000000007E-2</v>
      </c>
      <c r="N21" s="65" t="s">
        <v>524</v>
      </c>
    </row>
    <row r="22" spans="1:16" ht="30" customHeight="1" x14ac:dyDescent="0.3">
      <c r="A22" s="134"/>
      <c r="B22" s="88" t="s">
        <v>207</v>
      </c>
      <c r="C22" s="88" t="s">
        <v>111</v>
      </c>
      <c r="D22" s="90" t="s">
        <v>272</v>
      </c>
      <c r="E22" s="88"/>
      <c r="F22" s="88"/>
      <c r="G22" s="80">
        <v>45991</v>
      </c>
      <c r="H22" s="78"/>
      <c r="I22" s="78"/>
      <c r="J22" s="62"/>
      <c r="K22" s="62"/>
      <c r="L22" s="62"/>
      <c r="M22" s="105">
        <v>7.0000000000000007E-2</v>
      </c>
      <c r="N22" s="65" t="s">
        <v>524</v>
      </c>
    </row>
    <row r="23" spans="1:16" ht="30" customHeight="1" x14ac:dyDescent="0.3">
      <c r="A23" s="134"/>
      <c r="B23" s="88" t="s">
        <v>207</v>
      </c>
      <c r="C23" s="88" t="s">
        <v>111</v>
      </c>
      <c r="D23" s="90" t="s">
        <v>276</v>
      </c>
      <c r="E23" s="88"/>
      <c r="F23" s="88"/>
      <c r="G23" s="80">
        <v>45991</v>
      </c>
      <c r="H23" s="78"/>
      <c r="I23" s="78"/>
      <c r="J23" s="62"/>
      <c r="K23" s="62"/>
      <c r="L23" s="62"/>
      <c r="M23" s="106">
        <v>7.0000000000000007E-2</v>
      </c>
      <c r="N23" s="65" t="s">
        <v>524</v>
      </c>
      <c r="P23" s="9" t="s">
        <v>485</v>
      </c>
    </row>
    <row r="24" spans="1:16" ht="30" customHeight="1" x14ac:dyDescent="0.3">
      <c r="A24" s="134"/>
      <c r="B24" s="93" t="s">
        <v>208</v>
      </c>
      <c r="C24" s="93" t="s">
        <v>327</v>
      </c>
      <c r="D24" s="90" t="s">
        <v>136</v>
      </c>
      <c r="E24" s="88" t="s">
        <v>430</v>
      </c>
      <c r="F24" s="88"/>
      <c r="G24" s="82" t="s">
        <v>262</v>
      </c>
      <c r="H24" s="82" t="s">
        <v>247</v>
      </c>
      <c r="I24" s="82" t="s">
        <v>247</v>
      </c>
      <c r="J24" s="81">
        <v>46052</v>
      </c>
      <c r="K24" s="78">
        <v>46068</v>
      </c>
      <c r="L24" s="78">
        <v>46096</v>
      </c>
      <c r="M24" s="106">
        <v>0.4</v>
      </c>
      <c r="N24" s="60" t="s">
        <v>518</v>
      </c>
    </row>
    <row r="25" spans="1:16" ht="30" customHeight="1" x14ac:dyDescent="0.3">
      <c r="A25" s="136" t="s">
        <v>305</v>
      </c>
      <c r="B25" s="94" t="s">
        <v>207</v>
      </c>
      <c r="C25" s="94" t="s">
        <v>111</v>
      </c>
      <c r="D25" s="95" t="s">
        <v>306</v>
      </c>
      <c r="E25" s="96" t="s">
        <v>480</v>
      </c>
      <c r="F25" s="96"/>
      <c r="G25" s="82" t="s">
        <v>247</v>
      </c>
      <c r="H25" s="80" t="s">
        <v>505</v>
      </c>
      <c r="I25" s="78"/>
      <c r="J25" s="62"/>
      <c r="K25" s="62"/>
      <c r="L25" s="62"/>
      <c r="M25" s="106">
        <v>0.05</v>
      </c>
      <c r="N25" s="60" t="s">
        <v>526</v>
      </c>
    </row>
    <row r="26" spans="1:16" ht="30" customHeight="1" x14ac:dyDescent="0.3">
      <c r="A26" s="136"/>
      <c r="B26" s="94" t="s">
        <v>207</v>
      </c>
      <c r="C26" s="94" t="s">
        <v>111</v>
      </c>
      <c r="D26" s="92" t="s">
        <v>307</v>
      </c>
      <c r="E26" s="91" t="s">
        <v>486</v>
      </c>
      <c r="F26" s="91"/>
      <c r="G26" s="82" t="s">
        <v>247</v>
      </c>
      <c r="H26" s="80" t="s">
        <v>505</v>
      </c>
      <c r="I26" s="78"/>
      <c r="J26" s="62"/>
      <c r="K26" s="62"/>
      <c r="L26" s="62"/>
      <c r="M26" s="106">
        <v>0.05</v>
      </c>
      <c r="N26" s="60" t="s">
        <v>526</v>
      </c>
    </row>
    <row r="27" spans="1:16" ht="30" customHeight="1" x14ac:dyDescent="0.3">
      <c r="A27" s="136"/>
      <c r="B27" s="94" t="s">
        <v>207</v>
      </c>
      <c r="C27" s="94" t="s">
        <v>111</v>
      </c>
      <c r="D27" s="92" t="s">
        <v>309</v>
      </c>
      <c r="E27" s="91"/>
      <c r="F27" s="91"/>
      <c r="G27" s="80"/>
      <c r="H27" s="78"/>
      <c r="I27" s="78"/>
      <c r="J27" s="62"/>
      <c r="K27" s="62"/>
      <c r="L27" s="62"/>
      <c r="M27" s="106">
        <v>0.05</v>
      </c>
      <c r="N27" s="60"/>
    </row>
    <row r="28" spans="1:16" ht="30" customHeight="1" x14ac:dyDescent="0.3">
      <c r="A28" s="135" t="s">
        <v>283</v>
      </c>
      <c r="B28" s="93" t="s">
        <v>207</v>
      </c>
      <c r="C28" s="93" t="s">
        <v>111</v>
      </c>
      <c r="D28" s="90" t="s">
        <v>304</v>
      </c>
      <c r="E28" s="88" t="s">
        <v>228</v>
      </c>
      <c r="F28" s="88"/>
      <c r="G28" s="82" t="s">
        <v>262</v>
      </c>
      <c r="H28" s="82" t="s">
        <v>247</v>
      </c>
      <c r="I28" s="82" t="s">
        <v>434</v>
      </c>
      <c r="J28" s="62"/>
      <c r="K28" s="62"/>
      <c r="L28" s="62"/>
      <c r="M28" s="106">
        <v>0.3</v>
      </c>
      <c r="N28" s="60" t="s">
        <v>518</v>
      </c>
    </row>
    <row r="29" spans="1:16" ht="30" customHeight="1" x14ac:dyDescent="0.3">
      <c r="A29" s="135"/>
      <c r="B29" s="93" t="s">
        <v>207</v>
      </c>
      <c r="C29" s="93" t="s">
        <v>111</v>
      </c>
      <c r="D29" s="90" t="s">
        <v>308</v>
      </c>
      <c r="E29" s="88" t="s">
        <v>504</v>
      </c>
      <c r="F29" s="88"/>
      <c r="G29" s="82" t="s">
        <v>247</v>
      </c>
      <c r="H29" s="82" t="s">
        <v>247</v>
      </c>
      <c r="I29" s="82" t="s">
        <v>247</v>
      </c>
      <c r="J29" s="62"/>
      <c r="K29" s="62"/>
      <c r="L29" s="62"/>
      <c r="M29" s="106">
        <v>0.05</v>
      </c>
      <c r="N29" s="60" t="s">
        <v>518</v>
      </c>
    </row>
    <row r="30" spans="1:16" ht="30" customHeight="1" x14ac:dyDescent="0.3">
      <c r="A30" s="135"/>
      <c r="B30" s="93" t="s">
        <v>207</v>
      </c>
      <c r="C30" s="93" t="s">
        <v>111</v>
      </c>
      <c r="D30" s="90" t="s">
        <v>281</v>
      </c>
      <c r="E30" s="88" t="s">
        <v>486</v>
      </c>
      <c r="F30" s="88"/>
      <c r="G30" s="82" t="s">
        <v>247</v>
      </c>
      <c r="H30" s="80" t="s">
        <v>505</v>
      </c>
      <c r="I30" s="78"/>
      <c r="J30" s="62"/>
      <c r="K30" s="62"/>
      <c r="L30" s="62"/>
      <c r="M30" s="106">
        <v>0.05</v>
      </c>
      <c r="N30" s="60" t="s">
        <v>526</v>
      </c>
    </row>
    <row r="31" spans="1:16" ht="30" customHeight="1" x14ac:dyDescent="0.3">
      <c r="A31" s="135"/>
      <c r="B31" s="93" t="s">
        <v>207</v>
      </c>
      <c r="C31" s="93" t="s">
        <v>111</v>
      </c>
      <c r="D31" s="90" t="s">
        <v>282</v>
      </c>
      <c r="E31" s="88" t="s">
        <v>486</v>
      </c>
      <c r="F31" s="88"/>
      <c r="G31" s="82" t="s">
        <v>247</v>
      </c>
      <c r="H31" s="80" t="s">
        <v>505</v>
      </c>
      <c r="I31" s="78"/>
      <c r="J31" s="62"/>
      <c r="K31" s="62"/>
      <c r="L31" s="62"/>
      <c r="M31" s="106">
        <v>0.05</v>
      </c>
      <c r="N31" s="60" t="s">
        <v>526</v>
      </c>
    </row>
    <row r="32" spans="1:16" ht="30" customHeight="1" x14ac:dyDescent="0.3">
      <c r="A32" s="135"/>
      <c r="B32" s="93" t="s">
        <v>207</v>
      </c>
      <c r="C32" s="93" t="s">
        <v>111</v>
      </c>
      <c r="D32" s="90" t="s">
        <v>280</v>
      </c>
      <c r="E32" s="88" t="s">
        <v>486</v>
      </c>
      <c r="F32" s="88"/>
      <c r="G32" s="82" t="s">
        <v>247</v>
      </c>
      <c r="H32" s="80" t="s">
        <v>505</v>
      </c>
      <c r="I32" s="78"/>
      <c r="J32" s="62"/>
      <c r="K32" s="62"/>
      <c r="L32" s="62"/>
      <c r="M32" s="106">
        <v>0.05</v>
      </c>
      <c r="N32" s="60" t="s">
        <v>526</v>
      </c>
    </row>
    <row r="33" spans="1:14" ht="30" customHeight="1" x14ac:dyDescent="0.3">
      <c r="A33" s="136" t="s">
        <v>314</v>
      </c>
      <c r="B33" s="97" t="s">
        <v>207</v>
      </c>
      <c r="C33" s="97" t="s">
        <v>111</v>
      </c>
      <c r="D33" s="92" t="s">
        <v>295</v>
      </c>
      <c r="E33" s="91" t="s">
        <v>422</v>
      </c>
      <c r="F33" s="91"/>
      <c r="G33" s="83" t="s">
        <v>423</v>
      </c>
      <c r="H33" s="80" t="s">
        <v>505</v>
      </c>
      <c r="I33" s="78"/>
      <c r="J33" s="62"/>
      <c r="K33" s="62"/>
      <c r="L33" s="62"/>
      <c r="M33" s="106">
        <v>0.1</v>
      </c>
      <c r="N33" s="60" t="s">
        <v>526</v>
      </c>
    </row>
    <row r="34" spans="1:14" ht="30" customHeight="1" x14ac:dyDescent="0.3">
      <c r="A34" s="136"/>
      <c r="B34" s="97" t="s">
        <v>207</v>
      </c>
      <c r="C34" s="97" t="s">
        <v>111</v>
      </c>
      <c r="D34" s="99" t="s">
        <v>469</v>
      </c>
      <c r="E34" s="91" t="s">
        <v>468</v>
      </c>
      <c r="F34" s="91"/>
      <c r="G34" s="83" t="s">
        <v>472</v>
      </c>
      <c r="H34" s="80" t="s">
        <v>505</v>
      </c>
      <c r="I34" s="78"/>
      <c r="J34" s="62"/>
      <c r="K34" s="62"/>
      <c r="L34" s="62"/>
      <c r="M34" s="106">
        <v>0.05</v>
      </c>
      <c r="N34" s="60" t="s">
        <v>526</v>
      </c>
    </row>
    <row r="35" spans="1:14" ht="30" customHeight="1" x14ac:dyDescent="0.3">
      <c r="A35" s="136"/>
      <c r="B35" s="97" t="s">
        <v>207</v>
      </c>
      <c r="C35" s="97" t="s">
        <v>111</v>
      </c>
      <c r="D35" s="92" t="s">
        <v>297</v>
      </c>
      <c r="E35" s="91" t="s">
        <v>487</v>
      </c>
      <c r="F35" s="91"/>
      <c r="G35" s="82" t="s">
        <v>247</v>
      </c>
      <c r="H35" s="80" t="s">
        <v>505</v>
      </c>
      <c r="I35" s="78"/>
      <c r="J35" s="62"/>
      <c r="K35" s="62"/>
      <c r="L35" s="62"/>
      <c r="M35" s="106">
        <v>0.05</v>
      </c>
      <c r="N35" s="60" t="s">
        <v>526</v>
      </c>
    </row>
    <row r="36" spans="1:14" ht="30" customHeight="1" x14ac:dyDescent="0.3">
      <c r="A36" s="136"/>
      <c r="B36" s="97" t="s">
        <v>207</v>
      </c>
      <c r="C36" s="97" t="s">
        <v>111</v>
      </c>
      <c r="D36" s="92" t="s">
        <v>298</v>
      </c>
      <c r="E36" s="91" t="s">
        <v>487</v>
      </c>
      <c r="F36" s="91"/>
      <c r="G36" s="82" t="s">
        <v>247</v>
      </c>
      <c r="H36" s="80" t="s">
        <v>505</v>
      </c>
      <c r="I36" s="78"/>
      <c r="J36" s="62"/>
      <c r="K36" s="62"/>
      <c r="L36" s="62"/>
      <c r="M36" s="106">
        <v>0.05</v>
      </c>
      <c r="N36" s="60" t="s">
        <v>526</v>
      </c>
    </row>
    <row r="37" spans="1:14" ht="30" customHeight="1" x14ac:dyDescent="0.3">
      <c r="A37" s="135" t="s">
        <v>300</v>
      </c>
      <c r="B37" s="93" t="s">
        <v>207</v>
      </c>
      <c r="C37" s="93" t="s">
        <v>325</v>
      </c>
      <c r="D37" s="90" t="s">
        <v>483</v>
      </c>
      <c r="E37" s="88" t="s">
        <v>229</v>
      </c>
      <c r="F37" s="88"/>
      <c r="G37" s="83" t="s">
        <v>262</v>
      </c>
      <c r="H37" s="83" t="s">
        <v>247</v>
      </c>
      <c r="I37" s="83" t="s">
        <v>247</v>
      </c>
      <c r="J37" s="128" t="s">
        <v>424</v>
      </c>
      <c r="K37" s="66" t="s">
        <v>425</v>
      </c>
      <c r="L37" s="78">
        <v>46111</v>
      </c>
      <c r="M37" s="106">
        <v>0.3</v>
      </c>
      <c r="N37" s="60" t="s">
        <v>518</v>
      </c>
    </row>
    <row r="38" spans="1:14" ht="30" customHeight="1" x14ac:dyDescent="0.3">
      <c r="A38" s="135"/>
      <c r="B38" s="93" t="s">
        <v>207</v>
      </c>
      <c r="C38" s="93" t="s">
        <v>325</v>
      </c>
      <c r="D38" s="90" t="s">
        <v>251</v>
      </c>
      <c r="E38" s="88" t="s">
        <v>252</v>
      </c>
      <c r="F38" s="88"/>
      <c r="G38" s="83" t="s">
        <v>262</v>
      </c>
      <c r="H38" s="83" t="s">
        <v>247</v>
      </c>
      <c r="I38" s="83" t="s">
        <v>247</v>
      </c>
      <c r="J38" s="128" t="s">
        <v>426</v>
      </c>
      <c r="K38" s="128">
        <v>46068</v>
      </c>
      <c r="L38" s="78">
        <v>46111</v>
      </c>
      <c r="M38" s="106">
        <v>0.3</v>
      </c>
      <c r="N38" s="60" t="s">
        <v>518</v>
      </c>
    </row>
    <row r="39" spans="1:14" ht="30" customHeight="1" x14ac:dyDescent="0.3">
      <c r="A39" s="135"/>
      <c r="B39" s="93" t="s">
        <v>207</v>
      </c>
      <c r="C39" s="93" t="s">
        <v>325</v>
      </c>
      <c r="D39" s="90" t="s">
        <v>302</v>
      </c>
      <c r="E39" s="88"/>
      <c r="F39" s="88"/>
      <c r="G39" s="80">
        <v>46006</v>
      </c>
      <c r="H39" s="62"/>
      <c r="I39" s="62"/>
      <c r="J39" s="62"/>
      <c r="K39" s="62"/>
      <c r="L39" s="62"/>
      <c r="M39" s="106">
        <v>0</v>
      </c>
      <c r="N39" s="60" t="s">
        <v>137</v>
      </c>
    </row>
    <row r="40" spans="1:14" ht="30" customHeight="1" x14ac:dyDescent="0.3">
      <c r="A40" s="135"/>
      <c r="B40" s="93" t="s">
        <v>207</v>
      </c>
      <c r="C40" s="93" t="s">
        <v>325</v>
      </c>
      <c r="D40" s="90" t="s">
        <v>303</v>
      </c>
      <c r="E40" s="88"/>
      <c r="F40" s="88"/>
      <c r="G40" s="80">
        <v>46006</v>
      </c>
      <c r="H40" s="62"/>
      <c r="I40" s="62"/>
      <c r="J40" s="62"/>
      <c r="K40" s="62"/>
      <c r="L40" s="62"/>
      <c r="M40" s="106">
        <v>0</v>
      </c>
      <c r="N40" s="60" t="s">
        <v>137</v>
      </c>
    </row>
    <row r="41" spans="1:14" ht="30" customHeight="1" x14ac:dyDescent="0.3">
      <c r="A41" s="108" t="s">
        <v>259</v>
      </c>
      <c r="B41" s="97" t="s">
        <v>208</v>
      </c>
      <c r="C41" s="97" t="s">
        <v>111</v>
      </c>
      <c r="D41" s="92" t="s">
        <v>482</v>
      </c>
      <c r="E41" s="91"/>
      <c r="F41" s="91"/>
      <c r="G41" s="80">
        <v>45991</v>
      </c>
      <c r="H41" s="78"/>
      <c r="I41" s="78"/>
      <c r="J41" s="62"/>
      <c r="K41" s="62"/>
      <c r="L41" s="62"/>
      <c r="M41" s="106">
        <v>0.05</v>
      </c>
      <c r="N41" s="60" t="s">
        <v>506</v>
      </c>
    </row>
    <row r="42" spans="1:14" ht="30" customHeight="1" x14ac:dyDescent="0.3">
      <c r="A42" s="87" t="s">
        <v>312</v>
      </c>
      <c r="B42" s="93"/>
      <c r="C42" s="93" t="s">
        <v>325</v>
      </c>
      <c r="D42" s="90" t="s">
        <v>312</v>
      </c>
      <c r="E42" s="88"/>
      <c r="F42" s="88"/>
      <c r="G42" s="78"/>
      <c r="H42" s="78"/>
      <c r="I42" s="78"/>
      <c r="J42" s="62"/>
      <c r="K42" s="62"/>
      <c r="L42" s="62"/>
      <c r="M42" s="106">
        <v>0</v>
      </c>
      <c r="N42" s="60"/>
    </row>
    <row r="43" spans="1:14" ht="30" customHeight="1" x14ac:dyDescent="0.3">
      <c r="A43" s="138" t="s">
        <v>401</v>
      </c>
      <c r="B43" s="91" t="s">
        <v>208</v>
      </c>
      <c r="C43" s="98" t="s">
        <v>327</v>
      </c>
      <c r="D43" s="99" t="s">
        <v>184</v>
      </c>
      <c r="E43" s="100" t="s">
        <v>230</v>
      </c>
      <c r="F43" s="100"/>
      <c r="G43" s="82" t="s">
        <v>247</v>
      </c>
      <c r="H43" s="82" t="s">
        <v>247</v>
      </c>
      <c r="I43" s="82" t="s">
        <v>247</v>
      </c>
      <c r="J43" s="78">
        <v>46052</v>
      </c>
      <c r="K43" s="78">
        <v>46068</v>
      </c>
      <c r="L43" s="78">
        <v>46111</v>
      </c>
      <c r="M43" s="106">
        <v>0.3</v>
      </c>
      <c r="N43" s="60" t="s">
        <v>518</v>
      </c>
    </row>
    <row r="44" spans="1:14" ht="30" customHeight="1" x14ac:dyDescent="0.3">
      <c r="A44" s="138"/>
      <c r="B44" s="91" t="s">
        <v>208</v>
      </c>
      <c r="C44" s="98" t="s">
        <v>327</v>
      </c>
      <c r="D44" s="99" t="s">
        <v>185</v>
      </c>
      <c r="E44" s="100" t="s">
        <v>231</v>
      </c>
      <c r="F44" s="100"/>
      <c r="G44" s="82" t="s">
        <v>247</v>
      </c>
      <c r="H44" s="82" t="s">
        <v>247</v>
      </c>
      <c r="I44" s="82" t="s">
        <v>247</v>
      </c>
      <c r="J44" s="78">
        <v>46068</v>
      </c>
      <c r="K44" s="78">
        <f>J44+30</f>
        <v>46098</v>
      </c>
      <c r="L44" s="78">
        <v>46111</v>
      </c>
      <c r="M44" s="106">
        <v>0.1</v>
      </c>
      <c r="N44" s="60" t="s">
        <v>518</v>
      </c>
    </row>
    <row r="45" spans="1:14" ht="46.8" x14ac:dyDescent="0.3">
      <c r="A45" s="138"/>
      <c r="B45" s="91" t="s">
        <v>208</v>
      </c>
      <c r="C45" s="98" t="s">
        <v>327</v>
      </c>
      <c r="D45" s="99" t="s">
        <v>127</v>
      </c>
      <c r="E45" s="100" t="s">
        <v>232</v>
      </c>
      <c r="F45" s="100"/>
      <c r="G45" s="82" t="s">
        <v>247</v>
      </c>
      <c r="H45" s="82" t="s">
        <v>247</v>
      </c>
      <c r="I45" s="82" t="s">
        <v>247</v>
      </c>
      <c r="J45" s="78">
        <v>46006</v>
      </c>
      <c r="K45" s="78">
        <v>46037</v>
      </c>
      <c r="L45" s="78">
        <v>46111</v>
      </c>
      <c r="M45" s="106">
        <v>0.3</v>
      </c>
      <c r="N45" s="60" t="s">
        <v>518</v>
      </c>
    </row>
    <row r="46" spans="1:14" ht="30" customHeight="1" x14ac:dyDescent="0.3">
      <c r="A46" s="138"/>
      <c r="B46" s="91" t="s">
        <v>208</v>
      </c>
      <c r="C46" s="98" t="s">
        <v>327</v>
      </c>
      <c r="D46" s="92" t="s">
        <v>24</v>
      </c>
      <c r="E46" s="91" t="s">
        <v>139</v>
      </c>
      <c r="F46" s="91"/>
      <c r="G46" s="82" t="s">
        <v>247</v>
      </c>
      <c r="H46" s="82" t="s">
        <v>247</v>
      </c>
      <c r="I46" s="82" t="s">
        <v>247</v>
      </c>
      <c r="J46" s="78">
        <v>46052</v>
      </c>
      <c r="K46" s="78">
        <v>46081</v>
      </c>
      <c r="L46" s="78">
        <v>46111</v>
      </c>
      <c r="M46" s="106">
        <v>0.2</v>
      </c>
      <c r="N46" s="60" t="s">
        <v>518</v>
      </c>
    </row>
    <row r="47" spans="1:14" ht="30" customHeight="1" x14ac:dyDescent="0.3">
      <c r="A47" s="138"/>
      <c r="B47" s="91" t="s">
        <v>208</v>
      </c>
      <c r="C47" s="98" t="s">
        <v>327</v>
      </c>
      <c r="D47" s="92" t="s">
        <v>25</v>
      </c>
      <c r="E47" s="91"/>
      <c r="F47" s="91"/>
      <c r="G47" s="80">
        <v>45981</v>
      </c>
      <c r="H47" s="78"/>
      <c r="I47" s="78"/>
      <c r="J47" s="62"/>
      <c r="K47" s="62"/>
      <c r="L47" s="62"/>
      <c r="M47" s="106">
        <v>0.05</v>
      </c>
      <c r="N47" s="65" t="s">
        <v>524</v>
      </c>
    </row>
    <row r="48" spans="1:14" ht="30" customHeight="1" x14ac:dyDescent="0.3">
      <c r="A48" s="138"/>
      <c r="B48" s="91" t="s">
        <v>208</v>
      </c>
      <c r="C48" s="98" t="s">
        <v>327</v>
      </c>
      <c r="D48" s="92" t="s">
        <v>26</v>
      </c>
      <c r="E48" s="91"/>
      <c r="F48" s="91"/>
      <c r="G48" s="80">
        <v>45981</v>
      </c>
      <c r="H48" s="78"/>
      <c r="I48" s="78"/>
      <c r="J48" s="62"/>
      <c r="K48" s="62"/>
      <c r="L48" s="62"/>
      <c r="M48" s="106">
        <v>0.05</v>
      </c>
      <c r="N48" s="65" t="s">
        <v>524</v>
      </c>
    </row>
    <row r="49" spans="1:14" ht="30" customHeight="1" x14ac:dyDescent="0.3">
      <c r="A49" s="138"/>
      <c r="B49" s="91" t="s">
        <v>208</v>
      </c>
      <c r="C49" s="98" t="s">
        <v>327</v>
      </c>
      <c r="D49" s="92" t="s">
        <v>126</v>
      </c>
      <c r="E49" s="91"/>
      <c r="F49" s="91"/>
      <c r="G49" s="80">
        <v>45981</v>
      </c>
      <c r="H49" s="78"/>
      <c r="I49" s="78"/>
      <c r="J49" s="62"/>
      <c r="K49" s="62"/>
      <c r="L49" s="62"/>
      <c r="M49" s="106">
        <v>0.05</v>
      </c>
      <c r="N49" s="65" t="s">
        <v>524</v>
      </c>
    </row>
    <row r="50" spans="1:14" ht="30" customHeight="1" x14ac:dyDescent="0.3">
      <c r="A50" s="138"/>
      <c r="B50" s="91" t="s">
        <v>208</v>
      </c>
      <c r="C50" s="98" t="s">
        <v>327</v>
      </c>
      <c r="D50" s="92" t="s">
        <v>27</v>
      </c>
      <c r="E50" s="91" t="s">
        <v>241</v>
      </c>
      <c r="F50" s="91"/>
      <c r="G50" s="82" t="s">
        <v>247</v>
      </c>
      <c r="H50" s="79" t="s">
        <v>261</v>
      </c>
      <c r="I50" s="79" t="s">
        <v>261</v>
      </c>
      <c r="J50" s="62"/>
      <c r="K50" s="62"/>
      <c r="L50" s="62"/>
      <c r="M50" s="106">
        <v>0.3</v>
      </c>
      <c r="N50" s="60" t="s">
        <v>518</v>
      </c>
    </row>
    <row r="51" spans="1:14" ht="30" customHeight="1" x14ac:dyDescent="0.3">
      <c r="A51" s="139" t="s">
        <v>260</v>
      </c>
      <c r="B51" s="88" t="s">
        <v>208</v>
      </c>
      <c r="C51" s="88" t="s">
        <v>327</v>
      </c>
      <c r="D51" s="90" t="s">
        <v>28</v>
      </c>
      <c r="E51" s="88" t="s">
        <v>218</v>
      </c>
      <c r="F51" s="88"/>
      <c r="G51" s="80">
        <v>45991</v>
      </c>
      <c r="H51" s="78"/>
      <c r="I51" s="78"/>
      <c r="J51" s="62"/>
      <c r="K51" s="62"/>
      <c r="L51" s="62"/>
      <c r="M51" s="106">
        <v>0.05</v>
      </c>
      <c r="N51" s="60" t="s">
        <v>138</v>
      </c>
    </row>
    <row r="52" spans="1:14" ht="30" customHeight="1" x14ac:dyDescent="0.3">
      <c r="A52" s="139"/>
      <c r="B52" s="88" t="s">
        <v>208</v>
      </c>
      <c r="C52" s="88" t="s">
        <v>327</v>
      </c>
      <c r="D52" s="90" t="s">
        <v>29</v>
      </c>
      <c r="E52" s="88" t="s">
        <v>218</v>
      </c>
      <c r="F52" s="88"/>
      <c r="G52" s="80">
        <v>45991</v>
      </c>
      <c r="H52" s="78"/>
      <c r="I52" s="78"/>
      <c r="J52" s="62"/>
      <c r="K52" s="62"/>
      <c r="L52" s="62"/>
      <c r="M52" s="106">
        <v>0.05</v>
      </c>
      <c r="N52" s="60" t="s">
        <v>138</v>
      </c>
    </row>
    <row r="53" spans="1:14" ht="30" customHeight="1" x14ac:dyDescent="0.3">
      <c r="A53" s="139"/>
      <c r="B53" s="88" t="s">
        <v>208</v>
      </c>
      <c r="C53" s="88" t="s">
        <v>327</v>
      </c>
      <c r="D53" s="90" t="s">
        <v>30</v>
      </c>
      <c r="E53" s="88" t="s">
        <v>218</v>
      </c>
      <c r="F53" s="88"/>
      <c r="G53" s="80">
        <v>45976</v>
      </c>
      <c r="H53" s="78"/>
      <c r="I53" s="78"/>
      <c r="J53" s="62"/>
      <c r="K53" s="62"/>
      <c r="L53" s="62"/>
      <c r="M53" s="106">
        <v>0.05</v>
      </c>
      <c r="N53" s="60" t="s">
        <v>138</v>
      </c>
    </row>
    <row r="54" spans="1:14" ht="30" customHeight="1" x14ac:dyDescent="0.3">
      <c r="A54" s="139"/>
      <c r="B54" s="88" t="s">
        <v>208</v>
      </c>
      <c r="C54" s="88" t="s">
        <v>327</v>
      </c>
      <c r="D54" s="90" t="s">
        <v>31</v>
      </c>
      <c r="E54" s="88" t="s">
        <v>218</v>
      </c>
      <c r="F54" s="88"/>
      <c r="G54" s="80">
        <v>45991</v>
      </c>
      <c r="H54" s="78"/>
      <c r="I54" s="78"/>
      <c r="J54" s="62"/>
      <c r="K54" s="62"/>
      <c r="L54" s="62"/>
      <c r="M54" s="106">
        <v>0.05</v>
      </c>
      <c r="N54" s="60" t="s">
        <v>138</v>
      </c>
    </row>
    <row r="55" spans="1:14" ht="30" customHeight="1" x14ac:dyDescent="0.3">
      <c r="A55" s="139"/>
      <c r="B55" s="88" t="s">
        <v>208</v>
      </c>
      <c r="C55" s="88" t="s">
        <v>327</v>
      </c>
      <c r="D55" s="90" t="s">
        <v>384</v>
      </c>
      <c r="E55" s="88" t="s">
        <v>218</v>
      </c>
      <c r="F55" s="88"/>
      <c r="G55" s="80">
        <v>45991</v>
      </c>
      <c r="H55" s="78"/>
      <c r="I55" s="78"/>
      <c r="J55" s="62"/>
      <c r="K55" s="62"/>
      <c r="L55" s="62"/>
      <c r="M55" s="106">
        <v>0.05</v>
      </c>
      <c r="N55" s="60" t="s">
        <v>138</v>
      </c>
    </row>
    <row r="56" spans="1:14" ht="30" customHeight="1" x14ac:dyDescent="0.3">
      <c r="A56" s="139"/>
      <c r="B56" s="88" t="s">
        <v>208</v>
      </c>
      <c r="C56" s="88" t="s">
        <v>327</v>
      </c>
      <c r="D56" s="90" t="s">
        <v>32</v>
      </c>
      <c r="E56" s="88" t="s">
        <v>218</v>
      </c>
      <c r="F56" s="88"/>
      <c r="G56" s="80">
        <v>45991</v>
      </c>
      <c r="H56" s="78"/>
      <c r="I56" s="78"/>
      <c r="J56" s="62"/>
      <c r="K56" s="62"/>
      <c r="L56" s="62"/>
      <c r="M56" s="106">
        <v>0.05</v>
      </c>
      <c r="N56" s="60" t="s">
        <v>138</v>
      </c>
    </row>
    <row r="57" spans="1:14" ht="30" customHeight="1" x14ac:dyDescent="0.3">
      <c r="A57" s="139"/>
      <c r="B57" s="88" t="s">
        <v>208</v>
      </c>
      <c r="C57" s="88" t="s">
        <v>385</v>
      </c>
      <c r="D57" s="90" t="s">
        <v>181</v>
      </c>
      <c r="E57" s="88" t="s">
        <v>218</v>
      </c>
      <c r="F57" s="88"/>
      <c r="G57" s="80">
        <v>45991</v>
      </c>
      <c r="H57" s="78"/>
      <c r="I57" s="78"/>
      <c r="J57" s="62"/>
      <c r="K57" s="62"/>
      <c r="L57" s="62"/>
      <c r="M57" s="106">
        <v>0.05</v>
      </c>
      <c r="N57" s="60" t="s">
        <v>106</v>
      </c>
    </row>
    <row r="58" spans="1:14" ht="30" customHeight="1" x14ac:dyDescent="0.3">
      <c r="A58" s="139"/>
      <c r="B58" s="88" t="s">
        <v>208</v>
      </c>
      <c r="C58" s="88" t="s">
        <v>385</v>
      </c>
      <c r="D58" s="90" t="s">
        <v>182</v>
      </c>
      <c r="E58" s="88" t="s">
        <v>218</v>
      </c>
      <c r="F58" s="88"/>
      <c r="G58" s="80">
        <v>45991</v>
      </c>
      <c r="H58" s="78"/>
      <c r="I58" s="78"/>
      <c r="J58" s="62"/>
      <c r="K58" s="62"/>
      <c r="L58" s="62"/>
      <c r="M58" s="106">
        <v>0.05</v>
      </c>
      <c r="N58" s="60" t="s">
        <v>183</v>
      </c>
    </row>
    <row r="59" spans="1:14" ht="30" customHeight="1" x14ac:dyDescent="0.3">
      <c r="A59" s="139"/>
      <c r="B59" s="88" t="s">
        <v>208</v>
      </c>
      <c r="C59" s="88" t="s">
        <v>385</v>
      </c>
      <c r="D59" s="90" t="s">
        <v>33</v>
      </c>
      <c r="E59" s="88" t="s">
        <v>218</v>
      </c>
      <c r="F59" s="88"/>
      <c r="G59" s="80">
        <v>45991</v>
      </c>
      <c r="H59" s="78"/>
      <c r="I59" s="78"/>
      <c r="J59" s="62"/>
      <c r="K59" s="62"/>
      <c r="L59" s="62"/>
      <c r="M59" s="106">
        <v>0.05</v>
      </c>
      <c r="N59" s="60" t="s">
        <v>106</v>
      </c>
    </row>
    <row r="60" spans="1:14" ht="30" customHeight="1" x14ac:dyDescent="0.3">
      <c r="A60" s="138" t="s">
        <v>16</v>
      </c>
      <c r="B60" s="97" t="s">
        <v>208</v>
      </c>
      <c r="C60" s="97" t="s">
        <v>328</v>
      </c>
      <c r="D60" s="92" t="s">
        <v>36</v>
      </c>
      <c r="E60" s="91" t="s">
        <v>218</v>
      </c>
      <c r="F60" s="91"/>
      <c r="G60" s="80" t="s">
        <v>484</v>
      </c>
      <c r="H60" s="78"/>
      <c r="I60" s="78"/>
      <c r="J60" s="62"/>
      <c r="K60" s="62"/>
      <c r="L60" s="62"/>
      <c r="M60" s="106">
        <v>0</v>
      </c>
      <c r="N60" s="60" t="s">
        <v>140</v>
      </c>
    </row>
    <row r="61" spans="1:14" ht="30" customHeight="1" x14ac:dyDescent="0.3">
      <c r="A61" s="138"/>
      <c r="B61" s="97" t="s">
        <v>208</v>
      </c>
      <c r="C61" s="97" t="s">
        <v>328</v>
      </c>
      <c r="D61" s="92" t="s">
        <v>37</v>
      </c>
      <c r="E61" s="91" t="s">
        <v>218</v>
      </c>
      <c r="F61" s="91"/>
      <c r="G61" s="80" t="s">
        <v>484</v>
      </c>
      <c r="H61" s="78"/>
      <c r="I61" s="78"/>
      <c r="J61" s="62"/>
      <c r="K61" s="62"/>
      <c r="L61" s="62"/>
      <c r="M61" s="106">
        <v>0</v>
      </c>
      <c r="N61" s="60" t="s">
        <v>140</v>
      </c>
    </row>
    <row r="62" spans="1:14" ht="30" customHeight="1" x14ac:dyDescent="0.3">
      <c r="A62" s="138"/>
      <c r="B62" s="97" t="s">
        <v>209</v>
      </c>
      <c r="C62" s="97" t="s">
        <v>328</v>
      </c>
      <c r="D62" s="101" t="s">
        <v>150</v>
      </c>
      <c r="E62" s="91" t="s">
        <v>153</v>
      </c>
      <c r="F62" s="91"/>
      <c r="G62" s="82" t="s">
        <v>247</v>
      </c>
      <c r="H62" s="82" t="s">
        <v>247</v>
      </c>
      <c r="I62" s="82" t="s">
        <v>247</v>
      </c>
      <c r="J62" s="82" t="s">
        <v>247</v>
      </c>
      <c r="K62" s="82" t="s">
        <v>247</v>
      </c>
      <c r="L62" s="82" t="s">
        <v>247</v>
      </c>
      <c r="M62" s="106">
        <v>1</v>
      </c>
      <c r="N62" s="60"/>
    </row>
    <row r="63" spans="1:14" ht="30" customHeight="1" x14ac:dyDescent="0.3">
      <c r="A63" s="138"/>
      <c r="B63" s="97" t="s">
        <v>209</v>
      </c>
      <c r="C63" s="97" t="s">
        <v>328</v>
      </c>
      <c r="D63" s="101" t="s">
        <v>329</v>
      </c>
      <c r="E63" s="91"/>
      <c r="F63" s="91"/>
      <c r="G63" s="80" t="s">
        <v>270</v>
      </c>
      <c r="H63" s="78"/>
      <c r="I63" s="78"/>
      <c r="J63" s="59"/>
      <c r="K63" s="59"/>
      <c r="L63" s="59"/>
      <c r="M63" s="106">
        <v>0</v>
      </c>
      <c r="N63" s="60"/>
    </row>
    <row r="64" spans="1:14" ht="30" customHeight="1" x14ac:dyDescent="0.3">
      <c r="A64" s="138"/>
      <c r="B64" s="109" t="s">
        <v>209</v>
      </c>
      <c r="C64" s="109" t="s">
        <v>328</v>
      </c>
      <c r="D64" s="110" t="s">
        <v>133</v>
      </c>
      <c r="E64" s="111"/>
      <c r="F64" s="111"/>
      <c r="G64" s="112" t="s">
        <v>270</v>
      </c>
      <c r="H64" s="113"/>
      <c r="I64" s="113"/>
      <c r="J64" s="114"/>
      <c r="K64" s="114"/>
      <c r="L64" s="114"/>
      <c r="M64" s="115">
        <v>0</v>
      </c>
      <c r="N64" s="116"/>
    </row>
    <row r="65" spans="1:14" ht="30" customHeight="1" x14ac:dyDescent="0.3">
      <c r="A65" s="139" t="s">
        <v>359</v>
      </c>
      <c r="B65" s="93" t="s">
        <v>209</v>
      </c>
      <c r="C65" s="93" t="s">
        <v>342</v>
      </c>
      <c r="D65" s="90" t="s">
        <v>361</v>
      </c>
      <c r="E65" s="88" t="s">
        <v>156</v>
      </c>
      <c r="F65" s="88"/>
      <c r="G65" s="82" t="s">
        <v>247</v>
      </c>
      <c r="H65" s="79" t="s">
        <v>261</v>
      </c>
      <c r="I65" s="79" t="s">
        <v>261</v>
      </c>
      <c r="J65" s="78">
        <v>45976</v>
      </c>
      <c r="K65" s="123">
        <v>45991</v>
      </c>
      <c r="L65" s="123">
        <v>46021</v>
      </c>
      <c r="M65" s="115">
        <v>0</v>
      </c>
      <c r="N65" s="118"/>
    </row>
    <row r="66" spans="1:14" ht="30" customHeight="1" x14ac:dyDescent="0.3">
      <c r="A66" s="139"/>
      <c r="B66" s="93" t="s">
        <v>209</v>
      </c>
      <c r="C66" s="93" t="s">
        <v>342</v>
      </c>
      <c r="D66" s="90" t="s">
        <v>42</v>
      </c>
      <c r="E66" s="88" t="s">
        <v>156</v>
      </c>
      <c r="F66" s="88"/>
      <c r="G66" s="82" t="s">
        <v>247</v>
      </c>
      <c r="H66" s="79" t="s">
        <v>261</v>
      </c>
      <c r="I66" s="79" t="s">
        <v>261</v>
      </c>
      <c r="J66" s="78">
        <v>45976</v>
      </c>
      <c r="K66" s="123">
        <v>45991</v>
      </c>
      <c r="L66" s="123">
        <v>46021</v>
      </c>
      <c r="M66" s="115">
        <v>0</v>
      </c>
      <c r="N66" s="118"/>
    </row>
    <row r="67" spans="1:14" ht="30" customHeight="1" x14ac:dyDescent="0.3">
      <c r="A67" s="139"/>
      <c r="B67" s="93" t="s">
        <v>209</v>
      </c>
      <c r="C67" s="93" t="s">
        <v>342</v>
      </c>
      <c r="D67" s="90" t="s">
        <v>366</v>
      </c>
      <c r="E67" s="88"/>
      <c r="F67" s="88"/>
      <c r="G67" s="117"/>
      <c r="H67" s="79" t="s">
        <v>261</v>
      </c>
      <c r="I67" s="79" t="s">
        <v>261</v>
      </c>
      <c r="J67" s="117"/>
      <c r="K67" s="117"/>
      <c r="L67" s="117"/>
      <c r="M67" s="115">
        <v>0</v>
      </c>
      <c r="N67" s="118"/>
    </row>
    <row r="68" spans="1:14" ht="30" customHeight="1" x14ac:dyDescent="0.3">
      <c r="A68" s="136" t="s">
        <v>360</v>
      </c>
      <c r="B68" s="97" t="s">
        <v>209</v>
      </c>
      <c r="C68" s="97" t="s">
        <v>342</v>
      </c>
      <c r="D68" s="92" t="s">
        <v>361</v>
      </c>
      <c r="E68" s="91" t="s">
        <v>156</v>
      </c>
      <c r="F68" s="91"/>
      <c r="G68" s="112" t="s">
        <v>399</v>
      </c>
      <c r="H68" s="79" t="s">
        <v>261</v>
      </c>
      <c r="I68" s="79" t="s">
        <v>261</v>
      </c>
      <c r="J68" s="78">
        <v>45976</v>
      </c>
      <c r="K68" s="123">
        <v>45991</v>
      </c>
      <c r="L68" s="123">
        <v>46021</v>
      </c>
      <c r="M68" s="115">
        <v>0</v>
      </c>
      <c r="N68" s="118"/>
    </row>
    <row r="69" spans="1:14" ht="30" customHeight="1" x14ac:dyDescent="0.3">
      <c r="A69" s="136"/>
      <c r="B69" s="97" t="s">
        <v>209</v>
      </c>
      <c r="C69" s="97" t="s">
        <v>342</v>
      </c>
      <c r="D69" s="92" t="s">
        <v>362</v>
      </c>
      <c r="E69" s="91" t="s">
        <v>156</v>
      </c>
      <c r="F69" s="91"/>
      <c r="G69" s="112" t="s">
        <v>399</v>
      </c>
      <c r="H69" s="79" t="s">
        <v>261</v>
      </c>
      <c r="I69" s="79" t="s">
        <v>261</v>
      </c>
      <c r="J69" s="78">
        <v>45976</v>
      </c>
      <c r="K69" s="123">
        <v>45991</v>
      </c>
      <c r="L69" s="123">
        <v>46021</v>
      </c>
      <c r="M69" s="115">
        <v>0</v>
      </c>
      <c r="N69" s="118"/>
    </row>
    <row r="70" spans="1:14" ht="30" customHeight="1" x14ac:dyDescent="0.3">
      <c r="A70" s="136"/>
      <c r="B70" s="97" t="s">
        <v>209</v>
      </c>
      <c r="C70" s="97" t="s">
        <v>342</v>
      </c>
      <c r="D70" s="92" t="s">
        <v>363</v>
      </c>
      <c r="E70" s="91"/>
      <c r="F70" s="91"/>
      <c r="G70" s="117"/>
      <c r="H70" s="79" t="s">
        <v>261</v>
      </c>
      <c r="I70" s="79" t="s">
        <v>261</v>
      </c>
      <c r="J70" s="117"/>
      <c r="K70" s="117"/>
      <c r="L70" s="117"/>
      <c r="M70" s="115">
        <v>0</v>
      </c>
      <c r="N70" s="118"/>
    </row>
    <row r="71" spans="1:14" ht="30" customHeight="1" x14ac:dyDescent="0.3">
      <c r="A71" s="136"/>
      <c r="B71" s="97" t="s">
        <v>209</v>
      </c>
      <c r="C71" s="97" t="s">
        <v>342</v>
      </c>
      <c r="D71" s="92" t="s">
        <v>83</v>
      </c>
      <c r="E71" s="91"/>
      <c r="F71" s="91"/>
      <c r="G71" s="117"/>
      <c r="H71" s="79" t="s">
        <v>261</v>
      </c>
      <c r="I71" s="79" t="s">
        <v>261</v>
      </c>
      <c r="J71" s="117"/>
      <c r="K71" s="117"/>
      <c r="L71" s="117"/>
      <c r="M71" s="115">
        <v>0</v>
      </c>
      <c r="N71" s="118"/>
    </row>
    <row r="72" spans="1:14" ht="30" customHeight="1" x14ac:dyDescent="0.3">
      <c r="A72" s="136"/>
      <c r="B72" s="97" t="s">
        <v>209</v>
      </c>
      <c r="C72" s="97" t="s">
        <v>342</v>
      </c>
      <c r="D72" s="92" t="s">
        <v>6</v>
      </c>
      <c r="E72" s="91"/>
      <c r="F72" s="91"/>
      <c r="G72" s="117"/>
      <c r="H72" s="79" t="s">
        <v>261</v>
      </c>
      <c r="I72" s="79" t="s">
        <v>261</v>
      </c>
      <c r="J72" s="117"/>
      <c r="K72" s="117"/>
      <c r="L72" s="117"/>
      <c r="M72" s="115">
        <v>0</v>
      </c>
      <c r="N72" s="118"/>
    </row>
    <row r="73" spans="1:14" ht="30" customHeight="1" x14ac:dyDescent="0.3">
      <c r="A73" s="136"/>
      <c r="B73" s="97" t="s">
        <v>209</v>
      </c>
      <c r="C73" s="97" t="s">
        <v>342</v>
      </c>
      <c r="D73" s="92" t="s">
        <v>2</v>
      </c>
      <c r="E73" s="91"/>
      <c r="F73" s="91"/>
      <c r="G73" s="117"/>
      <c r="H73" s="79" t="s">
        <v>261</v>
      </c>
      <c r="I73" s="79" t="s">
        <v>261</v>
      </c>
      <c r="J73" s="117"/>
      <c r="K73" s="117"/>
      <c r="L73" s="117"/>
      <c r="M73" s="115">
        <v>0</v>
      </c>
      <c r="N73" s="118"/>
    </row>
    <row r="74" spans="1:14" ht="30" customHeight="1" x14ac:dyDescent="0.3">
      <c r="A74" s="136"/>
      <c r="B74" s="97" t="s">
        <v>209</v>
      </c>
      <c r="C74" s="97" t="s">
        <v>342</v>
      </c>
      <c r="D74" s="92" t="s">
        <v>364</v>
      </c>
      <c r="E74" s="91"/>
      <c r="F74" s="91"/>
      <c r="G74" s="117"/>
      <c r="H74" s="79" t="s">
        <v>261</v>
      </c>
      <c r="I74" s="79" t="s">
        <v>261</v>
      </c>
      <c r="J74" s="117"/>
      <c r="K74" s="117"/>
      <c r="L74" s="117"/>
      <c r="M74" s="115">
        <v>0</v>
      </c>
      <c r="N74" s="118"/>
    </row>
    <row r="75" spans="1:14" ht="30" customHeight="1" x14ac:dyDescent="0.3">
      <c r="A75" s="136"/>
      <c r="B75" s="97" t="s">
        <v>209</v>
      </c>
      <c r="C75" s="97" t="s">
        <v>342</v>
      </c>
      <c r="D75" s="92" t="s">
        <v>356</v>
      </c>
      <c r="E75" s="91"/>
      <c r="F75" s="91"/>
      <c r="G75" s="117"/>
      <c r="H75" s="79" t="s">
        <v>261</v>
      </c>
      <c r="I75" s="79" t="s">
        <v>261</v>
      </c>
      <c r="J75" s="117"/>
      <c r="K75" s="117"/>
      <c r="L75" s="117"/>
      <c r="M75" s="115">
        <v>0</v>
      </c>
      <c r="N75" s="118"/>
    </row>
    <row r="76" spans="1:14" ht="30" customHeight="1" x14ac:dyDescent="0.3">
      <c r="A76" s="136"/>
      <c r="B76" s="97" t="s">
        <v>209</v>
      </c>
      <c r="C76" s="97" t="s">
        <v>342</v>
      </c>
      <c r="D76" s="92" t="s">
        <v>21</v>
      </c>
      <c r="E76" s="91"/>
      <c r="F76" s="91"/>
      <c r="G76" s="117"/>
      <c r="H76" s="79" t="s">
        <v>261</v>
      </c>
      <c r="I76" s="79" t="s">
        <v>261</v>
      </c>
      <c r="J76" s="117"/>
      <c r="K76" s="117"/>
      <c r="L76" s="117"/>
      <c r="M76" s="115">
        <v>0</v>
      </c>
      <c r="N76" s="118"/>
    </row>
    <row r="77" spans="1:14" ht="30" customHeight="1" x14ac:dyDescent="0.3">
      <c r="A77" s="136"/>
      <c r="B77" s="97" t="s">
        <v>209</v>
      </c>
      <c r="C77" s="97" t="s">
        <v>342</v>
      </c>
      <c r="D77" s="92" t="s">
        <v>365</v>
      </c>
      <c r="E77" s="91"/>
      <c r="F77" s="91"/>
      <c r="G77" s="117"/>
      <c r="H77" s="79" t="s">
        <v>261</v>
      </c>
      <c r="I77" s="79" t="s">
        <v>261</v>
      </c>
      <c r="J77" s="117"/>
      <c r="K77" s="117"/>
      <c r="L77" s="117"/>
      <c r="M77" s="115">
        <v>0</v>
      </c>
      <c r="N77" s="118"/>
    </row>
    <row r="78" spans="1:14" ht="30" customHeight="1" x14ac:dyDescent="0.3">
      <c r="A78" s="140" t="s">
        <v>367</v>
      </c>
      <c r="B78" s="93" t="s">
        <v>211</v>
      </c>
      <c r="C78" s="93" t="s">
        <v>342</v>
      </c>
      <c r="D78" s="90" t="s">
        <v>361</v>
      </c>
      <c r="E78" s="88"/>
      <c r="F78" s="88"/>
      <c r="G78" s="117"/>
      <c r="H78" s="79" t="s">
        <v>261</v>
      </c>
      <c r="I78" s="79" t="s">
        <v>261</v>
      </c>
      <c r="J78" s="117"/>
      <c r="K78" s="117"/>
      <c r="L78" s="117"/>
      <c r="M78" s="115">
        <v>0</v>
      </c>
      <c r="N78" s="118"/>
    </row>
    <row r="79" spans="1:14" ht="30" customHeight="1" x14ac:dyDescent="0.3">
      <c r="A79" s="140"/>
      <c r="B79" s="93" t="s">
        <v>211</v>
      </c>
      <c r="C79" s="93" t="s">
        <v>342</v>
      </c>
      <c r="D79" s="90" t="s">
        <v>368</v>
      </c>
      <c r="E79" s="88"/>
      <c r="F79" s="88"/>
      <c r="G79" s="117"/>
      <c r="H79" s="79" t="s">
        <v>261</v>
      </c>
      <c r="I79" s="79" t="s">
        <v>261</v>
      </c>
      <c r="J79" s="117"/>
      <c r="K79" s="117"/>
      <c r="L79" s="117"/>
      <c r="M79" s="115">
        <v>0</v>
      </c>
      <c r="N79" s="118"/>
    </row>
    <row r="80" spans="1:14" ht="30" customHeight="1" x14ac:dyDescent="0.3">
      <c r="A80" s="140"/>
      <c r="B80" s="93" t="s">
        <v>211</v>
      </c>
      <c r="C80" s="93" t="s">
        <v>342</v>
      </c>
      <c r="D80" s="90" t="s">
        <v>356</v>
      </c>
      <c r="E80" s="88"/>
      <c r="F80" s="88"/>
      <c r="G80" s="117"/>
      <c r="H80" s="79" t="s">
        <v>261</v>
      </c>
      <c r="I80" s="79" t="s">
        <v>261</v>
      </c>
      <c r="J80" s="117"/>
      <c r="K80" s="117"/>
      <c r="L80" s="117"/>
      <c r="M80" s="115">
        <v>0</v>
      </c>
      <c r="N80" s="118"/>
    </row>
    <row r="81" spans="1:14" ht="30" customHeight="1" x14ac:dyDescent="0.3">
      <c r="A81" s="137" t="s">
        <v>369</v>
      </c>
      <c r="B81" s="119" t="s">
        <v>211</v>
      </c>
      <c r="C81" s="119" t="s">
        <v>342</v>
      </c>
      <c r="D81" s="120" t="s">
        <v>378</v>
      </c>
      <c r="E81" s="121"/>
      <c r="F81" s="121"/>
      <c r="G81" s="117"/>
      <c r="H81" s="79" t="s">
        <v>261</v>
      </c>
      <c r="I81" s="79" t="s">
        <v>261</v>
      </c>
      <c r="J81" s="117"/>
      <c r="K81" s="117"/>
      <c r="L81" s="117"/>
      <c r="M81" s="115">
        <v>0</v>
      </c>
      <c r="N81" s="118"/>
    </row>
    <row r="82" spans="1:14" ht="30" customHeight="1" x14ac:dyDescent="0.3">
      <c r="A82" s="137"/>
      <c r="B82" s="119" t="s">
        <v>211</v>
      </c>
      <c r="C82" s="119" t="s">
        <v>342</v>
      </c>
      <c r="D82" s="120" t="s">
        <v>379</v>
      </c>
      <c r="E82" s="121"/>
      <c r="F82" s="121"/>
      <c r="G82" s="117"/>
      <c r="H82" s="79" t="s">
        <v>261</v>
      </c>
      <c r="I82" s="79" t="s">
        <v>261</v>
      </c>
      <c r="J82" s="117"/>
      <c r="K82" s="117"/>
      <c r="L82" s="117"/>
      <c r="M82" s="115">
        <v>0</v>
      </c>
      <c r="N82" s="118"/>
    </row>
    <row r="83" spans="1:14" ht="30" customHeight="1" x14ac:dyDescent="0.3">
      <c r="A83" s="137"/>
      <c r="B83" s="119" t="s">
        <v>211</v>
      </c>
      <c r="C83" s="119" t="s">
        <v>342</v>
      </c>
      <c r="D83" s="120" t="s">
        <v>380</v>
      </c>
      <c r="E83" s="121"/>
      <c r="F83" s="121"/>
      <c r="G83" s="117"/>
      <c r="H83" s="79" t="s">
        <v>261</v>
      </c>
      <c r="I83" s="79" t="s">
        <v>261</v>
      </c>
      <c r="J83" s="117"/>
      <c r="K83" s="117"/>
      <c r="L83" s="117"/>
      <c r="M83" s="115">
        <v>0</v>
      </c>
      <c r="N83" s="118"/>
    </row>
  </sheetData>
  <mergeCells count="15">
    <mergeCell ref="A43:A50"/>
    <mergeCell ref="A51:A59"/>
    <mergeCell ref="A37:A40"/>
    <mergeCell ref="A28:A32"/>
    <mergeCell ref="A33:A36"/>
    <mergeCell ref="A25:A27"/>
    <mergeCell ref="A19:A24"/>
    <mergeCell ref="A13:A18"/>
    <mergeCell ref="A2:A6"/>
    <mergeCell ref="A7:A12"/>
    <mergeCell ref="A65:A67"/>
    <mergeCell ref="A68:A77"/>
    <mergeCell ref="A78:A80"/>
    <mergeCell ref="A81:A83"/>
    <mergeCell ref="A60:A64"/>
  </mergeCells>
  <conditionalFormatting sqref="M2:M50">
    <cfRule type="dataBar" priority="63">
      <dataBar>
        <cfvo type="min"/>
        <cfvo type="max"/>
        <color rgb="FF63C384"/>
      </dataBar>
      <extLst>
        <ext xmlns:x14="http://schemas.microsoft.com/office/spreadsheetml/2009/9/main" uri="{B025F937-C7B1-47D3-B67F-A62EFF666E3E}">
          <x14:id>{6DBD06A5-E5F8-4621-A5ED-E38CEE301840}</x14:id>
        </ext>
      </extLst>
    </cfRule>
  </conditionalFormatting>
  <conditionalFormatting sqref="M2:M83">
    <cfRule type="dataBar" priority="65">
      <dataBar>
        <cfvo type="min"/>
        <cfvo type="max"/>
        <color rgb="FF63C384"/>
      </dataBar>
      <extLst>
        <ext xmlns:x14="http://schemas.microsoft.com/office/spreadsheetml/2009/9/main" uri="{B025F937-C7B1-47D3-B67F-A62EFF666E3E}">
          <x14:id>{0B6890FA-2F50-4DAA-9C27-8387D99C01E9}</x14:id>
        </ext>
      </extLst>
    </cfRule>
  </conditionalFormatting>
  <conditionalFormatting sqref="M2:M84">
    <cfRule type="dataBar" priority="60">
      <dataBar>
        <cfvo type="min"/>
        <cfvo type="max"/>
        <color rgb="FF63C384"/>
      </dataBar>
      <extLst>
        <ext xmlns:x14="http://schemas.microsoft.com/office/spreadsheetml/2009/9/main" uri="{B025F937-C7B1-47D3-B67F-A62EFF666E3E}">
          <x14:id>{DF5D3F69-D54B-4575-8FE2-886DAD5CA848}</x14:id>
        </ext>
      </extLst>
    </cfRule>
  </conditionalFormatting>
  <pageMargins left="0.25" right="0.25" top="0.75" bottom="0.75" header="0.3" footer="0.3"/>
  <pageSetup paperSize="8" scale="57" fitToHeight="0" orientation="portrait" r:id="rId1"/>
  <extLst>
    <ext xmlns:x14="http://schemas.microsoft.com/office/spreadsheetml/2009/9/main" uri="{78C0D931-6437-407d-A8EE-F0AAD7539E65}">
      <x14:conditionalFormattings>
        <x14:conditionalFormatting xmlns:xm="http://schemas.microsoft.com/office/excel/2006/main">
          <x14:cfRule type="dataBar" id="{6DBD06A5-E5F8-4621-A5ED-E38CEE301840}">
            <x14:dataBar minLength="0" maxLength="100" border="1" negativeBarBorderColorSameAsPositive="0">
              <x14:cfvo type="autoMin"/>
              <x14:cfvo type="autoMax"/>
              <x14:borderColor rgb="FF63C384"/>
              <x14:negativeFillColor rgb="FFFF0000"/>
              <x14:negativeBorderColor rgb="FFFF0000"/>
              <x14:axisColor rgb="FF000000"/>
            </x14:dataBar>
          </x14:cfRule>
          <xm:sqref>M2:M50</xm:sqref>
        </x14:conditionalFormatting>
        <x14:conditionalFormatting xmlns:xm="http://schemas.microsoft.com/office/excel/2006/main">
          <x14:cfRule type="dataBar" id="{0B6890FA-2F50-4DAA-9C27-8387D99C01E9}">
            <x14:dataBar minLength="0" maxLength="100" border="1" negativeBarBorderColorSameAsPositive="0">
              <x14:cfvo type="autoMin"/>
              <x14:cfvo type="autoMax"/>
              <x14:borderColor rgb="FF63C384"/>
              <x14:negativeFillColor rgb="FFFF0000"/>
              <x14:negativeBorderColor rgb="FFFF0000"/>
              <x14:axisColor rgb="FF000000"/>
            </x14:dataBar>
          </x14:cfRule>
          <xm:sqref>M2:M83</xm:sqref>
        </x14:conditionalFormatting>
        <x14:conditionalFormatting xmlns:xm="http://schemas.microsoft.com/office/excel/2006/main">
          <x14:cfRule type="dataBar" id="{DF5D3F69-D54B-4575-8FE2-886DAD5CA848}">
            <x14:dataBar minLength="0" maxLength="100" border="1" negativeBarBorderColorSameAsPositive="0">
              <x14:cfvo type="autoMin"/>
              <x14:cfvo type="autoMax"/>
              <x14:borderColor rgb="FF63C384"/>
              <x14:negativeFillColor rgb="FFFF0000"/>
              <x14:negativeBorderColor rgb="FFFF0000"/>
              <x14:axisColor rgb="FF000000"/>
            </x14:dataBar>
          </x14:cfRule>
          <xm:sqref>M2:M84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67DA6-8DF1-46C4-AF29-AD2FC5000DD5}">
  <sheetPr>
    <pageSetUpPr fitToPage="1"/>
  </sheetPr>
  <dimension ref="A1:N93"/>
  <sheetViews>
    <sheetView zoomScale="70" zoomScaleNormal="70" workbookViewId="0">
      <pane ySplit="1" topLeftCell="A2" activePane="bottomLeft" state="frozen"/>
      <selection pane="bottomLeft" activeCell="B3" sqref="A3:XFD5"/>
    </sheetView>
  </sheetViews>
  <sheetFormatPr defaultRowHeight="19.95" customHeight="1" x14ac:dyDescent="0.3"/>
  <cols>
    <col min="1" max="1" width="11" style="9" customWidth="1"/>
    <col min="2" max="3" width="13.77734375" style="41" hidden="1" customWidth="1"/>
    <col min="4" max="4" width="37.21875" style="9" bestFit="1" customWidth="1"/>
    <col min="5" max="5" width="23.6640625" style="10" customWidth="1"/>
    <col min="6" max="6" width="7.5546875" style="10" hidden="1" customWidth="1"/>
    <col min="7" max="7" width="12.77734375" style="9" customWidth="1"/>
    <col min="8" max="8" width="14.5546875" style="9" customWidth="1"/>
    <col min="9" max="9" width="15.77734375" style="9" customWidth="1"/>
    <col min="10" max="12" width="12.77734375" style="9" customWidth="1"/>
    <col min="13" max="13" width="24.5546875" style="9" customWidth="1"/>
    <col min="14" max="14" width="45.5546875" style="11" bestFit="1" customWidth="1"/>
    <col min="15" max="16384" width="8.88671875" style="9"/>
  </cols>
  <sheetData>
    <row r="1" spans="1:14" ht="145.19999999999999" customHeight="1" x14ac:dyDescent="0.3">
      <c r="A1" s="30" t="s">
        <v>1</v>
      </c>
      <c r="B1" s="30" t="s">
        <v>437</v>
      </c>
      <c r="C1" s="30" t="s">
        <v>324</v>
      </c>
      <c r="D1" s="29" t="s">
        <v>1</v>
      </c>
      <c r="E1" s="30" t="s">
        <v>0</v>
      </c>
      <c r="F1" s="102" t="s">
        <v>318</v>
      </c>
      <c r="G1" s="77" t="s">
        <v>330</v>
      </c>
      <c r="H1" s="77" t="s">
        <v>331</v>
      </c>
      <c r="I1" s="77" t="s">
        <v>332</v>
      </c>
      <c r="J1" s="77" t="s">
        <v>333</v>
      </c>
      <c r="K1" s="77" t="s">
        <v>334</v>
      </c>
      <c r="L1" s="77" t="s">
        <v>335</v>
      </c>
      <c r="M1" s="86" t="s">
        <v>336</v>
      </c>
      <c r="N1" s="30" t="s">
        <v>46</v>
      </c>
    </row>
    <row r="2" spans="1:14" ht="30" customHeight="1" x14ac:dyDescent="0.3">
      <c r="A2" s="135" t="s">
        <v>56</v>
      </c>
      <c r="B2" s="88" t="s">
        <v>207</v>
      </c>
      <c r="C2" s="88" t="s">
        <v>111</v>
      </c>
      <c r="D2" s="89" t="s">
        <v>478</v>
      </c>
      <c r="E2" s="88" t="s">
        <v>61</v>
      </c>
      <c r="F2" s="88"/>
      <c r="G2" s="82" t="s">
        <v>265</v>
      </c>
      <c r="H2" s="82" t="s">
        <v>265</v>
      </c>
      <c r="I2" s="82" t="s">
        <v>265</v>
      </c>
      <c r="J2" s="81">
        <v>45991</v>
      </c>
      <c r="K2" s="78">
        <v>46111</v>
      </c>
      <c r="L2" s="78">
        <v>46172</v>
      </c>
      <c r="M2" s="104">
        <v>0.4</v>
      </c>
      <c r="N2" s="60" t="s">
        <v>432</v>
      </c>
    </row>
    <row r="3" spans="1:14" ht="30" customHeight="1" x14ac:dyDescent="0.3">
      <c r="A3" s="135"/>
      <c r="B3" s="88" t="s">
        <v>207</v>
      </c>
      <c r="C3" s="88" t="s">
        <v>111</v>
      </c>
      <c r="D3" s="89" t="s">
        <v>2</v>
      </c>
      <c r="E3" s="88" t="s">
        <v>61</v>
      </c>
      <c r="F3" s="88"/>
      <c r="G3" s="82" t="s">
        <v>265</v>
      </c>
      <c r="H3" s="82" t="s">
        <v>265</v>
      </c>
      <c r="I3" s="82" t="s">
        <v>265</v>
      </c>
      <c r="J3" s="81">
        <v>45991</v>
      </c>
      <c r="K3" s="78">
        <v>46111</v>
      </c>
      <c r="L3" s="78">
        <v>46172</v>
      </c>
      <c r="M3" s="104">
        <v>0.4</v>
      </c>
      <c r="N3" s="60" t="s">
        <v>432</v>
      </c>
    </row>
    <row r="4" spans="1:14" ht="30" customHeight="1" x14ac:dyDescent="0.3">
      <c r="A4" s="135"/>
      <c r="B4" s="88" t="s">
        <v>207</v>
      </c>
      <c r="C4" s="88" t="s">
        <v>111</v>
      </c>
      <c r="D4" s="89" t="s">
        <v>59</v>
      </c>
      <c r="E4" s="88" t="s">
        <v>61</v>
      </c>
      <c r="F4" s="88"/>
      <c r="G4" s="82" t="s">
        <v>265</v>
      </c>
      <c r="H4" s="82" t="s">
        <v>265</v>
      </c>
      <c r="I4" s="82" t="s">
        <v>265</v>
      </c>
      <c r="J4" s="81">
        <v>45991</v>
      </c>
      <c r="K4" s="78">
        <v>46111</v>
      </c>
      <c r="L4" s="78">
        <v>46172</v>
      </c>
      <c r="M4" s="104">
        <v>0.4</v>
      </c>
      <c r="N4" s="60" t="s">
        <v>432</v>
      </c>
    </row>
    <row r="5" spans="1:14" ht="30" customHeight="1" x14ac:dyDescent="0.3">
      <c r="A5" s="135"/>
      <c r="B5" s="88" t="s">
        <v>207</v>
      </c>
      <c r="C5" s="88" t="s">
        <v>111</v>
      </c>
      <c r="D5" s="89" t="s">
        <v>60</v>
      </c>
      <c r="E5" s="88" t="s">
        <v>61</v>
      </c>
      <c r="F5" s="88"/>
      <c r="G5" s="82" t="s">
        <v>265</v>
      </c>
      <c r="H5" s="82" t="s">
        <v>265</v>
      </c>
      <c r="I5" s="82" t="s">
        <v>265</v>
      </c>
      <c r="J5" s="81">
        <v>45991</v>
      </c>
      <c r="K5" s="78">
        <v>46111</v>
      </c>
      <c r="L5" s="78">
        <v>46172</v>
      </c>
      <c r="M5" s="104">
        <v>0.4</v>
      </c>
      <c r="N5" s="60" t="s">
        <v>432</v>
      </c>
    </row>
    <row r="6" spans="1:14" ht="30" customHeight="1" x14ac:dyDescent="0.3">
      <c r="A6" s="135"/>
      <c r="B6" s="88" t="s">
        <v>207</v>
      </c>
      <c r="C6" s="88" t="s">
        <v>111</v>
      </c>
      <c r="D6" s="89" t="s">
        <v>310</v>
      </c>
      <c r="E6" s="88"/>
      <c r="F6" s="88"/>
      <c r="G6" s="80">
        <v>45976</v>
      </c>
      <c r="H6" s="78"/>
      <c r="I6" s="78"/>
      <c r="J6" s="78"/>
      <c r="K6" s="78"/>
      <c r="L6" s="78"/>
      <c r="M6" s="104">
        <v>0.05</v>
      </c>
      <c r="N6" s="60" t="s">
        <v>137</v>
      </c>
    </row>
    <row r="7" spans="1:14" ht="30" customHeight="1" x14ac:dyDescent="0.3">
      <c r="A7" s="135"/>
      <c r="B7" s="88" t="s">
        <v>207</v>
      </c>
      <c r="C7" s="88" t="s">
        <v>111</v>
      </c>
      <c r="D7" s="90" t="s">
        <v>62</v>
      </c>
      <c r="E7" s="88" t="s">
        <v>61</v>
      </c>
      <c r="F7" s="88"/>
      <c r="G7" s="82" t="s">
        <v>265</v>
      </c>
      <c r="H7" s="85" t="s">
        <v>416</v>
      </c>
      <c r="I7" s="82" t="s">
        <v>265</v>
      </c>
      <c r="J7" s="81">
        <v>45991</v>
      </c>
      <c r="K7" s="78">
        <v>46111</v>
      </c>
      <c r="L7" s="78">
        <v>46172</v>
      </c>
      <c r="M7" s="104">
        <v>0.3</v>
      </c>
      <c r="N7" s="60"/>
    </row>
    <row r="8" spans="1:14" ht="30" customHeight="1" x14ac:dyDescent="0.3">
      <c r="A8" s="135"/>
      <c r="B8" s="88" t="s">
        <v>207</v>
      </c>
      <c r="C8" s="88" t="s">
        <v>325</v>
      </c>
      <c r="D8" s="90" t="s">
        <v>284</v>
      </c>
      <c r="E8" s="88"/>
      <c r="F8" s="88"/>
      <c r="G8" s="80">
        <v>45966</v>
      </c>
      <c r="H8" s="79" t="s">
        <v>261</v>
      </c>
      <c r="I8" s="79" t="s">
        <v>261</v>
      </c>
      <c r="J8" s="62"/>
      <c r="K8" s="62"/>
      <c r="L8" s="62"/>
      <c r="M8" s="104">
        <v>0.05</v>
      </c>
      <c r="N8" s="65" t="s">
        <v>436</v>
      </c>
    </row>
    <row r="9" spans="1:14" ht="30" customHeight="1" x14ac:dyDescent="0.3">
      <c r="A9" s="135"/>
      <c r="B9" s="88" t="s">
        <v>207</v>
      </c>
      <c r="C9" s="88" t="s">
        <v>111</v>
      </c>
      <c r="D9" s="90" t="s">
        <v>291</v>
      </c>
      <c r="E9" s="88" t="s">
        <v>61</v>
      </c>
      <c r="F9" s="88"/>
      <c r="G9" s="82" t="s">
        <v>265</v>
      </c>
      <c r="H9" s="85" t="s">
        <v>416</v>
      </c>
      <c r="I9" s="82" t="s">
        <v>265</v>
      </c>
      <c r="J9" s="81">
        <v>46037</v>
      </c>
      <c r="K9" s="78">
        <v>46111</v>
      </c>
      <c r="L9" s="78">
        <v>46172</v>
      </c>
      <c r="M9" s="104">
        <v>0.3</v>
      </c>
      <c r="N9" s="60" t="s">
        <v>419</v>
      </c>
    </row>
    <row r="10" spans="1:14" ht="30" customHeight="1" x14ac:dyDescent="0.3">
      <c r="A10" s="135"/>
      <c r="B10" s="88" t="s">
        <v>207</v>
      </c>
      <c r="C10" s="88" t="s">
        <v>111</v>
      </c>
      <c r="D10" s="90" t="s">
        <v>290</v>
      </c>
      <c r="E10" s="88" t="s">
        <v>69</v>
      </c>
      <c r="F10" s="88"/>
      <c r="G10" s="82" t="s">
        <v>265</v>
      </c>
      <c r="H10" s="82" t="s">
        <v>417</v>
      </c>
      <c r="I10" s="83" t="s">
        <v>316</v>
      </c>
      <c r="J10" s="80" t="s">
        <v>418</v>
      </c>
      <c r="K10" s="78">
        <v>46068</v>
      </c>
      <c r="L10" s="78">
        <v>46111</v>
      </c>
      <c r="M10" s="104">
        <v>0.3</v>
      </c>
      <c r="N10" s="60" t="s">
        <v>432</v>
      </c>
    </row>
    <row r="11" spans="1:14" ht="30" customHeight="1" x14ac:dyDescent="0.3">
      <c r="A11" s="135"/>
      <c r="B11" s="88" t="s">
        <v>207</v>
      </c>
      <c r="C11" s="88" t="s">
        <v>326</v>
      </c>
      <c r="D11" s="90" t="s">
        <v>178</v>
      </c>
      <c r="E11" s="88" t="s">
        <v>179</v>
      </c>
      <c r="F11" s="88"/>
      <c r="G11" s="82" t="s">
        <v>420</v>
      </c>
      <c r="H11" s="82" t="s">
        <v>247</v>
      </c>
      <c r="I11" s="79" t="s">
        <v>261</v>
      </c>
      <c r="J11" s="79" t="s">
        <v>261</v>
      </c>
      <c r="K11" s="62"/>
      <c r="L11" s="62"/>
      <c r="M11" s="104">
        <v>0.5</v>
      </c>
      <c r="N11" s="65" t="s">
        <v>227</v>
      </c>
    </row>
    <row r="12" spans="1:14" ht="30" customHeight="1" x14ac:dyDescent="0.3">
      <c r="A12" s="135"/>
      <c r="B12" s="88" t="s">
        <v>207</v>
      </c>
      <c r="C12" s="88" t="s">
        <v>328</v>
      </c>
      <c r="D12" s="90" t="s">
        <v>213</v>
      </c>
      <c r="E12" s="88"/>
      <c r="F12" s="88"/>
      <c r="G12" s="80">
        <v>45971</v>
      </c>
      <c r="H12" s="62"/>
      <c r="I12" s="62"/>
      <c r="J12" s="62"/>
      <c r="K12" s="62"/>
      <c r="L12" s="62"/>
      <c r="M12" s="104">
        <v>0.05</v>
      </c>
      <c r="N12" s="65" t="s">
        <v>137</v>
      </c>
    </row>
    <row r="13" spans="1:14" ht="30" customHeight="1" x14ac:dyDescent="0.3">
      <c r="A13" s="136" t="s">
        <v>257</v>
      </c>
      <c r="B13" s="91" t="s">
        <v>207</v>
      </c>
      <c r="C13" s="91" t="s">
        <v>326</v>
      </c>
      <c r="D13" s="92" t="s">
        <v>82</v>
      </c>
      <c r="E13" s="91" t="s">
        <v>124</v>
      </c>
      <c r="F13" s="91"/>
      <c r="G13" s="82" t="s">
        <v>247</v>
      </c>
      <c r="H13" s="82" t="s">
        <v>416</v>
      </c>
      <c r="I13" s="83" t="s">
        <v>267</v>
      </c>
      <c r="J13" s="129" t="s">
        <v>413</v>
      </c>
      <c r="K13" s="66" t="s">
        <v>414</v>
      </c>
      <c r="L13" s="66" t="s">
        <v>412</v>
      </c>
      <c r="M13" s="104">
        <v>0.3</v>
      </c>
      <c r="N13" s="60" t="s">
        <v>432</v>
      </c>
    </row>
    <row r="14" spans="1:14" ht="30" customHeight="1" x14ac:dyDescent="0.3">
      <c r="A14" s="136"/>
      <c r="B14" s="91" t="s">
        <v>207</v>
      </c>
      <c r="C14" s="91" t="s">
        <v>326</v>
      </c>
      <c r="D14" s="92" t="s">
        <v>256</v>
      </c>
      <c r="E14" s="91" t="s">
        <v>71</v>
      </c>
      <c r="F14" s="91"/>
      <c r="G14" s="82" t="s">
        <v>247</v>
      </c>
      <c r="H14" s="82" t="s">
        <v>247</v>
      </c>
      <c r="I14" s="83" t="s">
        <v>266</v>
      </c>
      <c r="J14" s="81">
        <v>45986</v>
      </c>
      <c r="K14" s="78">
        <v>45991</v>
      </c>
      <c r="L14" s="78">
        <v>46116</v>
      </c>
      <c r="M14" s="104">
        <v>0.3</v>
      </c>
      <c r="N14" s="60" t="s">
        <v>432</v>
      </c>
    </row>
    <row r="15" spans="1:14" ht="30" customHeight="1" x14ac:dyDescent="0.3">
      <c r="A15" s="136"/>
      <c r="B15" s="91" t="s">
        <v>207</v>
      </c>
      <c r="C15" s="91" t="s">
        <v>326</v>
      </c>
      <c r="D15" s="92" t="s">
        <v>9</v>
      </c>
      <c r="E15" s="91" t="s">
        <v>71</v>
      </c>
      <c r="F15" s="91"/>
      <c r="G15" s="82" t="s">
        <v>247</v>
      </c>
      <c r="H15" s="85" t="s">
        <v>421</v>
      </c>
      <c r="I15" s="83" t="s">
        <v>262</v>
      </c>
      <c r="J15" s="62"/>
      <c r="K15" s="62"/>
      <c r="L15" s="78">
        <v>46096</v>
      </c>
      <c r="M15" s="104">
        <v>0.3</v>
      </c>
      <c r="N15" s="60" t="s">
        <v>438</v>
      </c>
    </row>
    <row r="16" spans="1:14" ht="30" customHeight="1" x14ac:dyDescent="0.3">
      <c r="A16" s="136"/>
      <c r="B16" s="91" t="s">
        <v>207</v>
      </c>
      <c r="C16" s="91" t="s">
        <v>326</v>
      </c>
      <c r="D16" s="92" t="s">
        <v>397</v>
      </c>
      <c r="E16" s="91"/>
      <c r="F16" s="91"/>
      <c r="G16" s="80">
        <v>45966</v>
      </c>
      <c r="H16" s="62"/>
      <c r="I16" s="62"/>
      <c r="J16" s="62"/>
      <c r="K16" s="62"/>
      <c r="L16" s="62"/>
      <c r="M16" s="104">
        <v>0.05</v>
      </c>
      <c r="N16" s="60" t="s">
        <v>471</v>
      </c>
    </row>
    <row r="17" spans="1:14" ht="30" customHeight="1" x14ac:dyDescent="0.3">
      <c r="A17" s="136"/>
      <c r="B17" s="91" t="s">
        <v>207</v>
      </c>
      <c r="C17" s="91" t="s">
        <v>326</v>
      </c>
      <c r="D17" s="92" t="s">
        <v>293</v>
      </c>
      <c r="E17" s="91"/>
      <c r="F17" s="91"/>
      <c r="G17" s="80">
        <v>45966</v>
      </c>
      <c r="H17" s="62"/>
      <c r="I17" s="62"/>
      <c r="J17" s="62"/>
      <c r="K17" s="62"/>
      <c r="L17" s="62"/>
      <c r="M17" s="104">
        <v>0.05</v>
      </c>
      <c r="N17" s="60" t="s">
        <v>471</v>
      </c>
    </row>
    <row r="18" spans="1:14" ht="30" customHeight="1" x14ac:dyDescent="0.3">
      <c r="A18" s="135" t="s">
        <v>313</v>
      </c>
      <c r="B18" s="88" t="s">
        <v>207</v>
      </c>
      <c r="C18" s="88" t="s">
        <v>326</v>
      </c>
      <c r="D18" s="90" t="s">
        <v>3</v>
      </c>
      <c r="E18" s="88" t="s">
        <v>70</v>
      </c>
      <c r="F18" s="88"/>
      <c r="G18" s="82" t="s">
        <v>247</v>
      </c>
      <c r="H18" s="82" t="s">
        <v>247</v>
      </c>
      <c r="I18" s="83" t="s">
        <v>266</v>
      </c>
      <c r="J18" s="81">
        <v>45986</v>
      </c>
      <c r="K18" s="78">
        <v>45991</v>
      </c>
      <c r="L18" s="78">
        <v>46116</v>
      </c>
      <c r="M18" s="104">
        <v>0.3</v>
      </c>
      <c r="N18" s="60" t="s">
        <v>432</v>
      </c>
    </row>
    <row r="19" spans="1:14" ht="30" customHeight="1" x14ac:dyDescent="0.3">
      <c r="A19" s="135"/>
      <c r="B19" s="88" t="s">
        <v>207</v>
      </c>
      <c r="C19" s="88" t="s">
        <v>326</v>
      </c>
      <c r="D19" s="90" t="s">
        <v>294</v>
      </c>
      <c r="E19" s="88"/>
      <c r="F19" s="88"/>
      <c r="G19" s="80" t="s">
        <v>292</v>
      </c>
      <c r="H19" s="82"/>
      <c r="I19" s="83"/>
      <c r="J19" s="62"/>
      <c r="K19" s="62"/>
      <c r="L19" s="62"/>
      <c r="M19" s="104">
        <v>0.05</v>
      </c>
      <c r="N19" s="60"/>
    </row>
    <row r="20" spans="1:14" ht="30" customHeight="1" x14ac:dyDescent="0.3">
      <c r="A20" s="136" t="s">
        <v>285</v>
      </c>
      <c r="B20" s="91" t="s">
        <v>207</v>
      </c>
      <c r="C20" s="91"/>
      <c r="D20" s="92" t="s">
        <v>286</v>
      </c>
      <c r="E20" s="91"/>
      <c r="F20" s="91"/>
      <c r="G20" s="80">
        <v>45966</v>
      </c>
      <c r="H20" s="79" t="s">
        <v>261</v>
      </c>
      <c r="I20" s="79" t="s">
        <v>261</v>
      </c>
      <c r="J20" s="62"/>
      <c r="K20" s="62"/>
      <c r="L20" s="62"/>
      <c r="M20" s="104">
        <v>0.05</v>
      </c>
      <c r="N20" s="65" t="s">
        <v>214</v>
      </c>
    </row>
    <row r="21" spans="1:14" ht="30" customHeight="1" x14ac:dyDescent="0.3">
      <c r="A21" s="136"/>
      <c r="B21" s="91" t="s">
        <v>207</v>
      </c>
      <c r="C21" s="91" t="s">
        <v>325</v>
      </c>
      <c r="D21" s="92" t="s">
        <v>287</v>
      </c>
      <c r="E21" s="91"/>
      <c r="F21" s="91"/>
      <c r="G21" s="80">
        <v>45966</v>
      </c>
      <c r="H21" s="79" t="s">
        <v>261</v>
      </c>
      <c r="I21" s="79" t="s">
        <v>261</v>
      </c>
      <c r="J21" s="62"/>
      <c r="K21" s="62"/>
      <c r="L21" s="62"/>
      <c r="M21" s="104">
        <v>0.05</v>
      </c>
      <c r="N21" s="65" t="s">
        <v>214</v>
      </c>
    </row>
    <row r="22" spans="1:14" ht="30" customHeight="1" x14ac:dyDescent="0.3">
      <c r="A22" s="136"/>
      <c r="B22" s="91" t="s">
        <v>207</v>
      </c>
      <c r="C22" s="91" t="s">
        <v>325</v>
      </c>
      <c r="D22" s="92" t="s">
        <v>288</v>
      </c>
      <c r="E22" s="91"/>
      <c r="F22" s="91"/>
      <c r="G22" s="80">
        <v>45966</v>
      </c>
      <c r="H22" s="79" t="s">
        <v>261</v>
      </c>
      <c r="I22" s="79" t="s">
        <v>261</v>
      </c>
      <c r="J22" s="62"/>
      <c r="K22" s="62"/>
      <c r="L22" s="62"/>
      <c r="M22" s="104">
        <v>0.05</v>
      </c>
      <c r="N22" s="65" t="s">
        <v>214</v>
      </c>
    </row>
    <row r="23" spans="1:14" ht="27.6" customHeight="1" x14ac:dyDescent="0.3">
      <c r="A23" s="136"/>
      <c r="B23" s="91" t="s">
        <v>207</v>
      </c>
      <c r="C23" s="91" t="s">
        <v>325</v>
      </c>
      <c r="D23" s="92" t="s">
        <v>289</v>
      </c>
      <c r="E23" s="91"/>
      <c r="F23" s="91"/>
      <c r="G23" s="80">
        <v>45966</v>
      </c>
      <c r="H23" s="79" t="s">
        <v>261</v>
      </c>
      <c r="I23" s="79" t="s">
        <v>261</v>
      </c>
      <c r="J23" s="62"/>
      <c r="K23" s="62"/>
      <c r="L23" s="62"/>
      <c r="M23" s="104">
        <v>0.05</v>
      </c>
      <c r="N23" s="65" t="s">
        <v>214</v>
      </c>
    </row>
    <row r="24" spans="1:14" ht="30" customHeight="1" x14ac:dyDescent="0.3">
      <c r="A24" s="134" t="s">
        <v>258</v>
      </c>
      <c r="B24" s="88" t="s">
        <v>207</v>
      </c>
      <c r="C24" s="88" t="s">
        <v>111</v>
      </c>
      <c r="D24" s="90" t="s">
        <v>273</v>
      </c>
      <c r="E24" s="88" t="s">
        <v>66</v>
      </c>
      <c r="F24" s="88"/>
      <c r="G24" s="82" t="s">
        <v>247</v>
      </c>
      <c r="H24" s="82" t="s">
        <v>247</v>
      </c>
      <c r="I24" s="82" t="s">
        <v>247</v>
      </c>
      <c r="J24" s="130"/>
      <c r="K24" s="62"/>
      <c r="L24" s="78">
        <v>46096</v>
      </c>
      <c r="M24" s="105">
        <v>0.4</v>
      </c>
      <c r="N24" s="60" t="s">
        <v>432</v>
      </c>
    </row>
    <row r="25" spans="1:14" ht="30" customHeight="1" x14ac:dyDescent="0.3">
      <c r="A25" s="134"/>
      <c r="B25" s="88" t="s">
        <v>207</v>
      </c>
      <c r="C25" s="88" t="s">
        <v>111</v>
      </c>
      <c r="D25" s="90" t="s">
        <v>274</v>
      </c>
      <c r="E25" s="88" t="s">
        <v>66</v>
      </c>
      <c r="F25" s="88"/>
      <c r="G25" s="82" t="s">
        <v>247</v>
      </c>
      <c r="H25" s="82" t="s">
        <v>247</v>
      </c>
      <c r="I25" s="82" t="s">
        <v>247</v>
      </c>
      <c r="J25" s="130"/>
      <c r="K25" s="62"/>
      <c r="L25" s="78">
        <v>46096</v>
      </c>
      <c r="M25" s="105">
        <v>0.4</v>
      </c>
      <c r="N25" s="60" t="s">
        <v>432</v>
      </c>
    </row>
    <row r="26" spans="1:14" ht="30" customHeight="1" x14ac:dyDescent="0.3">
      <c r="A26" s="134"/>
      <c r="B26" s="88" t="s">
        <v>207</v>
      </c>
      <c r="C26" s="88" t="s">
        <v>111</v>
      </c>
      <c r="D26" s="90" t="s">
        <v>277</v>
      </c>
      <c r="E26" s="88"/>
      <c r="F26" s="88"/>
      <c r="G26" s="80">
        <v>45966</v>
      </c>
      <c r="H26" s="78"/>
      <c r="I26" s="78"/>
      <c r="J26" s="62"/>
      <c r="K26" s="62"/>
      <c r="L26" s="62"/>
      <c r="M26" s="105">
        <v>7.0000000000000007E-2</v>
      </c>
      <c r="N26" s="65" t="s">
        <v>431</v>
      </c>
    </row>
    <row r="27" spans="1:14" ht="30" customHeight="1" x14ac:dyDescent="0.3">
      <c r="A27" s="134"/>
      <c r="B27" s="88" t="s">
        <v>207</v>
      </c>
      <c r="C27" s="88" t="s">
        <v>111</v>
      </c>
      <c r="D27" s="90" t="s">
        <v>272</v>
      </c>
      <c r="E27" s="88"/>
      <c r="F27" s="88"/>
      <c r="G27" s="80">
        <v>45966</v>
      </c>
      <c r="H27" s="78"/>
      <c r="I27" s="78"/>
      <c r="J27" s="62"/>
      <c r="K27" s="62"/>
      <c r="L27" s="62"/>
      <c r="M27" s="105">
        <v>7.0000000000000007E-2</v>
      </c>
      <c r="N27" s="65" t="s">
        <v>431</v>
      </c>
    </row>
    <row r="28" spans="1:14" ht="30" customHeight="1" x14ac:dyDescent="0.3">
      <c r="A28" s="134"/>
      <c r="B28" s="88" t="s">
        <v>207</v>
      </c>
      <c r="C28" s="88" t="s">
        <v>111</v>
      </c>
      <c r="D28" s="90" t="s">
        <v>276</v>
      </c>
      <c r="E28" s="88"/>
      <c r="F28" s="88"/>
      <c r="G28" s="80">
        <v>45966</v>
      </c>
      <c r="H28" s="79" t="s">
        <v>261</v>
      </c>
      <c r="I28" s="79" t="s">
        <v>261</v>
      </c>
      <c r="J28" s="62"/>
      <c r="K28" s="62"/>
      <c r="L28" s="62"/>
      <c r="M28" s="106">
        <v>7.0000000000000007E-2</v>
      </c>
      <c r="N28" s="65" t="s">
        <v>431</v>
      </c>
    </row>
    <row r="29" spans="1:14" ht="30" customHeight="1" x14ac:dyDescent="0.3">
      <c r="A29" s="134"/>
      <c r="B29" s="93" t="s">
        <v>208</v>
      </c>
      <c r="C29" s="93" t="s">
        <v>327</v>
      </c>
      <c r="D29" s="90" t="s">
        <v>136</v>
      </c>
      <c r="E29" s="88" t="s">
        <v>430</v>
      </c>
      <c r="F29" s="88"/>
      <c r="G29" s="82" t="s">
        <v>262</v>
      </c>
      <c r="H29" s="82" t="s">
        <v>247</v>
      </c>
      <c r="I29" s="82" t="s">
        <v>247</v>
      </c>
      <c r="J29" s="81">
        <v>46006</v>
      </c>
      <c r="K29" s="62"/>
      <c r="L29" s="78">
        <v>46096</v>
      </c>
      <c r="M29" s="106">
        <v>0.4</v>
      </c>
      <c r="N29" s="60" t="s">
        <v>432</v>
      </c>
    </row>
    <row r="30" spans="1:14" ht="30" customHeight="1" x14ac:dyDescent="0.3">
      <c r="A30" s="134"/>
      <c r="B30" s="93" t="s">
        <v>207</v>
      </c>
      <c r="C30" s="93" t="s">
        <v>111</v>
      </c>
      <c r="D30" s="90" t="s">
        <v>278</v>
      </c>
      <c r="E30" s="88"/>
      <c r="F30" s="88"/>
      <c r="G30" s="80">
        <v>45966</v>
      </c>
      <c r="H30" s="78"/>
      <c r="I30" s="78"/>
      <c r="J30" s="62"/>
      <c r="K30" s="62"/>
      <c r="L30" s="62"/>
      <c r="M30" s="106">
        <v>0.05</v>
      </c>
      <c r="N30" s="60" t="s">
        <v>137</v>
      </c>
    </row>
    <row r="31" spans="1:14" ht="30" customHeight="1" x14ac:dyDescent="0.3">
      <c r="A31" s="136" t="s">
        <v>305</v>
      </c>
      <c r="B31" s="94" t="s">
        <v>207</v>
      </c>
      <c r="C31" s="94" t="s">
        <v>111</v>
      </c>
      <c r="D31" s="95" t="s">
        <v>306</v>
      </c>
      <c r="E31" s="96"/>
      <c r="F31" s="96"/>
      <c r="G31" s="80">
        <v>45971</v>
      </c>
      <c r="H31" s="78"/>
      <c r="I31" s="78"/>
      <c r="J31" s="62"/>
      <c r="K31" s="62"/>
      <c r="L31" s="62"/>
      <c r="M31" s="106">
        <v>0.05</v>
      </c>
      <c r="N31" s="60" t="s">
        <v>433</v>
      </c>
    </row>
    <row r="32" spans="1:14" ht="30" customHeight="1" x14ac:dyDescent="0.3">
      <c r="A32" s="136"/>
      <c r="B32" s="94" t="s">
        <v>207</v>
      </c>
      <c r="C32" s="94" t="s">
        <v>111</v>
      </c>
      <c r="D32" s="92" t="s">
        <v>307</v>
      </c>
      <c r="E32" s="91"/>
      <c r="F32" s="91"/>
      <c r="G32" s="80">
        <v>45971</v>
      </c>
      <c r="H32" s="78"/>
      <c r="I32" s="78"/>
      <c r="J32" s="62"/>
      <c r="K32" s="62"/>
      <c r="L32" s="62"/>
      <c r="M32" s="106">
        <v>0.05</v>
      </c>
      <c r="N32" s="60" t="s">
        <v>433</v>
      </c>
    </row>
    <row r="33" spans="1:14" ht="30" customHeight="1" x14ac:dyDescent="0.3">
      <c r="A33" s="136"/>
      <c r="B33" s="94" t="s">
        <v>207</v>
      </c>
      <c r="C33" s="94" t="s">
        <v>111</v>
      </c>
      <c r="D33" s="92" t="s">
        <v>309</v>
      </c>
      <c r="E33" s="91"/>
      <c r="F33" s="91"/>
      <c r="G33" s="80">
        <v>45971</v>
      </c>
      <c r="H33" s="78"/>
      <c r="I33" s="78"/>
      <c r="J33" s="62"/>
      <c r="K33" s="62"/>
      <c r="L33" s="62"/>
      <c r="M33" s="106">
        <v>0.05</v>
      </c>
      <c r="N33" s="60" t="s">
        <v>433</v>
      </c>
    </row>
    <row r="34" spans="1:14" ht="30" customHeight="1" x14ac:dyDescent="0.3">
      <c r="A34" s="135" t="s">
        <v>283</v>
      </c>
      <c r="B34" s="93" t="s">
        <v>207</v>
      </c>
      <c r="C34" s="93" t="s">
        <v>111</v>
      </c>
      <c r="D34" s="90" t="s">
        <v>304</v>
      </c>
      <c r="E34" s="88" t="s">
        <v>228</v>
      </c>
      <c r="F34" s="88"/>
      <c r="G34" s="82" t="s">
        <v>262</v>
      </c>
      <c r="H34" s="82" t="s">
        <v>247</v>
      </c>
      <c r="I34" s="82" t="s">
        <v>434</v>
      </c>
      <c r="J34" s="62"/>
      <c r="K34" s="62"/>
      <c r="L34" s="62"/>
      <c r="M34" s="106">
        <v>0.3</v>
      </c>
      <c r="N34" s="60" t="s">
        <v>432</v>
      </c>
    </row>
    <row r="35" spans="1:14" ht="30" customHeight="1" x14ac:dyDescent="0.3">
      <c r="A35" s="135"/>
      <c r="B35" s="93" t="s">
        <v>207</v>
      </c>
      <c r="C35" s="93" t="s">
        <v>111</v>
      </c>
      <c r="D35" s="90" t="s">
        <v>308</v>
      </c>
      <c r="E35" s="88"/>
      <c r="F35" s="88"/>
      <c r="G35" s="80">
        <v>45971</v>
      </c>
      <c r="H35" s="78"/>
      <c r="I35" s="78"/>
      <c r="J35" s="62"/>
      <c r="K35" s="62"/>
      <c r="L35" s="62"/>
      <c r="M35" s="106">
        <v>0.05</v>
      </c>
      <c r="N35" s="60" t="s">
        <v>433</v>
      </c>
    </row>
    <row r="36" spans="1:14" ht="30" customHeight="1" x14ac:dyDescent="0.3">
      <c r="A36" s="135"/>
      <c r="B36" s="93" t="s">
        <v>207</v>
      </c>
      <c r="C36" s="93" t="s">
        <v>111</v>
      </c>
      <c r="D36" s="90" t="s">
        <v>281</v>
      </c>
      <c r="E36" s="88"/>
      <c r="F36" s="88"/>
      <c r="G36" s="80">
        <v>45971</v>
      </c>
      <c r="H36" s="78"/>
      <c r="I36" s="78"/>
      <c r="J36" s="62"/>
      <c r="K36" s="62"/>
      <c r="L36" s="62"/>
      <c r="M36" s="106">
        <v>0.05</v>
      </c>
      <c r="N36" s="60" t="s">
        <v>433</v>
      </c>
    </row>
    <row r="37" spans="1:14" ht="30" customHeight="1" x14ac:dyDescent="0.3">
      <c r="A37" s="135"/>
      <c r="B37" s="93" t="s">
        <v>207</v>
      </c>
      <c r="C37" s="93" t="s">
        <v>111</v>
      </c>
      <c r="D37" s="90" t="s">
        <v>282</v>
      </c>
      <c r="E37" s="88"/>
      <c r="F37" s="88"/>
      <c r="G37" s="80">
        <v>45971</v>
      </c>
      <c r="H37" s="78"/>
      <c r="I37" s="78"/>
      <c r="J37" s="62"/>
      <c r="K37" s="62"/>
      <c r="L37" s="62"/>
      <c r="M37" s="106">
        <v>0.05</v>
      </c>
      <c r="N37" s="60" t="s">
        <v>433</v>
      </c>
    </row>
    <row r="38" spans="1:14" ht="30" customHeight="1" x14ac:dyDescent="0.3">
      <c r="A38" s="135"/>
      <c r="B38" s="93" t="s">
        <v>207</v>
      </c>
      <c r="C38" s="93" t="s">
        <v>111</v>
      </c>
      <c r="D38" s="90" t="s">
        <v>280</v>
      </c>
      <c r="E38" s="88"/>
      <c r="F38" s="88"/>
      <c r="G38" s="80">
        <v>45971</v>
      </c>
      <c r="H38" s="78"/>
      <c r="I38" s="78"/>
      <c r="J38" s="62"/>
      <c r="K38" s="62"/>
      <c r="L38" s="62"/>
      <c r="M38" s="106">
        <v>0.05</v>
      </c>
      <c r="N38" s="60" t="s">
        <v>433</v>
      </c>
    </row>
    <row r="39" spans="1:14" ht="30" customHeight="1" x14ac:dyDescent="0.3">
      <c r="A39" s="136" t="s">
        <v>314</v>
      </c>
      <c r="B39" s="97" t="s">
        <v>207</v>
      </c>
      <c r="C39" s="97" t="s">
        <v>111</v>
      </c>
      <c r="D39" s="92" t="s">
        <v>295</v>
      </c>
      <c r="E39" s="91" t="s">
        <v>422</v>
      </c>
      <c r="F39" s="91"/>
      <c r="G39" s="83" t="s">
        <v>423</v>
      </c>
      <c r="H39" s="81"/>
      <c r="I39" s="78"/>
      <c r="J39" s="62"/>
      <c r="K39" s="62"/>
      <c r="L39" s="62"/>
      <c r="M39" s="106">
        <v>0.1</v>
      </c>
      <c r="N39" s="60" t="s">
        <v>435</v>
      </c>
    </row>
    <row r="40" spans="1:14" ht="30" customHeight="1" x14ac:dyDescent="0.3">
      <c r="A40" s="136"/>
      <c r="B40" s="97" t="s">
        <v>207</v>
      </c>
      <c r="C40" s="97" t="s">
        <v>111</v>
      </c>
      <c r="D40" s="99" t="s">
        <v>469</v>
      </c>
      <c r="E40" s="91" t="s">
        <v>468</v>
      </c>
      <c r="F40" s="91"/>
      <c r="G40" s="83" t="s">
        <v>472</v>
      </c>
      <c r="H40" s="81"/>
      <c r="I40" s="78"/>
      <c r="J40" s="62"/>
      <c r="K40" s="62"/>
      <c r="L40" s="62"/>
      <c r="M40" s="106">
        <v>0.05</v>
      </c>
      <c r="N40" s="60" t="s">
        <v>435</v>
      </c>
    </row>
    <row r="41" spans="1:14" ht="30" customHeight="1" x14ac:dyDescent="0.3">
      <c r="A41" s="136"/>
      <c r="B41" s="97" t="s">
        <v>207</v>
      </c>
      <c r="C41" s="97" t="s">
        <v>111</v>
      </c>
      <c r="D41" s="92" t="s">
        <v>297</v>
      </c>
      <c r="E41" s="91"/>
      <c r="F41" s="91"/>
      <c r="G41" s="80">
        <v>45960</v>
      </c>
      <c r="H41" s="78"/>
      <c r="I41" s="78"/>
      <c r="J41" s="62"/>
      <c r="K41" s="62"/>
      <c r="L41" s="62"/>
      <c r="M41" s="106">
        <v>0.05</v>
      </c>
      <c r="N41" s="60" t="s">
        <v>433</v>
      </c>
    </row>
    <row r="42" spans="1:14" ht="30" customHeight="1" x14ac:dyDescent="0.3">
      <c r="A42" s="136"/>
      <c r="B42" s="97" t="s">
        <v>207</v>
      </c>
      <c r="C42" s="97" t="s">
        <v>111</v>
      </c>
      <c r="D42" s="92" t="s">
        <v>298</v>
      </c>
      <c r="E42" s="91"/>
      <c r="F42" s="91"/>
      <c r="G42" s="80">
        <v>45960</v>
      </c>
      <c r="H42" s="78"/>
      <c r="I42" s="78"/>
      <c r="J42" s="62"/>
      <c r="K42" s="62"/>
      <c r="L42" s="62"/>
      <c r="M42" s="106">
        <v>0.05</v>
      </c>
      <c r="N42" s="60" t="s">
        <v>433</v>
      </c>
    </row>
    <row r="43" spans="1:14" ht="30" customHeight="1" x14ac:dyDescent="0.3">
      <c r="A43" s="135" t="s">
        <v>300</v>
      </c>
      <c r="B43" s="93" t="s">
        <v>207</v>
      </c>
      <c r="C43" s="93" t="s">
        <v>325</v>
      </c>
      <c r="D43" s="90" t="s">
        <v>299</v>
      </c>
      <c r="E43" s="88" t="s">
        <v>229</v>
      </c>
      <c r="F43" s="88"/>
      <c r="G43" s="83" t="s">
        <v>262</v>
      </c>
      <c r="H43" s="80">
        <v>45948</v>
      </c>
      <c r="I43" s="80">
        <v>45958</v>
      </c>
      <c r="J43" s="128" t="s">
        <v>424</v>
      </c>
      <c r="K43" s="66" t="s">
        <v>425</v>
      </c>
      <c r="L43" s="78">
        <v>46111</v>
      </c>
      <c r="M43" s="106">
        <v>0.3</v>
      </c>
      <c r="N43" s="60" t="s">
        <v>432</v>
      </c>
    </row>
    <row r="44" spans="1:14" ht="30" customHeight="1" x14ac:dyDescent="0.3">
      <c r="A44" s="135"/>
      <c r="B44" s="93" t="s">
        <v>207</v>
      </c>
      <c r="C44" s="93" t="s">
        <v>325</v>
      </c>
      <c r="D44" s="90" t="s">
        <v>251</v>
      </c>
      <c r="E44" s="88" t="s">
        <v>252</v>
      </c>
      <c r="F44" s="88"/>
      <c r="G44" s="83" t="s">
        <v>262</v>
      </c>
      <c r="H44" s="80">
        <v>45966</v>
      </c>
      <c r="I44" s="80">
        <v>45966</v>
      </c>
      <c r="J44" s="128" t="s">
        <v>426</v>
      </c>
      <c r="K44" s="128">
        <v>46068</v>
      </c>
      <c r="L44" s="78">
        <v>46111</v>
      </c>
      <c r="M44" s="106">
        <v>0.3</v>
      </c>
      <c r="N44" s="60" t="s">
        <v>432</v>
      </c>
    </row>
    <row r="45" spans="1:14" ht="30" customHeight="1" x14ac:dyDescent="0.3">
      <c r="A45" s="135"/>
      <c r="B45" s="93" t="s">
        <v>207</v>
      </c>
      <c r="C45" s="93" t="s">
        <v>325</v>
      </c>
      <c r="D45" s="90" t="s">
        <v>301</v>
      </c>
      <c r="E45" s="88" t="s">
        <v>229</v>
      </c>
      <c r="F45" s="88"/>
      <c r="G45" s="83" t="s">
        <v>262</v>
      </c>
      <c r="H45" s="80">
        <v>45948</v>
      </c>
      <c r="I45" s="80">
        <v>45958</v>
      </c>
      <c r="J45" s="128" t="s">
        <v>427</v>
      </c>
      <c r="K45" s="66" t="s">
        <v>428</v>
      </c>
      <c r="L45" s="78">
        <v>46111</v>
      </c>
      <c r="M45" s="106">
        <v>0.3</v>
      </c>
      <c r="N45" s="60" t="s">
        <v>432</v>
      </c>
    </row>
    <row r="46" spans="1:14" ht="30" customHeight="1" x14ac:dyDescent="0.3">
      <c r="A46" s="135"/>
      <c r="B46" s="93" t="s">
        <v>207</v>
      </c>
      <c r="C46" s="93" t="s">
        <v>325</v>
      </c>
      <c r="D46" s="90" t="s">
        <v>302</v>
      </c>
      <c r="E46" s="88"/>
      <c r="F46" s="88"/>
      <c r="G46" s="80">
        <v>45991</v>
      </c>
      <c r="H46" s="62"/>
      <c r="I46" s="62"/>
      <c r="J46" s="62"/>
      <c r="K46" s="62"/>
      <c r="L46" s="62"/>
      <c r="M46" s="106">
        <v>0</v>
      </c>
      <c r="N46" s="60" t="s">
        <v>137</v>
      </c>
    </row>
    <row r="47" spans="1:14" ht="30" customHeight="1" x14ac:dyDescent="0.3">
      <c r="A47" s="135"/>
      <c r="B47" s="93" t="s">
        <v>207</v>
      </c>
      <c r="C47" s="93" t="s">
        <v>325</v>
      </c>
      <c r="D47" s="90" t="s">
        <v>303</v>
      </c>
      <c r="E47" s="88"/>
      <c r="F47" s="88"/>
      <c r="G47" s="80">
        <v>45991</v>
      </c>
      <c r="H47" s="62"/>
      <c r="I47" s="62"/>
      <c r="J47" s="62"/>
      <c r="K47" s="62"/>
      <c r="L47" s="62"/>
      <c r="M47" s="106">
        <v>0</v>
      </c>
      <c r="N47" s="60" t="s">
        <v>137</v>
      </c>
    </row>
    <row r="48" spans="1:14" ht="30" customHeight="1" x14ac:dyDescent="0.3">
      <c r="A48" s="136" t="s">
        <v>259</v>
      </c>
      <c r="B48" s="97" t="s">
        <v>208</v>
      </c>
      <c r="C48" s="97" t="s">
        <v>111</v>
      </c>
      <c r="D48" s="92" t="s">
        <v>34</v>
      </c>
      <c r="E48" s="91"/>
      <c r="F48" s="91"/>
      <c r="G48" s="80">
        <v>45971</v>
      </c>
      <c r="H48" s="78"/>
      <c r="I48" s="78"/>
      <c r="J48" s="62"/>
      <c r="K48" s="62"/>
      <c r="L48" s="62"/>
      <c r="M48" s="106">
        <v>0.05</v>
      </c>
      <c r="N48" s="60" t="s">
        <v>436</v>
      </c>
    </row>
    <row r="49" spans="1:14" ht="30" customHeight="1" x14ac:dyDescent="0.3">
      <c r="A49" s="136"/>
      <c r="B49" s="97" t="s">
        <v>208</v>
      </c>
      <c r="C49" s="97" t="s">
        <v>111</v>
      </c>
      <c r="D49" s="92" t="s">
        <v>35</v>
      </c>
      <c r="E49" s="91"/>
      <c r="F49" s="91"/>
      <c r="G49" s="80">
        <v>45971</v>
      </c>
      <c r="H49" s="78"/>
      <c r="I49" s="78"/>
      <c r="J49" s="62"/>
      <c r="K49" s="62"/>
      <c r="L49" s="62"/>
      <c r="M49" s="106">
        <v>0.05</v>
      </c>
      <c r="N49" s="60" t="s">
        <v>436</v>
      </c>
    </row>
    <row r="50" spans="1:14" ht="30" customHeight="1" x14ac:dyDescent="0.3">
      <c r="A50" s="136"/>
      <c r="B50" s="97" t="s">
        <v>208</v>
      </c>
      <c r="C50" s="97" t="s">
        <v>111</v>
      </c>
      <c r="D50" s="92" t="s">
        <v>39</v>
      </c>
      <c r="E50" s="91"/>
      <c r="F50" s="91"/>
      <c r="G50" s="80">
        <v>45971</v>
      </c>
      <c r="H50" s="78"/>
      <c r="I50" s="78"/>
      <c r="J50" s="62"/>
      <c r="K50" s="62"/>
      <c r="L50" s="62"/>
      <c r="M50" s="106">
        <v>0.05</v>
      </c>
      <c r="N50" s="60" t="s">
        <v>436</v>
      </c>
    </row>
    <row r="51" spans="1:14" ht="30" customHeight="1" x14ac:dyDescent="0.3">
      <c r="A51" s="136"/>
      <c r="B51" s="97" t="s">
        <v>208</v>
      </c>
      <c r="C51" s="97" t="s">
        <v>111</v>
      </c>
      <c r="D51" s="92" t="s">
        <v>311</v>
      </c>
      <c r="E51" s="91"/>
      <c r="F51" s="91"/>
      <c r="G51" s="80">
        <v>45971</v>
      </c>
      <c r="H51" s="78"/>
      <c r="I51" s="78"/>
      <c r="J51" s="62"/>
      <c r="K51" s="62"/>
      <c r="L51" s="62"/>
      <c r="M51" s="106">
        <v>0.05</v>
      </c>
      <c r="N51" s="60" t="s">
        <v>436</v>
      </c>
    </row>
    <row r="52" spans="1:14" ht="30" customHeight="1" x14ac:dyDescent="0.3">
      <c r="A52" s="87" t="s">
        <v>312</v>
      </c>
      <c r="B52" s="93"/>
      <c r="C52" s="93" t="s">
        <v>325</v>
      </c>
      <c r="D52" s="90" t="s">
        <v>312</v>
      </c>
      <c r="E52" s="88"/>
      <c r="F52" s="88"/>
      <c r="G52" s="78"/>
      <c r="H52" s="78"/>
      <c r="I52" s="78"/>
      <c r="J52" s="62"/>
      <c r="K52" s="62"/>
      <c r="L52" s="62"/>
      <c r="M52" s="106">
        <v>0</v>
      </c>
      <c r="N52" s="60"/>
    </row>
    <row r="53" spans="1:14" ht="30" customHeight="1" x14ac:dyDescent="0.3">
      <c r="A53" s="138" t="s">
        <v>401</v>
      </c>
      <c r="B53" s="91" t="s">
        <v>208</v>
      </c>
      <c r="C53" s="98" t="s">
        <v>327</v>
      </c>
      <c r="D53" s="99" t="s">
        <v>184</v>
      </c>
      <c r="E53" s="100" t="s">
        <v>230</v>
      </c>
      <c r="F53" s="100"/>
      <c r="G53" s="82" t="s">
        <v>247</v>
      </c>
      <c r="H53" s="82" t="s">
        <v>247</v>
      </c>
      <c r="I53" s="82" t="s">
        <v>247</v>
      </c>
      <c r="J53" s="78">
        <v>46052</v>
      </c>
      <c r="K53" s="78">
        <v>46068</v>
      </c>
      <c r="L53" s="78">
        <v>46111</v>
      </c>
      <c r="M53" s="106">
        <v>0.3</v>
      </c>
      <c r="N53" s="60" t="s">
        <v>432</v>
      </c>
    </row>
    <row r="54" spans="1:14" ht="30" customHeight="1" x14ac:dyDescent="0.3">
      <c r="A54" s="138"/>
      <c r="B54" s="91" t="s">
        <v>208</v>
      </c>
      <c r="C54" s="98" t="s">
        <v>327</v>
      </c>
      <c r="D54" s="99" t="s">
        <v>185</v>
      </c>
      <c r="E54" s="100" t="s">
        <v>231</v>
      </c>
      <c r="F54" s="100"/>
      <c r="G54" s="82" t="s">
        <v>247</v>
      </c>
      <c r="H54" s="82" t="s">
        <v>247</v>
      </c>
      <c r="I54" s="82" t="s">
        <v>247</v>
      </c>
      <c r="J54" s="78">
        <v>46068</v>
      </c>
      <c r="K54" s="78">
        <f>J54+30</f>
        <v>46098</v>
      </c>
      <c r="L54" s="78">
        <v>46111</v>
      </c>
      <c r="M54" s="106">
        <v>0.1</v>
      </c>
      <c r="N54" s="60" t="s">
        <v>432</v>
      </c>
    </row>
    <row r="55" spans="1:14" ht="46.8" x14ac:dyDescent="0.3">
      <c r="A55" s="138"/>
      <c r="B55" s="91" t="s">
        <v>208</v>
      </c>
      <c r="C55" s="98" t="s">
        <v>327</v>
      </c>
      <c r="D55" s="99" t="s">
        <v>127</v>
      </c>
      <c r="E55" s="100" t="s">
        <v>232</v>
      </c>
      <c r="F55" s="100"/>
      <c r="G55" s="82" t="s">
        <v>247</v>
      </c>
      <c r="H55" s="82" t="s">
        <v>247</v>
      </c>
      <c r="I55" s="82" t="s">
        <v>247</v>
      </c>
      <c r="J55" s="78">
        <v>46006</v>
      </c>
      <c r="K55" s="78">
        <v>46037</v>
      </c>
      <c r="L55" s="78">
        <v>46111</v>
      </c>
      <c r="M55" s="106">
        <v>0.3</v>
      </c>
      <c r="N55" s="60" t="s">
        <v>432</v>
      </c>
    </row>
    <row r="56" spans="1:14" ht="30" customHeight="1" x14ac:dyDescent="0.3">
      <c r="A56" s="138"/>
      <c r="B56" s="91" t="s">
        <v>208</v>
      </c>
      <c r="C56" s="98" t="s">
        <v>327</v>
      </c>
      <c r="D56" s="92" t="s">
        <v>24</v>
      </c>
      <c r="E56" s="91" t="s">
        <v>139</v>
      </c>
      <c r="F56" s="91"/>
      <c r="G56" s="82" t="s">
        <v>247</v>
      </c>
      <c r="H56" s="81">
        <v>46310</v>
      </c>
      <c r="I56" s="82" t="s">
        <v>247</v>
      </c>
      <c r="J56" s="78">
        <v>46052</v>
      </c>
      <c r="K56" s="78">
        <v>46081</v>
      </c>
      <c r="L56" s="78">
        <v>46111</v>
      </c>
      <c r="M56" s="106">
        <v>0.2</v>
      </c>
      <c r="N56" s="60" t="s">
        <v>432</v>
      </c>
    </row>
    <row r="57" spans="1:14" ht="30" customHeight="1" x14ac:dyDescent="0.3">
      <c r="A57" s="138"/>
      <c r="B57" s="91" t="s">
        <v>208</v>
      </c>
      <c r="C57" s="98" t="s">
        <v>327</v>
      </c>
      <c r="D57" s="92" t="s">
        <v>25</v>
      </c>
      <c r="E57" s="91"/>
      <c r="F57" s="91"/>
      <c r="G57" s="80">
        <v>45966</v>
      </c>
      <c r="H57" s="78"/>
      <c r="I57" s="78"/>
      <c r="J57" s="62"/>
      <c r="K57" s="62"/>
      <c r="L57" s="62"/>
      <c r="M57" s="106">
        <v>0.05</v>
      </c>
      <c r="N57" s="60" t="s">
        <v>137</v>
      </c>
    </row>
    <row r="58" spans="1:14" ht="30" customHeight="1" x14ac:dyDescent="0.3">
      <c r="A58" s="138"/>
      <c r="B58" s="91" t="s">
        <v>208</v>
      </c>
      <c r="C58" s="98" t="s">
        <v>327</v>
      </c>
      <c r="D58" s="92" t="s">
        <v>26</v>
      </c>
      <c r="E58" s="91"/>
      <c r="F58" s="91"/>
      <c r="G58" s="80">
        <v>45966</v>
      </c>
      <c r="H58" s="78"/>
      <c r="I58" s="78"/>
      <c r="J58" s="62"/>
      <c r="K58" s="62"/>
      <c r="L58" s="62"/>
      <c r="M58" s="106">
        <v>0.05</v>
      </c>
      <c r="N58" s="60" t="s">
        <v>137</v>
      </c>
    </row>
    <row r="59" spans="1:14" ht="30" customHeight="1" x14ac:dyDescent="0.3">
      <c r="A59" s="138"/>
      <c r="B59" s="91" t="s">
        <v>208</v>
      </c>
      <c r="C59" s="98" t="s">
        <v>327</v>
      </c>
      <c r="D59" s="92" t="s">
        <v>126</v>
      </c>
      <c r="E59" s="91"/>
      <c r="F59" s="91"/>
      <c r="G59" s="80">
        <v>45966</v>
      </c>
      <c r="H59" s="78"/>
      <c r="I59" s="78"/>
      <c r="J59" s="62"/>
      <c r="K59" s="62"/>
      <c r="L59" s="62"/>
      <c r="M59" s="106">
        <v>0.05</v>
      </c>
      <c r="N59" s="60" t="s">
        <v>137</v>
      </c>
    </row>
    <row r="60" spans="1:14" ht="30" customHeight="1" x14ac:dyDescent="0.3">
      <c r="A60" s="138"/>
      <c r="B60" s="91" t="s">
        <v>208</v>
      </c>
      <c r="C60" s="98" t="s">
        <v>327</v>
      </c>
      <c r="D60" s="92" t="s">
        <v>27</v>
      </c>
      <c r="E60" s="91" t="s">
        <v>241</v>
      </c>
      <c r="F60" s="91"/>
      <c r="G60" s="82" t="s">
        <v>247</v>
      </c>
      <c r="H60" s="79" t="s">
        <v>261</v>
      </c>
      <c r="I60" s="79" t="s">
        <v>261</v>
      </c>
      <c r="J60" s="62"/>
      <c r="K60" s="62"/>
      <c r="L60" s="62"/>
      <c r="M60" s="106">
        <v>0.3</v>
      </c>
      <c r="N60" s="60" t="s">
        <v>432</v>
      </c>
    </row>
    <row r="61" spans="1:14" ht="30" customHeight="1" x14ac:dyDescent="0.3">
      <c r="A61" s="139" t="s">
        <v>260</v>
      </c>
      <c r="B61" s="88" t="s">
        <v>208</v>
      </c>
      <c r="C61" s="88" t="s">
        <v>327</v>
      </c>
      <c r="D61" s="90" t="s">
        <v>28</v>
      </c>
      <c r="E61" s="88" t="s">
        <v>218</v>
      </c>
      <c r="F61" s="88"/>
      <c r="G61" s="80" t="s">
        <v>269</v>
      </c>
      <c r="H61" s="78"/>
      <c r="I61" s="78"/>
      <c r="J61" s="62"/>
      <c r="K61" s="62"/>
      <c r="L61" s="62"/>
      <c r="M61" s="106">
        <v>0.05</v>
      </c>
      <c r="N61" s="60" t="s">
        <v>138</v>
      </c>
    </row>
    <row r="62" spans="1:14" ht="30" customHeight="1" x14ac:dyDescent="0.3">
      <c r="A62" s="139"/>
      <c r="B62" s="88" t="s">
        <v>208</v>
      </c>
      <c r="C62" s="88" t="s">
        <v>327</v>
      </c>
      <c r="D62" s="90" t="s">
        <v>29</v>
      </c>
      <c r="E62" s="88" t="s">
        <v>218</v>
      </c>
      <c r="F62" s="88"/>
      <c r="G62" s="80" t="s">
        <v>269</v>
      </c>
      <c r="H62" s="78"/>
      <c r="I62" s="78"/>
      <c r="J62" s="62"/>
      <c r="K62" s="62"/>
      <c r="L62" s="62"/>
      <c r="M62" s="106">
        <v>0.05</v>
      </c>
      <c r="N62" s="60" t="s">
        <v>138</v>
      </c>
    </row>
    <row r="63" spans="1:14" ht="30" customHeight="1" x14ac:dyDescent="0.3">
      <c r="A63" s="139"/>
      <c r="B63" s="88" t="s">
        <v>208</v>
      </c>
      <c r="C63" s="88" t="s">
        <v>327</v>
      </c>
      <c r="D63" s="90" t="s">
        <v>30</v>
      </c>
      <c r="E63" s="88" t="s">
        <v>218</v>
      </c>
      <c r="F63" s="88"/>
      <c r="G63" s="80" t="s">
        <v>269</v>
      </c>
      <c r="H63" s="78"/>
      <c r="I63" s="78"/>
      <c r="J63" s="62"/>
      <c r="K63" s="62"/>
      <c r="L63" s="62"/>
      <c r="M63" s="106">
        <v>0.05</v>
      </c>
      <c r="N63" s="60" t="s">
        <v>138</v>
      </c>
    </row>
    <row r="64" spans="1:14" ht="30" customHeight="1" x14ac:dyDescent="0.3">
      <c r="A64" s="139"/>
      <c r="B64" s="88" t="s">
        <v>208</v>
      </c>
      <c r="C64" s="88" t="s">
        <v>327</v>
      </c>
      <c r="D64" s="90" t="s">
        <v>31</v>
      </c>
      <c r="E64" s="88" t="s">
        <v>218</v>
      </c>
      <c r="F64" s="88"/>
      <c r="G64" s="80" t="s">
        <v>269</v>
      </c>
      <c r="H64" s="78"/>
      <c r="I64" s="78"/>
      <c r="J64" s="62"/>
      <c r="K64" s="62"/>
      <c r="L64" s="62"/>
      <c r="M64" s="106">
        <v>0.05</v>
      </c>
      <c r="N64" s="60" t="s">
        <v>138</v>
      </c>
    </row>
    <row r="65" spans="1:14" ht="30" customHeight="1" x14ac:dyDescent="0.3">
      <c r="A65" s="139"/>
      <c r="B65" s="88" t="s">
        <v>208</v>
      </c>
      <c r="C65" s="88" t="s">
        <v>327</v>
      </c>
      <c r="D65" s="90" t="s">
        <v>384</v>
      </c>
      <c r="E65" s="88" t="s">
        <v>218</v>
      </c>
      <c r="F65" s="88"/>
      <c r="G65" s="80" t="s">
        <v>269</v>
      </c>
      <c r="H65" s="78"/>
      <c r="I65" s="78"/>
      <c r="J65" s="62"/>
      <c r="K65" s="62"/>
      <c r="L65" s="62"/>
      <c r="M65" s="106">
        <v>0.05</v>
      </c>
      <c r="N65" s="60" t="s">
        <v>138</v>
      </c>
    </row>
    <row r="66" spans="1:14" ht="30" customHeight="1" x14ac:dyDescent="0.3">
      <c r="A66" s="139"/>
      <c r="B66" s="88" t="s">
        <v>208</v>
      </c>
      <c r="C66" s="88" t="s">
        <v>327</v>
      </c>
      <c r="D66" s="90" t="s">
        <v>32</v>
      </c>
      <c r="E66" s="88" t="s">
        <v>218</v>
      </c>
      <c r="F66" s="88"/>
      <c r="G66" s="80" t="s">
        <v>269</v>
      </c>
      <c r="H66" s="78"/>
      <c r="I66" s="78"/>
      <c r="J66" s="62"/>
      <c r="K66" s="62"/>
      <c r="L66" s="62"/>
      <c r="M66" s="106">
        <v>0.05</v>
      </c>
      <c r="N66" s="60" t="s">
        <v>138</v>
      </c>
    </row>
    <row r="67" spans="1:14" ht="30" customHeight="1" x14ac:dyDescent="0.3">
      <c r="A67" s="139"/>
      <c r="B67" s="88" t="s">
        <v>208</v>
      </c>
      <c r="C67" s="88" t="s">
        <v>385</v>
      </c>
      <c r="D67" s="90" t="s">
        <v>181</v>
      </c>
      <c r="E67" s="88" t="s">
        <v>218</v>
      </c>
      <c r="F67" s="88"/>
      <c r="G67" s="80" t="s">
        <v>269</v>
      </c>
      <c r="H67" s="78"/>
      <c r="I67" s="78"/>
      <c r="J67" s="62"/>
      <c r="K67" s="62"/>
      <c r="L67" s="62"/>
      <c r="M67" s="106">
        <v>0.05</v>
      </c>
      <c r="N67" s="60" t="s">
        <v>106</v>
      </c>
    </row>
    <row r="68" spans="1:14" ht="30" customHeight="1" x14ac:dyDescent="0.3">
      <c r="A68" s="139"/>
      <c r="B68" s="88" t="s">
        <v>208</v>
      </c>
      <c r="C68" s="88" t="s">
        <v>385</v>
      </c>
      <c r="D68" s="90" t="s">
        <v>182</v>
      </c>
      <c r="E68" s="88" t="s">
        <v>218</v>
      </c>
      <c r="F68" s="88"/>
      <c r="G68" s="80" t="s">
        <v>269</v>
      </c>
      <c r="H68" s="78"/>
      <c r="I68" s="78"/>
      <c r="J68" s="62"/>
      <c r="K68" s="62"/>
      <c r="L68" s="62"/>
      <c r="M68" s="106">
        <v>0.05</v>
      </c>
      <c r="N68" s="60" t="s">
        <v>183</v>
      </c>
    </row>
    <row r="69" spans="1:14" ht="30" customHeight="1" x14ac:dyDescent="0.3">
      <c r="A69" s="139"/>
      <c r="B69" s="88" t="s">
        <v>208</v>
      </c>
      <c r="C69" s="88" t="s">
        <v>385</v>
      </c>
      <c r="D69" s="90" t="s">
        <v>33</v>
      </c>
      <c r="E69" s="88" t="s">
        <v>218</v>
      </c>
      <c r="F69" s="88"/>
      <c r="G69" s="80" t="s">
        <v>269</v>
      </c>
      <c r="H69" s="78"/>
      <c r="I69" s="78"/>
      <c r="J69" s="62"/>
      <c r="K69" s="62"/>
      <c r="L69" s="62"/>
      <c r="M69" s="106">
        <v>0.05</v>
      </c>
      <c r="N69" s="60" t="s">
        <v>106</v>
      </c>
    </row>
    <row r="70" spans="1:14" ht="30" customHeight="1" x14ac:dyDescent="0.3">
      <c r="A70" s="138" t="s">
        <v>16</v>
      </c>
      <c r="B70" s="97" t="s">
        <v>208</v>
      </c>
      <c r="C70" s="97" t="s">
        <v>328</v>
      </c>
      <c r="D70" s="92" t="s">
        <v>36</v>
      </c>
      <c r="E70" s="91" t="s">
        <v>218</v>
      </c>
      <c r="F70" s="91"/>
      <c r="G70" s="80" t="s">
        <v>270</v>
      </c>
      <c r="H70" s="78"/>
      <c r="I70" s="78"/>
      <c r="J70" s="62"/>
      <c r="K70" s="62"/>
      <c r="L70" s="62"/>
      <c r="M70" s="106">
        <v>0</v>
      </c>
      <c r="N70" s="60" t="s">
        <v>140</v>
      </c>
    </row>
    <row r="71" spans="1:14" ht="30" customHeight="1" x14ac:dyDescent="0.3">
      <c r="A71" s="138"/>
      <c r="B71" s="97" t="s">
        <v>208</v>
      </c>
      <c r="C71" s="97" t="s">
        <v>328</v>
      </c>
      <c r="D71" s="92" t="s">
        <v>37</v>
      </c>
      <c r="E71" s="91" t="s">
        <v>218</v>
      </c>
      <c r="F71" s="91"/>
      <c r="G71" s="80" t="s">
        <v>270</v>
      </c>
      <c r="H71" s="78"/>
      <c r="I71" s="78"/>
      <c r="J71" s="62"/>
      <c r="K71" s="62"/>
      <c r="L71" s="62"/>
      <c r="M71" s="106">
        <v>0</v>
      </c>
      <c r="N71" s="60" t="s">
        <v>140</v>
      </c>
    </row>
    <row r="72" spans="1:14" ht="30" customHeight="1" x14ac:dyDescent="0.3">
      <c r="A72" s="138"/>
      <c r="B72" s="97" t="s">
        <v>209</v>
      </c>
      <c r="C72" s="97" t="s">
        <v>328</v>
      </c>
      <c r="D72" s="101" t="s">
        <v>150</v>
      </c>
      <c r="E72" s="91" t="s">
        <v>153</v>
      </c>
      <c r="F72" s="91"/>
      <c r="G72" s="82" t="s">
        <v>247</v>
      </c>
      <c r="H72" s="82" t="s">
        <v>247</v>
      </c>
      <c r="I72" s="82" t="s">
        <v>247</v>
      </c>
      <c r="J72" s="82" t="s">
        <v>247</v>
      </c>
      <c r="K72" s="82" t="s">
        <v>247</v>
      </c>
      <c r="L72" s="82" t="s">
        <v>247</v>
      </c>
      <c r="M72" s="106">
        <v>1</v>
      </c>
      <c r="N72" s="60"/>
    </row>
    <row r="73" spans="1:14" ht="30" customHeight="1" x14ac:dyDescent="0.3">
      <c r="A73" s="138"/>
      <c r="B73" s="97" t="s">
        <v>209</v>
      </c>
      <c r="C73" s="97" t="s">
        <v>328</v>
      </c>
      <c r="D73" s="101" t="s">
        <v>329</v>
      </c>
      <c r="E73" s="91"/>
      <c r="F73" s="91"/>
      <c r="G73" s="80" t="s">
        <v>270</v>
      </c>
      <c r="H73" s="78"/>
      <c r="I73" s="78"/>
      <c r="J73" s="59"/>
      <c r="K73" s="59"/>
      <c r="L73" s="59"/>
      <c r="M73" s="106">
        <v>0</v>
      </c>
      <c r="N73" s="60"/>
    </row>
    <row r="74" spans="1:14" ht="30" customHeight="1" x14ac:dyDescent="0.3">
      <c r="A74" s="138"/>
      <c r="B74" s="109" t="s">
        <v>209</v>
      </c>
      <c r="C74" s="109" t="s">
        <v>328</v>
      </c>
      <c r="D74" s="110" t="s">
        <v>133</v>
      </c>
      <c r="E74" s="111"/>
      <c r="F74" s="111"/>
      <c r="G74" s="112" t="s">
        <v>270</v>
      </c>
      <c r="H74" s="113"/>
      <c r="I74" s="113"/>
      <c r="J74" s="114"/>
      <c r="K74" s="114"/>
      <c r="L74" s="114"/>
      <c r="M74" s="115">
        <v>0</v>
      </c>
      <c r="N74" s="116"/>
    </row>
    <row r="75" spans="1:14" ht="30" customHeight="1" x14ac:dyDescent="0.3">
      <c r="A75" s="139" t="s">
        <v>359</v>
      </c>
      <c r="B75" s="93" t="s">
        <v>209</v>
      </c>
      <c r="C75" s="93" t="s">
        <v>342</v>
      </c>
      <c r="D75" s="90" t="s">
        <v>361</v>
      </c>
      <c r="E75" s="88" t="s">
        <v>156</v>
      </c>
      <c r="F75" s="88"/>
      <c r="G75" s="82" t="s">
        <v>247</v>
      </c>
      <c r="H75" s="79" t="s">
        <v>261</v>
      </c>
      <c r="I75" s="79" t="s">
        <v>261</v>
      </c>
      <c r="J75" s="78">
        <v>45976</v>
      </c>
      <c r="K75" s="123">
        <v>45991</v>
      </c>
      <c r="L75" s="123">
        <v>46021</v>
      </c>
      <c r="M75" s="115">
        <v>0</v>
      </c>
      <c r="N75" s="118"/>
    </row>
    <row r="76" spans="1:14" ht="30" customHeight="1" x14ac:dyDescent="0.3">
      <c r="A76" s="139"/>
      <c r="B76" s="93" t="s">
        <v>209</v>
      </c>
      <c r="C76" s="93" t="s">
        <v>342</v>
      </c>
      <c r="D76" s="90" t="s">
        <v>42</v>
      </c>
      <c r="E76" s="88" t="s">
        <v>156</v>
      </c>
      <c r="F76" s="88"/>
      <c r="G76" s="82" t="s">
        <v>247</v>
      </c>
      <c r="H76" s="79" t="s">
        <v>261</v>
      </c>
      <c r="I76" s="79" t="s">
        <v>261</v>
      </c>
      <c r="J76" s="78">
        <v>45976</v>
      </c>
      <c r="K76" s="123">
        <v>45991</v>
      </c>
      <c r="L76" s="123">
        <v>46021</v>
      </c>
      <c r="M76" s="115">
        <v>0</v>
      </c>
      <c r="N76" s="118"/>
    </row>
    <row r="77" spans="1:14" ht="30" customHeight="1" x14ac:dyDescent="0.3">
      <c r="A77" s="139"/>
      <c r="B77" s="93" t="s">
        <v>209</v>
      </c>
      <c r="C77" s="93" t="s">
        <v>342</v>
      </c>
      <c r="D77" s="90" t="s">
        <v>366</v>
      </c>
      <c r="E77" s="88"/>
      <c r="F77" s="88"/>
      <c r="G77" s="117"/>
      <c r="H77" s="79" t="s">
        <v>261</v>
      </c>
      <c r="I77" s="79" t="s">
        <v>261</v>
      </c>
      <c r="J77" s="117"/>
      <c r="K77" s="117"/>
      <c r="L77" s="117"/>
      <c r="M77" s="115">
        <v>0</v>
      </c>
      <c r="N77" s="118"/>
    </row>
    <row r="78" spans="1:14" ht="30" customHeight="1" x14ac:dyDescent="0.3">
      <c r="A78" s="136" t="s">
        <v>360</v>
      </c>
      <c r="B78" s="97" t="s">
        <v>209</v>
      </c>
      <c r="C78" s="97" t="s">
        <v>342</v>
      </c>
      <c r="D78" s="92" t="s">
        <v>361</v>
      </c>
      <c r="E78" s="91" t="s">
        <v>156</v>
      </c>
      <c r="F78" s="91"/>
      <c r="G78" s="112" t="s">
        <v>399</v>
      </c>
      <c r="H78" s="79" t="s">
        <v>261</v>
      </c>
      <c r="I78" s="79" t="s">
        <v>261</v>
      </c>
      <c r="J78" s="78">
        <v>45976</v>
      </c>
      <c r="K78" s="123">
        <v>45991</v>
      </c>
      <c r="L78" s="123">
        <v>46021</v>
      </c>
      <c r="M78" s="115">
        <v>0</v>
      </c>
      <c r="N78" s="118"/>
    </row>
    <row r="79" spans="1:14" ht="30" customHeight="1" x14ac:dyDescent="0.3">
      <c r="A79" s="136"/>
      <c r="B79" s="97" t="s">
        <v>209</v>
      </c>
      <c r="C79" s="97" t="s">
        <v>342</v>
      </c>
      <c r="D79" s="92" t="s">
        <v>362</v>
      </c>
      <c r="E79" s="91" t="s">
        <v>156</v>
      </c>
      <c r="F79" s="91"/>
      <c r="G79" s="112" t="s">
        <v>399</v>
      </c>
      <c r="H79" s="79" t="s">
        <v>261</v>
      </c>
      <c r="I79" s="79" t="s">
        <v>261</v>
      </c>
      <c r="J79" s="78">
        <v>45976</v>
      </c>
      <c r="K79" s="123">
        <v>45991</v>
      </c>
      <c r="L79" s="123">
        <v>46021</v>
      </c>
      <c r="M79" s="115">
        <v>0</v>
      </c>
      <c r="N79" s="118"/>
    </row>
    <row r="80" spans="1:14" ht="30" customHeight="1" x14ac:dyDescent="0.3">
      <c r="A80" s="136"/>
      <c r="B80" s="97" t="s">
        <v>209</v>
      </c>
      <c r="C80" s="97" t="s">
        <v>342</v>
      </c>
      <c r="D80" s="92" t="s">
        <v>363</v>
      </c>
      <c r="E80" s="91"/>
      <c r="F80" s="91"/>
      <c r="G80" s="117"/>
      <c r="H80" s="79" t="s">
        <v>261</v>
      </c>
      <c r="I80" s="79" t="s">
        <v>261</v>
      </c>
      <c r="J80" s="117"/>
      <c r="K80" s="117"/>
      <c r="L80" s="117"/>
      <c r="M80" s="115">
        <v>0</v>
      </c>
      <c r="N80" s="118"/>
    </row>
    <row r="81" spans="1:14" ht="30" customHeight="1" x14ac:dyDescent="0.3">
      <c r="A81" s="136"/>
      <c r="B81" s="97" t="s">
        <v>209</v>
      </c>
      <c r="C81" s="97" t="s">
        <v>342</v>
      </c>
      <c r="D81" s="92" t="s">
        <v>83</v>
      </c>
      <c r="E81" s="91"/>
      <c r="F81" s="91"/>
      <c r="G81" s="117"/>
      <c r="H81" s="79" t="s">
        <v>261</v>
      </c>
      <c r="I81" s="79" t="s">
        <v>261</v>
      </c>
      <c r="J81" s="117"/>
      <c r="K81" s="117"/>
      <c r="L81" s="117"/>
      <c r="M81" s="115">
        <v>0</v>
      </c>
      <c r="N81" s="118"/>
    </row>
    <row r="82" spans="1:14" ht="30" customHeight="1" x14ac:dyDescent="0.3">
      <c r="A82" s="136"/>
      <c r="B82" s="97" t="s">
        <v>209</v>
      </c>
      <c r="C82" s="97" t="s">
        <v>342</v>
      </c>
      <c r="D82" s="92" t="s">
        <v>6</v>
      </c>
      <c r="E82" s="91"/>
      <c r="F82" s="91"/>
      <c r="G82" s="117"/>
      <c r="H82" s="79" t="s">
        <v>261</v>
      </c>
      <c r="I82" s="79" t="s">
        <v>261</v>
      </c>
      <c r="J82" s="117"/>
      <c r="K82" s="117"/>
      <c r="L82" s="117"/>
      <c r="M82" s="115">
        <v>0</v>
      </c>
      <c r="N82" s="118"/>
    </row>
    <row r="83" spans="1:14" ht="30" customHeight="1" x14ac:dyDescent="0.3">
      <c r="A83" s="136"/>
      <c r="B83" s="97" t="s">
        <v>209</v>
      </c>
      <c r="C83" s="97" t="s">
        <v>342</v>
      </c>
      <c r="D83" s="92" t="s">
        <v>2</v>
      </c>
      <c r="E83" s="91"/>
      <c r="F83" s="91"/>
      <c r="G83" s="117"/>
      <c r="H83" s="79" t="s">
        <v>261</v>
      </c>
      <c r="I83" s="79" t="s">
        <v>261</v>
      </c>
      <c r="J83" s="117"/>
      <c r="K83" s="117"/>
      <c r="L83" s="117"/>
      <c r="M83" s="115">
        <v>0</v>
      </c>
      <c r="N83" s="118"/>
    </row>
    <row r="84" spans="1:14" ht="30" customHeight="1" x14ac:dyDescent="0.3">
      <c r="A84" s="136"/>
      <c r="B84" s="97" t="s">
        <v>209</v>
      </c>
      <c r="C84" s="97" t="s">
        <v>342</v>
      </c>
      <c r="D84" s="92" t="s">
        <v>364</v>
      </c>
      <c r="E84" s="91"/>
      <c r="F84" s="91"/>
      <c r="G84" s="117"/>
      <c r="H84" s="79" t="s">
        <v>261</v>
      </c>
      <c r="I84" s="79" t="s">
        <v>261</v>
      </c>
      <c r="J84" s="117"/>
      <c r="K84" s="117"/>
      <c r="L84" s="117"/>
      <c r="M84" s="115">
        <v>0</v>
      </c>
      <c r="N84" s="118"/>
    </row>
    <row r="85" spans="1:14" ht="30" customHeight="1" x14ac:dyDescent="0.3">
      <c r="A85" s="136"/>
      <c r="B85" s="97" t="s">
        <v>209</v>
      </c>
      <c r="C85" s="97" t="s">
        <v>342</v>
      </c>
      <c r="D85" s="92" t="s">
        <v>356</v>
      </c>
      <c r="E85" s="91"/>
      <c r="F85" s="91"/>
      <c r="G85" s="117"/>
      <c r="H85" s="79" t="s">
        <v>261</v>
      </c>
      <c r="I85" s="79" t="s">
        <v>261</v>
      </c>
      <c r="J85" s="117"/>
      <c r="K85" s="117"/>
      <c r="L85" s="117"/>
      <c r="M85" s="115">
        <v>0</v>
      </c>
      <c r="N85" s="118"/>
    </row>
    <row r="86" spans="1:14" ht="30" customHeight="1" x14ac:dyDescent="0.3">
      <c r="A86" s="136"/>
      <c r="B86" s="97" t="s">
        <v>209</v>
      </c>
      <c r="C86" s="97" t="s">
        <v>342</v>
      </c>
      <c r="D86" s="92" t="s">
        <v>21</v>
      </c>
      <c r="E86" s="91"/>
      <c r="F86" s="91"/>
      <c r="G86" s="117"/>
      <c r="H86" s="79" t="s">
        <v>261</v>
      </c>
      <c r="I86" s="79" t="s">
        <v>261</v>
      </c>
      <c r="J86" s="117"/>
      <c r="K86" s="117"/>
      <c r="L86" s="117"/>
      <c r="M86" s="115">
        <v>0</v>
      </c>
      <c r="N86" s="118"/>
    </row>
    <row r="87" spans="1:14" ht="30" customHeight="1" x14ac:dyDescent="0.3">
      <c r="A87" s="136"/>
      <c r="B87" s="97" t="s">
        <v>209</v>
      </c>
      <c r="C87" s="97" t="s">
        <v>342</v>
      </c>
      <c r="D87" s="92" t="s">
        <v>365</v>
      </c>
      <c r="E87" s="91"/>
      <c r="F87" s="91"/>
      <c r="G87" s="117"/>
      <c r="H87" s="79" t="s">
        <v>261</v>
      </c>
      <c r="I87" s="79" t="s">
        <v>261</v>
      </c>
      <c r="J87" s="117"/>
      <c r="K87" s="117"/>
      <c r="L87" s="117"/>
      <c r="M87" s="115">
        <v>0</v>
      </c>
      <c r="N87" s="118"/>
    </row>
    <row r="88" spans="1:14" ht="30" customHeight="1" x14ac:dyDescent="0.3">
      <c r="A88" s="140" t="s">
        <v>367</v>
      </c>
      <c r="B88" s="93" t="s">
        <v>211</v>
      </c>
      <c r="C88" s="93" t="s">
        <v>342</v>
      </c>
      <c r="D88" s="90" t="s">
        <v>361</v>
      </c>
      <c r="E88" s="88"/>
      <c r="F88" s="88"/>
      <c r="G88" s="117"/>
      <c r="H88" s="79" t="s">
        <v>261</v>
      </c>
      <c r="I88" s="79" t="s">
        <v>261</v>
      </c>
      <c r="J88" s="117"/>
      <c r="K88" s="117"/>
      <c r="L88" s="117"/>
      <c r="M88" s="115">
        <v>0</v>
      </c>
      <c r="N88" s="118"/>
    </row>
    <row r="89" spans="1:14" ht="30" customHeight="1" x14ac:dyDescent="0.3">
      <c r="A89" s="140"/>
      <c r="B89" s="93" t="s">
        <v>211</v>
      </c>
      <c r="C89" s="93" t="s">
        <v>342</v>
      </c>
      <c r="D89" s="90" t="s">
        <v>368</v>
      </c>
      <c r="E89" s="88"/>
      <c r="F89" s="88"/>
      <c r="G89" s="117"/>
      <c r="H89" s="79" t="s">
        <v>261</v>
      </c>
      <c r="I89" s="79" t="s">
        <v>261</v>
      </c>
      <c r="J89" s="117"/>
      <c r="K89" s="117"/>
      <c r="L89" s="117"/>
      <c r="M89" s="115">
        <v>0</v>
      </c>
      <c r="N89" s="118"/>
    </row>
    <row r="90" spans="1:14" ht="30" customHeight="1" x14ac:dyDescent="0.3">
      <c r="A90" s="140"/>
      <c r="B90" s="93" t="s">
        <v>211</v>
      </c>
      <c r="C90" s="93" t="s">
        <v>342</v>
      </c>
      <c r="D90" s="90" t="s">
        <v>356</v>
      </c>
      <c r="E90" s="88"/>
      <c r="F90" s="88"/>
      <c r="G90" s="117"/>
      <c r="H90" s="79" t="s">
        <v>261</v>
      </c>
      <c r="I90" s="79" t="s">
        <v>261</v>
      </c>
      <c r="J90" s="117"/>
      <c r="K90" s="117"/>
      <c r="L90" s="117"/>
      <c r="M90" s="115">
        <v>0</v>
      </c>
      <c r="N90" s="118"/>
    </row>
    <row r="91" spans="1:14" ht="30" customHeight="1" x14ac:dyDescent="0.3">
      <c r="A91" s="137" t="s">
        <v>369</v>
      </c>
      <c r="B91" s="119" t="s">
        <v>211</v>
      </c>
      <c r="C91" s="119" t="s">
        <v>342</v>
      </c>
      <c r="D91" s="120" t="s">
        <v>378</v>
      </c>
      <c r="E91" s="121"/>
      <c r="F91" s="121"/>
      <c r="G91" s="117"/>
      <c r="H91" s="79" t="s">
        <v>261</v>
      </c>
      <c r="I91" s="79" t="s">
        <v>261</v>
      </c>
      <c r="J91" s="117"/>
      <c r="K91" s="117"/>
      <c r="L91" s="117"/>
      <c r="M91" s="115">
        <v>0</v>
      </c>
      <c r="N91" s="118"/>
    </row>
    <row r="92" spans="1:14" ht="30" customHeight="1" x14ac:dyDescent="0.3">
      <c r="A92" s="137"/>
      <c r="B92" s="119" t="s">
        <v>211</v>
      </c>
      <c r="C92" s="119" t="s">
        <v>342</v>
      </c>
      <c r="D92" s="120" t="s">
        <v>379</v>
      </c>
      <c r="E92" s="121"/>
      <c r="F92" s="121"/>
      <c r="G92" s="117"/>
      <c r="H92" s="79" t="s">
        <v>261</v>
      </c>
      <c r="I92" s="79" t="s">
        <v>261</v>
      </c>
      <c r="J92" s="117"/>
      <c r="K92" s="117"/>
      <c r="L92" s="117"/>
      <c r="M92" s="115">
        <v>0</v>
      </c>
      <c r="N92" s="118"/>
    </row>
    <row r="93" spans="1:14" ht="30" customHeight="1" x14ac:dyDescent="0.3">
      <c r="A93" s="137"/>
      <c r="B93" s="119" t="s">
        <v>211</v>
      </c>
      <c r="C93" s="119" t="s">
        <v>342</v>
      </c>
      <c r="D93" s="120" t="s">
        <v>380</v>
      </c>
      <c r="E93" s="121"/>
      <c r="F93" s="121"/>
      <c r="G93" s="117"/>
      <c r="H93" s="79" t="s">
        <v>261</v>
      </c>
      <c r="I93" s="79" t="s">
        <v>261</v>
      </c>
      <c r="J93" s="117"/>
      <c r="K93" s="117"/>
      <c r="L93" s="117"/>
      <c r="M93" s="115">
        <v>0</v>
      </c>
      <c r="N93" s="118"/>
    </row>
  </sheetData>
  <mergeCells count="17">
    <mergeCell ref="A61:A69"/>
    <mergeCell ref="A2:A12"/>
    <mergeCell ref="A13:A17"/>
    <mergeCell ref="A18:A19"/>
    <mergeCell ref="A20:A23"/>
    <mergeCell ref="A24:A30"/>
    <mergeCell ref="A31:A33"/>
    <mergeCell ref="A34:A38"/>
    <mergeCell ref="A39:A42"/>
    <mergeCell ref="A43:A47"/>
    <mergeCell ref="A48:A51"/>
    <mergeCell ref="A53:A60"/>
    <mergeCell ref="A70:A74"/>
    <mergeCell ref="A75:A77"/>
    <mergeCell ref="A78:A87"/>
    <mergeCell ref="A88:A90"/>
    <mergeCell ref="A91:A93"/>
  </mergeCells>
  <conditionalFormatting sqref="M2:M60">
    <cfRule type="dataBar" priority="2">
      <dataBar>
        <cfvo type="min"/>
        <cfvo type="max"/>
        <color rgb="FF63C384"/>
      </dataBar>
      <extLst>
        <ext xmlns:x14="http://schemas.microsoft.com/office/spreadsheetml/2009/9/main" uri="{B025F937-C7B1-47D3-B67F-A62EFF666E3E}">
          <x14:id>{5C12E464-7391-4894-8E7E-349E865B9331}</x14:id>
        </ext>
      </extLst>
    </cfRule>
  </conditionalFormatting>
  <conditionalFormatting sqref="M2:M93">
    <cfRule type="dataBar" priority="3">
      <dataBar>
        <cfvo type="min"/>
        <cfvo type="max"/>
        <color rgb="FF63C384"/>
      </dataBar>
      <extLst>
        <ext xmlns:x14="http://schemas.microsoft.com/office/spreadsheetml/2009/9/main" uri="{B025F937-C7B1-47D3-B67F-A62EFF666E3E}">
          <x14:id>{160916BA-C033-43D6-95C2-DD80856E2176}</x14:id>
        </ext>
      </extLst>
    </cfRule>
  </conditionalFormatting>
  <conditionalFormatting sqref="M2:M94">
    <cfRule type="dataBar" priority="1">
      <dataBar>
        <cfvo type="min"/>
        <cfvo type="max"/>
        <color rgb="FF63C384"/>
      </dataBar>
      <extLst>
        <ext xmlns:x14="http://schemas.microsoft.com/office/spreadsheetml/2009/9/main" uri="{B025F937-C7B1-47D3-B67F-A62EFF666E3E}">
          <x14:id>{E71ED8B9-D238-486A-9AEC-17804F9B732E}</x14:id>
        </ext>
      </extLst>
    </cfRule>
  </conditionalFormatting>
  <pageMargins left="0.25" right="0.25" top="0.75" bottom="0.75" header="0.3" footer="0.3"/>
  <pageSetup paperSize="8" scale="46" orientation="portrait" r:id="rId1"/>
  <extLst>
    <ext xmlns:x14="http://schemas.microsoft.com/office/spreadsheetml/2009/9/main" uri="{78C0D931-6437-407d-A8EE-F0AAD7539E65}">
      <x14:conditionalFormattings>
        <x14:conditionalFormatting xmlns:xm="http://schemas.microsoft.com/office/excel/2006/main">
          <x14:cfRule type="dataBar" id="{5C12E464-7391-4894-8E7E-349E865B9331}">
            <x14:dataBar minLength="0" maxLength="100" border="1" negativeBarBorderColorSameAsPositive="0">
              <x14:cfvo type="autoMin"/>
              <x14:cfvo type="autoMax"/>
              <x14:borderColor rgb="FF63C384"/>
              <x14:negativeFillColor rgb="FFFF0000"/>
              <x14:negativeBorderColor rgb="FFFF0000"/>
              <x14:axisColor rgb="FF000000"/>
            </x14:dataBar>
          </x14:cfRule>
          <xm:sqref>M2:M60</xm:sqref>
        </x14:conditionalFormatting>
        <x14:conditionalFormatting xmlns:xm="http://schemas.microsoft.com/office/excel/2006/main">
          <x14:cfRule type="dataBar" id="{160916BA-C033-43D6-95C2-DD80856E2176}">
            <x14:dataBar minLength="0" maxLength="100" border="1" negativeBarBorderColorSameAsPositive="0">
              <x14:cfvo type="autoMin"/>
              <x14:cfvo type="autoMax"/>
              <x14:borderColor rgb="FF63C384"/>
              <x14:negativeFillColor rgb="FFFF0000"/>
              <x14:negativeBorderColor rgb="FFFF0000"/>
              <x14:axisColor rgb="FF000000"/>
            </x14:dataBar>
          </x14:cfRule>
          <xm:sqref>M2:M93</xm:sqref>
        </x14:conditionalFormatting>
        <x14:conditionalFormatting xmlns:xm="http://schemas.microsoft.com/office/excel/2006/main">
          <x14:cfRule type="dataBar" id="{E71ED8B9-D238-486A-9AEC-17804F9B732E}">
            <x14:dataBar minLength="0" maxLength="100" border="1" negativeBarBorderColorSameAsPositive="0">
              <x14:cfvo type="autoMin"/>
              <x14:cfvo type="autoMax"/>
              <x14:borderColor rgb="FF63C384"/>
              <x14:negativeFillColor rgb="FFFF0000"/>
              <x14:negativeBorderColor rgb="FFFF0000"/>
              <x14:axisColor rgb="FF000000"/>
            </x14:dataBar>
          </x14:cfRule>
          <xm:sqref>M2:M94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E742-6349-4664-A983-C4FB7157C9F2}">
  <sheetPr>
    <pageSetUpPr fitToPage="1"/>
  </sheetPr>
  <dimension ref="A1:N26"/>
  <sheetViews>
    <sheetView zoomScale="70" zoomScaleNormal="70" workbookViewId="0">
      <pane ySplit="1" topLeftCell="A2" activePane="bottomLeft" state="frozen"/>
      <selection pane="bottomLeft" activeCell="D1" sqref="D1:M14"/>
    </sheetView>
  </sheetViews>
  <sheetFormatPr defaultRowHeight="19.95" customHeight="1" x14ac:dyDescent="0.3"/>
  <cols>
    <col min="1" max="1" width="10" style="9" customWidth="1"/>
    <col min="2" max="3" width="13.77734375" style="41" customWidth="1"/>
    <col min="4" max="4" width="30.77734375" style="9" customWidth="1"/>
    <col min="5" max="5" width="20" style="10" bestFit="1" customWidth="1"/>
    <col min="6" max="6" width="7.5546875" style="10" hidden="1" customWidth="1"/>
    <col min="7" max="7" width="12.77734375" style="9" customWidth="1"/>
    <col min="8" max="8" width="14.5546875" style="9" customWidth="1"/>
    <col min="9" max="9" width="14.33203125" style="9" customWidth="1"/>
    <col min="10" max="10" width="12.77734375" style="9" customWidth="1"/>
    <col min="11" max="11" width="14.44140625" style="9" customWidth="1"/>
    <col min="12" max="12" width="12.77734375" style="9" customWidth="1"/>
    <col min="13" max="13" width="24.5546875" style="9" customWidth="1"/>
    <col min="14" max="14" width="45.5546875" style="11" bestFit="1" customWidth="1"/>
    <col min="15" max="16384" width="8.88671875" style="9"/>
  </cols>
  <sheetData>
    <row r="1" spans="1:14" ht="127.8" x14ac:dyDescent="0.3">
      <c r="A1" s="102" t="s">
        <v>271</v>
      </c>
      <c r="B1" s="102" t="s">
        <v>206</v>
      </c>
      <c r="C1" s="102" t="s">
        <v>324</v>
      </c>
      <c r="D1" s="103" t="s">
        <v>1</v>
      </c>
      <c r="E1" s="102" t="s">
        <v>0</v>
      </c>
      <c r="F1" s="102" t="s">
        <v>318</v>
      </c>
      <c r="G1" s="77" t="s">
        <v>330</v>
      </c>
      <c r="H1" s="77" t="s">
        <v>341</v>
      </c>
      <c r="I1" s="107" t="s">
        <v>337</v>
      </c>
      <c r="J1" s="107" t="s">
        <v>338</v>
      </c>
      <c r="K1" s="107" t="s">
        <v>339</v>
      </c>
      <c r="L1" s="77" t="s">
        <v>340</v>
      </c>
      <c r="M1" s="86" t="s">
        <v>370</v>
      </c>
      <c r="N1" s="12" t="s">
        <v>46</v>
      </c>
    </row>
    <row r="2" spans="1:14" ht="46.8" x14ac:dyDescent="0.3">
      <c r="A2" s="135" t="s">
        <v>40</v>
      </c>
      <c r="B2" s="88" t="s">
        <v>209</v>
      </c>
      <c r="C2" s="88" t="s">
        <v>342</v>
      </c>
      <c r="D2" s="89" t="s">
        <v>343</v>
      </c>
      <c r="E2" s="89" t="s">
        <v>375</v>
      </c>
      <c r="F2" s="88"/>
      <c r="G2" s="82" t="s">
        <v>247</v>
      </c>
      <c r="H2" s="82" t="s">
        <v>247</v>
      </c>
      <c r="I2" s="82" t="s">
        <v>247</v>
      </c>
      <c r="J2" s="81">
        <v>46006</v>
      </c>
      <c r="K2" s="81">
        <v>46006</v>
      </c>
      <c r="L2" s="78">
        <v>46021</v>
      </c>
      <c r="M2" s="104">
        <v>0.83</v>
      </c>
      <c r="N2" s="60" t="s">
        <v>492</v>
      </c>
    </row>
    <row r="3" spans="1:14" ht="30" customHeight="1" x14ac:dyDescent="0.3">
      <c r="A3" s="135"/>
      <c r="B3" s="88" t="s">
        <v>209</v>
      </c>
      <c r="C3" s="88" t="s">
        <v>342</v>
      </c>
      <c r="D3" s="89" t="s">
        <v>344</v>
      </c>
      <c r="E3" s="89" t="s">
        <v>345</v>
      </c>
      <c r="F3" s="88"/>
      <c r="G3" s="82" t="s">
        <v>247</v>
      </c>
      <c r="H3" s="82" t="s">
        <v>247</v>
      </c>
      <c r="I3" s="82" t="s">
        <v>247</v>
      </c>
      <c r="J3" s="78" t="s">
        <v>261</v>
      </c>
      <c r="K3" s="81">
        <v>46006</v>
      </c>
      <c r="L3" s="78" t="s">
        <v>261</v>
      </c>
      <c r="M3" s="104">
        <v>0.5</v>
      </c>
      <c r="N3" s="60" t="s">
        <v>493</v>
      </c>
    </row>
    <row r="4" spans="1:14" ht="31.2" x14ac:dyDescent="0.3">
      <c r="A4" s="135"/>
      <c r="B4" s="88" t="s">
        <v>209</v>
      </c>
      <c r="C4" s="88" t="s">
        <v>342</v>
      </c>
      <c r="D4" s="89" t="s">
        <v>346</v>
      </c>
      <c r="E4" s="89" t="s">
        <v>347</v>
      </c>
      <c r="F4" s="88"/>
      <c r="G4" s="82" t="s">
        <v>247</v>
      </c>
      <c r="H4" s="82" t="s">
        <v>247</v>
      </c>
      <c r="I4" s="82" t="s">
        <v>247</v>
      </c>
      <c r="J4" s="81">
        <v>46006</v>
      </c>
      <c r="K4" s="81">
        <v>46006</v>
      </c>
      <c r="L4" s="78">
        <v>46006</v>
      </c>
      <c r="M4" s="104">
        <v>0.75</v>
      </c>
      <c r="N4" s="60" t="s">
        <v>494</v>
      </c>
    </row>
    <row r="5" spans="1:14" ht="30" customHeight="1" x14ac:dyDescent="0.3">
      <c r="A5" s="135"/>
      <c r="B5" s="88" t="s">
        <v>209</v>
      </c>
      <c r="C5" s="88" t="s">
        <v>342</v>
      </c>
      <c r="D5" s="89" t="s">
        <v>348</v>
      </c>
      <c r="E5" s="89" t="s">
        <v>345</v>
      </c>
      <c r="F5" s="88"/>
      <c r="G5" s="82" t="s">
        <v>247</v>
      </c>
      <c r="H5" s="82" t="s">
        <v>247</v>
      </c>
      <c r="I5" s="82" t="s">
        <v>247</v>
      </c>
      <c r="J5" s="81">
        <v>46021</v>
      </c>
      <c r="K5" s="81">
        <v>46037</v>
      </c>
      <c r="L5" s="78">
        <v>46037</v>
      </c>
      <c r="M5" s="104">
        <v>0.6</v>
      </c>
      <c r="N5" s="60" t="s">
        <v>495</v>
      </c>
    </row>
    <row r="6" spans="1:14" ht="46.8" x14ac:dyDescent="0.3">
      <c r="A6" s="135"/>
      <c r="B6" s="88" t="s">
        <v>209</v>
      </c>
      <c r="C6" s="88" t="s">
        <v>342</v>
      </c>
      <c r="D6" s="89" t="s">
        <v>355</v>
      </c>
      <c r="E6" s="89" t="s">
        <v>383</v>
      </c>
      <c r="F6" s="88"/>
      <c r="G6" s="82" t="s">
        <v>247</v>
      </c>
      <c r="H6" s="79" t="s">
        <v>261</v>
      </c>
      <c r="I6" s="82" t="s">
        <v>247</v>
      </c>
      <c r="J6" s="79" t="s">
        <v>261</v>
      </c>
      <c r="K6" s="81">
        <v>46038</v>
      </c>
      <c r="L6" s="78">
        <v>46111</v>
      </c>
      <c r="M6" s="104">
        <v>0.5</v>
      </c>
      <c r="N6" s="60" t="s">
        <v>496</v>
      </c>
    </row>
    <row r="7" spans="1:14" ht="30" customHeight="1" x14ac:dyDescent="0.3">
      <c r="A7" s="135"/>
      <c r="B7" s="88" t="s">
        <v>209</v>
      </c>
      <c r="C7" s="88" t="s">
        <v>342</v>
      </c>
      <c r="D7" s="90" t="s">
        <v>6</v>
      </c>
      <c r="E7" s="89" t="s">
        <v>350</v>
      </c>
      <c r="F7" s="88"/>
      <c r="G7" s="82" t="s">
        <v>247</v>
      </c>
      <c r="H7" s="82" t="s">
        <v>247</v>
      </c>
      <c r="I7" s="82" t="s">
        <v>247</v>
      </c>
      <c r="J7" s="81">
        <v>46021</v>
      </c>
      <c r="K7" s="81">
        <v>46021</v>
      </c>
      <c r="L7" s="78">
        <v>46037</v>
      </c>
      <c r="M7" s="104">
        <v>0.4</v>
      </c>
      <c r="N7" s="60" t="s">
        <v>497</v>
      </c>
    </row>
    <row r="8" spans="1:14" ht="30" customHeight="1" x14ac:dyDescent="0.3">
      <c r="A8" s="135"/>
      <c r="B8" s="88" t="s">
        <v>209</v>
      </c>
      <c r="C8" s="88" t="s">
        <v>342</v>
      </c>
      <c r="D8" s="90" t="s">
        <v>83</v>
      </c>
      <c r="E8" s="89" t="s">
        <v>349</v>
      </c>
      <c r="F8" s="88"/>
      <c r="G8" s="82" t="s">
        <v>247</v>
      </c>
      <c r="H8" s="82" t="s">
        <v>247</v>
      </c>
      <c r="I8" s="82" t="s">
        <v>247</v>
      </c>
      <c r="J8" s="81">
        <v>46021</v>
      </c>
      <c r="K8" s="81">
        <v>46021</v>
      </c>
      <c r="L8" s="78">
        <v>46037</v>
      </c>
      <c r="M8" s="104">
        <v>0.35</v>
      </c>
      <c r="N8" s="65" t="s">
        <v>498</v>
      </c>
    </row>
    <row r="9" spans="1:14" ht="30" customHeight="1" x14ac:dyDescent="0.3">
      <c r="A9" s="135"/>
      <c r="B9" s="88" t="s">
        <v>209</v>
      </c>
      <c r="C9" s="88" t="s">
        <v>342</v>
      </c>
      <c r="D9" s="90" t="s">
        <v>107</v>
      </c>
      <c r="E9" s="89" t="s">
        <v>351</v>
      </c>
      <c r="F9" s="88"/>
      <c r="G9" s="82" t="s">
        <v>247</v>
      </c>
      <c r="H9" s="79" t="s">
        <v>261</v>
      </c>
      <c r="I9" s="82" t="s">
        <v>247</v>
      </c>
      <c r="J9" s="79" t="s">
        <v>261</v>
      </c>
      <c r="K9" s="81">
        <v>46021</v>
      </c>
      <c r="L9" s="79" t="s">
        <v>261</v>
      </c>
      <c r="M9" s="104">
        <v>0.75</v>
      </c>
      <c r="N9" s="60" t="s">
        <v>499</v>
      </c>
    </row>
    <row r="10" spans="1:14" ht="30" customHeight="1" x14ac:dyDescent="0.3">
      <c r="A10" s="135"/>
      <c r="B10" s="88" t="s">
        <v>209</v>
      </c>
      <c r="C10" s="88" t="s">
        <v>342</v>
      </c>
      <c r="D10" s="90" t="s">
        <v>352</v>
      </c>
      <c r="E10" s="89" t="s">
        <v>353</v>
      </c>
      <c r="F10" s="88"/>
      <c r="G10" s="80">
        <v>45991</v>
      </c>
      <c r="H10" s="79" t="s">
        <v>261</v>
      </c>
      <c r="I10" s="78"/>
      <c r="J10" s="79" t="s">
        <v>261</v>
      </c>
      <c r="K10" s="78"/>
      <c r="L10" s="78">
        <v>46052</v>
      </c>
      <c r="M10" s="104">
        <v>0.05</v>
      </c>
      <c r="N10" s="60" t="s">
        <v>500</v>
      </c>
    </row>
    <row r="11" spans="1:14" ht="30" customHeight="1" x14ac:dyDescent="0.3">
      <c r="A11" s="135"/>
      <c r="B11" s="88" t="s">
        <v>209</v>
      </c>
      <c r="C11" s="88" t="s">
        <v>342</v>
      </c>
      <c r="D11" s="90" t="s">
        <v>354</v>
      </c>
      <c r="E11" s="89" t="s">
        <v>353</v>
      </c>
      <c r="F11" s="88"/>
      <c r="G11" s="80">
        <v>45991</v>
      </c>
      <c r="H11" s="78"/>
      <c r="I11" s="78"/>
      <c r="J11" s="62"/>
      <c r="K11" s="62"/>
      <c r="L11" s="78">
        <v>46052</v>
      </c>
      <c r="M11" s="104">
        <v>0.05</v>
      </c>
      <c r="N11" s="60" t="s">
        <v>500</v>
      </c>
    </row>
    <row r="12" spans="1:14" ht="46.8" x14ac:dyDescent="0.3">
      <c r="A12" s="135"/>
      <c r="B12" s="88" t="s">
        <v>209</v>
      </c>
      <c r="C12" s="88" t="s">
        <v>342</v>
      </c>
      <c r="D12" s="90" t="s">
        <v>356</v>
      </c>
      <c r="E12" s="89" t="s">
        <v>515</v>
      </c>
      <c r="F12" s="88"/>
      <c r="G12" s="80">
        <v>45991</v>
      </c>
      <c r="H12" s="79" t="s">
        <v>261</v>
      </c>
      <c r="I12" s="78"/>
      <c r="J12" s="79" t="s">
        <v>261</v>
      </c>
      <c r="K12" s="62"/>
      <c r="L12" s="78">
        <v>46111</v>
      </c>
      <c r="M12" s="104">
        <v>0.05</v>
      </c>
      <c r="N12" s="65" t="s">
        <v>488</v>
      </c>
    </row>
    <row r="13" spans="1:14" ht="46.8" x14ac:dyDescent="0.3">
      <c r="A13" s="135"/>
      <c r="B13" s="88" t="s">
        <v>209</v>
      </c>
      <c r="C13" s="88" t="s">
        <v>342</v>
      </c>
      <c r="D13" s="90" t="s">
        <v>357</v>
      </c>
      <c r="E13" s="89" t="s">
        <v>516</v>
      </c>
      <c r="F13" s="88"/>
      <c r="G13" s="80">
        <v>45991</v>
      </c>
      <c r="H13" s="78"/>
      <c r="I13" s="78"/>
      <c r="J13" s="62"/>
      <c r="K13" s="62"/>
      <c r="L13" s="78">
        <v>46111</v>
      </c>
      <c r="M13" s="104">
        <v>0.05</v>
      </c>
      <c r="N13" s="65" t="s">
        <v>488</v>
      </c>
    </row>
    <row r="14" spans="1:14" ht="46.8" x14ac:dyDescent="0.3">
      <c r="A14" s="135"/>
      <c r="B14" s="88" t="s">
        <v>209</v>
      </c>
      <c r="C14" s="88" t="s">
        <v>342</v>
      </c>
      <c r="D14" s="90" t="s">
        <v>358</v>
      </c>
      <c r="E14" s="89" t="s">
        <v>515</v>
      </c>
      <c r="F14" s="88"/>
      <c r="G14" s="80">
        <v>45991</v>
      </c>
      <c r="H14" s="79" t="s">
        <v>261</v>
      </c>
      <c r="I14" s="78"/>
      <c r="J14" s="79" t="s">
        <v>261</v>
      </c>
      <c r="K14" s="62"/>
      <c r="L14" s="78">
        <v>46111</v>
      </c>
      <c r="M14" s="104">
        <v>0.05</v>
      </c>
      <c r="N14" s="65" t="s">
        <v>488</v>
      </c>
    </row>
    <row r="15" spans="1:14" ht="30" customHeight="1" x14ac:dyDescent="0.3">
      <c r="A15" s="144" t="s">
        <v>429</v>
      </c>
      <c r="B15" s="97" t="s">
        <v>371</v>
      </c>
      <c r="C15" s="91" t="s">
        <v>342</v>
      </c>
      <c r="D15" s="92" t="s">
        <v>372</v>
      </c>
      <c r="E15" s="100" t="s">
        <v>390</v>
      </c>
      <c r="F15" s="91"/>
      <c r="G15" s="125" t="s">
        <v>247</v>
      </c>
      <c r="H15" s="79" t="s">
        <v>261</v>
      </c>
      <c r="I15" s="126" t="s">
        <v>247</v>
      </c>
      <c r="J15" s="79" t="s">
        <v>261</v>
      </c>
      <c r="K15" s="131"/>
      <c r="L15" s="78">
        <v>46111</v>
      </c>
      <c r="M15" s="104">
        <v>0.6</v>
      </c>
      <c r="N15" s="118" t="s">
        <v>470</v>
      </c>
    </row>
    <row r="16" spans="1:14" ht="30" customHeight="1" x14ac:dyDescent="0.3">
      <c r="A16" s="147"/>
      <c r="B16" s="97" t="s">
        <v>371</v>
      </c>
      <c r="C16" s="91" t="s">
        <v>342</v>
      </c>
      <c r="D16" s="92" t="s">
        <v>373</v>
      </c>
      <c r="E16" s="100" t="s">
        <v>76</v>
      </c>
      <c r="F16" s="91"/>
      <c r="G16" s="80">
        <v>46006</v>
      </c>
      <c r="H16" s="79" t="s">
        <v>261</v>
      </c>
      <c r="I16" s="62"/>
      <c r="J16" s="79" t="s">
        <v>261</v>
      </c>
      <c r="K16" s="117"/>
      <c r="L16" s="78">
        <v>46111</v>
      </c>
      <c r="M16" s="104">
        <v>0.05</v>
      </c>
      <c r="N16" s="118" t="s">
        <v>489</v>
      </c>
    </row>
    <row r="17" spans="1:14" ht="30" customHeight="1" x14ac:dyDescent="0.3">
      <c r="A17" s="147"/>
      <c r="B17" s="97" t="s">
        <v>371</v>
      </c>
      <c r="C17" s="91" t="s">
        <v>342</v>
      </c>
      <c r="D17" s="92" t="s">
        <v>386</v>
      </c>
      <c r="E17" s="100" t="s">
        <v>76</v>
      </c>
      <c r="F17" s="91"/>
      <c r="G17" s="82" t="s">
        <v>247</v>
      </c>
      <c r="H17" s="79" t="s">
        <v>261</v>
      </c>
      <c r="I17" s="80" t="s">
        <v>415</v>
      </c>
      <c r="J17" s="79" t="s">
        <v>261</v>
      </c>
      <c r="K17" s="131"/>
      <c r="L17" s="78">
        <v>45991</v>
      </c>
      <c r="M17" s="104">
        <v>0.6</v>
      </c>
      <c r="N17" s="118" t="s">
        <v>501</v>
      </c>
    </row>
    <row r="18" spans="1:14" ht="30" customHeight="1" x14ac:dyDescent="0.3">
      <c r="A18" s="147"/>
      <c r="B18" s="97" t="s">
        <v>371</v>
      </c>
      <c r="C18" s="91" t="s">
        <v>342</v>
      </c>
      <c r="D18" s="92" t="s">
        <v>388</v>
      </c>
      <c r="E18" s="100" t="s">
        <v>76</v>
      </c>
      <c r="F18" s="91"/>
      <c r="G18" s="80">
        <v>45991</v>
      </c>
      <c r="H18" s="79" t="s">
        <v>261</v>
      </c>
      <c r="I18" s="62"/>
      <c r="J18" s="79" t="s">
        <v>261</v>
      </c>
      <c r="K18" s="117"/>
      <c r="L18" s="78">
        <v>46052</v>
      </c>
      <c r="M18" s="104">
        <v>0.03</v>
      </c>
      <c r="N18" s="118" t="s">
        <v>502</v>
      </c>
    </row>
    <row r="19" spans="1:14" ht="30" customHeight="1" x14ac:dyDescent="0.3">
      <c r="A19" s="147"/>
      <c r="B19" s="97" t="s">
        <v>371</v>
      </c>
      <c r="C19" s="91" t="s">
        <v>342</v>
      </c>
      <c r="D19" s="92" t="s">
        <v>374</v>
      </c>
      <c r="E19" s="100" t="s">
        <v>76</v>
      </c>
      <c r="F19" s="91"/>
      <c r="G19" s="80">
        <v>45991</v>
      </c>
      <c r="H19" s="79" t="s">
        <v>261</v>
      </c>
      <c r="I19" s="62"/>
      <c r="J19" s="79" t="s">
        <v>261</v>
      </c>
      <c r="K19" s="117"/>
      <c r="L19" s="78">
        <v>46052</v>
      </c>
      <c r="M19" s="104">
        <v>0</v>
      </c>
      <c r="N19" s="118" t="s">
        <v>502</v>
      </c>
    </row>
    <row r="20" spans="1:14" ht="30" customHeight="1" x14ac:dyDescent="0.3">
      <c r="A20" s="147"/>
      <c r="B20" s="97" t="s">
        <v>208</v>
      </c>
      <c r="C20" s="97" t="s">
        <v>328</v>
      </c>
      <c r="D20" s="92" t="s">
        <v>381</v>
      </c>
      <c r="E20" s="100" t="s">
        <v>477</v>
      </c>
      <c r="F20" s="91"/>
      <c r="G20" s="82" t="s">
        <v>247</v>
      </c>
      <c r="H20" s="79" t="s">
        <v>261</v>
      </c>
      <c r="I20" s="82" t="s">
        <v>247</v>
      </c>
      <c r="J20" s="79" t="s">
        <v>261</v>
      </c>
      <c r="K20" s="78"/>
      <c r="L20" s="78">
        <v>46111</v>
      </c>
      <c r="M20" s="104">
        <v>0.35</v>
      </c>
      <c r="N20" s="118" t="s">
        <v>491</v>
      </c>
    </row>
    <row r="21" spans="1:14" ht="30" customHeight="1" x14ac:dyDescent="0.3">
      <c r="A21" s="147"/>
      <c r="B21" s="97" t="s">
        <v>371</v>
      </c>
      <c r="C21" s="91" t="s">
        <v>342</v>
      </c>
      <c r="D21" s="92" t="s">
        <v>387</v>
      </c>
      <c r="E21" s="100" t="s">
        <v>396</v>
      </c>
      <c r="F21" s="108"/>
      <c r="G21" s="80">
        <v>45991</v>
      </c>
      <c r="H21" s="79" t="s">
        <v>261</v>
      </c>
      <c r="I21" s="62"/>
      <c r="J21" s="79" t="s">
        <v>261</v>
      </c>
      <c r="K21" s="117"/>
      <c r="L21" s="78">
        <v>46021</v>
      </c>
      <c r="M21" s="104">
        <v>0</v>
      </c>
      <c r="N21" s="118" t="s">
        <v>502</v>
      </c>
    </row>
    <row r="22" spans="1:14" ht="30" customHeight="1" x14ac:dyDescent="0.3">
      <c r="A22" s="147"/>
      <c r="B22" s="97" t="s">
        <v>371</v>
      </c>
      <c r="C22" s="91" t="s">
        <v>342</v>
      </c>
      <c r="D22" s="122" t="s">
        <v>392</v>
      </c>
      <c r="E22" s="100" t="s">
        <v>396</v>
      </c>
      <c r="F22" s="108"/>
      <c r="G22" s="80">
        <v>45991</v>
      </c>
      <c r="H22" s="79" t="s">
        <v>261</v>
      </c>
      <c r="I22" s="62"/>
      <c r="J22" s="79" t="s">
        <v>261</v>
      </c>
      <c r="K22" s="117"/>
      <c r="L22" s="78">
        <v>46021</v>
      </c>
      <c r="M22" s="104">
        <v>0</v>
      </c>
      <c r="N22" s="118" t="s">
        <v>502</v>
      </c>
    </row>
    <row r="23" spans="1:14" ht="30" customHeight="1" x14ac:dyDescent="0.3">
      <c r="A23" s="147"/>
      <c r="B23" s="97" t="s">
        <v>371</v>
      </c>
      <c r="C23" s="91" t="s">
        <v>342</v>
      </c>
      <c r="D23" s="122" t="s">
        <v>389</v>
      </c>
      <c r="E23" s="100" t="s">
        <v>490</v>
      </c>
      <c r="F23" s="108"/>
      <c r="G23" s="80">
        <v>45991</v>
      </c>
      <c r="H23" s="79" t="s">
        <v>261</v>
      </c>
      <c r="I23" s="62"/>
      <c r="J23" s="79" t="s">
        <v>261</v>
      </c>
      <c r="K23" s="117"/>
      <c r="L23" s="78">
        <v>46111</v>
      </c>
      <c r="M23" s="104">
        <v>0.05</v>
      </c>
      <c r="N23" s="65" t="s">
        <v>488</v>
      </c>
    </row>
    <row r="24" spans="1:14" ht="30" hidden="1" customHeight="1" x14ac:dyDescent="0.3">
      <c r="A24" s="147"/>
      <c r="B24" s="97" t="s">
        <v>371</v>
      </c>
      <c r="C24" s="91" t="s">
        <v>342</v>
      </c>
      <c r="D24" s="122" t="s">
        <v>391</v>
      </c>
      <c r="E24" s="124" t="s">
        <v>476</v>
      </c>
      <c r="F24" s="108"/>
      <c r="G24" s="80">
        <v>45991</v>
      </c>
      <c r="H24" s="79" t="s">
        <v>261</v>
      </c>
      <c r="I24" s="82" t="s">
        <v>247</v>
      </c>
      <c r="J24" s="79" t="s">
        <v>261</v>
      </c>
      <c r="K24" s="117"/>
      <c r="L24" s="78">
        <v>46111</v>
      </c>
      <c r="M24" s="104">
        <v>0.9</v>
      </c>
      <c r="N24" s="118"/>
    </row>
    <row r="25" spans="1:14" ht="30" customHeight="1" x14ac:dyDescent="0.3">
      <c r="A25" s="148"/>
      <c r="B25" s="97" t="s">
        <v>371</v>
      </c>
      <c r="C25" s="91" t="s">
        <v>342</v>
      </c>
      <c r="D25" s="122" t="s">
        <v>393</v>
      </c>
      <c r="E25" s="124" t="s">
        <v>394</v>
      </c>
      <c r="F25" s="108"/>
      <c r="G25" s="80">
        <v>45991</v>
      </c>
      <c r="H25" s="79" t="s">
        <v>261</v>
      </c>
      <c r="I25" s="62"/>
      <c r="J25" s="79" t="s">
        <v>261</v>
      </c>
      <c r="K25" s="117"/>
      <c r="L25" s="78">
        <v>46052</v>
      </c>
      <c r="M25" s="104">
        <v>0</v>
      </c>
      <c r="N25" s="118" t="s">
        <v>502</v>
      </c>
    </row>
    <row r="26" spans="1:14" ht="19.95" customHeight="1" x14ac:dyDescent="0.3">
      <c r="M26" s="104">
        <v>1</v>
      </c>
    </row>
  </sheetData>
  <mergeCells count="2">
    <mergeCell ref="A2:A14"/>
    <mergeCell ref="A15:A25"/>
  </mergeCells>
  <conditionalFormatting sqref="M2:M20">
    <cfRule type="dataBar" priority="31">
      <dataBar>
        <cfvo type="min"/>
        <cfvo type="max"/>
        <color rgb="FF63C384"/>
      </dataBar>
      <extLst>
        <ext xmlns:x14="http://schemas.microsoft.com/office/spreadsheetml/2009/9/main" uri="{B025F937-C7B1-47D3-B67F-A62EFF666E3E}">
          <x14:id>{1D01B3C8-9651-4996-9C04-BB64432F758A}</x14:id>
        </ext>
      </extLst>
    </cfRule>
  </conditionalFormatting>
  <conditionalFormatting sqref="M2:M26">
    <cfRule type="dataBar" priority="3">
      <dataBar>
        <cfvo type="min"/>
        <cfvo type="max"/>
        <color rgb="FF63C384"/>
      </dataBar>
      <extLst>
        <ext xmlns:x14="http://schemas.microsoft.com/office/spreadsheetml/2009/9/main" uri="{B025F937-C7B1-47D3-B67F-A62EFF666E3E}">
          <x14:id>{8CC01D86-F3E0-423C-85AE-AC2D4908F138}</x14:id>
        </ext>
      </extLst>
    </cfRule>
  </conditionalFormatting>
  <conditionalFormatting sqref="M21">
    <cfRule type="dataBar" priority="4">
      <dataBar>
        <cfvo type="min"/>
        <cfvo type="max"/>
        <color rgb="FF63C384"/>
      </dataBar>
      <extLst>
        <ext xmlns:x14="http://schemas.microsoft.com/office/spreadsheetml/2009/9/main" uri="{B025F937-C7B1-47D3-B67F-A62EFF666E3E}">
          <x14:id>{9A91AF26-97AC-4152-81FE-BFA335EC154C}</x14:id>
        </ext>
      </extLst>
    </cfRule>
  </conditionalFormatting>
  <conditionalFormatting sqref="M22:M25">
    <cfRule type="dataBar" priority="2">
      <dataBar>
        <cfvo type="min"/>
        <cfvo type="max"/>
        <color rgb="FF63C384"/>
      </dataBar>
      <extLst>
        <ext xmlns:x14="http://schemas.microsoft.com/office/spreadsheetml/2009/9/main" uri="{B025F937-C7B1-47D3-B67F-A62EFF666E3E}">
          <x14:id>{7B23723D-8A2E-4BA0-B65D-925F83A298D4}</x14:id>
        </ext>
      </extLst>
    </cfRule>
  </conditionalFormatting>
  <conditionalFormatting sqref="M26">
    <cfRule type="dataBar" priority="1">
      <dataBar>
        <cfvo type="min"/>
        <cfvo type="max"/>
        <color rgb="FF63C384"/>
      </dataBar>
      <extLst>
        <ext xmlns:x14="http://schemas.microsoft.com/office/spreadsheetml/2009/9/main" uri="{B025F937-C7B1-47D3-B67F-A62EFF666E3E}">
          <x14:id>{8E9615B2-0152-4CDE-8BEA-003A07BB1344}</x14:id>
        </ext>
      </extLst>
    </cfRule>
  </conditionalFormatting>
  <pageMargins left="0.25" right="0.25" top="0.75" bottom="0.75" header="0.3" footer="0.3"/>
  <pageSetup paperSize="8" scale="57" fitToHeight="0" orientation="portrait" r:id="rId1"/>
  <extLst>
    <ext xmlns:x14="http://schemas.microsoft.com/office/spreadsheetml/2009/9/main" uri="{78C0D931-6437-407d-A8EE-F0AAD7539E65}">
      <x14:conditionalFormattings>
        <x14:conditionalFormatting xmlns:xm="http://schemas.microsoft.com/office/excel/2006/main">
          <x14:cfRule type="dataBar" id="{1D01B3C8-9651-4996-9C04-BB64432F758A}">
            <x14:dataBar minLength="0" maxLength="100" border="1" negativeBarBorderColorSameAsPositive="0">
              <x14:cfvo type="autoMin"/>
              <x14:cfvo type="autoMax"/>
              <x14:borderColor rgb="FF63C384"/>
              <x14:negativeFillColor rgb="FFFF0000"/>
              <x14:negativeBorderColor rgb="FFFF0000"/>
              <x14:axisColor rgb="FF000000"/>
            </x14:dataBar>
          </x14:cfRule>
          <xm:sqref>M2:M20</xm:sqref>
        </x14:conditionalFormatting>
        <x14:conditionalFormatting xmlns:xm="http://schemas.microsoft.com/office/excel/2006/main">
          <x14:cfRule type="dataBar" id="{8CC01D86-F3E0-423C-85AE-AC2D4908F138}">
            <x14:dataBar minLength="0" maxLength="100" border="1" negativeBarBorderColorSameAsPositive="0">
              <x14:cfvo type="autoMin"/>
              <x14:cfvo type="autoMax"/>
              <x14:borderColor rgb="FF63C384"/>
              <x14:negativeFillColor rgb="FFFF0000"/>
              <x14:negativeBorderColor rgb="FFFF0000"/>
              <x14:axisColor rgb="FF000000"/>
            </x14:dataBar>
          </x14:cfRule>
          <xm:sqref>M2:M26</xm:sqref>
        </x14:conditionalFormatting>
        <x14:conditionalFormatting xmlns:xm="http://schemas.microsoft.com/office/excel/2006/main">
          <x14:cfRule type="dataBar" id="{9A91AF26-97AC-4152-81FE-BFA335EC154C}">
            <x14:dataBar minLength="0" maxLength="100" border="1" negativeBarBorderColorSameAsPositive="0">
              <x14:cfvo type="autoMin"/>
              <x14:cfvo type="autoMax"/>
              <x14:borderColor rgb="FF63C384"/>
              <x14:negativeFillColor rgb="FFFF0000"/>
              <x14:negativeBorderColor rgb="FFFF0000"/>
              <x14:axisColor rgb="FF000000"/>
            </x14:dataBar>
          </x14:cfRule>
          <xm:sqref>M21</xm:sqref>
        </x14:conditionalFormatting>
        <x14:conditionalFormatting xmlns:xm="http://schemas.microsoft.com/office/excel/2006/main">
          <x14:cfRule type="dataBar" id="{7B23723D-8A2E-4BA0-B65D-925F83A298D4}">
            <x14:dataBar minLength="0" maxLength="100" border="1" negativeBarBorderColorSameAsPositive="0">
              <x14:cfvo type="autoMin"/>
              <x14:cfvo type="autoMax"/>
              <x14:borderColor rgb="FF63C384"/>
              <x14:negativeFillColor rgb="FFFF0000"/>
              <x14:negativeBorderColor rgb="FFFF0000"/>
              <x14:axisColor rgb="FF000000"/>
            </x14:dataBar>
          </x14:cfRule>
          <xm:sqref>M22:M25</xm:sqref>
        </x14:conditionalFormatting>
        <x14:conditionalFormatting xmlns:xm="http://schemas.microsoft.com/office/excel/2006/main">
          <x14:cfRule type="dataBar" id="{8E9615B2-0152-4CDE-8BEA-003A07BB1344}">
            <x14:dataBar minLength="0" maxLength="100" border="1" negativeBarBorderColorSameAsPositive="0">
              <x14:cfvo type="autoMin"/>
              <x14:cfvo type="autoMax"/>
              <x14:borderColor rgb="FF63C384"/>
              <x14:negativeFillColor rgb="FFFF0000"/>
              <x14:negativeBorderColor rgb="FFFF0000"/>
              <x14:axisColor rgb="FF000000"/>
            </x14:dataBar>
          </x14:cfRule>
          <xm:sqref>M26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D77B-6257-4DEC-9D05-79ED3792DB83}">
  <dimension ref="A1:U49"/>
  <sheetViews>
    <sheetView zoomScale="80" zoomScaleNormal="80" workbookViewId="0">
      <pane xSplit="3" ySplit="2" topLeftCell="D3" activePane="bottomRight" state="frozen"/>
      <selection activeCell="A30" sqref="A30"/>
      <selection pane="topRight" activeCell="A30" sqref="A30"/>
      <selection pane="bottomLeft" activeCell="A30" sqref="A30"/>
      <selection pane="bottomRight" activeCell="A30" sqref="A30"/>
    </sheetView>
  </sheetViews>
  <sheetFormatPr defaultRowHeight="14.4" x14ac:dyDescent="0.3"/>
  <cols>
    <col min="1" max="1" width="19.109375" style="10" bestFit="1" customWidth="1"/>
    <col min="2" max="2" width="8.21875" style="10" bestFit="1" customWidth="1"/>
    <col min="3" max="3" width="13" style="10" customWidth="1"/>
    <col min="4" max="8" width="3.77734375" style="10" customWidth="1"/>
    <col min="9" max="15" width="3.77734375" style="41" customWidth="1"/>
    <col min="16" max="17" width="9.6640625" style="41" bestFit="1" customWidth="1"/>
    <col min="18" max="18" width="11.109375" style="41" customWidth="1"/>
    <col min="19" max="20" width="8.33203125" style="41" customWidth="1"/>
    <col min="21" max="21" width="45" style="41" customWidth="1"/>
    <col min="22" max="16384" width="8.88671875" style="41"/>
  </cols>
  <sheetData>
    <row r="1" spans="1:21" s="27" customFormat="1" ht="26.4" customHeight="1" x14ac:dyDescent="0.3">
      <c r="A1" s="152" t="s">
        <v>40</v>
      </c>
      <c r="B1" s="153" t="s">
        <v>75</v>
      </c>
      <c r="C1" s="153" t="s">
        <v>0</v>
      </c>
      <c r="D1" s="154" t="s">
        <v>161</v>
      </c>
      <c r="E1" s="155"/>
      <c r="F1" s="155"/>
      <c r="G1" s="155"/>
      <c r="H1" s="156"/>
      <c r="I1" s="157" t="s">
        <v>90</v>
      </c>
      <c r="J1" s="157"/>
      <c r="K1" s="157"/>
      <c r="L1" s="157"/>
      <c r="M1" s="157"/>
      <c r="N1" s="157"/>
      <c r="O1" s="157"/>
      <c r="P1" s="157" t="s">
        <v>93</v>
      </c>
      <c r="Q1" s="157"/>
      <c r="R1" s="157"/>
      <c r="S1" s="157"/>
      <c r="T1" s="157"/>
      <c r="U1" s="158" t="s">
        <v>46</v>
      </c>
    </row>
    <row r="2" spans="1:21" ht="103.8" customHeight="1" x14ac:dyDescent="0.3">
      <c r="A2" s="152"/>
      <c r="B2" s="153"/>
      <c r="C2" s="153"/>
      <c r="D2" s="46" t="s">
        <v>162</v>
      </c>
      <c r="E2" s="46" t="s">
        <v>163</v>
      </c>
      <c r="F2" s="46" t="s">
        <v>164</v>
      </c>
      <c r="G2" s="46" t="s">
        <v>165</v>
      </c>
      <c r="H2" s="46" t="s">
        <v>166</v>
      </c>
      <c r="I2" s="46" t="s">
        <v>167</v>
      </c>
      <c r="J2" s="46" t="s">
        <v>168</v>
      </c>
      <c r="K2" s="46" t="s">
        <v>169</v>
      </c>
      <c r="L2" s="46" t="s">
        <v>170</v>
      </c>
      <c r="M2" s="46" t="s">
        <v>171</v>
      </c>
      <c r="N2" s="46" t="s">
        <v>172</v>
      </c>
      <c r="O2" s="46" t="s">
        <v>173</v>
      </c>
      <c r="P2" s="5" t="s">
        <v>94</v>
      </c>
      <c r="Q2" s="5" t="s">
        <v>95</v>
      </c>
      <c r="R2" s="5" t="s">
        <v>96</v>
      </c>
      <c r="S2" s="5" t="s">
        <v>88</v>
      </c>
      <c r="T2" s="5" t="s">
        <v>89</v>
      </c>
      <c r="U2" s="158"/>
    </row>
    <row r="3" spans="1:21" ht="30" customHeight="1" x14ac:dyDescent="0.3">
      <c r="A3" s="149" t="s">
        <v>99</v>
      </c>
      <c r="B3" s="13" t="s">
        <v>76</v>
      </c>
      <c r="C3" s="14" t="s">
        <v>78</v>
      </c>
      <c r="D3" s="7"/>
      <c r="E3" s="15"/>
      <c r="F3" s="7"/>
      <c r="G3" s="7"/>
      <c r="H3" s="7"/>
      <c r="I3" s="15"/>
      <c r="J3" s="15"/>
      <c r="K3" s="7"/>
      <c r="L3" s="7"/>
      <c r="M3" s="15"/>
      <c r="N3" s="7"/>
      <c r="O3" s="7"/>
      <c r="P3" s="16">
        <v>45809</v>
      </c>
      <c r="Q3" s="16">
        <v>45976</v>
      </c>
      <c r="R3" s="15">
        <f>P3+51</f>
        <v>45860</v>
      </c>
      <c r="S3" s="43">
        <v>1</v>
      </c>
      <c r="T3" s="43">
        <v>1</v>
      </c>
      <c r="U3" s="150" t="s">
        <v>225</v>
      </c>
    </row>
    <row r="4" spans="1:21" ht="30" customHeight="1" x14ac:dyDescent="0.3">
      <c r="A4" s="149"/>
      <c r="B4" s="13" t="s">
        <v>77</v>
      </c>
      <c r="C4" s="14" t="s">
        <v>79</v>
      </c>
      <c r="D4" s="7"/>
      <c r="E4" s="15"/>
      <c r="F4" s="7"/>
      <c r="G4" s="7"/>
      <c r="H4" s="7"/>
      <c r="I4" s="15"/>
      <c r="J4" s="15"/>
      <c r="K4" s="7"/>
      <c r="L4" s="7"/>
      <c r="M4" s="15"/>
      <c r="N4" s="7"/>
      <c r="O4" s="7"/>
      <c r="P4" s="16">
        <v>45480</v>
      </c>
      <c r="Q4" s="16">
        <v>45976</v>
      </c>
      <c r="R4" s="16"/>
      <c r="S4" s="20"/>
      <c r="T4" s="84">
        <v>0.7</v>
      </c>
      <c r="U4" s="151"/>
    </row>
    <row r="5" spans="1:21" ht="30" customHeight="1" x14ac:dyDescent="0.3">
      <c r="A5" s="149" t="s">
        <v>100</v>
      </c>
      <c r="B5" s="13" t="s">
        <v>76</v>
      </c>
      <c r="C5" s="14" t="s">
        <v>78</v>
      </c>
      <c r="D5" s="7"/>
      <c r="E5" s="15"/>
      <c r="F5" s="7"/>
      <c r="G5" s="7"/>
      <c r="H5" s="7"/>
      <c r="I5" s="15"/>
      <c r="J5" s="15"/>
      <c r="K5" s="7"/>
      <c r="L5" s="7"/>
      <c r="M5" s="15"/>
      <c r="N5" s="7"/>
      <c r="O5" s="7"/>
      <c r="P5" s="16">
        <v>45870</v>
      </c>
      <c r="Q5" s="16">
        <v>45960</v>
      </c>
      <c r="R5" s="16"/>
      <c r="S5" s="20">
        <v>0.5</v>
      </c>
      <c r="T5" s="84">
        <v>0.6</v>
      </c>
      <c r="U5" s="150" t="s">
        <v>157</v>
      </c>
    </row>
    <row r="6" spans="1:21" ht="30" customHeight="1" x14ac:dyDescent="0.3">
      <c r="A6" s="149"/>
      <c r="B6" s="13" t="s">
        <v>77</v>
      </c>
      <c r="C6" s="14" t="s">
        <v>79</v>
      </c>
      <c r="D6" s="7"/>
      <c r="E6" s="15"/>
      <c r="F6" s="7"/>
      <c r="G6" s="7"/>
      <c r="H6" s="7"/>
      <c r="I6" s="15"/>
      <c r="J6" s="15"/>
      <c r="K6" s="7"/>
      <c r="L6" s="7"/>
      <c r="M6" s="21"/>
      <c r="N6" s="22"/>
      <c r="O6" s="7"/>
      <c r="P6" s="36"/>
      <c r="Q6" s="36"/>
      <c r="R6" s="36"/>
      <c r="S6" s="37"/>
      <c r="T6" s="84"/>
      <c r="U6" s="151"/>
    </row>
    <row r="7" spans="1:21" ht="30" customHeight="1" x14ac:dyDescent="0.3">
      <c r="A7" s="13" t="s">
        <v>107</v>
      </c>
      <c r="B7" s="13" t="s">
        <v>76</v>
      </c>
      <c r="C7" s="14" t="s">
        <v>78</v>
      </c>
      <c r="D7" s="7"/>
      <c r="E7" s="15"/>
      <c r="F7" s="7"/>
      <c r="G7" s="7"/>
      <c r="H7" s="7"/>
      <c r="I7" s="15"/>
      <c r="J7" s="15"/>
      <c r="K7" s="7"/>
      <c r="L7" s="7"/>
      <c r="M7" s="15"/>
      <c r="N7" s="7"/>
      <c r="O7" s="7"/>
      <c r="P7" s="16">
        <v>45825</v>
      </c>
      <c r="Q7" s="16">
        <v>45991</v>
      </c>
      <c r="R7" s="16"/>
      <c r="S7" s="20"/>
      <c r="T7" s="84">
        <v>0.43</v>
      </c>
      <c r="U7" s="38" t="s">
        <v>158</v>
      </c>
    </row>
    <row r="8" spans="1:21" ht="30" customHeight="1" x14ac:dyDescent="0.3">
      <c r="A8" s="149" t="s">
        <v>101</v>
      </c>
      <c r="B8" s="13" t="s">
        <v>76</v>
      </c>
      <c r="C8" s="14" t="s">
        <v>80</v>
      </c>
      <c r="D8" s="7"/>
      <c r="E8" s="15"/>
      <c r="F8" s="7"/>
      <c r="G8" s="7"/>
      <c r="H8" s="7"/>
      <c r="I8" s="15"/>
      <c r="J8" s="15"/>
      <c r="K8" s="7"/>
      <c r="L8" s="7"/>
      <c r="M8" s="15"/>
      <c r="N8" s="7"/>
      <c r="O8" s="7"/>
      <c r="P8" s="16">
        <v>45838</v>
      </c>
      <c r="Q8" s="16">
        <v>45960</v>
      </c>
      <c r="R8" s="16"/>
      <c r="S8" s="20"/>
      <c r="T8" s="84">
        <v>0.85</v>
      </c>
      <c r="U8" s="150" t="s">
        <v>160</v>
      </c>
    </row>
    <row r="9" spans="1:21" ht="30" customHeight="1" x14ac:dyDescent="0.3">
      <c r="A9" s="149"/>
      <c r="B9" s="13" t="s">
        <v>77</v>
      </c>
      <c r="C9" s="14" t="s">
        <v>81</v>
      </c>
      <c r="D9" s="7"/>
      <c r="E9" s="15"/>
      <c r="F9" s="7"/>
      <c r="G9" s="7"/>
      <c r="H9" s="7"/>
      <c r="I9" s="15"/>
      <c r="J9" s="15"/>
      <c r="K9" s="7"/>
      <c r="L9" s="7"/>
      <c r="M9" s="15"/>
      <c r="N9" s="7"/>
      <c r="O9" s="7"/>
      <c r="P9" s="16">
        <v>45916</v>
      </c>
      <c r="Q9" s="16">
        <v>45991</v>
      </c>
      <c r="R9" s="8"/>
      <c r="S9" s="20"/>
      <c r="T9" s="84"/>
      <c r="U9" s="151"/>
    </row>
    <row r="10" spans="1:21" ht="30" customHeight="1" x14ac:dyDescent="0.3">
      <c r="A10" s="149" t="s">
        <v>151</v>
      </c>
      <c r="B10" s="13" t="s">
        <v>76</v>
      </c>
      <c r="C10" s="14" t="s">
        <v>78</v>
      </c>
      <c r="D10" s="7"/>
      <c r="E10" s="15"/>
      <c r="F10" s="7"/>
      <c r="G10" s="15"/>
      <c r="H10" s="15"/>
      <c r="I10" s="15"/>
      <c r="J10" s="15"/>
      <c r="K10" s="7"/>
      <c r="L10" s="7"/>
      <c r="M10" s="15"/>
      <c r="N10" s="7"/>
      <c r="O10" s="7"/>
      <c r="P10" s="16">
        <v>45876</v>
      </c>
      <c r="Q10" s="16">
        <v>45991</v>
      </c>
      <c r="R10" s="16"/>
      <c r="S10" s="20"/>
      <c r="T10" s="84">
        <v>0.28999999999999998</v>
      </c>
      <c r="U10" s="150" t="s">
        <v>159</v>
      </c>
    </row>
    <row r="11" spans="1:21" ht="30" customHeight="1" x14ac:dyDescent="0.3">
      <c r="A11" s="149"/>
      <c r="B11" s="13" t="s">
        <v>77</v>
      </c>
      <c r="C11" s="14" t="s">
        <v>79</v>
      </c>
      <c r="D11" s="7"/>
      <c r="E11" s="15"/>
      <c r="F11" s="15"/>
      <c r="G11" s="15"/>
      <c r="H11" s="15"/>
      <c r="I11" s="15"/>
      <c r="J11" s="15"/>
      <c r="K11" s="7"/>
      <c r="L11" s="7"/>
      <c r="M11" s="15"/>
      <c r="N11" s="7"/>
      <c r="O11" s="7"/>
      <c r="P11" s="16">
        <v>45915</v>
      </c>
      <c r="Q11" s="16">
        <v>46021</v>
      </c>
      <c r="R11" s="8"/>
      <c r="S11" s="20"/>
      <c r="T11" s="84"/>
      <c r="U11" s="150"/>
    </row>
    <row r="12" spans="1:21" ht="30" customHeight="1" x14ac:dyDescent="0.3">
      <c r="A12" s="13" t="s">
        <v>223</v>
      </c>
      <c r="B12" s="13" t="s">
        <v>76</v>
      </c>
      <c r="C12" s="14" t="s">
        <v>80</v>
      </c>
      <c r="D12" s="7"/>
      <c r="E12" s="44"/>
      <c r="F12" s="45"/>
      <c r="G12" s="15"/>
      <c r="H12" s="15"/>
      <c r="I12" s="15"/>
      <c r="J12" s="15"/>
      <c r="K12" s="15"/>
      <c r="L12" s="15"/>
      <c r="M12" s="15"/>
      <c r="N12" s="15"/>
      <c r="O12" s="15"/>
      <c r="P12" s="16">
        <v>45901</v>
      </c>
      <c r="Q12" s="16">
        <f>P12+(4.5*30)</f>
        <v>46036</v>
      </c>
      <c r="R12" s="8"/>
      <c r="S12" s="20"/>
      <c r="T12" s="84">
        <v>0.1</v>
      </c>
      <c r="U12" s="18" t="s">
        <v>143</v>
      </c>
    </row>
    <row r="13" spans="1:21" ht="30" customHeight="1" x14ac:dyDescent="0.3">
      <c r="A13" s="159" t="s">
        <v>102</v>
      </c>
      <c r="B13" s="13" t="s">
        <v>76</v>
      </c>
      <c r="C13" s="14" t="s">
        <v>78</v>
      </c>
      <c r="D13" s="7"/>
      <c r="E13" s="44"/>
      <c r="F13" s="45"/>
      <c r="G13" s="15"/>
      <c r="H13" s="15"/>
      <c r="I13" s="15"/>
      <c r="J13" s="15"/>
      <c r="K13" s="15"/>
      <c r="L13" s="15"/>
      <c r="M13" s="15"/>
      <c r="N13" s="15"/>
      <c r="O13" s="15"/>
      <c r="P13" s="16">
        <v>45927</v>
      </c>
      <c r="Q13" s="16">
        <v>45991</v>
      </c>
      <c r="R13" s="8"/>
      <c r="S13" s="20"/>
      <c r="T13" s="16"/>
      <c r="U13" s="150" t="s">
        <v>189</v>
      </c>
    </row>
    <row r="14" spans="1:21" ht="30" customHeight="1" x14ac:dyDescent="0.3">
      <c r="A14" s="160"/>
      <c r="B14" s="13" t="s">
        <v>77</v>
      </c>
      <c r="C14" s="14" t="s">
        <v>226</v>
      </c>
      <c r="D14" s="7"/>
      <c r="E14" s="44"/>
      <c r="F14" s="45"/>
      <c r="G14" s="15"/>
      <c r="H14" s="15"/>
      <c r="I14" s="15"/>
      <c r="J14" s="15"/>
      <c r="K14" s="15"/>
      <c r="L14" s="15"/>
      <c r="M14" s="15"/>
      <c r="N14" s="40"/>
      <c r="O14" s="8"/>
      <c r="P14" s="16">
        <v>45927</v>
      </c>
      <c r="Q14" s="16">
        <v>45991</v>
      </c>
      <c r="R14" s="8"/>
      <c r="S14" s="20"/>
      <c r="T14" s="20"/>
      <c r="U14" s="150"/>
    </row>
    <row r="15" spans="1:21" ht="30" customHeight="1" x14ac:dyDescent="0.3">
      <c r="A15" s="149" t="s">
        <v>103</v>
      </c>
      <c r="B15" s="13" t="s">
        <v>76</v>
      </c>
      <c r="C15" s="14" t="s">
        <v>80</v>
      </c>
      <c r="D15" s="7"/>
      <c r="E15" s="44"/>
      <c r="F15" s="45"/>
      <c r="G15" s="15"/>
      <c r="H15" s="15"/>
      <c r="I15" s="15"/>
      <c r="J15" s="15"/>
      <c r="K15" s="15"/>
      <c r="L15" s="15"/>
      <c r="M15" s="15"/>
      <c r="N15" s="15"/>
      <c r="O15" s="15"/>
      <c r="P15" s="16">
        <v>45927</v>
      </c>
      <c r="Q15" s="16">
        <v>45991</v>
      </c>
      <c r="R15" s="8"/>
      <c r="S15" s="20"/>
      <c r="T15" s="20"/>
      <c r="U15" s="150" t="s">
        <v>189</v>
      </c>
    </row>
    <row r="16" spans="1:21" ht="30" customHeight="1" x14ac:dyDescent="0.3">
      <c r="A16" s="149"/>
      <c r="B16" s="13" t="s">
        <v>77</v>
      </c>
      <c r="C16" s="14" t="s">
        <v>81</v>
      </c>
      <c r="D16" s="7"/>
      <c r="E16" s="16"/>
      <c r="F16" s="16"/>
      <c r="G16" s="15"/>
      <c r="H16" s="15"/>
      <c r="I16" s="15"/>
      <c r="J16" s="15"/>
      <c r="K16" s="15"/>
      <c r="L16" s="15"/>
      <c r="M16" s="15"/>
      <c r="N16" s="40"/>
      <c r="O16" s="8"/>
      <c r="P16" s="16">
        <v>45927</v>
      </c>
      <c r="Q16" s="16">
        <v>45991</v>
      </c>
      <c r="R16" s="8"/>
      <c r="S16" s="20"/>
      <c r="T16" s="20"/>
      <c r="U16" s="150"/>
    </row>
    <row r="17" spans="1:21" ht="30" customHeight="1" x14ac:dyDescent="0.3">
      <c r="A17" s="149" t="s">
        <v>104</v>
      </c>
      <c r="B17" s="13" t="s">
        <v>76</v>
      </c>
      <c r="C17" s="14"/>
      <c r="D17" s="40"/>
      <c r="E17" s="16"/>
      <c r="F17" s="8"/>
      <c r="G17" s="8"/>
      <c r="H17" s="8"/>
      <c r="I17" s="40"/>
      <c r="J17" s="16"/>
      <c r="K17" s="8"/>
      <c r="L17" s="8"/>
      <c r="M17" s="16"/>
      <c r="N17" s="8"/>
      <c r="O17" s="8"/>
      <c r="P17" s="8"/>
      <c r="Q17" s="8"/>
      <c r="R17" s="8"/>
      <c r="S17" s="20"/>
      <c r="T17" s="20"/>
      <c r="U17" s="150" t="s">
        <v>142</v>
      </c>
    </row>
    <row r="18" spans="1:21" ht="30" customHeight="1" x14ac:dyDescent="0.3">
      <c r="A18" s="149"/>
      <c r="B18" s="13" t="s">
        <v>77</v>
      </c>
      <c r="C18" s="14"/>
      <c r="D18" s="40"/>
      <c r="E18" s="16"/>
      <c r="F18" s="8"/>
      <c r="G18" s="8"/>
      <c r="H18" s="8"/>
      <c r="I18" s="40"/>
      <c r="J18" s="16"/>
      <c r="K18" s="8"/>
      <c r="L18" s="8"/>
      <c r="M18" s="16"/>
      <c r="N18" s="8"/>
      <c r="O18" s="8"/>
      <c r="P18" s="8"/>
      <c r="Q18" s="8"/>
      <c r="R18" s="8"/>
      <c r="S18" s="20"/>
      <c r="T18" s="20"/>
      <c r="U18" s="150"/>
    </row>
    <row r="19" spans="1:21" ht="30" customHeight="1" x14ac:dyDescent="0.3">
      <c r="A19" s="149" t="s">
        <v>105</v>
      </c>
      <c r="B19" s="13" t="s">
        <v>76</v>
      </c>
      <c r="C19" s="14"/>
      <c r="D19" s="40"/>
      <c r="E19" s="16"/>
      <c r="F19" s="8"/>
      <c r="G19" s="8"/>
      <c r="H19" s="8"/>
      <c r="I19" s="8"/>
      <c r="J19" s="16"/>
      <c r="K19" s="8"/>
      <c r="L19" s="8"/>
      <c r="M19" s="16"/>
      <c r="N19" s="8"/>
      <c r="O19" s="8"/>
      <c r="P19" s="8"/>
      <c r="Q19" s="8"/>
      <c r="R19" s="8"/>
      <c r="S19" s="20"/>
      <c r="T19" s="20"/>
      <c r="U19" s="150" t="s">
        <v>142</v>
      </c>
    </row>
    <row r="20" spans="1:21" ht="30" customHeight="1" x14ac:dyDescent="0.3">
      <c r="A20" s="149"/>
      <c r="B20" s="13" t="s">
        <v>77</v>
      </c>
      <c r="C20" s="14"/>
      <c r="D20" s="40"/>
      <c r="E20" s="16"/>
      <c r="F20" s="8"/>
      <c r="G20" s="8"/>
      <c r="H20" s="8"/>
      <c r="I20" s="8"/>
      <c r="J20" s="16"/>
      <c r="K20" s="8"/>
      <c r="L20" s="8"/>
      <c r="M20" s="16"/>
      <c r="N20" s="8"/>
      <c r="O20" s="8"/>
      <c r="P20" s="8"/>
      <c r="Q20" s="8"/>
      <c r="R20" s="8"/>
      <c r="S20" s="20"/>
      <c r="T20" s="20"/>
      <c r="U20" s="150"/>
    </row>
    <row r="21" spans="1:21" ht="30" customHeight="1" x14ac:dyDescent="0.3">
      <c r="A21" s="159" t="s">
        <v>92</v>
      </c>
      <c r="B21" s="13" t="s">
        <v>76</v>
      </c>
      <c r="C21" s="14"/>
      <c r="D21" s="40"/>
      <c r="E21" s="45"/>
      <c r="F21" s="45"/>
      <c r="G21" s="8"/>
      <c r="H21" s="8"/>
      <c r="I21" s="40"/>
      <c r="J21" s="16"/>
      <c r="K21" s="8"/>
      <c r="L21" s="8"/>
      <c r="M21" s="16"/>
      <c r="N21" s="8"/>
      <c r="O21" s="8"/>
      <c r="P21" s="161">
        <v>45931</v>
      </c>
      <c r="Q21" s="161">
        <v>46111</v>
      </c>
      <c r="R21" s="8"/>
      <c r="S21" s="20"/>
      <c r="T21" s="163"/>
      <c r="U21" s="165" t="s">
        <v>190</v>
      </c>
    </row>
    <row r="22" spans="1:21" ht="30" customHeight="1" x14ac:dyDescent="0.3">
      <c r="A22" s="160"/>
      <c r="B22" s="13" t="s">
        <v>187</v>
      </c>
      <c r="C22" s="14" t="s">
        <v>188</v>
      </c>
      <c r="D22" s="40"/>
      <c r="E22" s="45"/>
      <c r="F22" s="45"/>
      <c r="G22" s="8"/>
      <c r="H22" s="8"/>
      <c r="I22" s="15"/>
      <c r="J22" s="15"/>
      <c r="K22" s="15"/>
      <c r="L22" s="15"/>
      <c r="M22" s="40"/>
      <c r="N22" s="8"/>
      <c r="O22" s="8"/>
      <c r="P22" s="162"/>
      <c r="Q22" s="162"/>
      <c r="R22" s="8"/>
      <c r="S22" s="20"/>
      <c r="T22" s="164"/>
      <c r="U22" s="166"/>
    </row>
    <row r="23" spans="1:21" ht="30" customHeight="1" x14ac:dyDescent="0.3">
      <c r="A23" s="159" t="s">
        <v>98</v>
      </c>
      <c r="B23" s="13" t="s">
        <v>76</v>
      </c>
      <c r="C23" s="14"/>
      <c r="D23" s="40"/>
      <c r="E23" s="45"/>
      <c r="F23" s="45"/>
      <c r="G23" s="8"/>
      <c r="H23" s="8"/>
      <c r="I23" s="40"/>
      <c r="J23" s="16"/>
      <c r="K23" s="8"/>
      <c r="L23" s="8"/>
      <c r="M23" s="16"/>
      <c r="N23" s="8"/>
      <c r="O23" s="8"/>
      <c r="P23" s="161">
        <v>45962</v>
      </c>
      <c r="Q23" s="161">
        <v>46111</v>
      </c>
      <c r="R23" s="8"/>
      <c r="S23" s="20"/>
      <c r="T23" s="163"/>
      <c r="U23" s="165" t="s">
        <v>191</v>
      </c>
    </row>
    <row r="24" spans="1:21" ht="30" customHeight="1" x14ac:dyDescent="0.3">
      <c r="A24" s="160"/>
      <c r="B24" s="13" t="s">
        <v>187</v>
      </c>
      <c r="C24" s="14" t="s">
        <v>188</v>
      </c>
      <c r="D24" s="40"/>
      <c r="E24" s="45"/>
      <c r="F24" s="45"/>
      <c r="G24" s="8"/>
      <c r="H24" s="8"/>
      <c r="I24" s="15"/>
      <c r="J24" s="15"/>
      <c r="K24" s="15"/>
      <c r="L24" s="15"/>
      <c r="M24" s="40"/>
      <c r="N24" s="8"/>
      <c r="O24" s="8"/>
      <c r="P24" s="162"/>
      <c r="Q24" s="162"/>
      <c r="R24" s="8"/>
      <c r="S24" s="20"/>
      <c r="T24" s="164"/>
      <c r="U24" s="166"/>
    </row>
    <row r="25" spans="1:21" ht="30" customHeight="1" x14ac:dyDescent="0.3">
      <c r="A25" s="159" t="s">
        <v>141</v>
      </c>
      <c r="B25" s="13" t="s">
        <v>76</v>
      </c>
      <c r="C25" s="14"/>
      <c r="D25" s="40"/>
      <c r="E25" s="45"/>
      <c r="F25" s="45"/>
      <c r="G25" s="8"/>
      <c r="H25" s="8"/>
      <c r="I25" s="40"/>
      <c r="J25" s="16"/>
      <c r="K25" s="8"/>
      <c r="L25" s="8"/>
      <c r="M25" s="16"/>
      <c r="N25" s="8"/>
      <c r="O25" s="8"/>
      <c r="P25" s="161">
        <v>45962</v>
      </c>
      <c r="Q25" s="161">
        <v>46111</v>
      </c>
      <c r="R25" s="8"/>
      <c r="S25" s="20"/>
      <c r="T25" s="163"/>
      <c r="U25" s="165" t="s">
        <v>191</v>
      </c>
    </row>
    <row r="26" spans="1:21" ht="30" customHeight="1" x14ac:dyDescent="0.3">
      <c r="A26" s="160"/>
      <c r="B26" s="13" t="s">
        <v>187</v>
      </c>
      <c r="C26" s="14" t="s">
        <v>188</v>
      </c>
      <c r="D26" s="40"/>
      <c r="E26" s="45"/>
      <c r="F26" s="45"/>
      <c r="G26" s="8"/>
      <c r="H26" s="8"/>
      <c r="I26" s="15"/>
      <c r="J26" s="15"/>
      <c r="K26" s="15"/>
      <c r="L26" s="15"/>
      <c r="M26" s="40"/>
      <c r="N26" s="8"/>
      <c r="O26" s="8"/>
      <c r="P26" s="162"/>
      <c r="Q26" s="162"/>
      <c r="R26" s="8"/>
      <c r="S26" s="20"/>
      <c r="T26" s="164"/>
      <c r="U26" s="166"/>
    </row>
    <row r="27" spans="1:21" ht="30" customHeight="1" x14ac:dyDescent="0.3">
      <c r="A27" s="167" t="s">
        <v>144</v>
      </c>
      <c r="B27" s="167"/>
      <c r="C27" s="167"/>
      <c r="D27" s="167"/>
      <c r="E27" s="167"/>
      <c r="F27" s="167"/>
      <c r="G27" s="167"/>
      <c r="H27" s="167"/>
      <c r="I27" s="167"/>
      <c r="J27" s="167"/>
      <c r="K27" s="167"/>
      <c r="L27" s="167"/>
      <c r="M27" s="167"/>
      <c r="N27" s="167"/>
      <c r="O27" s="167"/>
      <c r="P27" s="167"/>
      <c r="Q27" s="167"/>
      <c r="R27" s="167"/>
      <c r="S27" s="167"/>
      <c r="T27" s="167"/>
      <c r="U27" s="167"/>
    </row>
    <row r="28" spans="1:21" ht="30" customHeight="1" x14ac:dyDescent="0.3">
      <c r="A28" s="13" t="s">
        <v>180</v>
      </c>
      <c r="B28" s="13" t="s">
        <v>193</v>
      </c>
      <c r="C28" s="13" t="s">
        <v>192</v>
      </c>
      <c r="D28" s="7"/>
      <c r="E28" s="45"/>
      <c r="F28" s="45"/>
      <c r="G28" s="7"/>
      <c r="H28" s="7"/>
      <c r="I28" s="7"/>
      <c r="J28" s="7"/>
      <c r="K28" s="7"/>
      <c r="L28" s="7"/>
      <c r="M28" s="7"/>
      <c r="N28" s="7"/>
      <c r="O28" s="7"/>
      <c r="P28" s="16">
        <v>45901</v>
      </c>
      <c r="Q28" s="16">
        <v>46112</v>
      </c>
      <c r="R28" s="8"/>
      <c r="S28" s="8"/>
      <c r="T28" s="8"/>
      <c r="U28" s="18" t="s">
        <v>194</v>
      </c>
    </row>
    <row r="29" spans="1:21" ht="30" customHeight="1" x14ac:dyDescent="0.3">
      <c r="A29" s="13" t="s">
        <v>150</v>
      </c>
      <c r="B29" s="13" t="s">
        <v>135</v>
      </c>
      <c r="C29" s="13" t="s">
        <v>153</v>
      </c>
      <c r="D29" s="7"/>
      <c r="E29" s="45"/>
      <c r="F29" s="45"/>
      <c r="G29" s="7"/>
      <c r="H29" s="7"/>
      <c r="I29" s="7"/>
      <c r="J29" s="7"/>
      <c r="K29" s="7"/>
      <c r="L29" s="7"/>
      <c r="M29" s="7"/>
      <c r="N29" s="7"/>
      <c r="O29" s="7"/>
      <c r="P29" s="16">
        <v>45823</v>
      </c>
      <c r="Q29" s="16">
        <v>45930</v>
      </c>
      <c r="R29" s="8"/>
      <c r="S29" s="8"/>
      <c r="T29" s="8"/>
      <c r="U29" s="18" t="s">
        <v>152</v>
      </c>
    </row>
    <row r="30" spans="1:21" ht="30" customHeight="1" x14ac:dyDescent="0.3">
      <c r="A30" s="13" t="s">
        <v>145</v>
      </c>
      <c r="B30" s="13" t="s">
        <v>76</v>
      </c>
      <c r="C30" s="13" t="s">
        <v>78</v>
      </c>
      <c r="D30" s="7"/>
      <c r="E30" s="45"/>
      <c r="F30" s="45"/>
      <c r="G30" s="7"/>
      <c r="H30" s="7"/>
      <c r="I30" s="7"/>
      <c r="J30" s="7"/>
      <c r="K30" s="7"/>
      <c r="L30" s="7"/>
      <c r="M30" s="7"/>
      <c r="N30" s="7"/>
      <c r="O30" s="7"/>
      <c r="P30" s="16">
        <v>45910</v>
      </c>
      <c r="Q30" s="16">
        <v>45930</v>
      </c>
      <c r="R30" s="8"/>
      <c r="S30" s="8"/>
      <c r="T30" s="42">
        <v>0.05</v>
      </c>
      <c r="U30" s="38" t="s">
        <v>154</v>
      </c>
    </row>
    <row r="31" spans="1:21" ht="30" customHeight="1" x14ac:dyDescent="0.3">
      <c r="A31" s="13" t="s">
        <v>146</v>
      </c>
      <c r="B31" s="13" t="s">
        <v>76</v>
      </c>
      <c r="C31" s="13"/>
      <c r="D31" s="7"/>
      <c r="E31" s="45"/>
      <c r="F31" s="45"/>
      <c r="G31" s="8"/>
      <c r="H31" s="8"/>
      <c r="I31" s="7"/>
      <c r="J31" s="40"/>
      <c r="K31" s="8"/>
      <c r="L31" s="8"/>
      <c r="M31" s="8"/>
      <c r="N31" s="8"/>
      <c r="O31" s="8"/>
      <c r="P31" s="8"/>
      <c r="Q31" s="8"/>
      <c r="R31" s="8"/>
      <c r="S31" s="8"/>
      <c r="T31" s="8"/>
      <c r="U31" s="38" t="s">
        <v>155</v>
      </c>
    </row>
    <row r="32" spans="1:21" ht="30" customHeight="1" x14ac:dyDescent="0.3">
      <c r="A32" s="13" t="s">
        <v>147</v>
      </c>
      <c r="B32" s="13" t="s">
        <v>76</v>
      </c>
      <c r="C32" s="13"/>
      <c r="D32" s="7"/>
      <c r="E32" s="45"/>
      <c r="F32" s="45"/>
      <c r="G32" s="8"/>
      <c r="H32" s="8"/>
      <c r="I32" s="7"/>
      <c r="J32" s="40"/>
      <c r="K32" s="8"/>
      <c r="L32" s="8"/>
      <c r="M32" s="8"/>
      <c r="N32" s="8"/>
      <c r="O32" s="8"/>
      <c r="P32" s="8"/>
      <c r="Q32" s="8"/>
      <c r="R32" s="8"/>
      <c r="S32" s="8"/>
      <c r="T32" s="8"/>
      <c r="U32" s="38" t="s">
        <v>155</v>
      </c>
    </row>
    <row r="33" spans="1:21" ht="30" customHeight="1" x14ac:dyDescent="0.3">
      <c r="A33" s="13" t="s">
        <v>148</v>
      </c>
      <c r="B33" s="13" t="s">
        <v>76</v>
      </c>
      <c r="C33" s="13"/>
      <c r="D33" s="28"/>
      <c r="E33" s="45"/>
      <c r="F33" s="45"/>
      <c r="G33" s="8"/>
      <c r="H33" s="8"/>
      <c r="I33" s="40"/>
      <c r="J33" s="8"/>
      <c r="K33" s="8"/>
      <c r="L33" s="8"/>
      <c r="M33" s="8"/>
      <c r="N33" s="8"/>
      <c r="O33" s="8"/>
      <c r="P33" s="8"/>
      <c r="Q33" s="8"/>
      <c r="R33" s="8"/>
      <c r="S33" s="8"/>
      <c r="T33" s="8"/>
      <c r="U33" s="38" t="s">
        <v>140</v>
      </c>
    </row>
    <row r="34" spans="1:21" ht="30" customHeight="1" x14ac:dyDescent="0.3">
      <c r="A34" s="13" t="s">
        <v>149</v>
      </c>
      <c r="B34" s="13" t="s">
        <v>76</v>
      </c>
      <c r="C34" s="13"/>
      <c r="D34" s="28"/>
      <c r="E34" s="45"/>
      <c r="F34" s="45"/>
      <c r="G34" s="8"/>
      <c r="H34" s="8"/>
      <c r="I34" s="40"/>
      <c r="J34" s="8"/>
      <c r="K34" s="8"/>
      <c r="L34" s="8"/>
      <c r="M34" s="8"/>
      <c r="N34" s="8"/>
      <c r="O34" s="8"/>
      <c r="P34" s="8"/>
      <c r="Q34" s="8"/>
      <c r="R34" s="8"/>
      <c r="S34" s="8"/>
      <c r="T34" s="8"/>
      <c r="U34" s="38" t="s">
        <v>176</v>
      </c>
    </row>
    <row r="35" spans="1:21" ht="30" customHeight="1" x14ac:dyDescent="0.3">
      <c r="A35" s="13" t="s">
        <v>128</v>
      </c>
      <c r="B35" s="13" t="s">
        <v>135</v>
      </c>
      <c r="C35" s="13"/>
      <c r="D35" s="28"/>
      <c r="E35" s="45"/>
      <c r="F35" s="45"/>
      <c r="G35" s="8"/>
      <c r="H35" s="8"/>
      <c r="I35" s="7"/>
      <c r="J35" s="7"/>
      <c r="K35" s="40"/>
      <c r="L35" s="8"/>
      <c r="M35" s="8"/>
      <c r="N35" s="8"/>
      <c r="O35" s="8"/>
      <c r="P35" s="8"/>
      <c r="Q35" s="8"/>
      <c r="R35" s="8"/>
      <c r="S35" s="8"/>
      <c r="T35" s="8"/>
      <c r="U35" s="18" t="s">
        <v>175</v>
      </c>
    </row>
    <row r="36" spans="1:21" ht="30" customHeight="1" x14ac:dyDescent="0.3">
      <c r="A36" s="13" t="s">
        <v>129</v>
      </c>
      <c r="B36" s="13" t="s">
        <v>135</v>
      </c>
      <c r="C36" s="13"/>
      <c r="D36" s="28"/>
      <c r="E36" s="45"/>
      <c r="F36" s="45"/>
      <c r="G36" s="8"/>
      <c r="H36" s="8"/>
      <c r="I36" s="40"/>
      <c r="J36" s="8"/>
      <c r="K36" s="8"/>
      <c r="L36" s="8"/>
      <c r="M36" s="8"/>
      <c r="N36" s="8"/>
      <c r="O36" s="8"/>
      <c r="P36" s="8"/>
      <c r="Q36" s="8"/>
      <c r="R36" s="8"/>
      <c r="S36" s="8"/>
      <c r="T36" s="8"/>
      <c r="U36" s="38" t="s">
        <v>140</v>
      </c>
    </row>
    <row r="37" spans="1:21" ht="30" customHeight="1" x14ac:dyDescent="0.3">
      <c r="A37" s="13" t="s">
        <v>132</v>
      </c>
      <c r="B37" s="13" t="s">
        <v>135</v>
      </c>
      <c r="C37" s="13" t="s">
        <v>156</v>
      </c>
      <c r="D37" s="28"/>
      <c r="E37" s="45"/>
      <c r="F37" s="45"/>
      <c r="G37" s="8"/>
      <c r="H37" s="8"/>
      <c r="I37" s="7"/>
      <c r="J37" s="7"/>
      <c r="K37" s="7"/>
      <c r="L37" s="7"/>
      <c r="M37" s="7"/>
      <c r="N37" s="7"/>
      <c r="O37" s="8"/>
      <c r="P37" s="8"/>
      <c r="Q37" s="8"/>
      <c r="R37" s="8"/>
      <c r="S37" s="8"/>
      <c r="T37" s="8"/>
      <c r="U37" s="38" t="s">
        <v>174</v>
      </c>
    </row>
    <row r="38" spans="1:21" ht="30" customHeight="1" x14ac:dyDescent="0.3">
      <c r="A38" s="13" t="s">
        <v>130</v>
      </c>
      <c r="B38" s="13" t="s">
        <v>135</v>
      </c>
      <c r="C38" s="13"/>
      <c r="D38" s="28"/>
      <c r="E38" s="45"/>
      <c r="F38" s="45"/>
      <c r="G38" s="8"/>
      <c r="H38" s="8"/>
      <c r="I38" s="7"/>
      <c r="J38" s="7"/>
      <c r="K38" s="8"/>
      <c r="L38" s="8"/>
      <c r="M38" s="8"/>
      <c r="N38" s="8"/>
      <c r="O38" s="8"/>
      <c r="P38" s="8"/>
      <c r="Q38" s="8"/>
      <c r="R38" s="8"/>
      <c r="S38" s="8"/>
      <c r="T38" s="8"/>
      <c r="U38" s="38" t="s">
        <v>177</v>
      </c>
    </row>
    <row r="39" spans="1:21" ht="30" customHeight="1" x14ac:dyDescent="0.3">
      <c r="A39" s="13" t="s">
        <v>131</v>
      </c>
      <c r="B39" s="13" t="s">
        <v>135</v>
      </c>
      <c r="C39" s="13"/>
      <c r="D39" s="28"/>
      <c r="E39" s="45"/>
      <c r="F39" s="45"/>
      <c r="G39" s="8"/>
      <c r="H39" s="8"/>
      <c r="I39" s="40"/>
      <c r="J39" s="8"/>
      <c r="K39" s="8"/>
      <c r="L39" s="8"/>
      <c r="M39" s="8"/>
      <c r="N39" s="8"/>
      <c r="O39" s="8"/>
      <c r="P39" s="8"/>
      <c r="Q39" s="8"/>
      <c r="R39" s="8"/>
      <c r="S39" s="8"/>
      <c r="T39" s="8"/>
      <c r="U39" s="38" t="s">
        <v>140</v>
      </c>
    </row>
    <row r="40" spans="1:21" ht="30" customHeight="1" x14ac:dyDescent="0.3">
      <c r="A40" s="13" t="s">
        <v>133</v>
      </c>
      <c r="B40" s="13" t="s">
        <v>135</v>
      </c>
      <c r="C40" s="13"/>
      <c r="D40" s="28"/>
      <c r="E40" s="45"/>
      <c r="F40" s="45"/>
      <c r="G40" s="8"/>
      <c r="H40" s="8"/>
      <c r="I40" s="28"/>
      <c r="J40" s="8"/>
      <c r="K40" s="8"/>
      <c r="L40" s="8"/>
      <c r="M40" s="8"/>
      <c r="N40" s="8"/>
      <c r="O40" s="8"/>
      <c r="P40" s="8"/>
      <c r="Q40" s="8"/>
      <c r="R40" s="8"/>
      <c r="S40" s="8"/>
      <c r="T40" s="8"/>
      <c r="U40" s="38" t="s">
        <v>140</v>
      </c>
    </row>
    <row r="41" spans="1:21" ht="30" customHeight="1" x14ac:dyDescent="0.3">
      <c r="A41" s="13" t="s">
        <v>134</v>
      </c>
      <c r="B41" s="13" t="s">
        <v>135</v>
      </c>
      <c r="C41" s="13"/>
      <c r="D41" s="28"/>
      <c r="E41" s="45"/>
      <c r="F41" s="45"/>
      <c r="G41" s="8"/>
      <c r="H41" s="8"/>
      <c r="I41" s="28"/>
      <c r="J41" s="8"/>
      <c r="K41" s="8"/>
      <c r="L41" s="8"/>
      <c r="M41" s="8"/>
      <c r="N41" s="8"/>
      <c r="O41" s="8"/>
      <c r="P41" s="8"/>
      <c r="Q41" s="8"/>
      <c r="R41" s="8"/>
      <c r="S41" s="8"/>
      <c r="T41" s="8"/>
      <c r="U41" s="38" t="s">
        <v>140</v>
      </c>
    </row>
    <row r="42" spans="1:21" x14ac:dyDescent="0.3">
      <c r="D42" s="41"/>
      <c r="E42" s="41"/>
      <c r="F42" s="41"/>
      <c r="G42" s="41"/>
      <c r="H42" s="41"/>
    </row>
    <row r="43" spans="1:21" x14ac:dyDescent="0.3">
      <c r="D43" s="41"/>
      <c r="E43" s="41"/>
      <c r="F43" s="41"/>
      <c r="G43" s="41"/>
      <c r="H43" s="41"/>
    </row>
    <row r="44" spans="1:21" x14ac:dyDescent="0.3">
      <c r="D44" s="41"/>
      <c r="E44" s="41"/>
      <c r="F44" s="41"/>
      <c r="G44" s="41"/>
      <c r="H44" s="41"/>
    </row>
    <row r="45" spans="1:21" x14ac:dyDescent="0.3">
      <c r="D45" s="41"/>
      <c r="E45" s="41"/>
      <c r="F45" s="41"/>
      <c r="G45" s="41"/>
      <c r="H45" s="41"/>
    </row>
    <row r="46" spans="1:21" x14ac:dyDescent="0.3">
      <c r="D46" s="41"/>
      <c r="E46" s="41"/>
      <c r="F46" s="41"/>
      <c r="G46" s="41"/>
      <c r="H46" s="41"/>
    </row>
    <row r="47" spans="1:21" x14ac:dyDescent="0.3">
      <c r="D47" s="41"/>
      <c r="E47" s="41"/>
      <c r="F47" s="41"/>
      <c r="G47" s="41"/>
      <c r="H47" s="41"/>
    </row>
    <row r="48" spans="1:21" x14ac:dyDescent="0.3">
      <c r="D48" s="41"/>
      <c r="E48" s="41"/>
      <c r="F48" s="41"/>
      <c r="G48" s="41"/>
      <c r="H48" s="41"/>
    </row>
    <row r="49" spans="4:8" x14ac:dyDescent="0.3">
      <c r="D49" s="41"/>
      <c r="E49" s="41"/>
      <c r="F49" s="41"/>
      <c r="G49" s="41"/>
      <c r="H49" s="41"/>
    </row>
  </sheetData>
  <mergeCells count="39">
    <mergeCell ref="A27:U27"/>
    <mergeCell ref="A25:A26"/>
    <mergeCell ref="P25:P26"/>
    <mergeCell ref="Q25:Q26"/>
    <mergeCell ref="T25:T26"/>
    <mergeCell ref="U25:U26"/>
    <mergeCell ref="A23:A24"/>
    <mergeCell ref="P23:P24"/>
    <mergeCell ref="Q23:Q24"/>
    <mergeCell ref="T23:T24"/>
    <mergeCell ref="U23:U24"/>
    <mergeCell ref="A21:A22"/>
    <mergeCell ref="P21:P22"/>
    <mergeCell ref="Q21:Q22"/>
    <mergeCell ref="T21:T22"/>
    <mergeCell ref="U21:U22"/>
    <mergeCell ref="A17:A18"/>
    <mergeCell ref="U17:U18"/>
    <mergeCell ref="A19:A20"/>
    <mergeCell ref="U19:U20"/>
    <mergeCell ref="A10:A11"/>
    <mergeCell ref="U10:U11"/>
    <mergeCell ref="A13:A14"/>
    <mergeCell ref="U13:U14"/>
    <mergeCell ref="A15:A16"/>
    <mergeCell ref="U15:U16"/>
    <mergeCell ref="A8:A9"/>
    <mergeCell ref="U8:U9"/>
    <mergeCell ref="A1:A2"/>
    <mergeCell ref="B1:B2"/>
    <mergeCell ref="C1:C2"/>
    <mergeCell ref="D1:H1"/>
    <mergeCell ref="I1:O1"/>
    <mergeCell ref="P1:T1"/>
    <mergeCell ref="U1:U2"/>
    <mergeCell ref="A3:A4"/>
    <mergeCell ref="U3:U4"/>
    <mergeCell ref="A5:A6"/>
    <mergeCell ref="U5:U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95D9-E8EA-4DEC-A315-FC7501B38FA7}">
  <dimension ref="A1:F23"/>
  <sheetViews>
    <sheetView workbookViewId="0">
      <selection activeCell="C34" sqref="C34"/>
    </sheetView>
  </sheetViews>
  <sheetFormatPr defaultRowHeight="14.4" x14ac:dyDescent="0.3"/>
  <cols>
    <col min="1" max="1" width="5.44140625" bestFit="1" customWidth="1"/>
    <col min="2" max="2" width="13.44140625" customWidth="1"/>
    <col min="3" max="3" width="43" style="34" bestFit="1" customWidth="1"/>
    <col min="4" max="4" width="12.88671875" bestFit="1" customWidth="1"/>
    <col min="5" max="5" width="11.77734375" bestFit="1" customWidth="1"/>
    <col min="6" max="6" width="40.77734375" customWidth="1"/>
  </cols>
  <sheetData>
    <row r="1" spans="1:6" x14ac:dyDescent="0.3">
      <c r="A1" s="2" t="s">
        <v>72</v>
      </c>
      <c r="B1" s="2" t="s">
        <v>109</v>
      </c>
      <c r="C1" s="32" t="s">
        <v>108</v>
      </c>
      <c r="D1" s="2" t="s">
        <v>110</v>
      </c>
      <c r="E1" s="2" t="s">
        <v>74</v>
      </c>
      <c r="F1" s="2" t="s">
        <v>46</v>
      </c>
    </row>
    <row r="2" spans="1:6" x14ac:dyDescent="0.3">
      <c r="A2" s="1">
        <v>1</v>
      </c>
      <c r="B2" s="1" t="s">
        <v>113</v>
      </c>
      <c r="C2" s="33" t="s">
        <v>112</v>
      </c>
      <c r="D2" s="3" t="s">
        <v>111</v>
      </c>
      <c r="E2" s="24">
        <v>45901</v>
      </c>
      <c r="F2" s="1"/>
    </row>
    <row r="3" spans="1:6" x14ac:dyDescent="0.3">
      <c r="A3" s="1">
        <f>A2+1</f>
        <v>2</v>
      </c>
      <c r="B3" s="1"/>
      <c r="C3" s="33" t="s">
        <v>114</v>
      </c>
      <c r="D3" s="168" t="s">
        <v>118</v>
      </c>
      <c r="E3" s="169"/>
      <c r="F3" s="1"/>
    </row>
    <row r="4" spans="1:6" x14ac:dyDescent="0.3">
      <c r="A4" s="1">
        <f t="shared" ref="A4:A23" si="0">A3+1</f>
        <v>3</v>
      </c>
      <c r="B4" s="1"/>
      <c r="C4" s="33" t="s">
        <v>115</v>
      </c>
      <c r="D4" s="3" t="s">
        <v>111</v>
      </c>
      <c r="E4" s="24">
        <v>45901</v>
      </c>
      <c r="F4" s="1"/>
    </row>
    <row r="5" spans="1:6" x14ac:dyDescent="0.3">
      <c r="A5" s="1">
        <f t="shared" si="0"/>
        <v>4</v>
      </c>
      <c r="B5" s="1" t="s">
        <v>119</v>
      </c>
      <c r="C5" s="33" t="s">
        <v>117</v>
      </c>
      <c r="D5" s="3" t="s">
        <v>116</v>
      </c>
      <c r="E5" s="24">
        <v>45901</v>
      </c>
      <c r="F5" s="1"/>
    </row>
    <row r="6" spans="1:6" x14ac:dyDescent="0.3">
      <c r="A6" s="1">
        <f t="shared" si="0"/>
        <v>5</v>
      </c>
      <c r="B6" s="1"/>
      <c r="C6" s="33" t="s">
        <v>120</v>
      </c>
      <c r="D6" s="3" t="s">
        <v>111</v>
      </c>
      <c r="E6" s="24">
        <v>45896</v>
      </c>
      <c r="F6" s="1"/>
    </row>
    <row r="7" spans="1:6" x14ac:dyDescent="0.3">
      <c r="A7" s="1">
        <f t="shared" si="0"/>
        <v>6</v>
      </c>
      <c r="B7" s="1"/>
      <c r="C7" s="33" t="s">
        <v>121</v>
      </c>
      <c r="D7" s="3" t="s">
        <v>111</v>
      </c>
      <c r="E7" s="24">
        <v>45889</v>
      </c>
      <c r="F7" s="1"/>
    </row>
    <row r="8" spans="1:6" ht="28.8" x14ac:dyDescent="0.3">
      <c r="A8" s="1">
        <f t="shared" si="0"/>
        <v>7</v>
      </c>
      <c r="B8" s="1"/>
      <c r="C8" s="33" t="s">
        <v>122</v>
      </c>
      <c r="D8" s="3" t="s">
        <v>111</v>
      </c>
      <c r="E8" s="35"/>
      <c r="F8" s="1"/>
    </row>
    <row r="9" spans="1:6" x14ac:dyDescent="0.3">
      <c r="A9" s="1">
        <f t="shared" si="0"/>
        <v>8</v>
      </c>
      <c r="B9" s="1"/>
      <c r="C9" s="33" t="s">
        <v>123</v>
      </c>
      <c r="D9" s="3" t="s">
        <v>111</v>
      </c>
      <c r="E9" s="24">
        <v>45894</v>
      </c>
      <c r="F9" s="1"/>
    </row>
    <row r="10" spans="1:6" x14ac:dyDescent="0.3">
      <c r="A10" s="1">
        <f t="shared" si="0"/>
        <v>9</v>
      </c>
      <c r="B10" s="1"/>
      <c r="C10" s="33"/>
      <c r="D10" s="3"/>
      <c r="E10" s="24">
        <v>45899</v>
      </c>
      <c r="F10" s="1"/>
    </row>
    <row r="11" spans="1:6" x14ac:dyDescent="0.3">
      <c r="A11" s="1">
        <f t="shared" si="0"/>
        <v>10</v>
      </c>
      <c r="B11" s="1"/>
      <c r="C11" s="33"/>
      <c r="D11" s="3"/>
      <c r="E11" s="24"/>
      <c r="F11" s="1"/>
    </row>
    <row r="12" spans="1:6" x14ac:dyDescent="0.3">
      <c r="A12" s="1">
        <f t="shared" si="0"/>
        <v>11</v>
      </c>
      <c r="B12" s="1"/>
      <c r="C12" s="33"/>
      <c r="D12" s="3"/>
      <c r="E12" s="24">
        <v>45889</v>
      </c>
      <c r="F12" s="1"/>
    </row>
    <row r="13" spans="1:6" x14ac:dyDescent="0.3">
      <c r="A13" s="1">
        <f t="shared" si="0"/>
        <v>12</v>
      </c>
      <c r="B13" s="1"/>
      <c r="C13" s="33"/>
      <c r="D13" s="3"/>
      <c r="E13" s="24"/>
      <c r="F13" s="1"/>
    </row>
    <row r="14" spans="1:6" x14ac:dyDescent="0.3">
      <c r="A14" s="1">
        <f t="shared" si="0"/>
        <v>13</v>
      </c>
      <c r="B14" s="1"/>
      <c r="C14" s="33"/>
      <c r="D14" s="3"/>
      <c r="E14" s="24"/>
      <c r="F14" s="1"/>
    </row>
    <row r="15" spans="1:6" x14ac:dyDescent="0.3">
      <c r="A15" s="1">
        <f t="shared" si="0"/>
        <v>14</v>
      </c>
      <c r="B15" s="1"/>
      <c r="C15" s="33"/>
      <c r="D15" s="3"/>
      <c r="E15" s="24"/>
      <c r="F15" s="1"/>
    </row>
    <row r="16" spans="1:6" x14ac:dyDescent="0.3">
      <c r="A16" s="1">
        <f t="shared" si="0"/>
        <v>15</v>
      </c>
      <c r="B16" s="1"/>
      <c r="C16" s="33"/>
      <c r="D16" s="3"/>
      <c r="E16" s="24">
        <v>45894</v>
      </c>
      <c r="F16" s="23"/>
    </row>
    <row r="17" spans="1:6" x14ac:dyDescent="0.3">
      <c r="A17" s="1">
        <f t="shared" si="0"/>
        <v>16</v>
      </c>
      <c r="B17" s="1"/>
      <c r="C17" s="33"/>
      <c r="D17" s="3"/>
      <c r="E17" s="24">
        <v>45894</v>
      </c>
      <c r="F17" s="23"/>
    </row>
    <row r="18" spans="1:6" x14ac:dyDescent="0.3">
      <c r="A18" s="1">
        <f t="shared" si="0"/>
        <v>17</v>
      </c>
      <c r="B18" s="1"/>
      <c r="C18" s="33"/>
      <c r="D18" s="3"/>
      <c r="E18" s="24">
        <v>45891</v>
      </c>
      <c r="F18" s="23"/>
    </row>
    <row r="19" spans="1:6" x14ac:dyDescent="0.3">
      <c r="A19" s="1">
        <f t="shared" si="0"/>
        <v>18</v>
      </c>
      <c r="B19" s="1"/>
      <c r="C19" s="33"/>
      <c r="D19" s="3"/>
      <c r="E19" s="24">
        <v>45893</v>
      </c>
      <c r="F19" s="23"/>
    </row>
    <row r="20" spans="1:6" x14ac:dyDescent="0.3">
      <c r="A20" s="1">
        <f t="shared" si="0"/>
        <v>19</v>
      </c>
      <c r="B20" s="1"/>
      <c r="C20" s="33"/>
      <c r="D20" s="3"/>
      <c r="E20" s="24">
        <v>45894</v>
      </c>
      <c r="F20" s="23"/>
    </row>
    <row r="21" spans="1:6" x14ac:dyDescent="0.3">
      <c r="A21" s="1">
        <f t="shared" si="0"/>
        <v>20</v>
      </c>
      <c r="B21" s="1"/>
      <c r="C21" s="33"/>
      <c r="D21" s="3"/>
      <c r="E21" s="24">
        <v>45894</v>
      </c>
      <c r="F21" s="23"/>
    </row>
    <row r="22" spans="1:6" x14ac:dyDescent="0.3">
      <c r="A22" s="1">
        <f t="shared" si="0"/>
        <v>21</v>
      </c>
      <c r="B22" s="1"/>
      <c r="C22" s="33"/>
      <c r="D22" s="3"/>
      <c r="E22" s="24">
        <v>45896</v>
      </c>
      <c r="F22" s="23"/>
    </row>
    <row r="23" spans="1:6" x14ac:dyDescent="0.3">
      <c r="A23" s="1">
        <f t="shared" si="0"/>
        <v>22</v>
      </c>
      <c r="B23" s="1"/>
      <c r="C23" s="33"/>
      <c r="D23" s="3"/>
      <c r="E23" s="24">
        <v>45898</v>
      </c>
      <c r="F23" s="23"/>
    </row>
  </sheetData>
  <mergeCells count="1">
    <mergeCell ref="D3:E3"/>
  </mergeCells>
  <conditionalFormatting sqref="E2 E4:E7 E9:E23">
    <cfRule type="cellIs" dxfId="3" priority="1" operator="lessThan">
      <formula>TODAY()</formula>
    </cfRule>
  </conditionalFormatting>
  <conditionalFormatting sqref="E2 E4:E7 E9:E1048576">
    <cfRule type="timePeriod" dxfId="2" priority="2" timePeriod="last7Days">
      <formula>AND(TODAY()-FLOOR(E2,1)&lt;=6,FLOOR(E2,1)&lt;=TODAY())</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A28D-43D1-4DF6-A33B-97024DBA6A0A}">
  <sheetPr>
    <pageSetUpPr fitToPage="1"/>
  </sheetPr>
  <dimension ref="A1:V71"/>
  <sheetViews>
    <sheetView zoomScale="87" zoomScaleNormal="80" workbookViewId="0">
      <pane xSplit="3" ySplit="1" topLeftCell="D2" activePane="bottomRight" state="frozen"/>
      <selection activeCell="A30" sqref="A30"/>
      <selection pane="topRight" activeCell="A30" sqref="A30"/>
      <selection pane="bottomLeft" activeCell="A30" sqref="A30"/>
      <selection pane="bottomRight" activeCell="A30" sqref="A30"/>
    </sheetView>
  </sheetViews>
  <sheetFormatPr defaultRowHeight="19.95" customHeight="1" outlineLevelRow="1" x14ac:dyDescent="0.3"/>
  <cols>
    <col min="1" max="1" width="8.88671875" style="9"/>
    <col min="2" max="2" width="11.21875" style="41" customWidth="1"/>
    <col min="3" max="3" width="29" style="9" bestFit="1" customWidth="1"/>
    <col min="4" max="4" width="19.6640625" style="10" customWidth="1"/>
    <col min="5" max="13" width="3.33203125" style="9" customWidth="1"/>
    <col min="14" max="14" width="4.77734375" style="9" customWidth="1"/>
    <col min="15" max="15" width="12.77734375" style="9" customWidth="1"/>
    <col min="16" max="16" width="12.77734375" style="9" hidden="1" customWidth="1"/>
    <col min="17" max="21" width="12.77734375" style="9" customWidth="1"/>
    <col min="22" max="22" width="66.88671875" style="11" customWidth="1"/>
    <col min="23" max="16384" width="8.88671875" style="9"/>
  </cols>
  <sheetData>
    <row r="1" spans="1:22" ht="67.2" x14ac:dyDescent="0.3">
      <c r="B1" s="70" t="s">
        <v>206</v>
      </c>
      <c r="C1" s="29" t="s">
        <v>1</v>
      </c>
      <c r="D1" s="30" t="s">
        <v>0</v>
      </c>
      <c r="E1" s="70" t="s">
        <v>84</v>
      </c>
      <c r="F1" s="70" t="s">
        <v>63</v>
      </c>
      <c r="G1" s="70" t="s">
        <v>64</v>
      </c>
      <c r="H1" s="70" t="s">
        <v>7</v>
      </c>
      <c r="I1" s="70" t="s">
        <v>8</v>
      </c>
      <c r="J1" s="70" t="s">
        <v>125</v>
      </c>
      <c r="K1" s="70" t="s">
        <v>212</v>
      </c>
      <c r="L1" s="70" t="s">
        <v>85</v>
      </c>
      <c r="M1" s="70" t="s">
        <v>222</v>
      </c>
      <c r="N1" s="70" t="s">
        <v>246</v>
      </c>
      <c r="O1" s="5" t="s">
        <v>245</v>
      </c>
      <c r="P1" s="5" t="s">
        <v>242</v>
      </c>
      <c r="Q1" s="5" t="s">
        <v>243</v>
      </c>
      <c r="R1" s="5" t="s">
        <v>244</v>
      </c>
      <c r="S1" s="5" t="s">
        <v>224</v>
      </c>
      <c r="T1" s="5" t="s">
        <v>250</v>
      </c>
      <c r="U1" s="5" t="s">
        <v>249</v>
      </c>
      <c r="V1" s="30" t="s">
        <v>46</v>
      </c>
    </row>
    <row r="2" spans="1:22" ht="19.95" customHeight="1" x14ac:dyDescent="0.3">
      <c r="B2" s="67"/>
      <c r="C2" s="50" t="s">
        <v>56</v>
      </c>
      <c r="D2" s="51"/>
      <c r="E2" s="53"/>
      <c r="F2" s="53"/>
      <c r="G2" s="53"/>
      <c r="H2" s="53"/>
      <c r="I2" s="53"/>
      <c r="J2" s="53"/>
      <c r="K2" s="53"/>
      <c r="L2" s="53"/>
      <c r="M2" s="53"/>
      <c r="N2" s="53"/>
      <c r="O2" s="53"/>
      <c r="P2" s="53"/>
      <c r="Q2" s="53"/>
      <c r="R2" s="53"/>
      <c r="S2" s="53"/>
      <c r="T2" s="53"/>
      <c r="U2" s="53"/>
      <c r="V2" s="51"/>
    </row>
    <row r="3" spans="1:22" ht="19.95" customHeight="1" outlineLevel="1" x14ac:dyDescent="0.3">
      <c r="A3" s="171" t="s">
        <v>56</v>
      </c>
      <c r="B3" s="66" t="s">
        <v>207</v>
      </c>
      <c r="C3" s="54" t="s">
        <v>58</v>
      </c>
      <c r="D3" s="68" t="s">
        <v>61</v>
      </c>
      <c r="E3" s="56"/>
      <c r="F3" s="56"/>
      <c r="G3" s="56"/>
      <c r="H3" s="56"/>
      <c r="I3" s="57"/>
      <c r="J3" s="57"/>
      <c r="K3" s="57"/>
      <c r="L3" s="57"/>
      <c r="M3" s="56"/>
      <c r="N3" s="56"/>
      <c r="O3" s="170" t="s">
        <v>247</v>
      </c>
      <c r="P3" s="73"/>
      <c r="Q3" s="74">
        <v>45976</v>
      </c>
      <c r="R3" s="74">
        <v>46111</v>
      </c>
      <c r="S3" s="74">
        <v>46172</v>
      </c>
      <c r="T3" s="75"/>
      <c r="U3" s="74"/>
      <c r="V3" s="60" t="s">
        <v>215</v>
      </c>
    </row>
    <row r="4" spans="1:22" ht="19.95" customHeight="1" outlineLevel="1" x14ac:dyDescent="0.3">
      <c r="A4" s="171"/>
      <c r="B4" s="66" t="s">
        <v>207</v>
      </c>
      <c r="C4" s="54" t="s">
        <v>2</v>
      </c>
      <c r="D4" s="68" t="s">
        <v>61</v>
      </c>
      <c r="E4" s="56"/>
      <c r="F4" s="56"/>
      <c r="G4" s="56"/>
      <c r="H4" s="56"/>
      <c r="I4" s="57"/>
      <c r="J4" s="56"/>
      <c r="K4" s="56"/>
      <c r="L4" s="57"/>
      <c r="M4" s="56"/>
      <c r="N4" s="56"/>
      <c r="O4" s="170"/>
      <c r="P4" s="73"/>
      <c r="Q4" s="74">
        <v>45976</v>
      </c>
      <c r="R4" s="74">
        <v>46111</v>
      </c>
      <c r="S4" s="74">
        <v>46172</v>
      </c>
      <c r="T4" s="75"/>
      <c r="U4" s="74"/>
      <c r="V4" s="60" t="s">
        <v>215</v>
      </c>
    </row>
    <row r="5" spans="1:22" ht="19.95" customHeight="1" outlineLevel="1" x14ac:dyDescent="0.3">
      <c r="A5" s="171"/>
      <c r="B5" s="66" t="s">
        <v>207</v>
      </c>
      <c r="C5" s="54" t="s">
        <v>59</v>
      </c>
      <c r="D5" s="68" t="s">
        <v>61</v>
      </c>
      <c r="E5" s="56"/>
      <c r="F5" s="56"/>
      <c r="G5" s="56"/>
      <c r="H5" s="56"/>
      <c r="I5" s="57"/>
      <c r="J5" s="56"/>
      <c r="K5" s="56"/>
      <c r="L5" s="57"/>
      <c r="M5" s="56"/>
      <c r="N5" s="56"/>
      <c r="O5" s="170"/>
      <c r="P5" s="73"/>
      <c r="Q5" s="74">
        <v>45976</v>
      </c>
      <c r="R5" s="74">
        <v>46111</v>
      </c>
      <c r="S5" s="74">
        <v>46172</v>
      </c>
      <c r="T5" s="75"/>
      <c r="U5" s="74"/>
      <c r="V5" s="60" t="s">
        <v>215</v>
      </c>
    </row>
    <row r="6" spans="1:22" ht="19.95" customHeight="1" outlineLevel="1" x14ac:dyDescent="0.3">
      <c r="A6" s="171"/>
      <c r="B6" s="66" t="s">
        <v>207</v>
      </c>
      <c r="C6" s="54" t="s">
        <v>60</v>
      </c>
      <c r="D6" s="68" t="s">
        <v>61</v>
      </c>
      <c r="E6" s="56"/>
      <c r="F6" s="56"/>
      <c r="G6" s="56"/>
      <c r="H6" s="56"/>
      <c r="I6" s="57"/>
      <c r="J6" s="56"/>
      <c r="K6" s="56"/>
      <c r="L6" s="57"/>
      <c r="M6" s="56"/>
      <c r="N6" s="56"/>
      <c r="O6" s="170"/>
      <c r="P6" s="73"/>
      <c r="Q6" s="74">
        <v>45976</v>
      </c>
      <c r="R6" s="74">
        <v>46111</v>
      </c>
      <c r="S6" s="74">
        <v>46172</v>
      </c>
      <c r="T6" s="75"/>
      <c r="U6" s="74"/>
      <c r="V6" s="60" t="s">
        <v>215</v>
      </c>
    </row>
    <row r="7" spans="1:22" ht="19.95" customHeight="1" outlineLevel="1" x14ac:dyDescent="0.3">
      <c r="A7" s="171"/>
      <c r="B7" s="66" t="s">
        <v>207</v>
      </c>
      <c r="C7" s="59" t="s">
        <v>62</v>
      </c>
      <c r="D7" s="68" t="s">
        <v>61</v>
      </c>
      <c r="E7" s="56"/>
      <c r="F7" s="56"/>
      <c r="G7" s="56"/>
      <c r="H7" s="56"/>
      <c r="I7" s="57"/>
      <c r="J7" s="56"/>
      <c r="K7" s="56"/>
      <c r="L7" s="57"/>
      <c r="M7" s="56"/>
      <c r="N7" s="56"/>
      <c r="O7" s="170"/>
      <c r="P7" s="73"/>
      <c r="Q7" s="74">
        <v>45976</v>
      </c>
      <c r="R7" s="74">
        <v>46111</v>
      </c>
      <c r="S7" s="74">
        <v>46172</v>
      </c>
      <c r="T7" s="75"/>
      <c r="U7" s="74"/>
      <c r="V7" s="60" t="s">
        <v>215</v>
      </c>
    </row>
    <row r="8" spans="1:22" ht="19.95" customHeight="1" outlineLevel="1" x14ac:dyDescent="0.3">
      <c r="A8" s="171"/>
      <c r="B8" s="66" t="s">
        <v>207</v>
      </c>
      <c r="C8" s="59" t="s">
        <v>87</v>
      </c>
      <c r="D8" s="68" t="s">
        <v>61</v>
      </c>
      <c r="E8" s="61"/>
      <c r="F8" s="61"/>
      <c r="G8" s="61"/>
      <c r="H8" s="61"/>
      <c r="I8" s="61"/>
      <c r="J8" s="61"/>
      <c r="K8" s="56"/>
      <c r="L8" s="57"/>
      <c r="M8" s="56"/>
      <c r="N8" s="58"/>
      <c r="O8" s="76" t="s">
        <v>247</v>
      </c>
      <c r="P8" s="73"/>
      <c r="Q8" s="74">
        <v>45976</v>
      </c>
      <c r="R8" s="74">
        <v>46111</v>
      </c>
      <c r="S8" s="74">
        <v>46172</v>
      </c>
      <c r="T8" s="75"/>
      <c r="U8" s="74"/>
      <c r="V8" s="60" t="s">
        <v>215</v>
      </c>
    </row>
    <row r="9" spans="1:22" ht="19.95" customHeight="1" outlineLevel="1" x14ac:dyDescent="0.3">
      <c r="A9" s="171"/>
      <c r="B9" s="66" t="s">
        <v>207</v>
      </c>
      <c r="C9" s="59" t="s">
        <v>86</v>
      </c>
      <c r="D9" s="68" t="s">
        <v>69</v>
      </c>
      <c r="E9" s="61"/>
      <c r="F9" s="61"/>
      <c r="G9" s="61"/>
      <c r="H9" s="57"/>
      <c r="I9" s="57"/>
      <c r="J9" s="56"/>
      <c r="K9" s="56"/>
      <c r="L9" s="56"/>
      <c r="M9" s="56"/>
      <c r="N9" s="56"/>
      <c r="O9" s="55">
        <v>45991</v>
      </c>
      <c r="P9" s="73"/>
      <c r="Q9" s="74">
        <v>46042</v>
      </c>
      <c r="R9" s="74">
        <v>46068</v>
      </c>
      <c r="S9" s="74">
        <v>46111</v>
      </c>
      <c r="T9" s="74"/>
      <c r="U9" s="74"/>
      <c r="V9" s="60" t="s">
        <v>215</v>
      </c>
    </row>
    <row r="10" spans="1:22" ht="19.95" customHeight="1" x14ac:dyDescent="0.3">
      <c r="B10" s="67"/>
      <c r="C10" s="50" t="s">
        <v>57</v>
      </c>
      <c r="D10" s="51"/>
      <c r="E10" s="53"/>
      <c r="F10" s="53"/>
      <c r="G10" s="53"/>
      <c r="H10" s="53"/>
      <c r="I10" s="53"/>
      <c r="J10" s="53"/>
      <c r="K10" s="53"/>
      <c r="L10" s="53"/>
      <c r="M10" s="53"/>
      <c r="N10" s="53"/>
      <c r="O10" s="53"/>
      <c r="P10" s="53"/>
      <c r="Q10" s="53"/>
      <c r="R10" s="53"/>
      <c r="S10" s="53"/>
      <c r="T10" s="53"/>
      <c r="U10" s="53"/>
      <c r="V10" s="51"/>
    </row>
    <row r="11" spans="1:22" ht="19.95" customHeight="1" outlineLevel="1" x14ac:dyDescent="0.3">
      <c r="A11" s="171" t="s">
        <v>257</v>
      </c>
      <c r="B11" s="66" t="s">
        <v>207</v>
      </c>
      <c r="C11" s="59" t="s">
        <v>9</v>
      </c>
      <c r="D11" s="68" t="s">
        <v>70</v>
      </c>
      <c r="E11" s="61"/>
      <c r="F11" s="61"/>
      <c r="G11" s="61"/>
      <c r="H11" s="61"/>
      <c r="I11" s="61"/>
      <c r="J11" s="61"/>
      <c r="K11" s="61"/>
      <c r="L11" s="61"/>
      <c r="M11" s="58"/>
      <c r="N11" s="58"/>
      <c r="O11" s="63">
        <v>45938</v>
      </c>
      <c r="P11" s="62"/>
      <c r="Q11" s="62"/>
      <c r="R11" s="62"/>
      <c r="S11" s="62"/>
      <c r="T11" s="62"/>
      <c r="U11" s="62"/>
      <c r="V11" s="60" t="s">
        <v>237</v>
      </c>
    </row>
    <row r="12" spans="1:22" ht="19.95" customHeight="1" outlineLevel="1" x14ac:dyDescent="0.3">
      <c r="A12" s="171"/>
      <c r="B12" s="66" t="s">
        <v>207</v>
      </c>
      <c r="C12" s="59" t="s">
        <v>3</v>
      </c>
      <c r="D12" s="68" t="s">
        <v>71</v>
      </c>
      <c r="E12" s="61"/>
      <c r="F12" s="61"/>
      <c r="G12" s="61"/>
      <c r="H12" s="61"/>
      <c r="I12" s="61"/>
      <c r="J12" s="61"/>
      <c r="K12" s="61"/>
      <c r="L12" s="61"/>
      <c r="M12" s="61"/>
      <c r="N12" s="61"/>
      <c r="O12" s="63" t="s">
        <v>247</v>
      </c>
      <c r="P12" s="62"/>
      <c r="Q12" s="62"/>
      <c r="R12" s="62"/>
      <c r="S12" s="62"/>
      <c r="T12" s="62"/>
      <c r="U12" s="62"/>
      <c r="V12" s="60" t="s">
        <v>248</v>
      </c>
    </row>
    <row r="13" spans="1:22" ht="19.95" customHeight="1" outlineLevel="1" x14ac:dyDescent="0.3">
      <c r="A13" s="171"/>
      <c r="B13" s="66" t="s">
        <v>207</v>
      </c>
      <c r="C13" s="59" t="s">
        <v>256</v>
      </c>
      <c r="D13" s="68" t="s">
        <v>71</v>
      </c>
      <c r="E13" s="61"/>
      <c r="F13" s="61"/>
      <c r="G13" s="61"/>
      <c r="H13" s="61"/>
      <c r="I13" s="61"/>
      <c r="J13" s="61"/>
      <c r="K13" s="61"/>
      <c r="L13" s="61"/>
      <c r="M13" s="61"/>
      <c r="N13" s="61"/>
      <c r="O13" s="63"/>
      <c r="P13" s="62"/>
      <c r="Q13" s="62"/>
      <c r="R13" s="62"/>
      <c r="S13" s="62"/>
      <c r="T13" s="62"/>
      <c r="U13" s="62"/>
      <c r="V13" s="60"/>
    </row>
    <row r="14" spans="1:22" ht="19.95" customHeight="1" outlineLevel="1" x14ac:dyDescent="0.3">
      <c r="A14" s="171"/>
      <c r="B14" s="66" t="s">
        <v>207</v>
      </c>
      <c r="C14" s="59" t="s">
        <v>82</v>
      </c>
      <c r="D14" s="68" t="s">
        <v>124</v>
      </c>
      <c r="E14" s="61"/>
      <c r="F14" s="61"/>
      <c r="G14" s="61"/>
      <c r="H14" s="61"/>
      <c r="I14" s="61"/>
      <c r="J14" s="61"/>
      <c r="K14" s="61"/>
      <c r="L14" s="61"/>
      <c r="M14" s="61"/>
      <c r="N14" s="61"/>
      <c r="O14" s="63" t="s">
        <v>247</v>
      </c>
      <c r="P14" s="62"/>
      <c r="Q14" s="62"/>
      <c r="R14" s="62"/>
      <c r="S14" s="62"/>
      <c r="T14" s="62"/>
      <c r="U14" s="62"/>
      <c r="V14" s="60" t="s">
        <v>238</v>
      </c>
    </row>
    <row r="15" spans="1:22" ht="19.95" customHeight="1" outlineLevel="1" x14ac:dyDescent="0.3">
      <c r="A15" s="171"/>
      <c r="B15" s="66" t="s">
        <v>207</v>
      </c>
      <c r="C15" s="59" t="s">
        <v>178</v>
      </c>
      <c r="D15" s="68" t="s">
        <v>179</v>
      </c>
      <c r="E15" s="61"/>
      <c r="F15" s="61"/>
      <c r="G15" s="61"/>
      <c r="H15" s="61"/>
      <c r="I15" s="61"/>
      <c r="J15" s="61"/>
      <c r="K15" s="61"/>
      <c r="L15" s="61"/>
      <c r="M15" s="61"/>
      <c r="N15" s="58"/>
      <c r="O15" s="63">
        <v>45945</v>
      </c>
      <c r="P15" s="62"/>
      <c r="Q15" s="62"/>
      <c r="R15" s="62"/>
      <c r="S15" s="62"/>
      <c r="T15" s="62"/>
      <c r="U15" s="62"/>
      <c r="V15" s="65" t="s">
        <v>227</v>
      </c>
    </row>
    <row r="16" spans="1:22" ht="19.95" customHeight="1" outlineLevel="1" x14ac:dyDescent="0.3">
      <c r="A16" s="171"/>
      <c r="B16" s="66" t="s">
        <v>207</v>
      </c>
      <c r="C16" s="59" t="s">
        <v>213</v>
      </c>
      <c r="D16" s="69" t="s">
        <v>218</v>
      </c>
      <c r="E16" s="64"/>
      <c r="F16" s="62"/>
      <c r="G16" s="62"/>
      <c r="H16" s="62"/>
      <c r="I16" s="62"/>
      <c r="J16" s="62"/>
      <c r="K16" s="62"/>
      <c r="L16" s="62"/>
      <c r="M16" s="62"/>
      <c r="N16" s="62"/>
      <c r="O16" s="63"/>
      <c r="P16" s="62"/>
      <c r="Q16" s="62"/>
      <c r="R16" s="62"/>
      <c r="S16" s="62"/>
      <c r="T16" s="62"/>
      <c r="U16" s="62"/>
      <c r="V16" s="65" t="s">
        <v>214</v>
      </c>
    </row>
    <row r="17" spans="1:22" ht="19.95" customHeight="1" outlineLevel="1" x14ac:dyDescent="0.3">
      <c r="A17" s="171"/>
      <c r="B17" s="66" t="s">
        <v>207</v>
      </c>
      <c r="C17" s="59" t="s">
        <v>13</v>
      </c>
      <c r="D17" s="69" t="s">
        <v>218</v>
      </c>
      <c r="E17" s="64"/>
      <c r="F17" s="62"/>
      <c r="G17" s="62"/>
      <c r="H17" s="62"/>
      <c r="I17" s="62"/>
      <c r="J17" s="62"/>
      <c r="K17" s="62"/>
      <c r="L17" s="62"/>
      <c r="M17" s="62"/>
      <c r="N17" s="62"/>
      <c r="O17" s="63"/>
      <c r="P17" s="62"/>
      <c r="Q17" s="62"/>
      <c r="R17" s="62"/>
      <c r="S17" s="62"/>
      <c r="T17" s="62"/>
      <c r="U17" s="62"/>
      <c r="V17" s="65" t="s">
        <v>214</v>
      </c>
    </row>
    <row r="18" spans="1:22" ht="19.95" customHeight="1" outlineLevel="1" x14ac:dyDescent="0.3">
      <c r="A18" s="171"/>
      <c r="B18" s="66" t="s">
        <v>207</v>
      </c>
      <c r="C18" s="59" t="s">
        <v>254</v>
      </c>
      <c r="D18" s="69" t="s">
        <v>218</v>
      </c>
      <c r="E18" s="64"/>
      <c r="F18" s="62"/>
      <c r="G18" s="62"/>
      <c r="H18" s="62"/>
      <c r="I18" s="62"/>
      <c r="J18" s="62"/>
      <c r="K18" s="62"/>
      <c r="L18" s="62"/>
      <c r="M18" s="62"/>
      <c r="N18" s="62"/>
      <c r="O18" s="63"/>
      <c r="P18" s="62"/>
      <c r="Q18" s="62"/>
      <c r="R18" s="62"/>
      <c r="S18" s="62"/>
      <c r="T18" s="62"/>
      <c r="U18" s="62"/>
      <c r="V18" s="65"/>
    </row>
    <row r="19" spans="1:22" ht="19.95" customHeight="1" outlineLevel="1" x14ac:dyDescent="0.3">
      <c r="A19" s="171"/>
      <c r="B19" s="66" t="s">
        <v>207</v>
      </c>
      <c r="C19" s="59" t="s">
        <v>255</v>
      </c>
      <c r="D19" s="69" t="s">
        <v>218</v>
      </c>
      <c r="E19" s="64"/>
      <c r="F19" s="62"/>
      <c r="G19" s="62"/>
      <c r="H19" s="62"/>
      <c r="I19" s="62"/>
      <c r="J19" s="62"/>
      <c r="K19" s="62"/>
      <c r="L19" s="62"/>
      <c r="M19" s="62"/>
      <c r="N19" s="62"/>
      <c r="O19" s="63"/>
      <c r="P19" s="62"/>
      <c r="Q19" s="62"/>
      <c r="R19" s="62"/>
      <c r="S19" s="62"/>
      <c r="T19" s="62"/>
      <c r="U19" s="62"/>
      <c r="V19" s="65"/>
    </row>
    <row r="20" spans="1:22" ht="19.95" customHeight="1" x14ac:dyDescent="0.3">
      <c r="B20" s="67"/>
      <c r="C20" s="50" t="s">
        <v>67</v>
      </c>
      <c r="D20" s="51"/>
      <c r="E20" s="53"/>
      <c r="F20" s="53"/>
      <c r="G20" s="53"/>
      <c r="H20" s="53"/>
      <c r="I20" s="53"/>
      <c r="J20" s="53"/>
      <c r="K20" s="53"/>
      <c r="L20" s="53"/>
      <c r="M20" s="53"/>
      <c r="N20" s="53"/>
      <c r="O20" s="53"/>
      <c r="P20" s="53"/>
      <c r="Q20" s="53"/>
      <c r="R20" s="53"/>
      <c r="S20" s="53"/>
      <c r="T20" s="53"/>
      <c r="U20" s="53"/>
      <c r="V20" s="51"/>
    </row>
    <row r="21" spans="1:22" ht="19.95" customHeight="1" outlineLevel="1" x14ac:dyDescent="0.3">
      <c r="B21" s="66" t="s">
        <v>207</v>
      </c>
      <c r="C21" s="59" t="s">
        <v>4</v>
      </c>
      <c r="D21" s="68" t="s">
        <v>66</v>
      </c>
      <c r="E21" s="61"/>
      <c r="F21" s="61"/>
      <c r="G21" s="61"/>
      <c r="H21" s="61"/>
      <c r="I21" s="61"/>
      <c r="J21" s="61"/>
      <c r="K21" s="61"/>
      <c r="L21" s="61"/>
      <c r="M21" s="64"/>
      <c r="N21" s="62"/>
      <c r="O21" s="63">
        <v>45945</v>
      </c>
      <c r="P21" s="62"/>
      <c r="Q21" s="62"/>
      <c r="R21" s="62"/>
      <c r="S21" s="62"/>
      <c r="T21" s="62"/>
      <c r="U21" s="62"/>
      <c r="V21" s="60" t="s">
        <v>217</v>
      </c>
    </row>
    <row r="22" spans="1:22" ht="19.95" customHeight="1" outlineLevel="1" x14ac:dyDescent="0.3">
      <c r="B22" s="66" t="s">
        <v>207</v>
      </c>
      <c r="C22" s="59" t="s">
        <v>216</v>
      </c>
      <c r="D22" s="69" t="s">
        <v>218</v>
      </c>
      <c r="E22" s="64"/>
      <c r="F22" s="62"/>
      <c r="G22" s="62"/>
      <c r="H22" s="62"/>
      <c r="I22" s="62"/>
      <c r="J22" s="62"/>
      <c r="K22" s="62"/>
      <c r="L22" s="62"/>
      <c r="M22" s="62"/>
      <c r="N22" s="62"/>
      <c r="O22" s="63">
        <v>45991</v>
      </c>
      <c r="P22" s="62"/>
      <c r="Q22" s="62"/>
      <c r="R22" s="62"/>
      <c r="S22" s="62"/>
      <c r="T22" s="62"/>
      <c r="U22" s="62"/>
      <c r="V22" s="65" t="s">
        <v>214</v>
      </c>
    </row>
    <row r="23" spans="1:22" ht="19.95" customHeight="1" outlineLevel="1" x14ac:dyDescent="0.3">
      <c r="B23" s="66" t="s">
        <v>207</v>
      </c>
      <c r="C23" s="59" t="s">
        <v>68</v>
      </c>
      <c r="D23" s="69" t="s">
        <v>218</v>
      </c>
      <c r="E23" s="64"/>
      <c r="F23" s="62"/>
      <c r="G23" s="62"/>
      <c r="H23" s="62"/>
      <c r="I23" s="62"/>
      <c r="J23" s="62"/>
      <c r="K23" s="62"/>
      <c r="L23" s="62"/>
      <c r="M23" s="62"/>
      <c r="N23" s="62"/>
      <c r="O23" s="63">
        <v>45991</v>
      </c>
      <c r="P23" s="62"/>
      <c r="Q23" s="62"/>
      <c r="R23" s="62"/>
      <c r="S23" s="62"/>
      <c r="T23" s="62"/>
      <c r="U23" s="62"/>
      <c r="V23" s="65" t="s">
        <v>214</v>
      </c>
    </row>
    <row r="24" spans="1:22" ht="19.95" customHeight="1" outlineLevel="1" x14ac:dyDescent="0.3">
      <c r="B24" s="62" t="s">
        <v>208</v>
      </c>
      <c r="C24" s="59" t="s">
        <v>136</v>
      </c>
      <c r="D24" s="69" t="s">
        <v>218</v>
      </c>
      <c r="E24" s="61"/>
      <c r="F24" s="61"/>
      <c r="G24" s="61"/>
      <c r="H24" s="64"/>
      <c r="I24" s="62"/>
      <c r="J24" s="62"/>
      <c r="K24" s="62"/>
      <c r="L24" s="62"/>
      <c r="M24" s="62"/>
      <c r="N24" s="62"/>
      <c r="O24" s="63">
        <v>45945</v>
      </c>
      <c r="P24" s="62"/>
      <c r="Q24" s="62"/>
      <c r="R24" s="62"/>
      <c r="S24" s="62"/>
      <c r="T24" s="62"/>
      <c r="U24" s="62"/>
      <c r="V24" s="60" t="s">
        <v>219</v>
      </c>
    </row>
    <row r="25" spans="1:22" ht="19.95" customHeight="1" x14ac:dyDescent="0.3">
      <c r="B25" s="67"/>
      <c r="C25" s="50" t="s">
        <v>5</v>
      </c>
      <c r="D25" s="51"/>
      <c r="E25" s="53"/>
      <c r="F25" s="53"/>
      <c r="G25" s="53"/>
      <c r="H25" s="53"/>
      <c r="I25" s="53"/>
      <c r="J25" s="53"/>
      <c r="K25" s="53"/>
      <c r="L25" s="53"/>
      <c r="M25" s="53"/>
      <c r="N25" s="53"/>
      <c r="O25" s="53"/>
      <c r="P25" s="53"/>
      <c r="Q25" s="53"/>
      <c r="R25" s="53"/>
      <c r="S25" s="53"/>
      <c r="T25" s="53"/>
      <c r="U25" s="53"/>
      <c r="V25" s="51"/>
    </row>
    <row r="26" spans="1:22" ht="19.95" customHeight="1" outlineLevel="1" x14ac:dyDescent="0.3">
      <c r="B26" s="62" t="s">
        <v>207</v>
      </c>
      <c r="C26" s="59" t="s">
        <v>12</v>
      </c>
      <c r="D26" s="69" t="s">
        <v>218</v>
      </c>
      <c r="E26" s="64"/>
      <c r="F26" s="64"/>
      <c r="G26" s="62"/>
      <c r="H26" s="62"/>
      <c r="I26" s="62"/>
      <c r="J26" s="62"/>
      <c r="K26" s="62"/>
      <c r="L26" s="62"/>
      <c r="M26" s="62"/>
      <c r="N26" s="62"/>
      <c r="O26" s="63">
        <v>45940</v>
      </c>
      <c r="P26" s="62"/>
      <c r="Q26" s="62"/>
      <c r="R26" s="62"/>
      <c r="S26" s="62"/>
      <c r="T26" s="62"/>
      <c r="U26" s="62"/>
      <c r="V26" s="60" t="s">
        <v>239</v>
      </c>
    </row>
    <row r="27" spans="1:22" ht="19.95" customHeight="1" outlineLevel="1" x14ac:dyDescent="0.3">
      <c r="B27" s="62" t="s">
        <v>207</v>
      </c>
      <c r="C27" s="59" t="s">
        <v>65</v>
      </c>
      <c r="D27" s="68" t="s">
        <v>228</v>
      </c>
      <c r="E27" s="61"/>
      <c r="F27" s="61"/>
      <c r="G27" s="61"/>
      <c r="H27" s="61"/>
      <c r="I27" s="61"/>
      <c r="J27" s="64"/>
      <c r="K27" s="64"/>
      <c r="L27" s="64"/>
      <c r="M27" s="62"/>
      <c r="N27" s="62"/>
      <c r="O27" s="63">
        <v>45960</v>
      </c>
      <c r="P27" s="62"/>
      <c r="Q27" s="62"/>
      <c r="R27" s="62"/>
      <c r="S27" s="62"/>
      <c r="T27" s="62"/>
      <c r="U27" s="62"/>
      <c r="V27" s="60" t="s">
        <v>253</v>
      </c>
    </row>
    <row r="28" spans="1:22" ht="19.95" customHeight="1" outlineLevel="1" x14ac:dyDescent="0.3">
      <c r="B28" s="62" t="s">
        <v>207</v>
      </c>
      <c r="C28" s="59" t="s">
        <v>10</v>
      </c>
      <c r="D28" s="69" t="s">
        <v>218</v>
      </c>
      <c r="E28" s="64"/>
      <c r="F28" s="64"/>
      <c r="G28" s="62"/>
      <c r="H28" s="62"/>
      <c r="I28" s="62"/>
      <c r="J28" s="62"/>
      <c r="K28" s="62"/>
      <c r="L28" s="62"/>
      <c r="M28" s="62"/>
      <c r="N28" s="62"/>
      <c r="O28" s="63">
        <v>45940</v>
      </c>
      <c r="P28" s="62"/>
      <c r="Q28" s="62"/>
      <c r="R28" s="62"/>
      <c r="S28" s="62"/>
      <c r="T28" s="62"/>
      <c r="U28" s="62"/>
      <c r="V28" s="60" t="s">
        <v>239</v>
      </c>
    </row>
    <row r="29" spans="1:22" ht="19.95" customHeight="1" outlineLevel="1" x14ac:dyDescent="0.3">
      <c r="B29" s="62" t="s">
        <v>207</v>
      </c>
      <c r="C29" s="59" t="s">
        <v>11</v>
      </c>
      <c r="D29" s="69" t="s">
        <v>218</v>
      </c>
      <c r="E29" s="64"/>
      <c r="F29" s="64"/>
      <c r="G29" s="62"/>
      <c r="H29" s="62"/>
      <c r="I29" s="62"/>
      <c r="J29" s="62"/>
      <c r="K29" s="62"/>
      <c r="L29" s="62"/>
      <c r="M29" s="62"/>
      <c r="N29" s="62"/>
      <c r="O29" s="63">
        <v>45940</v>
      </c>
      <c r="P29" s="62"/>
      <c r="Q29" s="62"/>
      <c r="R29" s="62"/>
      <c r="S29" s="62"/>
      <c r="T29" s="62"/>
      <c r="U29" s="62"/>
      <c r="V29" s="60" t="s">
        <v>239</v>
      </c>
    </row>
    <row r="30" spans="1:22" ht="19.95" customHeight="1" outlineLevel="1" x14ac:dyDescent="0.3">
      <c r="B30" s="62" t="s">
        <v>207</v>
      </c>
      <c r="C30" s="59" t="s">
        <v>195</v>
      </c>
      <c r="D30" s="68" t="s">
        <v>229</v>
      </c>
      <c r="E30" s="61"/>
      <c r="F30" s="61"/>
      <c r="G30" s="61"/>
      <c r="H30" s="61"/>
      <c r="I30" s="61"/>
      <c r="J30" s="64"/>
      <c r="K30" s="64"/>
      <c r="L30" s="64"/>
      <c r="M30" s="62"/>
      <c r="N30" s="62"/>
      <c r="O30" s="63">
        <v>45960</v>
      </c>
      <c r="P30" s="62"/>
      <c r="Q30" s="62"/>
      <c r="R30" s="62"/>
      <c r="S30" s="62"/>
      <c r="T30" s="62"/>
      <c r="U30" s="62"/>
      <c r="V30" s="60" t="s">
        <v>240</v>
      </c>
    </row>
    <row r="31" spans="1:22" ht="19.95" customHeight="1" outlineLevel="1" x14ac:dyDescent="0.3">
      <c r="B31" s="62" t="s">
        <v>207</v>
      </c>
      <c r="C31" s="59" t="s">
        <v>251</v>
      </c>
      <c r="D31" s="68" t="s">
        <v>252</v>
      </c>
      <c r="E31" s="61"/>
      <c r="F31" s="61"/>
      <c r="G31" s="61"/>
      <c r="H31" s="61"/>
      <c r="I31" s="64"/>
      <c r="J31" s="62"/>
      <c r="K31" s="62"/>
      <c r="L31" s="62"/>
      <c r="M31" s="62"/>
      <c r="N31" s="62"/>
      <c r="O31" s="63"/>
      <c r="P31" s="62"/>
      <c r="Q31" s="62"/>
      <c r="R31" s="62"/>
      <c r="S31" s="62"/>
      <c r="T31" s="62"/>
      <c r="U31" s="62"/>
      <c r="V31" s="60"/>
    </row>
    <row r="32" spans="1:22" ht="19.95" customHeight="1" x14ac:dyDescent="0.3">
      <c r="B32" s="67"/>
      <c r="C32" s="50" t="s">
        <v>15</v>
      </c>
      <c r="D32" s="51"/>
      <c r="E32" s="53"/>
      <c r="F32" s="53"/>
      <c r="G32" s="53"/>
      <c r="H32" s="53"/>
      <c r="I32" s="53"/>
      <c r="J32" s="53"/>
      <c r="K32" s="53"/>
      <c r="L32" s="53"/>
      <c r="M32" s="53"/>
      <c r="N32" s="53"/>
      <c r="O32" s="53"/>
      <c r="P32" s="53"/>
      <c r="Q32" s="53"/>
      <c r="R32" s="53"/>
      <c r="S32" s="53"/>
      <c r="T32" s="53"/>
      <c r="U32" s="53"/>
      <c r="V32" s="51"/>
    </row>
    <row r="33" spans="2:22" ht="19.95" customHeight="1" outlineLevel="1" x14ac:dyDescent="0.3">
      <c r="B33" s="62" t="s">
        <v>208</v>
      </c>
      <c r="C33" s="59" t="s">
        <v>34</v>
      </c>
      <c r="D33" s="69" t="s">
        <v>218</v>
      </c>
      <c r="E33" s="64"/>
      <c r="F33" s="62"/>
      <c r="G33" s="62"/>
      <c r="H33" s="62"/>
      <c r="I33" s="62"/>
      <c r="J33" s="62"/>
      <c r="K33" s="62"/>
      <c r="L33" s="62"/>
      <c r="M33" s="62"/>
      <c r="N33" s="62"/>
      <c r="O33" s="71">
        <v>45948</v>
      </c>
      <c r="P33" s="62"/>
      <c r="Q33" s="62"/>
      <c r="R33" s="62"/>
      <c r="S33" s="62"/>
      <c r="T33" s="62"/>
      <c r="U33" s="62"/>
      <c r="V33" s="60" t="s">
        <v>220</v>
      </c>
    </row>
    <row r="34" spans="2:22" ht="19.95" customHeight="1" outlineLevel="1" x14ac:dyDescent="0.3">
      <c r="B34" s="62" t="s">
        <v>208</v>
      </c>
      <c r="C34" s="59" t="s">
        <v>35</v>
      </c>
      <c r="D34" s="69" t="s">
        <v>218</v>
      </c>
      <c r="E34" s="64"/>
      <c r="F34" s="62"/>
      <c r="G34" s="62"/>
      <c r="H34" s="62"/>
      <c r="I34" s="62"/>
      <c r="J34" s="62"/>
      <c r="K34" s="62"/>
      <c r="L34" s="62"/>
      <c r="M34" s="62"/>
      <c r="N34" s="62"/>
      <c r="O34" s="71">
        <v>45948</v>
      </c>
      <c r="P34" s="62"/>
      <c r="Q34" s="62"/>
      <c r="R34" s="62"/>
      <c r="S34" s="62"/>
      <c r="T34" s="62"/>
      <c r="U34" s="62"/>
      <c r="V34" s="60" t="s">
        <v>220</v>
      </c>
    </row>
    <row r="35" spans="2:22" ht="19.95" customHeight="1" outlineLevel="1" x14ac:dyDescent="0.3">
      <c r="B35" s="62" t="s">
        <v>208</v>
      </c>
      <c r="C35" s="59" t="s">
        <v>39</v>
      </c>
      <c r="D35" s="69" t="s">
        <v>218</v>
      </c>
      <c r="E35" s="64"/>
      <c r="F35" s="62"/>
      <c r="G35" s="62"/>
      <c r="H35" s="62"/>
      <c r="I35" s="62"/>
      <c r="J35" s="62"/>
      <c r="K35" s="62"/>
      <c r="L35" s="62"/>
      <c r="M35" s="62"/>
      <c r="N35" s="62"/>
      <c r="O35" s="71">
        <v>45948</v>
      </c>
      <c r="P35" s="62"/>
      <c r="Q35" s="62"/>
      <c r="R35" s="62"/>
      <c r="S35" s="62"/>
      <c r="T35" s="62"/>
      <c r="U35" s="62"/>
      <c r="V35" s="60" t="s">
        <v>220</v>
      </c>
    </row>
    <row r="36" spans="2:22" ht="19.95" customHeight="1" x14ac:dyDescent="0.3">
      <c r="B36" s="67"/>
      <c r="C36" s="50" t="s">
        <v>14</v>
      </c>
      <c r="D36" s="51"/>
      <c r="E36" s="53"/>
      <c r="F36" s="53"/>
      <c r="G36" s="53"/>
      <c r="H36" s="53"/>
      <c r="I36" s="53"/>
      <c r="J36" s="53"/>
      <c r="K36" s="53"/>
      <c r="L36" s="53"/>
      <c r="M36" s="53"/>
      <c r="N36" s="53"/>
      <c r="O36" s="53"/>
      <c r="P36" s="53"/>
      <c r="Q36" s="53"/>
      <c r="R36" s="53"/>
      <c r="S36" s="53"/>
      <c r="T36" s="53"/>
      <c r="U36" s="53"/>
      <c r="V36" s="51"/>
    </row>
    <row r="37" spans="2:22" ht="19.95" customHeight="1" x14ac:dyDescent="0.3">
      <c r="B37" s="62" t="s">
        <v>208</v>
      </c>
      <c r="C37" s="38" t="s">
        <v>180</v>
      </c>
      <c r="D37" s="68" t="s">
        <v>221</v>
      </c>
      <c r="E37" s="61"/>
      <c r="F37" s="61"/>
      <c r="G37" s="61"/>
      <c r="H37" s="61"/>
      <c r="I37" s="61"/>
      <c r="J37" s="61"/>
      <c r="K37" s="61"/>
      <c r="L37" s="61"/>
      <c r="M37" s="61"/>
      <c r="N37" s="64"/>
      <c r="O37" s="63">
        <v>46112</v>
      </c>
      <c r="P37" s="59"/>
      <c r="Q37" s="59"/>
      <c r="R37" s="59"/>
      <c r="S37" s="59"/>
      <c r="T37" s="59"/>
      <c r="U37" s="59"/>
      <c r="V37" s="60" t="s">
        <v>236</v>
      </c>
    </row>
    <row r="38" spans="2:22" ht="27.6" outlineLevel="1" x14ac:dyDescent="0.3">
      <c r="B38" s="66" t="s">
        <v>208</v>
      </c>
      <c r="C38" s="60" t="s">
        <v>184</v>
      </c>
      <c r="D38" s="72" t="s">
        <v>230</v>
      </c>
      <c r="E38" s="61"/>
      <c r="F38" s="61"/>
      <c r="G38" s="61"/>
      <c r="H38" s="61"/>
      <c r="I38" s="61"/>
      <c r="J38" s="61"/>
      <c r="K38" s="61"/>
      <c r="L38" s="61"/>
      <c r="M38" s="61"/>
      <c r="N38" s="64"/>
      <c r="O38" s="63">
        <v>46032</v>
      </c>
      <c r="P38" s="62"/>
      <c r="Q38" s="62"/>
      <c r="R38" s="62"/>
      <c r="S38" s="62"/>
      <c r="T38" s="62"/>
      <c r="U38" s="62"/>
      <c r="V38" s="60" t="s">
        <v>235</v>
      </c>
    </row>
    <row r="39" spans="2:22" ht="27.6" outlineLevel="1" x14ac:dyDescent="0.3">
      <c r="B39" s="66" t="s">
        <v>208</v>
      </c>
      <c r="C39" s="60" t="s">
        <v>185</v>
      </c>
      <c r="D39" s="72" t="s">
        <v>231</v>
      </c>
      <c r="E39" s="61"/>
      <c r="F39" s="61"/>
      <c r="G39" s="61"/>
      <c r="H39" s="61"/>
      <c r="I39" s="61"/>
      <c r="J39" s="64"/>
      <c r="K39" s="61"/>
      <c r="L39" s="62"/>
      <c r="M39" s="62"/>
      <c r="N39" s="62"/>
      <c r="O39" s="63"/>
      <c r="P39" s="62"/>
      <c r="Q39" s="62"/>
      <c r="R39" s="62"/>
      <c r="S39" s="62"/>
      <c r="T39" s="62"/>
      <c r="U39" s="62"/>
      <c r="V39" s="60" t="s">
        <v>234</v>
      </c>
    </row>
    <row r="40" spans="2:22" ht="41.4" outlineLevel="1" x14ac:dyDescent="0.3">
      <c r="B40" s="66" t="s">
        <v>208</v>
      </c>
      <c r="C40" s="60" t="s">
        <v>127</v>
      </c>
      <c r="D40" s="72" t="s">
        <v>232</v>
      </c>
      <c r="E40" s="61"/>
      <c r="F40" s="61"/>
      <c r="G40" s="61"/>
      <c r="H40" s="61"/>
      <c r="I40" s="61"/>
      <c r="J40" s="61"/>
      <c r="K40" s="61"/>
      <c r="L40" s="61"/>
      <c r="M40" s="64"/>
      <c r="N40" s="64"/>
      <c r="O40" s="52"/>
      <c r="P40" s="62"/>
      <c r="Q40" s="62"/>
      <c r="R40" s="62"/>
      <c r="S40" s="62"/>
      <c r="T40" s="62"/>
      <c r="U40" s="62"/>
      <c r="V40" s="60" t="s">
        <v>235</v>
      </c>
    </row>
    <row r="41" spans="2:22" ht="19.95" customHeight="1" outlineLevel="1" x14ac:dyDescent="0.3">
      <c r="B41" s="66" t="s">
        <v>208</v>
      </c>
      <c r="C41" s="59" t="s">
        <v>24</v>
      </c>
      <c r="D41" s="68" t="s">
        <v>139</v>
      </c>
      <c r="E41" s="61"/>
      <c r="F41" s="61"/>
      <c r="G41" s="61"/>
      <c r="H41" s="61"/>
      <c r="I41" s="61"/>
      <c r="J41" s="61"/>
      <c r="K41" s="61"/>
      <c r="L41" s="64"/>
      <c r="M41" s="64"/>
      <c r="N41" s="62"/>
      <c r="O41" s="63">
        <v>45940</v>
      </c>
      <c r="P41" s="62"/>
      <c r="Q41" s="62"/>
      <c r="R41" s="62"/>
      <c r="S41" s="62"/>
      <c r="T41" s="62"/>
      <c r="U41" s="62"/>
      <c r="V41" s="60" t="s">
        <v>233</v>
      </c>
    </row>
    <row r="42" spans="2:22" ht="19.95" customHeight="1" outlineLevel="1" x14ac:dyDescent="0.3">
      <c r="B42" s="66" t="s">
        <v>208</v>
      </c>
      <c r="C42" s="59" t="s">
        <v>25</v>
      </c>
      <c r="D42" s="69" t="s">
        <v>218</v>
      </c>
      <c r="E42" s="61"/>
      <c r="F42" s="61"/>
      <c r="G42" s="64"/>
      <c r="H42" s="62"/>
      <c r="I42" s="62"/>
      <c r="J42" s="62"/>
      <c r="K42" s="62"/>
      <c r="L42" s="62"/>
      <c r="M42" s="62"/>
      <c r="N42" s="62"/>
      <c r="O42" s="63">
        <v>45960</v>
      </c>
      <c r="P42" s="62"/>
      <c r="Q42" s="62"/>
      <c r="R42" s="62"/>
      <c r="S42" s="62"/>
      <c r="T42" s="62"/>
      <c r="U42" s="62"/>
      <c r="V42" s="60" t="s">
        <v>137</v>
      </c>
    </row>
    <row r="43" spans="2:22" ht="19.95" customHeight="1" outlineLevel="1" x14ac:dyDescent="0.3">
      <c r="B43" s="66" t="s">
        <v>208</v>
      </c>
      <c r="C43" s="59" t="s">
        <v>26</v>
      </c>
      <c r="D43" s="69" t="s">
        <v>218</v>
      </c>
      <c r="E43" s="64"/>
      <c r="F43" s="62"/>
      <c r="G43" s="62"/>
      <c r="H43" s="62"/>
      <c r="I43" s="62"/>
      <c r="J43" s="62"/>
      <c r="K43" s="62"/>
      <c r="L43" s="62"/>
      <c r="M43" s="62"/>
      <c r="N43" s="62"/>
      <c r="O43" s="63">
        <v>45960</v>
      </c>
      <c r="P43" s="62"/>
      <c r="Q43" s="62"/>
      <c r="R43" s="62"/>
      <c r="S43" s="62"/>
      <c r="T43" s="62"/>
      <c r="U43" s="62"/>
      <c r="V43" s="60" t="s">
        <v>137</v>
      </c>
    </row>
    <row r="44" spans="2:22" ht="19.95" customHeight="1" outlineLevel="1" x14ac:dyDescent="0.3">
      <c r="B44" s="66" t="s">
        <v>208</v>
      </c>
      <c r="C44" s="59" t="s">
        <v>126</v>
      </c>
      <c r="D44" s="69" t="s">
        <v>218</v>
      </c>
      <c r="E44" s="61"/>
      <c r="F44" s="61"/>
      <c r="G44" s="64"/>
      <c r="H44" s="62"/>
      <c r="I44" s="62"/>
      <c r="J44" s="62"/>
      <c r="K44" s="62"/>
      <c r="L44" s="62"/>
      <c r="M44" s="62"/>
      <c r="N44" s="62"/>
      <c r="O44" s="63">
        <v>45960</v>
      </c>
      <c r="P44" s="62"/>
      <c r="Q44" s="62"/>
      <c r="R44" s="62"/>
      <c r="S44" s="62"/>
      <c r="T44" s="62"/>
      <c r="U44" s="62"/>
      <c r="V44" s="60" t="s">
        <v>186</v>
      </c>
    </row>
    <row r="45" spans="2:22" ht="19.95" customHeight="1" outlineLevel="1" x14ac:dyDescent="0.3">
      <c r="B45" s="66" t="s">
        <v>208</v>
      </c>
      <c r="C45" s="59" t="s">
        <v>27</v>
      </c>
      <c r="D45" s="68" t="s">
        <v>241</v>
      </c>
      <c r="E45" s="61"/>
      <c r="F45" s="61"/>
      <c r="G45" s="64"/>
      <c r="H45" s="62"/>
      <c r="I45" s="62"/>
      <c r="J45" s="62"/>
      <c r="K45" s="62"/>
      <c r="L45" s="62"/>
      <c r="M45" s="62"/>
      <c r="N45" s="62"/>
      <c r="O45" s="63">
        <v>45938</v>
      </c>
      <c r="P45" s="62"/>
      <c r="Q45" s="62"/>
      <c r="R45" s="62"/>
      <c r="S45" s="62"/>
      <c r="T45" s="62"/>
      <c r="U45" s="62"/>
      <c r="V45" s="60" t="s">
        <v>186</v>
      </c>
    </row>
    <row r="46" spans="2:22" ht="19.95" customHeight="1" outlineLevel="1" x14ac:dyDescent="0.3">
      <c r="B46" s="66" t="s">
        <v>208</v>
      </c>
      <c r="C46" s="59" t="s">
        <v>28</v>
      </c>
      <c r="D46" s="69" t="s">
        <v>218</v>
      </c>
      <c r="E46" s="64"/>
      <c r="F46" s="62"/>
      <c r="G46" s="62"/>
      <c r="H46" s="62"/>
      <c r="I46" s="62"/>
      <c r="J46" s="62"/>
      <c r="K46" s="62"/>
      <c r="L46" s="62"/>
      <c r="M46" s="62"/>
      <c r="N46" s="62"/>
      <c r="O46" s="52"/>
      <c r="P46" s="62"/>
      <c r="Q46" s="62"/>
      <c r="R46" s="62"/>
      <c r="S46" s="62"/>
      <c r="T46" s="62"/>
      <c r="U46" s="62"/>
      <c r="V46" s="60" t="s">
        <v>138</v>
      </c>
    </row>
    <row r="47" spans="2:22" ht="19.95" customHeight="1" outlineLevel="1" x14ac:dyDescent="0.3">
      <c r="B47" s="66" t="s">
        <v>208</v>
      </c>
      <c r="C47" s="59" t="s">
        <v>29</v>
      </c>
      <c r="D47" s="69" t="s">
        <v>218</v>
      </c>
      <c r="E47" s="64"/>
      <c r="F47" s="62"/>
      <c r="G47" s="62"/>
      <c r="H47" s="62"/>
      <c r="I47" s="62"/>
      <c r="J47" s="62"/>
      <c r="K47" s="62"/>
      <c r="L47" s="62"/>
      <c r="M47" s="62"/>
      <c r="N47" s="62"/>
      <c r="O47" s="52"/>
      <c r="P47" s="62"/>
      <c r="Q47" s="62"/>
      <c r="R47" s="62"/>
      <c r="S47" s="62"/>
      <c r="T47" s="62"/>
      <c r="U47" s="62"/>
      <c r="V47" s="60" t="s">
        <v>138</v>
      </c>
    </row>
    <row r="48" spans="2:22" ht="19.95" customHeight="1" outlineLevel="1" x14ac:dyDescent="0.3">
      <c r="B48" s="66" t="s">
        <v>208</v>
      </c>
      <c r="C48" s="59" t="s">
        <v>30</v>
      </c>
      <c r="D48" s="69" t="s">
        <v>218</v>
      </c>
      <c r="E48" s="64"/>
      <c r="F48" s="62"/>
      <c r="G48" s="62"/>
      <c r="H48" s="62"/>
      <c r="I48" s="62"/>
      <c r="J48" s="62"/>
      <c r="K48" s="62"/>
      <c r="L48" s="62"/>
      <c r="M48" s="62"/>
      <c r="N48" s="62"/>
      <c r="O48" s="52"/>
      <c r="P48" s="62"/>
      <c r="Q48" s="62"/>
      <c r="R48" s="62"/>
      <c r="S48" s="62"/>
      <c r="T48" s="62"/>
      <c r="U48" s="62"/>
      <c r="V48" s="60" t="s">
        <v>138</v>
      </c>
    </row>
    <row r="49" spans="2:22" ht="19.95" customHeight="1" outlineLevel="1" x14ac:dyDescent="0.3">
      <c r="B49" s="66" t="s">
        <v>208</v>
      </c>
      <c r="C49" s="59" t="s">
        <v>31</v>
      </c>
      <c r="D49" s="69" t="s">
        <v>218</v>
      </c>
      <c r="E49" s="64"/>
      <c r="F49" s="62"/>
      <c r="G49" s="62"/>
      <c r="H49" s="62"/>
      <c r="I49" s="62"/>
      <c r="J49" s="62"/>
      <c r="K49" s="62"/>
      <c r="L49" s="62"/>
      <c r="M49" s="62"/>
      <c r="N49" s="62"/>
      <c r="O49" s="52"/>
      <c r="P49" s="62"/>
      <c r="Q49" s="62"/>
      <c r="R49" s="62"/>
      <c r="S49" s="62"/>
      <c r="T49" s="62"/>
      <c r="U49" s="62"/>
      <c r="V49" s="60" t="s">
        <v>138</v>
      </c>
    </row>
    <row r="50" spans="2:22" ht="19.95" customHeight="1" outlineLevel="1" x14ac:dyDescent="0.3">
      <c r="B50" s="66" t="s">
        <v>208</v>
      </c>
      <c r="C50" s="59" t="s">
        <v>32</v>
      </c>
      <c r="D50" s="69" t="s">
        <v>218</v>
      </c>
      <c r="E50" s="64"/>
      <c r="F50" s="62"/>
      <c r="G50" s="62"/>
      <c r="H50" s="62"/>
      <c r="I50" s="62"/>
      <c r="J50" s="62"/>
      <c r="K50" s="62"/>
      <c r="L50" s="62"/>
      <c r="M50" s="62"/>
      <c r="N50" s="62"/>
      <c r="O50" s="52"/>
      <c r="P50" s="62"/>
      <c r="Q50" s="62"/>
      <c r="R50" s="62"/>
      <c r="S50" s="62"/>
      <c r="T50" s="62"/>
      <c r="U50" s="62"/>
      <c r="V50" s="60" t="s">
        <v>138</v>
      </c>
    </row>
    <row r="51" spans="2:22" ht="19.95" customHeight="1" outlineLevel="1" x14ac:dyDescent="0.3">
      <c r="B51" s="66" t="s">
        <v>208</v>
      </c>
      <c r="C51" s="59" t="s">
        <v>181</v>
      </c>
      <c r="D51" s="69" t="s">
        <v>218</v>
      </c>
      <c r="E51" s="64"/>
      <c r="F51" s="62"/>
      <c r="G51" s="62"/>
      <c r="H51" s="62"/>
      <c r="I51" s="62"/>
      <c r="J51" s="62"/>
      <c r="K51" s="62"/>
      <c r="L51" s="62"/>
      <c r="M51" s="62"/>
      <c r="N51" s="62"/>
      <c r="O51" s="52"/>
      <c r="P51" s="62"/>
      <c r="Q51" s="62"/>
      <c r="R51" s="62"/>
      <c r="S51" s="62"/>
      <c r="T51" s="62"/>
      <c r="U51" s="62"/>
      <c r="V51" s="60" t="s">
        <v>106</v>
      </c>
    </row>
    <row r="52" spans="2:22" ht="19.95" customHeight="1" outlineLevel="1" x14ac:dyDescent="0.3">
      <c r="B52" s="66" t="s">
        <v>208</v>
      </c>
      <c r="C52" s="59" t="s">
        <v>182</v>
      </c>
      <c r="D52" s="69" t="s">
        <v>218</v>
      </c>
      <c r="E52" s="64"/>
      <c r="F52" s="62"/>
      <c r="G52" s="62"/>
      <c r="H52" s="62"/>
      <c r="I52" s="62"/>
      <c r="J52" s="62"/>
      <c r="K52" s="62"/>
      <c r="L52" s="62"/>
      <c r="M52" s="62"/>
      <c r="N52" s="62"/>
      <c r="O52" s="52"/>
      <c r="P52" s="62"/>
      <c r="Q52" s="62"/>
      <c r="R52" s="62"/>
      <c r="S52" s="62"/>
      <c r="T52" s="62"/>
      <c r="U52" s="62"/>
      <c r="V52" s="60" t="s">
        <v>183</v>
      </c>
    </row>
    <row r="53" spans="2:22" ht="19.95" customHeight="1" outlineLevel="1" x14ac:dyDescent="0.3">
      <c r="B53" s="66" t="s">
        <v>208</v>
      </c>
      <c r="C53" s="59" t="s">
        <v>33</v>
      </c>
      <c r="D53" s="69" t="s">
        <v>218</v>
      </c>
      <c r="E53" s="64"/>
      <c r="F53" s="62"/>
      <c r="G53" s="62"/>
      <c r="H53" s="62"/>
      <c r="I53" s="62"/>
      <c r="J53" s="62"/>
      <c r="K53" s="62"/>
      <c r="L53" s="62"/>
      <c r="M53" s="62"/>
      <c r="N53" s="62"/>
      <c r="O53" s="52"/>
      <c r="P53" s="62"/>
      <c r="Q53" s="62"/>
      <c r="R53" s="62"/>
      <c r="S53" s="62"/>
      <c r="T53" s="62"/>
      <c r="U53" s="62"/>
      <c r="V53" s="60" t="s">
        <v>106</v>
      </c>
    </row>
    <row r="54" spans="2:22" ht="19.95" customHeight="1" x14ac:dyDescent="0.3">
      <c r="B54" s="67"/>
      <c r="C54" s="50" t="s">
        <v>16</v>
      </c>
      <c r="D54" s="51"/>
      <c r="E54" s="53"/>
      <c r="F54" s="53"/>
      <c r="G54" s="53"/>
      <c r="H54" s="53"/>
      <c r="I54" s="53"/>
      <c r="J54" s="53"/>
      <c r="K54" s="53"/>
      <c r="L54" s="53"/>
      <c r="M54" s="53"/>
      <c r="N54" s="53"/>
      <c r="O54" s="53"/>
      <c r="P54" s="53"/>
      <c r="Q54" s="53"/>
      <c r="R54" s="53"/>
      <c r="S54" s="53"/>
      <c r="T54" s="53"/>
      <c r="U54" s="53"/>
      <c r="V54" s="51"/>
    </row>
    <row r="55" spans="2:22" ht="19.95" customHeight="1" outlineLevel="1" x14ac:dyDescent="0.3">
      <c r="B55" s="62" t="s">
        <v>208</v>
      </c>
      <c r="C55" s="59" t="s">
        <v>36</v>
      </c>
      <c r="D55" s="69" t="s">
        <v>218</v>
      </c>
      <c r="E55" s="64"/>
      <c r="F55" s="62"/>
      <c r="G55" s="62"/>
      <c r="H55" s="62"/>
      <c r="I55" s="62"/>
      <c r="J55" s="62"/>
      <c r="K55" s="62"/>
      <c r="L55" s="62"/>
      <c r="M55" s="62"/>
      <c r="N55" s="62"/>
      <c r="O55" s="52"/>
      <c r="P55" s="62"/>
      <c r="Q55" s="62"/>
      <c r="R55" s="62"/>
      <c r="S55" s="62"/>
      <c r="T55" s="62"/>
      <c r="U55" s="62"/>
      <c r="V55" s="60" t="s">
        <v>140</v>
      </c>
    </row>
    <row r="56" spans="2:22" ht="19.95" customHeight="1" outlineLevel="1" x14ac:dyDescent="0.3">
      <c r="B56" s="62" t="s">
        <v>208</v>
      </c>
      <c r="C56" s="59" t="s">
        <v>37</v>
      </c>
      <c r="D56" s="69" t="s">
        <v>218</v>
      </c>
      <c r="E56" s="64"/>
      <c r="F56" s="62"/>
      <c r="G56" s="62"/>
      <c r="H56" s="62"/>
      <c r="I56" s="62"/>
      <c r="J56" s="62"/>
      <c r="K56" s="62"/>
      <c r="L56" s="62"/>
      <c r="M56" s="62"/>
      <c r="N56" s="62"/>
      <c r="O56" s="52"/>
      <c r="P56" s="62"/>
      <c r="Q56" s="62"/>
      <c r="R56" s="62"/>
      <c r="S56" s="62"/>
      <c r="T56" s="62"/>
      <c r="U56" s="62"/>
      <c r="V56" s="60" t="s">
        <v>140</v>
      </c>
    </row>
    <row r="57" spans="2:22" ht="19.95" customHeight="1" outlineLevel="1" x14ac:dyDescent="0.3">
      <c r="B57" s="62" t="s">
        <v>208</v>
      </c>
      <c r="C57" s="59" t="s">
        <v>38</v>
      </c>
      <c r="D57" s="69" t="s">
        <v>218</v>
      </c>
      <c r="E57" s="64"/>
      <c r="F57" s="62"/>
      <c r="G57" s="62"/>
      <c r="H57" s="62"/>
      <c r="I57" s="62"/>
      <c r="J57" s="62"/>
      <c r="K57" s="62"/>
      <c r="L57" s="62"/>
      <c r="M57" s="62"/>
      <c r="N57" s="62"/>
      <c r="O57" s="52"/>
      <c r="P57" s="62"/>
      <c r="Q57" s="62"/>
      <c r="R57" s="62"/>
      <c r="S57" s="62"/>
      <c r="T57" s="62"/>
      <c r="U57" s="62"/>
      <c r="V57" s="60" t="s">
        <v>140</v>
      </c>
    </row>
    <row r="58" spans="2:22" ht="19.95" customHeight="1" x14ac:dyDescent="0.3">
      <c r="B58" s="67"/>
      <c r="C58" s="50" t="s">
        <v>210</v>
      </c>
      <c r="D58" s="51"/>
      <c r="E58" s="53"/>
      <c r="F58" s="53"/>
      <c r="G58" s="53"/>
      <c r="H58" s="53"/>
      <c r="I58" s="53"/>
      <c r="J58" s="53"/>
      <c r="K58" s="53"/>
      <c r="L58" s="53"/>
      <c r="M58" s="53"/>
      <c r="N58" s="53"/>
      <c r="O58" s="53"/>
      <c r="P58" s="53"/>
      <c r="Q58" s="53"/>
      <c r="R58" s="53"/>
      <c r="S58" s="53"/>
      <c r="T58" s="53"/>
      <c r="U58" s="53"/>
      <c r="V58" s="51"/>
    </row>
    <row r="59" spans="2:22" ht="19.95" customHeight="1" x14ac:dyDescent="0.3">
      <c r="B59" s="62" t="s">
        <v>209</v>
      </c>
      <c r="C59" s="38" t="s">
        <v>150</v>
      </c>
      <c r="D59" s="66" t="s">
        <v>153</v>
      </c>
      <c r="E59" s="59"/>
      <c r="F59" s="59"/>
      <c r="G59" s="59"/>
      <c r="H59" s="59"/>
      <c r="I59" s="59"/>
      <c r="J59" s="59"/>
      <c r="K59" s="59"/>
      <c r="L59" s="59"/>
      <c r="M59" s="59"/>
      <c r="N59" s="59"/>
      <c r="O59" s="59"/>
      <c r="P59" s="59"/>
      <c r="Q59" s="59"/>
      <c r="R59" s="59"/>
      <c r="S59" s="59"/>
      <c r="T59" s="59"/>
      <c r="U59" s="59"/>
      <c r="V59" s="60"/>
    </row>
    <row r="60" spans="2:22" ht="19.95" customHeight="1" x14ac:dyDescent="0.3">
      <c r="B60" s="62" t="s">
        <v>209</v>
      </c>
      <c r="C60" s="38" t="s">
        <v>149</v>
      </c>
      <c r="D60" s="66"/>
      <c r="E60" s="59"/>
      <c r="F60" s="59"/>
      <c r="G60" s="59"/>
      <c r="H60" s="59"/>
      <c r="I60" s="59"/>
      <c r="J60" s="59"/>
      <c r="K60" s="59"/>
      <c r="L60" s="59"/>
      <c r="M60" s="59"/>
      <c r="N60" s="59"/>
      <c r="O60" s="59"/>
      <c r="P60" s="59"/>
      <c r="Q60" s="59"/>
      <c r="R60" s="59"/>
      <c r="S60" s="59"/>
      <c r="T60" s="59"/>
      <c r="U60" s="59"/>
      <c r="V60" s="60"/>
    </row>
    <row r="61" spans="2:22" ht="19.95" customHeight="1" x14ac:dyDescent="0.3">
      <c r="B61" s="62" t="s">
        <v>209</v>
      </c>
      <c r="C61" s="38" t="s">
        <v>128</v>
      </c>
      <c r="D61" s="66"/>
      <c r="E61" s="59"/>
      <c r="F61" s="59"/>
      <c r="G61" s="59"/>
      <c r="H61" s="59"/>
      <c r="I61" s="59"/>
      <c r="J61" s="59"/>
      <c r="K61" s="59"/>
      <c r="L61" s="59"/>
      <c r="M61" s="59"/>
      <c r="N61" s="59"/>
      <c r="O61" s="59"/>
      <c r="P61" s="59"/>
      <c r="Q61" s="59"/>
      <c r="R61" s="59"/>
      <c r="S61" s="59"/>
      <c r="T61" s="59"/>
      <c r="U61" s="59"/>
      <c r="V61" s="60"/>
    </row>
    <row r="62" spans="2:22" ht="19.95" customHeight="1" x14ac:dyDescent="0.3">
      <c r="B62" s="62" t="s">
        <v>209</v>
      </c>
      <c r="C62" s="38" t="s">
        <v>129</v>
      </c>
      <c r="D62" s="66"/>
      <c r="E62" s="59"/>
      <c r="F62" s="59"/>
      <c r="G62" s="59"/>
      <c r="H62" s="59"/>
      <c r="I62" s="59"/>
      <c r="J62" s="59"/>
      <c r="K62" s="59"/>
      <c r="L62" s="59"/>
      <c r="M62" s="59"/>
      <c r="N62" s="59"/>
      <c r="O62" s="59"/>
      <c r="P62" s="59"/>
      <c r="Q62" s="59"/>
      <c r="R62" s="59"/>
      <c r="S62" s="59"/>
      <c r="T62" s="59"/>
      <c r="U62" s="59"/>
      <c r="V62" s="60"/>
    </row>
    <row r="63" spans="2:22" ht="19.95" customHeight="1" x14ac:dyDescent="0.3">
      <c r="B63" s="62" t="s">
        <v>209</v>
      </c>
      <c r="C63" s="38" t="s">
        <v>132</v>
      </c>
      <c r="D63" s="66"/>
      <c r="E63" s="59"/>
      <c r="F63" s="59"/>
      <c r="G63" s="59"/>
      <c r="H63" s="59"/>
      <c r="I63" s="59"/>
      <c r="J63" s="59"/>
      <c r="K63" s="59"/>
      <c r="L63" s="59"/>
      <c r="M63" s="59"/>
      <c r="N63" s="59"/>
      <c r="O63" s="59"/>
      <c r="P63" s="59"/>
      <c r="Q63" s="59"/>
      <c r="R63" s="59"/>
      <c r="S63" s="59"/>
      <c r="T63" s="59"/>
      <c r="U63" s="59"/>
      <c r="V63" s="60"/>
    </row>
    <row r="64" spans="2:22" ht="19.95" customHeight="1" x14ac:dyDescent="0.3">
      <c r="B64" s="62" t="s">
        <v>211</v>
      </c>
      <c r="C64" s="38" t="s">
        <v>130</v>
      </c>
      <c r="D64" s="66"/>
      <c r="E64" s="59"/>
      <c r="F64" s="59"/>
      <c r="G64" s="59"/>
      <c r="H64" s="59"/>
      <c r="I64" s="59"/>
      <c r="J64" s="59"/>
      <c r="K64" s="59"/>
      <c r="L64" s="59"/>
      <c r="M64" s="59"/>
      <c r="N64" s="59"/>
      <c r="O64" s="59"/>
      <c r="P64" s="59"/>
      <c r="Q64" s="59"/>
      <c r="R64" s="59"/>
      <c r="S64" s="59"/>
      <c r="T64" s="59"/>
      <c r="U64" s="59"/>
      <c r="V64" s="60"/>
    </row>
    <row r="65" spans="2:22" ht="19.95" customHeight="1" x14ac:dyDescent="0.3">
      <c r="B65" s="62" t="s">
        <v>211</v>
      </c>
      <c r="C65" s="38" t="s">
        <v>131</v>
      </c>
      <c r="D65" s="66"/>
      <c r="E65" s="59"/>
      <c r="F65" s="59"/>
      <c r="G65" s="59"/>
      <c r="H65" s="59"/>
      <c r="I65" s="59"/>
      <c r="J65" s="59"/>
      <c r="K65" s="59"/>
      <c r="L65" s="59"/>
      <c r="M65" s="59"/>
      <c r="N65" s="59"/>
      <c r="O65" s="59"/>
      <c r="P65" s="59"/>
      <c r="Q65" s="59"/>
      <c r="R65" s="59"/>
      <c r="S65" s="59"/>
      <c r="T65" s="59"/>
      <c r="U65" s="59"/>
      <c r="V65" s="60"/>
    </row>
    <row r="66" spans="2:22" ht="19.95" customHeight="1" x14ac:dyDescent="0.3">
      <c r="B66" s="62" t="s">
        <v>209</v>
      </c>
      <c r="C66" s="38" t="s">
        <v>133</v>
      </c>
      <c r="D66" s="66"/>
      <c r="E66" s="59"/>
      <c r="F66" s="59"/>
      <c r="G66" s="59"/>
      <c r="H66" s="59"/>
      <c r="I66" s="59"/>
      <c r="J66" s="59"/>
      <c r="K66" s="59"/>
      <c r="L66" s="59"/>
      <c r="M66" s="59"/>
      <c r="N66" s="59"/>
      <c r="O66" s="59"/>
      <c r="P66" s="59"/>
      <c r="Q66" s="59"/>
      <c r="R66" s="59"/>
      <c r="S66" s="59"/>
      <c r="T66" s="59"/>
      <c r="U66" s="59"/>
      <c r="V66" s="60"/>
    </row>
    <row r="67" spans="2:22" ht="19.95" customHeight="1" x14ac:dyDescent="0.3">
      <c r="B67" s="62" t="s">
        <v>209</v>
      </c>
      <c r="C67" s="38" t="s">
        <v>134</v>
      </c>
      <c r="D67" s="66"/>
      <c r="E67" s="59"/>
      <c r="F67" s="59"/>
      <c r="G67" s="59"/>
      <c r="H67" s="59"/>
      <c r="I67" s="59"/>
      <c r="J67" s="59"/>
      <c r="K67" s="59"/>
      <c r="L67" s="59"/>
      <c r="M67" s="59"/>
      <c r="N67" s="59"/>
      <c r="O67" s="59"/>
      <c r="P67" s="59"/>
      <c r="Q67" s="59"/>
      <c r="R67" s="59"/>
      <c r="S67" s="59"/>
      <c r="T67" s="59"/>
      <c r="U67" s="59"/>
      <c r="V67" s="60"/>
    </row>
    <row r="68" spans="2:22" ht="19.95" customHeight="1" x14ac:dyDescent="0.3">
      <c r="B68" s="62"/>
      <c r="C68" s="59"/>
      <c r="D68" s="66"/>
      <c r="E68" s="59"/>
      <c r="F68" s="59"/>
      <c r="G68" s="59"/>
      <c r="H68" s="59"/>
      <c r="I68" s="59"/>
      <c r="J68" s="59"/>
      <c r="K68" s="59"/>
      <c r="L68" s="59"/>
      <c r="M68" s="59"/>
      <c r="N68" s="59"/>
      <c r="O68" s="59"/>
      <c r="P68" s="59"/>
      <c r="Q68" s="59"/>
      <c r="R68" s="59"/>
      <c r="S68" s="59"/>
      <c r="T68" s="59"/>
      <c r="U68" s="59"/>
      <c r="V68" s="60"/>
    </row>
    <row r="69" spans="2:22" ht="19.95" customHeight="1" x14ac:dyDescent="0.3">
      <c r="B69" s="62"/>
      <c r="C69" s="59"/>
      <c r="D69" s="66"/>
      <c r="E69" s="59"/>
      <c r="F69" s="59"/>
      <c r="G69" s="59"/>
      <c r="H69" s="59"/>
      <c r="I69" s="59"/>
      <c r="J69" s="59"/>
      <c r="K69" s="59"/>
      <c r="L69" s="59"/>
      <c r="M69" s="59"/>
      <c r="N69" s="59"/>
      <c r="O69" s="59"/>
      <c r="P69" s="59"/>
      <c r="Q69" s="59"/>
      <c r="R69" s="59"/>
      <c r="S69" s="59"/>
      <c r="T69" s="59"/>
      <c r="U69" s="59"/>
      <c r="V69" s="60"/>
    </row>
    <row r="70" spans="2:22" ht="19.95" customHeight="1" x14ac:dyDescent="0.3">
      <c r="B70" s="62"/>
      <c r="C70" s="59"/>
      <c r="D70" s="66"/>
      <c r="E70" s="59"/>
      <c r="F70" s="59"/>
      <c r="G70" s="59"/>
      <c r="H70" s="59"/>
      <c r="I70" s="59"/>
      <c r="J70" s="59"/>
      <c r="K70" s="59"/>
      <c r="L70" s="59"/>
      <c r="M70" s="59"/>
      <c r="N70" s="59"/>
      <c r="O70" s="59"/>
      <c r="P70" s="59"/>
      <c r="Q70" s="59"/>
      <c r="R70" s="59"/>
      <c r="S70" s="59"/>
      <c r="T70" s="59"/>
      <c r="U70" s="59"/>
      <c r="V70" s="60"/>
    </row>
    <row r="71" spans="2:22" ht="19.95" customHeight="1" x14ac:dyDescent="0.3">
      <c r="B71" s="62"/>
      <c r="C71" s="59"/>
      <c r="D71" s="66"/>
      <c r="E71" s="59"/>
      <c r="F71" s="59"/>
      <c r="G71" s="59"/>
      <c r="H71" s="59"/>
      <c r="I71" s="59"/>
      <c r="J71" s="59"/>
      <c r="K71" s="59"/>
      <c r="L71" s="59"/>
      <c r="M71" s="59"/>
      <c r="N71" s="59"/>
      <c r="O71" s="59"/>
      <c r="P71" s="59"/>
      <c r="Q71" s="59"/>
      <c r="R71" s="59"/>
      <c r="S71" s="59"/>
      <c r="T71" s="59"/>
      <c r="U71" s="59"/>
      <c r="V71" s="60"/>
    </row>
  </sheetData>
  <mergeCells count="3">
    <mergeCell ref="O3:O7"/>
    <mergeCell ref="A3:A9"/>
    <mergeCell ref="A11:A19"/>
  </mergeCells>
  <pageMargins left="0.7" right="0.7" top="0.75" bottom="0.75" header="0.3" footer="0.3"/>
  <pageSetup paperSize="8" scale="67" fitToWidth="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9C99C-8C78-4795-A855-9D2C359F5C60}">
  <dimension ref="A1:V49"/>
  <sheetViews>
    <sheetView zoomScale="80" zoomScaleNormal="80" workbookViewId="0">
      <pane xSplit="3" ySplit="2" topLeftCell="D3" activePane="bottomRight" state="frozen"/>
      <selection activeCell="A30" sqref="A30"/>
      <selection pane="topRight" activeCell="A30" sqref="A30"/>
      <selection pane="bottomLeft" activeCell="A30" sqref="A30"/>
      <selection pane="bottomRight" activeCell="A30" sqref="A30"/>
    </sheetView>
  </sheetViews>
  <sheetFormatPr defaultRowHeight="14.4" x14ac:dyDescent="0.3"/>
  <cols>
    <col min="1" max="1" width="19.109375" style="10" bestFit="1" customWidth="1"/>
    <col min="2" max="2" width="8.21875" style="10" bestFit="1" customWidth="1"/>
    <col min="3" max="3" width="13" style="10" customWidth="1"/>
    <col min="4" max="8" width="3.77734375" style="10" customWidth="1"/>
    <col min="9" max="15" width="3.77734375" style="41" customWidth="1"/>
    <col min="16" max="16" width="6.77734375" style="41" customWidth="1"/>
    <col min="17" max="18" width="9.6640625" style="41" bestFit="1" customWidth="1"/>
    <col min="19" max="19" width="11.109375" style="41" bestFit="1" customWidth="1"/>
    <col min="20" max="21" width="8.33203125" style="41" bestFit="1" customWidth="1"/>
    <col min="22" max="22" width="45" style="41" bestFit="1" customWidth="1"/>
    <col min="23" max="16384" width="8.88671875" style="41"/>
  </cols>
  <sheetData>
    <row r="1" spans="1:22" s="27" customFormat="1" ht="26.4" customHeight="1" x14ac:dyDescent="0.3">
      <c r="A1" s="152" t="s">
        <v>40</v>
      </c>
      <c r="B1" s="153" t="s">
        <v>75</v>
      </c>
      <c r="C1" s="153" t="s">
        <v>0</v>
      </c>
      <c r="D1" s="154" t="s">
        <v>161</v>
      </c>
      <c r="E1" s="155"/>
      <c r="F1" s="155"/>
      <c r="G1" s="155"/>
      <c r="H1" s="156"/>
      <c r="I1" s="157" t="s">
        <v>90</v>
      </c>
      <c r="J1" s="157"/>
      <c r="K1" s="157"/>
      <c r="L1" s="157"/>
      <c r="M1" s="157"/>
      <c r="N1" s="157"/>
      <c r="O1" s="157"/>
      <c r="P1" s="157"/>
      <c r="Q1" s="157" t="s">
        <v>93</v>
      </c>
      <c r="R1" s="157"/>
      <c r="S1" s="157"/>
      <c r="T1" s="157"/>
      <c r="U1" s="157"/>
      <c r="V1" s="158" t="s">
        <v>46</v>
      </c>
    </row>
    <row r="2" spans="1:22" ht="103.8" customHeight="1" x14ac:dyDescent="0.3">
      <c r="A2" s="152"/>
      <c r="B2" s="153"/>
      <c r="C2" s="153"/>
      <c r="D2" s="46" t="s">
        <v>162</v>
      </c>
      <c r="E2" s="46" t="s">
        <v>163</v>
      </c>
      <c r="F2" s="46" t="s">
        <v>164</v>
      </c>
      <c r="G2" s="46" t="s">
        <v>165</v>
      </c>
      <c r="H2" s="46" t="s">
        <v>166</v>
      </c>
      <c r="I2" s="46" t="s">
        <v>167</v>
      </c>
      <c r="J2" s="46" t="s">
        <v>168</v>
      </c>
      <c r="K2" s="46" t="s">
        <v>169</v>
      </c>
      <c r="L2" s="46" t="s">
        <v>170</v>
      </c>
      <c r="M2" s="46" t="s">
        <v>171</v>
      </c>
      <c r="N2" s="46" t="s">
        <v>172</v>
      </c>
      <c r="O2" s="46" t="s">
        <v>173</v>
      </c>
      <c r="P2" s="25" t="s">
        <v>91</v>
      </c>
      <c r="Q2" s="5" t="s">
        <v>94</v>
      </c>
      <c r="R2" s="5" t="s">
        <v>95</v>
      </c>
      <c r="S2" s="5" t="s">
        <v>96</v>
      </c>
      <c r="T2" s="5" t="s">
        <v>88</v>
      </c>
      <c r="U2" s="5" t="s">
        <v>89</v>
      </c>
      <c r="V2" s="158"/>
    </row>
    <row r="3" spans="1:22" ht="30" customHeight="1" x14ac:dyDescent="0.3">
      <c r="A3" s="149" t="s">
        <v>99</v>
      </c>
      <c r="B3" s="13" t="s">
        <v>76</v>
      </c>
      <c r="C3" s="14" t="s">
        <v>78</v>
      </c>
      <c r="D3" s="7"/>
      <c r="E3" s="15"/>
      <c r="F3" s="7"/>
      <c r="G3" s="7"/>
      <c r="H3" s="7"/>
      <c r="I3" s="15"/>
      <c r="J3" s="15"/>
      <c r="K3" s="7"/>
      <c r="L3" s="7"/>
      <c r="M3" s="15"/>
      <c r="N3" s="7"/>
      <c r="O3" s="7"/>
      <c r="P3" s="26" t="s">
        <v>97</v>
      </c>
      <c r="Q3" s="16">
        <v>45809</v>
      </c>
      <c r="R3" s="16">
        <f>Q3+60</f>
        <v>45869</v>
      </c>
      <c r="S3" s="15">
        <f>Q3+51</f>
        <v>45860</v>
      </c>
      <c r="T3" s="20">
        <v>1</v>
      </c>
      <c r="U3" s="43">
        <v>1</v>
      </c>
      <c r="V3" s="150" t="s">
        <v>225</v>
      </c>
    </row>
    <row r="4" spans="1:22" ht="30" customHeight="1" x14ac:dyDescent="0.3">
      <c r="A4" s="149"/>
      <c r="B4" s="13" t="s">
        <v>77</v>
      </c>
      <c r="C4" s="14" t="s">
        <v>79</v>
      </c>
      <c r="D4" s="7"/>
      <c r="E4" s="15"/>
      <c r="F4" s="7"/>
      <c r="G4" s="7"/>
      <c r="H4" s="7"/>
      <c r="I4" s="15"/>
      <c r="J4" s="15"/>
      <c r="K4" s="7"/>
      <c r="L4" s="7"/>
      <c r="M4" s="15"/>
      <c r="N4" s="7"/>
      <c r="O4" s="7"/>
      <c r="P4" s="26" t="s">
        <v>97</v>
      </c>
      <c r="Q4" s="16">
        <v>45480</v>
      </c>
      <c r="R4" s="16">
        <v>45960</v>
      </c>
      <c r="S4" s="16"/>
      <c r="T4" s="20"/>
      <c r="U4" s="39">
        <v>0.7</v>
      </c>
      <c r="V4" s="151"/>
    </row>
    <row r="5" spans="1:22" ht="30" customHeight="1" x14ac:dyDescent="0.3">
      <c r="A5" s="149" t="s">
        <v>100</v>
      </c>
      <c r="B5" s="13" t="s">
        <v>76</v>
      </c>
      <c r="C5" s="14" t="s">
        <v>78</v>
      </c>
      <c r="D5" s="7"/>
      <c r="E5" s="15"/>
      <c r="F5" s="7"/>
      <c r="G5" s="7"/>
      <c r="H5" s="7"/>
      <c r="I5" s="15"/>
      <c r="J5" s="15"/>
      <c r="K5" s="7"/>
      <c r="L5" s="7"/>
      <c r="M5" s="15"/>
      <c r="N5" s="7"/>
      <c r="O5" s="7"/>
      <c r="P5" s="26" t="s">
        <v>97</v>
      </c>
      <c r="Q5" s="16">
        <v>45870</v>
      </c>
      <c r="R5" s="16">
        <f>Q5+90</f>
        <v>45960</v>
      </c>
      <c r="S5" s="16"/>
      <c r="T5" s="20">
        <v>0.5</v>
      </c>
      <c r="U5" s="39">
        <v>0.6</v>
      </c>
      <c r="V5" s="150" t="s">
        <v>157</v>
      </c>
    </row>
    <row r="6" spans="1:22" ht="30" customHeight="1" x14ac:dyDescent="0.3">
      <c r="A6" s="149"/>
      <c r="B6" s="13" t="s">
        <v>77</v>
      </c>
      <c r="C6" s="14" t="s">
        <v>79</v>
      </c>
      <c r="D6" s="7"/>
      <c r="E6" s="15"/>
      <c r="F6" s="7"/>
      <c r="G6" s="7"/>
      <c r="H6" s="7"/>
      <c r="I6" s="15"/>
      <c r="J6" s="15"/>
      <c r="K6" s="7"/>
      <c r="L6" s="7"/>
      <c r="M6" s="21"/>
      <c r="N6" s="22"/>
      <c r="O6" s="7"/>
      <c r="P6" s="26" t="s">
        <v>97</v>
      </c>
      <c r="Q6" s="36"/>
      <c r="R6" s="36"/>
      <c r="S6" s="36"/>
      <c r="T6" s="37"/>
      <c r="U6" s="37"/>
      <c r="V6" s="151"/>
    </row>
    <row r="7" spans="1:22" ht="30" customHeight="1" x14ac:dyDescent="0.3">
      <c r="A7" s="13" t="s">
        <v>107</v>
      </c>
      <c r="B7" s="13" t="s">
        <v>76</v>
      </c>
      <c r="C7" s="14" t="s">
        <v>78</v>
      </c>
      <c r="D7" s="7"/>
      <c r="E7" s="15"/>
      <c r="F7" s="7"/>
      <c r="G7" s="7"/>
      <c r="H7" s="7"/>
      <c r="I7" s="15"/>
      <c r="J7" s="15"/>
      <c r="K7" s="7"/>
      <c r="L7" s="7"/>
      <c r="M7" s="15"/>
      <c r="N7" s="7"/>
      <c r="O7" s="7"/>
      <c r="P7" s="26" t="s">
        <v>97</v>
      </c>
      <c r="Q7" s="16">
        <v>45825</v>
      </c>
      <c r="R7" s="16">
        <v>45960</v>
      </c>
      <c r="S7" s="16"/>
      <c r="T7" s="20"/>
      <c r="U7" s="39">
        <v>0.43</v>
      </c>
      <c r="V7" s="38" t="s">
        <v>158</v>
      </c>
    </row>
    <row r="8" spans="1:22" ht="30" customHeight="1" x14ac:dyDescent="0.3">
      <c r="A8" s="149" t="s">
        <v>101</v>
      </c>
      <c r="B8" s="13" t="s">
        <v>76</v>
      </c>
      <c r="C8" s="14" t="s">
        <v>80</v>
      </c>
      <c r="D8" s="7"/>
      <c r="E8" s="15"/>
      <c r="F8" s="7"/>
      <c r="G8" s="7"/>
      <c r="H8" s="7"/>
      <c r="I8" s="15"/>
      <c r="J8" s="15"/>
      <c r="K8" s="7"/>
      <c r="L8" s="7"/>
      <c r="M8" s="15"/>
      <c r="N8" s="7"/>
      <c r="O8" s="7"/>
      <c r="P8" s="26" t="s">
        <v>97</v>
      </c>
      <c r="Q8" s="16">
        <v>45838</v>
      </c>
      <c r="R8" s="16">
        <v>45960</v>
      </c>
      <c r="S8" s="16"/>
      <c r="T8" s="20"/>
      <c r="U8" s="39">
        <v>0.85</v>
      </c>
      <c r="V8" s="150" t="s">
        <v>160</v>
      </c>
    </row>
    <row r="9" spans="1:22" ht="30" customHeight="1" x14ac:dyDescent="0.3">
      <c r="A9" s="149"/>
      <c r="B9" s="13" t="s">
        <v>77</v>
      </c>
      <c r="C9" s="14" t="s">
        <v>81</v>
      </c>
      <c r="D9" s="7"/>
      <c r="E9" s="15"/>
      <c r="F9" s="7"/>
      <c r="G9" s="7"/>
      <c r="H9" s="7"/>
      <c r="I9" s="15"/>
      <c r="J9" s="15"/>
      <c r="K9" s="7"/>
      <c r="L9" s="7"/>
      <c r="M9" s="15"/>
      <c r="N9" s="7"/>
      <c r="O9" s="7"/>
      <c r="P9" s="26" t="s">
        <v>97</v>
      </c>
      <c r="Q9" s="16">
        <v>45916</v>
      </c>
      <c r="R9" s="16">
        <v>45991</v>
      </c>
      <c r="S9" s="8"/>
      <c r="T9" s="20"/>
      <c r="U9" s="20"/>
      <c r="V9" s="151"/>
    </row>
    <row r="10" spans="1:22" ht="30" customHeight="1" x14ac:dyDescent="0.3">
      <c r="A10" s="149" t="s">
        <v>151</v>
      </c>
      <c r="B10" s="13" t="s">
        <v>76</v>
      </c>
      <c r="C10" s="14" t="s">
        <v>78</v>
      </c>
      <c r="D10" s="7"/>
      <c r="E10" s="15"/>
      <c r="F10" s="7"/>
      <c r="G10" s="15"/>
      <c r="H10" s="15"/>
      <c r="I10" s="15"/>
      <c r="J10" s="15"/>
      <c r="K10" s="7"/>
      <c r="L10" s="7"/>
      <c r="M10" s="15"/>
      <c r="N10" s="7"/>
      <c r="O10" s="7"/>
      <c r="P10" s="26" t="s">
        <v>97</v>
      </c>
      <c r="Q10" s="16">
        <v>45876</v>
      </c>
      <c r="R10" s="16">
        <v>45961</v>
      </c>
      <c r="S10" s="16"/>
      <c r="T10" s="20"/>
      <c r="U10" s="39">
        <v>0.28999999999999998</v>
      </c>
      <c r="V10" s="150" t="s">
        <v>159</v>
      </c>
    </row>
    <row r="11" spans="1:22" ht="30" customHeight="1" x14ac:dyDescent="0.3">
      <c r="A11" s="149"/>
      <c r="B11" s="13" t="s">
        <v>77</v>
      </c>
      <c r="C11" s="14" t="s">
        <v>79</v>
      </c>
      <c r="D11" s="7"/>
      <c r="E11" s="15"/>
      <c r="F11" s="15"/>
      <c r="G11" s="15"/>
      <c r="H11" s="15"/>
      <c r="I11" s="15"/>
      <c r="J11" s="15"/>
      <c r="K11" s="7"/>
      <c r="L11" s="7"/>
      <c r="M11" s="15"/>
      <c r="N11" s="7"/>
      <c r="O11" s="7"/>
      <c r="P11" s="26" t="s">
        <v>97</v>
      </c>
      <c r="Q11" s="16">
        <v>45915</v>
      </c>
      <c r="R11" s="16">
        <v>45991</v>
      </c>
      <c r="S11" s="8"/>
      <c r="T11" s="20"/>
      <c r="U11" s="20"/>
      <c r="V11" s="150"/>
    </row>
    <row r="12" spans="1:22" ht="30" customHeight="1" x14ac:dyDescent="0.3">
      <c r="A12" s="13" t="s">
        <v>223</v>
      </c>
      <c r="B12" s="13" t="s">
        <v>76</v>
      </c>
      <c r="C12" s="14" t="s">
        <v>80</v>
      </c>
      <c r="D12" s="7"/>
      <c r="E12" s="44"/>
      <c r="F12" s="45"/>
      <c r="G12" s="15"/>
      <c r="H12" s="15"/>
      <c r="I12" s="15"/>
      <c r="J12" s="15"/>
      <c r="K12" s="15"/>
      <c r="L12" s="15"/>
      <c r="M12" s="15"/>
      <c r="N12" s="15"/>
      <c r="O12" s="15"/>
      <c r="P12" s="31" t="s">
        <v>97</v>
      </c>
      <c r="Q12" s="16">
        <v>45901</v>
      </c>
      <c r="R12" s="16">
        <f>Q12+(4.5*30)</f>
        <v>46036</v>
      </c>
      <c r="S12" s="8"/>
      <c r="T12" s="20"/>
      <c r="U12" s="39">
        <v>0.1</v>
      </c>
      <c r="V12" s="18" t="s">
        <v>143</v>
      </c>
    </row>
    <row r="13" spans="1:22" ht="30" customHeight="1" x14ac:dyDescent="0.3">
      <c r="A13" s="159" t="s">
        <v>102</v>
      </c>
      <c r="B13" s="13" t="s">
        <v>76</v>
      </c>
      <c r="C13" s="14" t="s">
        <v>78</v>
      </c>
      <c r="D13" s="7"/>
      <c r="E13" s="44"/>
      <c r="F13" s="45"/>
      <c r="G13" s="15"/>
      <c r="H13" s="15"/>
      <c r="I13" s="15"/>
      <c r="J13" s="15"/>
      <c r="K13" s="15"/>
      <c r="L13" s="15"/>
      <c r="M13" s="15"/>
      <c r="N13" s="40"/>
      <c r="O13" s="8"/>
      <c r="P13" s="31"/>
      <c r="Q13" s="16">
        <v>45927</v>
      </c>
      <c r="R13" s="16">
        <v>45991</v>
      </c>
      <c r="S13" s="8"/>
      <c r="T13" s="20"/>
      <c r="U13" s="16"/>
      <c r="V13" s="150" t="s">
        <v>189</v>
      </c>
    </row>
    <row r="14" spans="1:22" ht="30" customHeight="1" x14ac:dyDescent="0.3">
      <c r="A14" s="160"/>
      <c r="B14" s="13" t="s">
        <v>77</v>
      </c>
      <c r="C14" s="14" t="s">
        <v>226</v>
      </c>
      <c r="D14" s="7"/>
      <c r="E14" s="44"/>
      <c r="F14" s="45"/>
      <c r="G14" s="15"/>
      <c r="H14" s="15"/>
      <c r="I14" s="15"/>
      <c r="J14" s="15"/>
      <c r="K14" s="15"/>
      <c r="L14" s="15"/>
      <c r="M14" s="15"/>
      <c r="N14" s="40"/>
      <c r="O14" s="8"/>
      <c r="P14" s="31"/>
      <c r="Q14" s="16">
        <v>45927</v>
      </c>
      <c r="R14" s="16">
        <v>45991</v>
      </c>
      <c r="S14" s="8"/>
      <c r="T14" s="20"/>
      <c r="U14" s="20"/>
      <c r="V14" s="150"/>
    </row>
    <row r="15" spans="1:22" ht="30" customHeight="1" x14ac:dyDescent="0.3">
      <c r="A15" s="149" t="s">
        <v>103</v>
      </c>
      <c r="B15" s="13" t="s">
        <v>76</v>
      </c>
      <c r="C15" s="14" t="s">
        <v>80</v>
      </c>
      <c r="D15" s="7"/>
      <c r="E15" s="44"/>
      <c r="F15" s="45"/>
      <c r="G15" s="15"/>
      <c r="H15" s="15"/>
      <c r="I15" s="15"/>
      <c r="J15" s="15"/>
      <c r="K15" s="15"/>
      <c r="L15" s="15"/>
      <c r="M15" s="15"/>
      <c r="N15" s="40"/>
      <c r="O15" s="8"/>
      <c r="P15" s="174">
        <v>45930</v>
      </c>
      <c r="Q15" s="16">
        <v>45927</v>
      </c>
      <c r="R15" s="16">
        <v>45991</v>
      </c>
      <c r="S15" s="8"/>
      <c r="T15" s="20"/>
      <c r="U15" s="20"/>
      <c r="V15" s="150" t="s">
        <v>189</v>
      </c>
    </row>
    <row r="16" spans="1:22" ht="30" customHeight="1" x14ac:dyDescent="0.3">
      <c r="A16" s="149"/>
      <c r="B16" s="13" t="s">
        <v>77</v>
      </c>
      <c r="C16" s="14" t="s">
        <v>81</v>
      </c>
      <c r="D16" s="7"/>
      <c r="E16" s="16"/>
      <c r="F16" s="16"/>
      <c r="G16" s="15"/>
      <c r="H16" s="15"/>
      <c r="I16" s="15"/>
      <c r="J16" s="15"/>
      <c r="K16" s="15"/>
      <c r="L16" s="15"/>
      <c r="M16" s="15"/>
      <c r="N16" s="40"/>
      <c r="O16" s="8"/>
      <c r="P16" s="174"/>
      <c r="Q16" s="16">
        <v>45927</v>
      </c>
      <c r="R16" s="16">
        <v>45991</v>
      </c>
      <c r="S16" s="8"/>
      <c r="T16" s="20"/>
      <c r="U16" s="20"/>
      <c r="V16" s="150"/>
    </row>
    <row r="17" spans="1:22" ht="30" customHeight="1" x14ac:dyDescent="0.3">
      <c r="A17" s="149" t="s">
        <v>104</v>
      </c>
      <c r="B17" s="13" t="s">
        <v>76</v>
      </c>
      <c r="C17" s="14"/>
      <c r="D17" s="40"/>
      <c r="E17" s="16"/>
      <c r="F17" s="8"/>
      <c r="G17" s="8"/>
      <c r="H17" s="8"/>
      <c r="I17" s="40"/>
      <c r="J17" s="16"/>
      <c r="K17" s="8"/>
      <c r="L17" s="8"/>
      <c r="M17" s="16"/>
      <c r="N17" s="8"/>
      <c r="O17" s="8"/>
      <c r="P17" s="174">
        <v>45930</v>
      </c>
      <c r="Q17" s="8"/>
      <c r="R17" s="8"/>
      <c r="S17" s="8"/>
      <c r="T17" s="20"/>
      <c r="U17" s="20"/>
      <c r="V17" s="150" t="s">
        <v>142</v>
      </c>
    </row>
    <row r="18" spans="1:22" ht="30" customHeight="1" x14ac:dyDescent="0.3">
      <c r="A18" s="149"/>
      <c r="B18" s="13" t="s">
        <v>77</v>
      </c>
      <c r="C18" s="14"/>
      <c r="D18" s="40"/>
      <c r="E18" s="16"/>
      <c r="F18" s="8"/>
      <c r="G18" s="8"/>
      <c r="H18" s="8"/>
      <c r="I18" s="40"/>
      <c r="J18" s="16"/>
      <c r="K18" s="8"/>
      <c r="L18" s="8"/>
      <c r="M18" s="16"/>
      <c r="N18" s="8"/>
      <c r="O18" s="8"/>
      <c r="P18" s="175"/>
      <c r="Q18" s="8"/>
      <c r="R18" s="8"/>
      <c r="S18" s="8"/>
      <c r="T18" s="20"/>
      <c r="U18" s="20"/>
      <c r="V18" s="150"/>
    </row>
    <row r="19" spans="1:22" ht="30" customHeight="1" x14ac:dyDescent="0.3">
      <c r="A19" s="149" t="s">
        <v>105</v>
      </c>
      <c r="B19" s="13" t="s">
        <v>76</v>
      </c>
      <c r="C19" s="14"/>
      <c r="D19" s="40"/>
      <c r="E19" s="16"/>
      <c r="F19" s="8"/>
      <c r="G19" s="8"/>
      <c r="H19" s="8"/>
      <c r="I19" s="8"/>
      <c r="J19" s="16"/>
      <c r="K19" s="8"/>
      <c r="L19" s="8"/>
      <c r="M19" s="16"/>
      <c r="N19" s="8"/>
      <c r="O19" s="8"/>
      <c r="P19" s="174">
        <v>45930</v>
      </c>
      <c r="Q19" s="8"/>
      <c r="R19" s="8"/>
      <c r="S19" s="8"/>
      <c r="T19" s="20"/>
      <c r="U19" s="20"/>
      <c r="V19" s="150" t="s">
        <v>142</v>
      </c>
    </row>
    <row r="20" spans="1:22" ht="30" customHeight="1" x14ac:dyDescent="0.3">
      <c r="A20" s="149"/>
      <c r="B20" s="13" t="s">
        <v>77</v>
      </c>
      <c r="C20" s="14"/>
      <c r="D20" s="40"/>
      <c r="E20" s="16"/>
      <c r="F20" s="8"/>
      <c r="G20" s="8"/>
      <c r="H20" s="8"/>
      <c r="I20" s="8"/>
      <c r="J20" s="16"/>
      <c r="K20" s="8"/>
      <c r="L20" s="8"/>
      <c r="M20" s="16"/>
      <c r="N20" s="8"/>
      <c r="O20" s="8"/>
      <c r="P20" s="175"/>
      <c r="Q20" s="8"/>
      <c r="R20" s="8"/>
      <c r="S20" s="8"/>
      <c r="T20" s="20"/>
      <c r="U20" s="20"/>
      <c r="V20" s="150"/>
    </row>
    <row r="21" spans="1:22" ht="30" customHeight="1" x14ac:dyDescent="0.3">
      <c r="A21" s="159" t="s">
        <v>92</v>
      </c>
      <c r="B21" s="13" t="s">
        <v>76</v>
      </c>
      <c r="C21" s="14"/>
      <c r="D21" s="40"/>
      <c r="E21" s="45"/>
      <c r="F21" s="45"/>
      <c r="G21" s="8"/>
      <c r="H21" s="8"/>
      <c r="I21" s="40"/>
      <c r="J21" s="16"/>
      <c r="K21" s="8"/>
      <c r="L21" s="8"/>
      <c r="M21" s="16"/>
      <c r="N21" s="8"/>
      <c r="O21" s="8"/>
      <c r="P21" s="172">
        <v>45945</v>
      </c>
      <c r="Q21" s="161">
        <v>45931</v>
      </c>
      <c r="R21" s="161">
        <v>45746</v>
      </c>
      <c r="S21" s="8"/>
      <c r="T21" s="20"/>
      <c r="U21" s="163"/>
      <c r="V21" s="165" t="s">
        <v>190</v>
      </c>
    </row>
    <row r="22" spans="1:22" ht="30" customHeight="1" x14ac:dyDescent="0.3">
      <c r="A22" s="160"/>
      <c r="B22" s="13" t="s">
        <v>187</v>
      </c>
      <c r="C22" s="14" t="s">
        <v>188</v>
      </c>
      <c r="D22" s="40"/>
      <c r="E22" s="45"/>
      <c r="F22" s="45"/>
      <c r="G22" s="8"/>
      <c r="H22" s="8"/>
      <c r="I22" s="15"/>
      <c r="J22" s="15"/>
      <c r="K22" s="15"/>
      <c r="L22" s="15"/>
      <c r="M22" s="40"/>
      <c r="N22" s="8"/>
      <c r="O22" s="8"/>
      <c r="P22" s="173"/>
      <c r="Q22" s="162"/>
      <c r="R22" s="162"/>
      <c r="S22" s="8"/>
      <c r="T22" s="20"/>
      <c r="U22" s="164"/>
      <c r="V22" s="166"/>
    </row>
    <row r="23" spans="1:22" ht="30" customHeight="1" x14ac:dyDescent="0.3">
      <c r="A23" s="159" t="s">
        <v>98</v>
      </c>
      <c r="B23" s="13" t="s">
        <v>76</v>
      </c>
      <c r="C23" s="14"/>
      <c r="D23" s="40"/>
      <c r="E23" s="45"/>
      <c r="F23" s="45"/>
      <c r="G23" s="8"/>
      <c r="H23" s="8"/>
      <c r="I23" s="40"/>
      <c r="J23" s="16"/>
      <c r="K23" s="8"/>
      <c r="L23" s="8"/>
      <c r="M23" s="16"/>
      <c r="N23" s="8"/>
      <c r="O23" s="8"/>
      <c r="P23" s="172">
        <v>45945</v>
      </c>
      <c r="Q23" s="161">
        <v>45962</v>
      </c>
      <c r="R23" s="161">
        <v>45746</v>
      </c>
      <c r="S23" s="8"/>
      <c r="T23" s="20"/>
      <c r="U23" s="163"/>
      <c r="V23" s="165" t="s">
        <v>191</v>
      </c>
    </row>
    <row r="24" spans="1:22" ht="30" customHeight="1" x14ac:dyDescent="0.3">
      <c r="A24" s="160"/>
      <c r="B24" s="13" t="s">
        <v>187</v>
      </c>
      <c r="C24" s="14" t="s">
        <v>188</v>
      </c>
      <c r="D24" s="40"/>
      <c r="E24" s="45"/>
      <c r="F24" s="45"/>
      <c r="G24" s="8"/>
      <c r="H24" s="8"/>
      <c r="I24" s="15"/>
      <c r="J24" s="15"/>
      <c r="K24" s="15"/>
      <c r="L24" s="15"/>
      <c r="M24" s="40"/>
      <c r="N24" s="8"/>
      <c r="O24" s="8"/>
      <c r="P24" s="173"/>
      <c r="Q24" s="162"/>
      <c r="R24" s="162"/>
      <c r="S24" s="8"/>
      <c r="T24" s="20"/>
      <c r="U24" s="164"/>
      <c r="V24" s="166"/>
    </row>
    <row r="25" spans="1:22" ht="30" customHeight="1" x14ac:dyDescent="0.3">
      <c r="A25" s="159" t="s">
        <v>141</v>
      </c>
      <c r="B25" s="13" t="s">
        <v>76</v>
      </c>
      <c r="C25" s="14"/>
      <c r="D25" s="40"/>
      <c r="E25" s="45"/>
      <c r="F25" s="45"/>
      <c r="G25" s="8"/>
      <c r="H25" s="8"/>
      <c r="I25" s="40"/>
      <c r="J25" s="16"/>
      <c r="K25" s="8"/>
      <c r="L25" s="8"/>
      <c r="M25" s="16"/>
      <c r="N25" s="8"/>
      <c r="O25" s="8"/>
      <c r="P25" s="172">
        <v>45945</v>
      </c>
      <c r="Q25" s="161">
        <v>45962</v>
      </c>
      <c r="R25" s="161">
        <v>45746</v>
      </c>
      <c r="S25" s="8"/>
      <c r="T25" s="20"/>
      <c r="U25" s="163"/>
      <c r="V25" s="165" t="s">
        <v>191</v>
      </c>
    </row>
    <row r="26" spans="1:22" ht="30" customHeight="1" x14ac:dyDescent="0.3">
      <c r="A26" s="160"/>
      <c r="B26" s="13" t="s">
        <v>187</v>
      </c>
      <c r="C26" s="14" t="s">
        <v>188</v>
      </c>
      <c r="D26" s="40"/>
      <c r="E26" s="45"/>
      <c r="F26" s="45"/>
      <c r="G26" s="8"/>
      <c r="H26" s="8"/>
      <c r="I26" s="15"/>
      <c r="J26" s="15"/>
      <c r="K26" s="15"/>
      <c r="L26" s="15"/>
      <c r="M26" s="40"/>
      <c r="N26" s="8"/>
      <c r="O26" s="8"/>
      <c r="P26" s="173"/>
      <c r="Q26" s="162"/>
      <c r="R26" s="162"/>
      <c r="S26" s="8"/>
      <c r="T26" s="20"/>
      <c r="U26" s="164"/>
      <c r="V26" s="166"/>
    </row>
    <row r="27" spans="1:22" ht="30" customHeight="1" x14ac:dyDescent="0.3">
      <c r="A27" s="167" t="s">
        <v>144</v>
      </c>
      <c r="B27" s="167"/>
      <c r="C27" s="167"/>
      <c r="D27" s="167"/>
      <c r="E27" s="167"/>
      <c r="F27" s="167"/>
      <c r="G27" s="167"/>
      <c r="H27" s="167"/>
      <c r="I27" s="167"/>
      <c r="J27" s="167"/>
      <c r="K27" s="167"/>
      <c r="L27" s="167"/>
      <c r="M27" s="167"/>
      <c r="N27" s="167"/>
      <c r="O27" s="167"/>
      <c r="P27" s="167"/>
      <c r="Q27" s="167"/>
      <c r="R27" s="167"/>
      <c r="S27" s="167"/>
      <c r="T27" s="167"/>
      <c r="U27" s="167"/>
      <c r="V27" s="167"/>
    </row>
    <row r="28" spans="1:22" ht="30" customHeight="1" x14ac:dyDescent="0.3">
      <c r="A28" s="13" t="s">
        <v>180</v>
      </c>
      <c r="B28" s="13" t="s">
        <v>193</v>
      </c>
      <c r="C28" s="13" t="s">
        <v>192</v>
      </c>
      <c r="D28" s="7"/>
      <c r="E28" s="45"/>
      <c r="F28" s="45"/>
      <c r="G28" s="7"/>
      <c r="H28" s="7"/>
      <c r="I28" s="7"/>
      <c r="J28" s="7"/>
      <c r="K28" s="7"/>
      <c r="L28" s="7"/>
      <c r="M28" s="7"/>
      <c r="N28" s="7"/>
      <c r="O28" s="7"/>
      <c r="P28" s="31"/>
      <c r="Q28" s="16">
        <v>45901</v>
      </c>
      <c r="R28" s="16">
        <v>46112</v>
      </c>
      <c r="S28" s="8"/>
      <c r="T28" s="8"/>
      <c r="U28" s="8"/>
      <c r="V28" s="18" t="s">
        <v>194</v>
      </c>
    </row>
    <row r="29" spans="1:22" ht="30" customHeight="1" x14ac:dyDescent="0.3">
      <c r="A29" s="13" t="s">
        <v>150</v>
      </c>
      <c r="B29" s="13" t="s">
        <v>135</v>
      </c>
      <c r="C29" s="13" t="s">
        <v>153</v>
      </c>
      <c r="D29" s="7"/>
      <c r="E29" s="45"/>
      <c r="F29" s="45"/>
      <c r="G29" s="7"/>
      <c r="H29" s="7"/>
      <c r="I29" s="7"/>
      <c r="J29" s="7"/>
      <c r="K29" s="7"/>
      <c r="L29" s="7"/>
      <c r="M29" s="7"/>
      <c r="N29" s="7"/>
      <c r="O29" s="7"/>
      <c r="P29" s="31" t="s">
        <v>97</v>
      </c>
      <c r="Q29" s="16">
        <v>45823</v>
      </c>
      <c r="R29" s="16">
        <v>45930</v>
      </c>
      <c r="S29" s="8"/>
      <c r="T29" s="8"/>
      <c r="U29" s="8"/>
      <c r="V29" s="18" t="s">
        <v>152</v>
      </c>
    </row>
    <row r="30" spans="1:22" ht="30" customHeight="1" x14ac:dyDescent="0.3">
      <c r="A30" s="13" t="s">
        <v>145</v>
      </c>
      <c r="B30" s="13" t="s">
        <v>76</v>
      </c>
      <c r="C30" s="13" t="s">
        <v>78</v>
      </c>
      <c r="D30" s="7"/>
      <c r="E30" s="45"/>
      <c r="F30" s="45"/>
      <c r="G30" s="7"/>
      <c r="H30" s="7"/>
      <c r="I30" s="7"/>
      <c r="J30" s="7"/>
      <c r="K30" s="7"/>
      <c r="L30" s="7"/>
      <c r="M30" s="7"/>
      <c r="N30" s="7"/>
      <c r="O30" s="7"/>
      <c r="P30" s="31"/>
      <c r="Q30" s="16">
        <v>45910</v>
      </c>
      <c r="R30" s="16">
        <v>45930</v>
      </c>
      <c r="S30" s="8"/>
      <c r="T30" s="8"/>
      <c r="U30" s="42">
        <v>0.05</v>
      </c>
      <c r="V30" s="38" t="s">
        <v>154</v>
      </c>
    </row>
    <row r="31" spans="1:22" ht="30" customHeight="1" x14ac:dyDescent="0.3">
      <c r="A31" s="13" t="s">
        <v>146</v>
      </c>
      <c r="B31" s="13" t="s">
        <v>76</v>
      </c>
      <c r="C31" s="13"/>
      <c r="D31" s="7"/>
      <c r="E31" s="45"/>
      <c r="F31" s="45"/>
      <c r="G31" s="8"/>
      <c r="H31" s="8"/>
      <c r="I31" s="7"/>
      <c r="J31" s="40"/>
      <c r="K31" s="8"/>
      <c r="L31" s="8"/>
      <c r="M31" s="8"/>
      <c r="N31" s="8"/>
      <c r="O31" s="8"/>
      <c r="P31" s="31"/>
      <c r="Q31" s="8"/>
      <c r="R31" s="8"/>
      <c r="S31" s="8"/>
      <c r="T31" s="8"/>
      <c r="U31" s="8"/>
      <c r="V31" s="38" t="s">
        <v>155</v>
      </c>
    </row>
    <row r="32" spans="1:22" ht="30" customHeight="1" x14ac:dyDescent="0.3">
      <c r="A32" s="13" t="s">
        <v>147</v>
      </c>
      <c r="B32" s="13" t="s">
        <v>76</v>
      </c>
      <c r="C32" s="13"/>
      <c r="D32" s="7"/>
      <c r="E32" s="45"/>
      <c r="F32" s="45"/>
      <c r="G32" s="8"/>
      <c r="H32" s="8"/>
      <c r="I32" s="7"/>
      <c r="J32" s="40"/>
      <c r="K32" s="8"/>
      <c r="L32" s="8"/>
      <c r="M32" s="8"/>
      <c r="N32" s="8"/>
      <c r="O32" s="8"/>
      <c r="P32" s="31"/>
      <c r="Q32" s="8"/>
      <c r="R32" s="8"/>
      <c r="S32" s="8"/>
      <c r="T32" s="8"/>
      <c r="U32" s="8"/>
      <c r="V32" s="38" t="s">
        <v>155</v>
      </c>
    </row>
    <row r="33" spans="1:22" ht="30" customHeight="1" x14ac:dyDescent="0.3">
      <c r="A33" s="13" t="s">
        <v>148</v>
      </c>
      <c r="B33" s="13" t="s">
        <v>76</v>
      </c>
      <c r="C33" s="13"/>
      <c r="D33" s="28"/>
      <c r="E33" s="45"/>
      <c r="F33" s="45"/>
      <c r="G33" s="8"/>
      <c r="H33" s="8"/>
      <c r="I33" s="40"/>
      <c r="J33" s="8"/>
      <c r="K33" s="8"/>
      <c r="L33" s="8"/>
      <c r="M33" s="8"/>
      <c r="N33" s="8"/>
      <c r="O33" s="8"/>
      <c r="P33" s="31"/>
      <c r="Q33" s="8"/>
      <c r="R33" s="8"/>
      <c r="S33" s="8"/>
      <c r="T33" s="8"/>
      <c r="U33" s="8"/>
      <c r="V33" s="38" t="s">
        <v>140</v>
      </c>
    </row>
    <row r="34" spans="1:22" ht="30" customHeight="1" x14ac:dyDescent="0.3">
      <c r="A34" s="13" t="s">
        <v>149</v>
      </c>
      <c r="B34" s="13" t="s">
        <v>76</v>
      </c>
      <c r="C34" s="13"/>
      <c r="D34" s="28"/>
      <c r="E34" s="45"/>
      <c r="F34" s="45"/>
      <c r="G34" s="8"/>
      <c r="H34" s="8"/>
      <c r="I34" s="40"/>
      <c r="J34" s="8"/>
      <c r="K34" s="8"/>
      <c r="L34" s="8"/>
      <c r="M34" s="8"/>
      <c r="N34" s="8"/>
      <c r="O34" s="8"/>
      <c r="P34" s="31"/>
      <c r="Q34" s="8"/>
      <c r="R34" s="8"/>
      <c r="S34" s="8"/>
      <c r="T34" s="8"/>
      <c r="U34" s="8"/>
      <c r="V34" s="38" t="s">
        <v>176</v>
      </c>
    </row>
    <row r="35" spans="1:22" ht="30" customHeight="1" x14ac:dyDescent="0.3">
      <c r="A35" s="13" t="s">
        <v>128</v>
      </c>
      <c r="B35" s="13" t="s">
        <v>135</v>
      </c>
      <c r="C35" s="13"/>
      <c r="D35" s="28"/>
      <c r="E35" s="45"/>
      <c r="F35" s="45"/>
      <c r="G35" s="8"/>
      <c r="H35" s="8"/>
      <c r="I35" s="7"/>
      <c r="J35" s="7"/>
      <c r="K35" s="40"/>
      <c r="L35" s="8"/>
      <c r="M35" s="8"/>
      <c r="N35" s="8"/>
      <c r="O35" s="8"/>
      <c r="P35" s="31"/>
      <c r="Q35" s="8"/>
      <c r="R35" s="8"/>
      <c r="S35" s="8"/>
      <c r="T35" s="8"/>
      <c r="U35" s="8"/>
      <c r="V35" s="18" t="s">
        <v>175</v>
      </c>
    </row>
    <row r="36" spans="1:22" ht="30" customHeight="1" x14ac:dyDescent="0.3">
      <c r="A36" s="13" t="s">
        <v>129</v>
      </c>
      <c r="B36" s="13" t="s">
        <v>135</v>
      </c>
      <c r="C36" s="13"/>
      <c r="D36" s="28"/>
      <c r="E36" s="45"/>
      <c r="F36" s="45"/>
      <c r="G36" s="8"/>
      <c r="H36" s="8"/>
      <c r="I36" s="40"/>
      <c r="J36" s="8"/>
      <c r="K36" s="8"/>
      <c r="L36" s="8"/>
      <c r="M36" s="8"/>
      <c r="N36" s="8"/>
      <c r="O36" s="8"/>
      <c r="P36" s="31"/>
      <c r="Q36" s="8"/>
      <c r="R36" s="8"/>
      <c r="S36" s="8"/>
      <c r="T36" s="8"/>
      <c r="U36" s="8"/>
      <c r="V36" s="38" t="s">
        <v>140</v>
      </c>
    </row>
    <row r="37" spans="1:22" ht="30" customHeight="1" x14ac:dyDescent="0.3">
      <c r="A37" s="13" t="s">
        <v>132</v>
      </c>
      <c r="B37" s="13" t="s">
        <v>135</v>
      </c>
      <c r="C37" s="13" t="s">
        <v>156</v>
      </c>
      <c r="D37" s="28"/>
      <c r="E37" s="45"/>
      <c r="F37" s="45"/>
      <c r="G37" s="8"/>
      <c r="H37" s="8"/>
      <c r="I37" s="7"/>
      <c r="J37" s="7"/>
      <c r="K37" s="7"/>
      <c r="L37" s="7"/>
      <c r="M37" s="7"/>
      <c r="N37" s="7"/>
      <c r="O37" s="8"/>
      <c r="P37" s="31"/>
      <c r="Q37" s="8"/>
      <c r="R37" s="8"/>
      <c r="S37" s="8"/>
      <c r="T37" s="8"/>
      <c r="U37" s="8"/>
      <c r="V37" s="38" t="s">
        <v>174</v>
      </c>
    </row>
    <row r="38" spans="1:22" ht="30" customHeight="1" x14ac:dyDescent="0.3">
      <c r="A38" s="13" t="s">
        <v>130</v>
      </c>
      <c r="B38" s="13" t="s">
        <v>135</v>
      </c>
      <c r="C38" s="13"/>
      <c r="D38" s="28"/>
      <c r="E38" s="45"/>
      <c r="F38" s="45"/>
      <c r="G38" s="8"/>
      <c r="H38" s="8"/>
      <c r="I38" s="7"/>
      <c r="J38" s="7"/>
      <c r="K38" s="8"/>
      <c r="L38" s="8"/>
      <c r="M38" s="8"/>
      <c r="N38" s="8"/>
      <c r="O38" s="8"/>
      <c r="P38" s="31"/>
      <c r="Q38" s="8"/>
      <c r="R38" s="8"/>
      <c r="S38" s="8"/>
      <c r="T38" s="8"/>
      <c r="U38" s="8"/>
      <c r="V38" s="38" t="s">
        <v>177</v>
      </c>
    </row>
    <row r="39" spans="1:22" ht="30" customHeight="1" x14ac:dyDescent="0.3">
      <c r="A39" s="13" t="s">
        <v>131</v>
      </c>
      <c r="B39" s="13" t="s">
        <v>135</v>
      </c>
      <c r="C39" s="13"/>
      <c r="D39" s="28"/>
      <c r="E39" s="45"/>
      <c r="F39" s="45"/>
      <c r="G39" s="8"/>
      <c r="H39" s="8"/>
      <c r="I39" s="40"/>
      <c r="J39" s="8"/>
      <c r="K39" s="8"/>
      <c r="L39" s="8"/>
      <c r="M39" s="8"/>
      <c r="N39" s="8"/>
      <c r="O39" s="8"/>
      <c r="P39" s="31"/>
      <c r="Q39" s="8"/>
      <c r="R39" s="8"/>
      <c r="S39" s="8"/>
      <c r="T39" s="8"/>
      <c r="U39" s="8"/>
      <c r="V39" s="38" t="s">
        <v>140</v>
      </c>
    </row>
    <row r="40" spans="1:22" ht="30" customHeight="1" x14ac:dyDescent="0.3">
      <c r="A40" s="13" t="s">
        <v>133</v>
      </c>
      <c r="B40" s="13" t="s">
        <v>135</v>
      </c>
      <c r="C40" s="13"/>
      <c r="D40" s="28"/>
      <c r="E40" s="45"/>
      <c r="F40" s="45"/>
      <c r="G40" s="8"/>
      <c r="H40" s="8"/>
      <c r="I40" s="28"/>
      <c r="J40" s="8"/>
      <c r="K40" s="8"/>
      <c r="L40" s="8"/>
      <c r="M40" s="8"/>
      <c r="N40" s="8"/>
      <c r="O40" s="8"/>
      <c r="P40" s="31"/>
      <c r="Q40" s="8"/>
      <c r="R40" s="8"/>
      <c r="S40" s="8"/>
      <c r="T40" s="8"/>
      <c r="U40" s="8"/>
      <c r="V40" s="38" t="s">
        <v>140</v>
      </c>
    </row>
    <row r="41" spans="1:22" ht="30" customHeight="1" x14ac:dyDescent="0.3">
      <c r="A41" s="13" t="s">
        <v>134</v>
      </c>
      <c r="B41" s="13" t="s">
        <v>135</v>
      </c>
      <c r="C41" s="13"/>
      <c r="D41" s="28"/>
      <c r="E41" s="45"/>
      <c r="F41" s="45"/>
      <c r="G41" s="8"/>
      <c r="H41" s="8"/>
      <c r="I41" s="28"/>
      <c r="J41" s="8"/>
      <c r="K41" s="8"/>
      <c r="L41" s="8"/>
      <c r="M41" s="8"/>
      <c r="N41" s="8"/>
      <c r="O41" s="8"/>
      <c r="P41" s="31"/>
      <c r="Q41" s="8"/>
      <c r="R41" s="8"/>
      <c r="S41" s="8"/>
      <c r="T41" s="8"/>
      <c r="U41" s="8"/>
      <c r="V41" s="38" t="s">
        <v>140</v>
      </c>
    </row>
    <row r="42" spans="1:22" x14ac:dyDescent="0.3">
      <c r="D42" s="41"/>
      <c r="E42" s="41"/>
      <c r="F42" s="41"/>
      <c r="G42" s="41"/>
      <c r="H42" s="41"/>
    </row>
    <row r="43" spans="1:22" x14ac:dyDescent="0.3">
      <c r="D43" s="41"/>
      <c r="E43" s="41"/>
      <c r="F43" s="41"/>
      <c r="G43" s="41"/>
      <c r="H43" s="41"/>
    </row>
    <row r="44" spans="1:22" x14ac:dyDescent="0.3">
      <c r="D44" s="41"/>
      <c r="E44" s="41"/>
      <c r="F44" s="41"/>
      <c r="G44" s="41"/>
      <c r="H44" s="41"/>
    </row>
    <row r="45" spans="1:22" x14ac:dyDescent="0.3">
      <c r="D45" s="41"/>
      <c r="E45" s="41"/>
      <c r="F45" s="41"/>
      <c r="G45" s="41"/>
      <c r="H45" s="41"/>
    </row>
    <row r="46" spans="1:22" x14ac:dyDescent="0.3">
      <c r="D46" s="41"/>
      <c r="E46" s="41"/>
      <c r="F46" s="41"/>
      <c r="G46" s="41"/>
      <c r="H46" s="41"/>
    </row>
    <row r="47" spans="1:22" x14ac:dyDescent="0.3">
      <c r="D47" s="41"/>
      <c r="E47" s="41"/>
      <c r="F47" s="41"/>
      <c r="G47" s="41"/>
      <c r="H47" s="41"/>
    </row>
    <row r="48" spans="1:22" x14ac:dyDescent="0.3">
      <c r="D48" s="41"/>
      <c r="E48" s="41"/>
      <c r="F48" s="41"/>
      <c r="G48" s="41"/>
      <c r="H48" s="41"/>
    </row>
    <row r="49" spans="4:8" x14ac:dyDescent="0.3">
      <c r="D49" s="41"/>
      <c r="E49" s="41"/>
      <c r="F49" s="41"/>
      <c r="G49" s="41"/>
      <c r="H49" s="41"/>
    </row>
  </sheetData>
  <mergeCells count="45">
    <mergeCell ref="V1:V2"/>
    <mergeCell ref="I1:P1"/>
    <mergeCell ref="D1:H1"/>
    <mergeCell ref="A15:A16"/>
    <mergeCell ref="A13:A14"/>
    <mergeCell ref="Q1:U1"/>
    <mergeCell ref="A1:A2"/>
    <mergeCell ref="B1:B2"/>
    <mergeCell ref="C1:C2"/>
    <mergeCell ref="A17:A18"/>
    <mergeCell ref="V15:V16"/>
    <mergeCell ref="V19:V20"/>
    <mergeCell ref="R23:R24"/>
    <mergeCell ref="V3:V4"/>
    <mergeCell ref="V5:V6"/>
    <mergeCell ref="V8:V9"/>
    <mergeCell ref="V10:V11"/>
    <mergeCell ref="V17:V18"/>
    <mergeCell ref="V13:V14"/>
    <mergeCell ref="A3:A4"/>
    <mergeCell ref="A5:A6"/>
    <mergeCell ref="A8:A9"/>
    <mergeCell ref="A10:A11"/>
    <mergeCell ref="P17:P18"/>
    <mergeCell ref="P15:P16"/>
    <mergeCell ref="P19:P20"/>
    <mergeCell ref="P21:P22"/>
    <mergeCell ref="U23:U24"/>
    <mergeCell ref="U25:U26"/>
    <mergeCell ref="A19:A20"/>
    <mergeCell ref="A27:V27"/>
    <mergeCell ref="A21:A22"/>
    <mergeCell ref="A23:A24"/>
    <mergeCell ref="A25:A26"/>
    <mergeCell ref="V21:V22"/>
    <mergeCell ref="V23:V24"/>
    <mergeCell ref="V25:V26"/>
    <mergeCell ref="P23:P24"/>
    <mergeCell ref="P25:P26"/>
    <mergeCell ref="Q21:Q22"/>
    <mergeCell ref="R21:R22"/>
    <mergeCell ref="Q23:Q24"/>
    <mergeCell ref="Q25:Q26"/>
    <mergeCell ref="R25:R26"/>
    <mergeCell ref="U21:U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9CEC-73D5-4B66-9F22-B5784F11A28A}">
  <sheetPr>
    <pageSetUpPr fitToPage="1"/>
  </sheetPr>
  <dimension ref="A1:O10"/>
  <sheetViews>
    <sheetView zoomScale="70" zoomScaleNormal="70" workbookViewId="0">
      <pane ySplit="1" topLeftCell="A2" activePane="bottomLeft" state="frozen"/>
      <selection activeCell="E1" sqref="E1:E1048576"/>
      <selection pane="bottomLeft" activeCell="E17" sqref="E17"/>
    </sheetView>
  </sheetViews>
  <sheetFormatPr defaultRowHeight="19.95" customHeight="1" x14ac:dyDescent="0.3"/>
  <cols>
    <col min="1" max="1" width="11" style="9" customWidth="1"/>
    <col min="2" max="3" width="13.77734375" style="41" hidden="1" customWidth="1"/>
    <col min="4" max="4" width="41" style="9" bestFit="1" customWidth="1"/>
    <col min="5" max="5" width="23.6640625" style="10" customWidth="1"/>
    <col min="6" max="6" width="7.5546875" style="10" hidden="1" customWidth="1"/>
    <col min="7" max="7" width="12.77734375" style="9" customWidth="1"/>
    <col min="8" max="8" width="14.5546875" style="9" hidden="1" customWidth="1"/>
    <col min="9" max="9" width="15.77734375" style="9" hidden="1" customWidth="1"/>
    <col min="10" max="11" width="16.109375" style="9" customWidth="1"/>
    <col min="12" max="13" width="12.77734375" style="9" customWidth="1"/>
    <col min="14" max="14" width="24.5546875" style="9" hidden="1" customWidth="1"/>
    <col min="15" max="15" width="45.5546875" style="11" bestFit="1" customWidth="1"/>
    <col min="16" max="16384" width="8.88671875" style="9"/>
  </cols>
  <sheetData>
    <row r="1" spans="1:15" ht="145.19999999999999" customHeight="1" x14ac:dyDescent="0.3">
      <c r="A1" s="30" t="s">
        <v>1</v>
      </c>
      <c r="B1" s="30" t="s">
        <v>437</v>
      </c>
      <c r="C1" s="30" t="s">
        <v>324</v>
      </c>
      <c r="D1" s="29" t="s">
        <v>1</v>
      </c>
      <c r="E1" s="30" t="s">
        <v>0</v>
      </c>
      <c r="F1" s="102" t="s">
        <v>318</v>
      </c>
      <c r="G1" s="77" t="s">
        <v>330</v>
      </c>
      <c r="H1" s="77" t="s">
        <v>331</v>
      </c>
      <c r="I1" s="77" t="s">
        <v>332</v>
      </c>
      <c r="J1" s="107" t="s">
        <v>528</v>
      </c>
      <c r="K1" s="107" t="s">
        <v>527</v>
      </c>
      <c r="L1" s="107" t="s">
        <v>529</v>
      </c>
      <c r="M1" s="77" t="s">
        <v>335</v>
      </c>
      <c r="N1" s="86" t="s">
        <v>336</v>
      </c>
      <c r="O1" s="30" t="s">
        <v>46</v>
      </c>
    </row>
    <row r="2" spans="1:15" ht="30" customHeight="1" x14ac:dyDescent="0.3">
      <c r="A2" s="176" t="s">
        <v>513</v>
      </c>
      <c r="B2" s="88" t="s">
        <v>207</v>
      </c>
      <c r="C2" s="88" t="s">
        <v>111</v>
      </c>
      <c r="D2" s="89" t="s">
        <v>509</v>
      </c>
      <c r="E2" s="88" t="s">
        <v>507</v>
      </c>
      <c r="F2" s="88"/>
      <c r="G2" s="132" t="s">
        <v>473</v>
      </c>
      <c r="H2" s="132" t="s">
        <v>247</v>
      </c>
      <c r="I2" s="132" t="s">
        <v>247</v>
      </c>
      <c r="J2" s="81">
        <v>46111</v>
      </c>
      <c r="K2" s="78">
        <v>46142</v>
      </c>
      <c r="L2" s="78">
        <v>46172</v>
      </c>
      <c r="M2" s="78">
        <v>46203</v>
      </c>
      <c r="N2" s="104">
        <v>0.3</v>
      </c>
      <c r="O2" s="60" t="s">
        <v>518</v>
      </c>
    </row>
    <row r="3" spans="1:15" ht="30" customHeight="1" x14ac:dyDescent="0.3">
      <c r="A3" s="177"/>
      <c r="B3" s="88" t="s">
        <v>207</v>
      </c>
      <c r="C3" s="88" t="s">
        <v>111</v>
      </c>
      <c r="D3" s="89" t="s">
        <v>510</v>
      </c>
      <c r="E3" s="88" t="s">
        <v>507</v>
      </c>
      <c r="F3" s="88"/>
      <c r="G3" s="132" t="s">
        <v>473</v>
      </c>
      <c r="H3" s="132" t="s">
        <v>247</v>
      </c>
      <c r="I3" s="132" t="s">
        <v>247</v>
      </c>
      <c r="J3" s="81">
        <v>46111</v>
      </c>
      <c r="K3" s="78">
        <v>46142</v>
      </c>
      <c r="L3" s="78">
        <v>46172</v>
      </c>
      <c r="M3" s="78">
        <v>46203</v>
      </c>
      <c r="N3" s="104">
        <v>0.3</v>
      </c>
      <c r="O3" s="60" t="s">
        <v>518</v>
      </c>
    </row>
    <row r="4" spans="1:15" ht="30" customHeight="1" x14ac:dyDescent="0.3">
      <c r="A4" s="177"/>
      <c r="B4" s="88" t="s">
        <v>207</v>
      </c>
      <c r="C4" s="88" t="s">
        <v>111</v>
      </c>
      <c r="D4" s="89" t="s">
        <v>511</v>
      </c>
      <c r="E4" s="88" t="s">
        <v>507</v>
      </c>
      <c r="F4" s="88"/>
      <c r="G4" s="132" t="s">
        <v>473</v>
      </c>
      <c r="H4" s="132" t="s">
        <v>247</v>
      </c>
      <c r="I4" s="132" t="s">
        <v>247</v>
      </c>
      <c r="J4" s="81">
        <v>46111</v>
      </c>
      <c r="K4" s="78">
        <v>46142</v>
      </c>
      <c r="L4" s="78">
        <v>46172</v>
      </c>
      <c r="M4" s="78">
        <v>46203</v>
      </c>
      <c r="N4" s="104">
        <v>0.3</v>
      </c>
      <c r="O4" s="60" t="s">
        <v>518</v>
      </c>
    </row>
    <row r="5" spans="1:15" ht="30" customHeight="1" x14ac:dyDescent="0.3">
      <c r="A5" s="177"/>
      <c r="B5" s="88" t="s">
        <v>207</v>
      </c>
      <c r="C5" s="88" t="s">
        <v>111</v>
      </c>
      <c r="D5" s="89" t="s">
        <v>512</v>
      </c>
      <c r="E5" s="88" t="s">
        <v>507</v>
      </c>
      <c r="F5" s="88"/>
      <c r="G5" s="132" t="s">
        <v>473</v>
      </c>
      <c r="H5" s="132" t="s">
        <v>247</v>
      </c>
      <c r="I5" s="132" t="s">
        <v>247</v>
      </c>
      <c r="J5" s="81">
        <v>46111</v>
      </c>
      <c r="K5" s="78">
        <v>46142</v>
      </c>
      <c r="L5" s="78">
        <v>46172</v>
      </c>
      <c r="M5" s="78">
        <v>46203</v>
      </c>
      <c r="N5" s="104">
        <v>0.3</v>
      </c>
      <c r="O5" s="60" t="s">
        <v>518</v>
      </c>
    </row>
    <row r="6" spans="1:15" ht="27.6" x14ac:dyDescent="0.3">
      <c r="A6" s="178" t="s">
        <v>514</v>
      </c>
      <c r="B6" s="133"/>
      <c r="C6" s="133"/>
      <c r="D6" s="100" t="s">
        <v>509</v>
      </c>
      <c r="E6" s="91" t="s">
        <v>508</v>
      </c>
      <c r="G6" s="132" t="s">
        <v>517</v>
      </c>
      <c r="H6" s="132" t="s">
        <v>247</v>
      </c>
      <c r="I6" s="132" t="s">
        <v>247</v>
      </c>
      <c r="J6" s="81">
        <v>46111</v>
      </c>
      <c r="K6" s="78">
        <v>46142</v>
      </c>
      <c r="L6" s="78">
        <v>46172</v>
      </c>
      <c r="M6" s="78">
        <v>46203</v>
      </c>
      <c r="N6" s="104">
        <v>0.08</v>
      </c>
      <c r="O6" s="60" t="s">
        <v>518</v>
      </c>
    </row>
    <row r="7" spans="1:15" ht="27.6" x14ac:dyDescent="0.3">
      <c r="A7" s="179"/>
      <c r="B7" s="133"/>
      <c r="C7" s="133"/>
      <c r="D7" s="100" t="s">
        <v>510</v>
      </c>
      <c r="E7" s="91" t="s">
        <v>508</v>
      </c>
      <c r="G7" s="132" t="s">
        <v>517</v>
      </c>
      <c r="H7" s="132" t="s">
        <v>247</v>
      </c>
      <c r="I7" s="132" t="s">
        <v>247</v>
      </c>
      <c r="J7" s="81">
        <v>46111</v>
      </c>
      <c r="K7" s="78">
        <v>46142</v>
      </c>
      <c r="L7" s="78">
        <v>46172</v>
      </c>
      <c r="M7" s="78">
        <v>46203</v>
      </c>
      <c r="N7" s="104">
        <v>0.08</v>
      </c>
      <c r="O7" s="60" t="s">
        <v>518</v>
      </c>
    </row>
    <row r="8" spans="1:15" ht="27.6" x14ac:dyDescent="0.3">
      <c r="A8" s="179"/>
      <c r="B8" s="133"/>
      <c r="C8" s="133"/>
      <c r="D8" s="100" t="s">
        <v>511</v>
      </c>
      <c r="E8" s="91" t="s">
        <v>508</v>
      </c>
      <c r="G8" s="132" t="s">
        <v>517</v>
      </c>
      <c r="H8" s="132" t="s">
        <v>247</v>
      </c>
      <c r="I8" s="132" t="s">
        <v>247</v>
      </c>
      <c r="J8" s="81">
        <v>46111</v>
      </c>
      <c r="K8" s="78">
        <v>46142</v>
      </c>
      <c r="L8" s="78">
        <v>46172</v>
      </c>
      <c r="M8" s="78">
        <v>46203</v>
      </c>
      <c r="N8" s="104">
        <v>0.08</v>
      </c>
      <c r="O8" s="60" t="s">
        <v>518</v>
      </c>
    </row>
    <row r="9" spans="1:15" ht="27.6" x14ac:dyDescent="0.3">
      <c r="A9" s="179"/>
      <c r="B9" s="133"/>
      <c r="C9" s="133"/>
      <c r="D9" s="100" t="s">
        <v>512</v>
      </c>
      <c r="E9" s="91" t="s">
        <v>508</v>
      </c>
      <c r="G9" s="132" t="s">
        <v>517</v>
      </c>
      <c r="H9" s="132" t="s">
        <v>247</v>
      </c>
      <c r="I9" s="132" t="s">
        <v>247</v>
      </c>
      <c r="J9" s="81">
        <v>46111</v>
      </c>
      <c r="K9" s="78">
        <v>46142</v>
      </c>
      <c r="L9" s="78">
        <v>46172</v>
      </c>
      <c r="M9" s="78">
        <v>46203</v>
      </c>
      <c r="N9" s="104">
        <v>0.08</v>
      </c>
      <c r="O9" s="60" t="s">
        <v>518</v>
      </c>
    </row>
    <row r="10" spans="1:15" ht="19.95" customHeight="1" x14ac:dyDescent="0.3">
      <c r="N10" s="104">
        <v>1</v>
      </c>
    </row>
  </sheetData>
  <mergeCells count="2">
    <mergeCell ref="A2:A5"/>
    <mergeCell ref="A6:A9"/>
  </mergeCells>
  <conditionalFormatting sqref="N2:N10">
    <cfRule type="dataBar" priority="66">
      <dataBar>
        <cfvo type="min"/>
        <cfvo type="max"/>
        <color rgb="FF63C384"/>
      </dataBar>
      <extLst>
        <ext xmlns:x14="http://schemas.microsoft.com/office/spreadsheetml/2009/9/main" uri="{B025F937-C7B1-47D3-B67F-A62EFF666E3E}">
          <x14:id>{43F72BBA-14C7-40BD-978F-FCD20BA09613}</x14:id>
        </ext>
      </extLst>
    </cfRule>
  </conditionalFormatting>
  <pageMargins left="0.25" right="0.25" top="0.75" bottom="0.75" header="0.3" footer="0.3"/>
  <pageSetup paperSize="8" scale="46" orientation="portrait" r:id="rId1"/>
  <extLst>
    <ext xmlns:x14="http://schemas.microsoft.com/office/spreadsheetml/2009/9/main" uri="{78C0D931-6437-407d-A8EE-F0AAD7539E65}">
      <x14:conditionalFormattings>
        <x14:conditionalFormatting xmlns:xm="http://schemas.microsoft.com/office/excel/2006/main">
          <x14:cfRule type="dataBar" id="{43F72BBA-14C7-40BD-978F-FCD20BA09613}">
            <x14:dataBar minLength="0" maxLength="100" border="1" negativeBarBorderColorSameAsPositive="0">
              <x14:cfvo type="autoMin"/>
              <x14:cfvo type="autoMax"/>
              <x14:borderColor rgb="FF63C384"/>
              <x14:negativeFillColor rgb="FFFF0000"/>
              <x14:negativeBorderColor rgb="FFFF0000"/>
              <x14:axisColor rgb="FF000000"/>
            </x14:dataBar>
          </x14:cfRule>
          <xm:sqref>N2:N10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490C-2F95-485A-B607-35267ED7B83A}">
  <sheetPr>
    <pageSetUpPr fitToPage="1"/>
  </sheetPr>
  <dimension ref="A1:N29"/>
  <sheetViews>
    <sheetView zoomScale="70" zoomScaleNormal="70" workbookViewId="0">
      <pane ySplit="1" topLeftCell="A2" activePane="bottomLeft" state="frozen"/>
      <selection activeCell="E1" sqref="E1:E1048576"/>
      <selection pane="bottomLeft" activeCell="D1" sqref="D1:D3"/>
    </sheetView>
  </sheetViews>
  <sheetFormatPr defaultRowHeight="19.95" customHeight="1" x14ac:dyDescent="0.3"/>
  <cols>
    <col min="1" max="1" width="11" style="9" customWidth="1"/>
    <col min="2" max="3" width="13.77734375" style="41" hidden="1" customWidth="1"/>
    <col min="4" max="4" width="41" style="9" bestFit="1" customWidth="1"/>
    <col min="5" max="5" width="23.6640625" style="10" customWidth="1"/>
    <col min="6" max="6" width="7.5546875" style="10" hidden="1" customWidth="1"/>
    <col min="7" max="7" width="12.77734375" style="9" customWidth="1"/>
    <col min="8" max="8" width="14.5546875" style="9" customWidth="1"/>
    <col min="9" max="9" width="15.77734375" style="9" customWidth="1"/>
    <col min="10" max="12" width="12.77734375" style="9" customWidth="1"/>
    <col min="13" max="13" width="24.5546875" style="9" customWidth="1"/>
    <col min="14" max="14" width="45.5546875" style="11" bestFit="1" customWidth="1"/>
    <col min="15" max="16384" width="8.88671875" style="9"/>
  </cols>
  <sheetData>
    <row r="1" spans="1:14" ht="145.19999999999999" customHeight="1" x14ac:dyDescent="0.3">
      <c r="A1" s="30" t="s">
        <v>1</v>
      </c>
      <c r="B1" s="30" t="s">
        <v>437</v>
      </c>
      <c r="C1" s="30" t="s">
        <v>324</v>
      </c>
      <c r="D1" s="29" t="s">
        <v>1</v>
      </c>
      <c r="E1" s="30" t="s">
        <v>0</v>
      </c>
      <c r="F1" s="102" t="s">
        <v>318</v>
      </c>
      <c r="G1" s="77" t="s">
        <v>330</v>
      </c>
      <c r="H1" s="77" t="s">
        <v>331</v>
      </c>
      <c r="I1" s="77" t="s">
        <v>332</v>
      </c>
      <c r="J1" s="77" t="s">
        <v>333</v>
      </c>
      <c r="K1" s="77" t="s">
        <v>334</v>
      </c>
      <c r="L1" s="77" t="s">
        <v>335</v>
      </c>
      <c r="M1" s="86" t="s">
        <v>336</v>
      </c>
      <c r="N1" s="30" t="s">
        <v>46</v>
      </c>
    </row>
    <row r="2" spans="1:14" ht="30" customHeight="1" x14ac:dyDescent="0.3">
      <c r="A2" s="176" t="s">
        <v>467</v>
      </c>
      <c r="B2" s="88" t="s">
        <v>207</v>
      </c>
      <c r="C2" s="88" t="s">
        <v>111</v>
      </c>
      <c r="D2" s="89" t="s">
        <v>440</v>
      </c>
      <c r="E2" s="88" t="s">
        <v>507</v>
      </c>
      <c r="F2" s="88"/>
      <c r="G2" s="132" t="s">
        <v>473</v>
      </c>
      <c r="H2" s="132" t="s">
        <v>474</v>
      </c>
      <c r="I2" s="132" t="s">
        <v>474</v>
      </c>
      <c r="J2" s="81">
        <v>46111</v>
      </c>
      <c r="K2" s="78"/>
      <c r="L2" s="78"/>
      <c r="M2" s="104">
        <v>0.3</v>
      </c>
      <c r="N2" s="60" t="s">
        <v>475</v>
      </c>
    </row>
    <row r="3" spans="1:14" ht="30" customHeight="1" x14ac:dyDescent="0.3">
      <c r="A3" s="177"/>
      <c r="B3" s="88" t="s">
        <v>207</v>
      </c>
      <c r="C3" s="88" t="s">
        <v>111</v>
      </c>
      <c r="D3" s="89" t="s">
        <v>441</v>
      </c>
      <c r="E3" s="88" t="s">
        <v>439</v>
      </c>
      <c r="F3" s="88"/>
      <c r="G3" s="132" t="s">
        <v>473</v>
      </c>
      <c r="H3" s="132" t="s">
        <v>474</v>
      </c>
      <c r="I3" s="132" t="s">
        <v>474</v>
      </c>
      <c r="J3" s="81">
        <v>46111</v>
      </c>
      <c r="K3" s="78"/>
      <c r="L3" s="78"/>
      <c r="M3" s="104">
        <v>0.3</v>
      </c>
      <c r="N3" s="60" t="s">
        <v>475</v>
      </c>
    </row>
    <row r="4" spans="1:14" ht="30" customHeight="1" x14ac:dyDescent="0.3">
      <c r="A4" s="177"/>
      <c r="B4" s="88" t="s">
        <v>207</v>
      </c>
      <c r="C4" s="88" t="s">
        <v>111</v>
      </c>
      <c r="D4" s="89" t="s">
        <v>442</v>
      </c>
      <c r="E4" s="88" t="s">
        <v>439</v>
      </c>
      <c r="F4" s="88"/>
      <c r="G4" s="132" t="s">
        <v>473</v>
      </c>
      <c r="H4" s="132" t="s">
        <v>474</v>
      </c>
      <c r="I4" s="132" t="s">
        <v>474</v>
      </c>
      <c r="J4" s="81">
        <v>46111</v>
      </c>
      <c r="K4" s="78"/>
      <c r="L4" s="78"/>
      <c r="M4" s="104">
        <v>0.3</v>
      </c>
      <c r="N4" s="60" t="s">
        <v>475</v>
      </c>
    </row>
    <row r="5" spans="1:14" ht="30" customHeight="1" x14ac:dyDescent="0.3">
      <c r="A5" s="177"/>
      <c r="B5" s="88" t="s">
        <v>207</v>
      </c>
      <c r="C5" s="88" t="s">
        <v>111</v>
      </c>
      <c r="D5" s="89" t="s">
        <v>443</v>
      </c>
      <c r="E5" s="88" t="s">
        <v>439</v>
      </c>
      <c r="F5" s="88"/>
      <c r="G5" s="132" t="s">
        <v>473</v>
      </c>
      <c r="H5" s="132" t="s">
        <v>474</v>
      </c>
      <c r="I5" s="132" t="s">
        <v>474</v>
      </c>
      <c r="J5" s="81">
        <v>46111</v>
      </c>
      <c r="K5" s="78"/>
      <c r="L5" s="78"/>
      <c r="M5" s="104">
        <v>0.3</v>
      </c>
      <c r="N5" s="60" t="s">
        <v>475</v>
      </c>
    </row>
    <row r="6" spans="1:14" ht="30" customHeight="1" x14ac:dyDescent="0.3">
      <c r="A6" s="177"/>
      <c r="B6" s="88" t="s">
        <v>207</v>
      </c>
      <c r="C6" s="88" t="s">
        <v>111</v>
      </c>
      <c r="D6" s="89" t="s">
        <v>444</v>
      </c>
      <c r="E6" s="88" t="s">
        <v>439</v>
      </c>
      <c r="F6" s="88"/>
      <c r="G6" s="132" t="s">
        <v>473</v>
      </c>
      <c r="H6" s="132" t="s">
        <v>474</v>
      </c>
      <c r="I6" s="132" t="s">
        <v>474</v>
      </c>
      <c r="J6" s="81">
        <v>46111</v>
      </c>
      <c r="K6" s="78"/>
      <c r="L6" s="78"/>
      <c r="M6" s="104">
        <v>0.3</v>
      </c>
      <c r="N6" s="60" t="s">
        <v>475</v>
      </c>
    </row>
    <row r="7" spans="1:14" ht="30" customHeight="1" x14ac:dyDescent="0.3">
      <c r="A7" s="177"/>
      <c r="B7" s="88" t="s">
        <v>207</v>
      </c>
      <c r="C7" s="88" t="s">
        <v>111</v>
      </c>
      <c r="D7" s="89" t="s">
        <v>445</v>
      </c>
      <c r="E7" s="88" t="s">
        <v>439</v>
      </c>
      <c r="F7" s="88"/>
      <c r="G7" s="132" t="s">
        <v>473</v>
      </c>
      <c r="H7" s="132" t="s">
        <v>474</v>
      </c>
      <c r="I7" s="132" t="s">
        <v>474</v>
      </c>
      <c r="J7" s="81">
        <v>46111</v>
      </c>
      <c r="K7" s="78"/>
      <c r="L7" s="78"/>
      <c r="M7" s="104">
        <v>0.3</v>
      </c>
      <c r="N7" s="60" t="s">
        <v>475</v>
      </c>
    </row>
    <row r="8" spans="1:14" ht="30" customHeight="1" x14ac:dyDescent="0.3">
      <c r="A8" s="177"/>
      <c r="B8" s="88" t="s">
        <v>207</v>
      </c>
      <c r="C8" s="88" t="s">
        <v>325</v>
      </c>
      <c r="D8" s="89" t="s">
        <v>446</v>
      </c>
      <c r="E8" s="88" t="s">
        <v>439</v>
      </c>
      <c r="F8" s="88"/>
      <c r="G8" s="132" t="s">
        <v>473</v>
      </c>
      <c r="H8" s="132" t="s">
        <v>474</v>
      </c>
      <c r="I8" s="132" t="s">
        <v>474</v>
      </c>
      <c r="J8" s="81">
        <v>46111</v>
      </c>
      <c r="K8" s="62"/>
      <c r="L8" s="62"/>
      <c r="M8" s="104">
        <v>0.3</v>
      </c>
      <c r="N8" s="60" t="s">
        <v>475</v>
      </c>
    </row>
    <row r="9" spans="1:14" ht="30" customHeight="1" x14ac:dyDescent="0.3">
      <c r="A9" s="177"/>
      <c r="B9" s="88" t="s">
        <v>207</v>
      </c>
      <c r="C9" s="88" t="s">
        <v>111</v>
      </c>
      <c r="D9" s="89" t="s">
        <v>447</v>
      </c>
      <c r="E9" s="88" t="s">
        <v>439</v>
      </c>
      <c r="F9" s="88"/>
      <c r="G9" s="132" t="s">
        <v>473</v>
      </c>
      <c r="H9" s="132" t="s">
        <v>474</v>
      </c>
      <c r="I9" s="132" t="s">
        <v>474</v>
      </c>
      <c r="J9" s="81">
        <v>46111</v>
      </c>
      <c r="K9" s="78"/>
      <c r="L9" s="78"/>
      <c r="M9" s="104">
        <v>0.3</v>
      </c>
      <c r="N9" s="60" t="s">
        <v>475</v>
      </c>
    </row>
    <row r="10" spans="1:14" ht="30" customHeight="1" x14ac:dyDescent="0.3">
      <c r="A10" s="177"/>
      <c r="B10" s="88" t="s">
        <v>207</v>
      </c>
      <c r="C10" s="88" t="s">
        <v>111</v>
      </c>
      <c r="D10" s="89" t="s">
        <v>448</v>
      </c>
      <c r="E10" s="88" t="s">
        <v>439</v>
      </c>
      <c r="F10" s="88"/>
      <c r="G10" s="132" t="s">
        <v>473</v>
      </c>
      <c r="H10" s="132" t="s">
        <v>474</v>
      </c>
      <c r="I10" s="132" t="s">
        <v>474</v>
      </c>
      <c r="J10" s="81">
        <v>46111</v>
      </c>
      <c r="K10" s="78"/>
      <c r="L10" s="78"/>
      <c r="M10" s="104">
        <v>0.3</v>
      </c>
      <c r="N10" s="60" t="s">
        <v>475</v>
      </c>
    </row>
    <row r="11" spans="1:14" ht="30" customHeight="1" x14ac:dyDescent="0.3">
      <c r="A11" s="177"/>
      <c r="B11" s="88" t="s">
        <v>207</v>
      </c>
      <c r="C11" s="88" t="s">
        <v>326</v>
      </c>
      <c r="D11" s="89" t="s">
        <v>449</v>
      </c>
      <c r="E11" s="88" t="s">
        <v>439</v>
      </c>
      <c r="F11" s="88"/>
      <c r="G11" s="132" t="s">
        <v>473</v>
      </c>
      <c r="H11" s="132" t="s">
        <v>474</v>
      </c>
      <c r="I11" s="132" t="s">
        <v>474</v>
      </c>
      <c r="J11" s="81">
        <v>46111</v>
      </c>
      <c r="K11" s="62"/>
      <c r="L11" s="62"/>
      <c r="M11" s="104">
        <v>0.3</v>
      </c>
      <c r="N11" s="60" t="s">
        <v>475</v>
      </c>
    </row>
    <row r="12" spans="1:14" ht="30" customHeight="1" x14ac:dyDescent="0.3">
      <c r="A12" s="177"/>
      <c r="B12" s="88" t="s">
        <v>207</v>
      </c>
      <c r="C12" s="88" t="s">
        <v>328</v>
      </c>
      <c r="D12" s="89" t="s">
        <v>450</v>
      </c>
      <c r="E12" s="88" t="s">
        <v>439</v>
      </c>
      <c r="F12" s="88"/>
      <c r="G12" s="132" t="s">
        <v>473</v>
      </c>
      <c r="H12" s="132" t="s">
        <v>474</v>
      </c>
      <c r="I12" s="132" t="s">
        <v>474</v>
      </c>
      <c r="J12" s="81">
        <v>46111</v>
      </c>
      <c r="K12" s="62"/>
      <c r="L12" s="62"/>
      <c r="M12" s="104">
        <v>0.3</v>
      </c>
      <c r="N12" s="60" t="s">
        <v>475</v>
      </c>
    </row>
    <row r="13" spans="1:14" ht="30" customHeight="1" x14ac:dyDescent="0.3">
      <c r="A13" s="177"/>
      <c r="D13" s="89" t="s">
        <v>451</v>
      </c>
      <c r="E13" s="88" t="s">
        <v>439</v>
      </c>
      <c r="F13" s="88"/>
      <c r="G13" s="132" t="s">
        <v>473</v>
      </c>
      <c r="H13" s="132" t="s">
        <v>474</v>
      </c>
      <c r="I13" s="132" t="s">
        <v>474</v>
      </c>
      <c r="J13" s="81">
        <v>46111</v>
      </c>
      <c r="K13" s="62"/>
      <c r="L13" s="62"/>
      <c r="M13" s="104">
        <v>0.3</v>
      </c>
      <c r="N13" s="60" t="s">
        <v>475</v>
      </c>
    </row>
    <row r="14" spans="1:14" ht="30" customHeight="1" x14ac:dyDescent="0.3">
      <c r="A14" s="177"/>
      <c r="D14" s="89" t="s">
        <v>452</v>
      </c>
      <c r="E14" s="88" t="s">
        <v>439</v>
      </c>
      <c r="F14" s="88"/>
      <c r="G14" s="132" t="s">
        <v>473</v>
      </c>
      <c r="H14" s="132" t="s">
        <v>474</v>
      </c>
      <c r="I14" s="132" t="s">
        <v>474</v>
      </c>
      <c r="J14" s="81">
        <v>46111</v>
      </c>
      <c r="K14" s="62"/>
      <c r="L14" s="62"/>
      <c r="M14" s="104">
        <v>0.3</v>
      </c>
      <c r="N14" s="60" t="s">
        <v>475</v>
      </c>
    </row>
    <row r="15" spans="1:14" ht="30" customHeight="1" x14ac:dyDescent="0.3">
      <c r="A15" s="177"/>
      <c r="D15" s="89" t="s">
        <v>453</v>
      </c>
      <c r="E15" s="88" t="s">
        <v>439</v>
      </c>
      <c r="F15" s="88"/>
      <c r="G15" s="132" t="s">
        <v>473</v>
      </c>
      <c r="H15" s="132" t="s">
        <v>474</v>
      </c>
      <c r="I15" s="132" t="s">
        <v>474</v>
      </c>
      <c r="J15" s="81">
        <v>46111</v>
      </c>
      <c r="K15" s="62"/>
      <c r="L15" s="62"/>
      <c r="M15" s="104">
        <v>0.3</v>
      </c>
      <c r="N15" s="60" t="s">
        <v>475</v>
      </c>
    </row>
    <row r="16" spans="1:14" ht="30" customHeight="1" x14ac:dyDescent="0.3">
      <c r="A16" s="177"/>
      <c r="D16" s="89" t="s">
        <v>454</v>
      </c>
      <c r="E16" s="88" t="s">
        <v>439</v>
      </c>
      <c r="F16" s="88"/>
      <c r="G16" s="132" t="s">
        <v>473</v>
      </c>
      <c r="H16" s="132" t="s">
        <v>474</v>
      </c>
      <c r="I16" s="132" t="s">
        <v>474</v>
      </c>
      <c r="J16" s="81">
        <v>46111</v>
      </c>
      <c r="K16" s="62"/>
      <c r="L16" s="62"/>
      <c r="M16" s="104">
        <v>0.3</v>
      </c>
      <c r="N16" s="60" t="s">
        <v>475</v>
      </c>
    </row>
    <row r="17" spans="1:14" ht="30" customHeight="1" x14ac:dyDescent="0.3">
      <c r="A17" s="177"/>
      <c r="D17" s="89" t="s">
        <v>455</v>
      </c>
      <c r="E17" s="88" t="s">
        <v>439</v>
      </c>
      <c r="F17" s="88"/>
      <c r="G17" s="132" t="s">
        <v>473</v>
      </c>
      <c r="H17" s="132" t="s">
        <v>474</v>
      </c>
      <c r="I17" s="132" t="s">
        <v>474</v>
      </c>
      <c r="J17" s="81">
        <v>46111</v>
      </c>
      <c r="K17" s="62"/>
      <c r="L17" s="62"/>
      <c r="M17" s="104">
        <v>0.3</v>
      </c>
      <c r="N17" s="60" t="s">
        <v>475</v>
      </c>
    </row>
    <row r="18" spans="1:14" ht="30" customHeight="1" x14ac:dyDescent="0.3">
      <c r="A18" s="177"/>
      <c r="D18" s="89" t="s">
        <v>456</v>
      </c>
      <c r="E18" s="88" t="s">
        <v>439</v>
      </c>
      <c r="F18" s="88"/>
      <c r="G18" s="132" t="s">
        <v>473</v>
      </c>
      <c r="H18" s="132" t="s">
        <v>474</v>
      </c>
      <c r="I18" s="132" t="s">
        <v>474</v>
      </c>
      <c r="J18" s="81">
        <v>46111</v>
      </c>
      <c r="K18" s="62"/>
      <c r="L18" s="62"/>
      <c r="M18" s="104">
        <v>0.3</v>
      </c>
      <c r="N18" s="60" t="s">
        <v>475</v>
      </c>
    </row>
    <row r="19" spans="1:14" ht="30" customHeight="1" x14ac:dyDescent="0.3">
      <c r="A19" s="177"/>
      <c r="D19" s="89" t="s">
        <v>457</v>
      </c>
      <c r="E19" s="88" t="s">
        <v>439</v>
      </c>
      <c r="F19" s="88"/>
      <c r="G19" s="132" t="s">
        <v>473</v>
      </c>
      <c r="H19" s="132" t="s">
        <v>474</v>
      </c>
      <c r="I19" s="132" t="s">
        <v>474</v>
      </c>
      <c r="J19" s="81">
        <v>46111</v>
      </c>
      <c r="K19" s="62"/>
      <c r="L19" s="62"/>
      <c r="M19" s="104">
        <v>0.3</v>
      </c>
      <c r="N19" s="60" t="s">
        <v>475</v>
      </c>
    </row>
    <row r="20" spans="1:14" ht="30" customHeight="1" x14ac:dyDescent="0.3">
      <c r="A20" s="177"/>
      <c r="D20" s="89" t="s">
        <v>458</v>
      </c>
      <c r="E20" s="88" t="s">
        <v>439</v>
      </c>
      <c r="F20" s="88"/>
      <c r="G20" s="132" t="s">
        <v>473</v>
      </c>
      <c r="H20" s="132" t="s">
        <v>474</v>
      </c>
      <c r="I20" s="132" t="s">
        <v>474</v>
      </c>
      <c r="J20" s="81">
        <v>46111</v>
      </c>
      <c r="K20" s="62"/>
      <c r="L20" s="62"/>
      <c r="M20" s="104">
        <v>0.3</v>
      </c>
      <c r="N20" s="60" t="s">
        <v>518</v>
      </c>
    </row>
    <row r="21" spans="1:14" ht="30" customHeight="1" x14ac:dyDescent="0.3">
      <c r="A21" s="177"/>
      <c r="D21" s="89" t="s">
        <v>459</v>
      </c>
      <c r="E21" s="88" t="s">
        <v>439</v>
      </c>
      <c r="F21" s="88"/>
      <c r="G21" s="132" t="s">
        <v>473</v>
      </c>
      <c r="H21" s="132" t="s">
        <v>474</v>
      </c>
      <c r="I21" s="132" t="s">
        <v>474</v>
      </c>
      <c r="J21" s="81">
        <v>46111</v>
      </c>
      <c r="K21" s="62"/>
      <c r="L21" s="62"/>
      <c r="M21" s="104">
        <v>0.3</v>
      </c>
      <c r="N21" s="60" t="s">
        <v>518</v>
      </c>
    </row>
    <row r="22" spans="1:14" ht="30" customHeight="1" x14ac:dyDescent="0.3">
      <c r="A22" s="177"/>
      <c r="D22" s="89" t="s">
        <v>460</v>
      </c>
      <c r="E22" s="88" t="s">
        <v>439</v>
      </c>
      <c r="F22" s="88"/>
      <c r="G22" s="132" t="s">
        <v>473</v>
      </c>
      <c r="H22" s="132" t="s">
        <v>474</v>
      </c>
      <c r="I22" s="132" t="s">
        <v>474</v>
      </c>
      <c r="J22" s="81">
        <v>46111</v>
      </c>
      <c r="K22" s="62"/>
      <c r="L22" s="62"/>
      <c r="M22" s="104">
        <v>0.3</v>
      </c>
      <c r="N22" s="60" t="s">
        <v>518</v>
      </c>
    </row>
    <row r="23" spans="1:14" ht="30" customHeight="1" x14ac:dyDescent="0.3">
      <c r="A23" s="177"/>
      <c r="D23" s="89" t="s">
        <v>461</v>
      </c>
      <c r="E23" s="88" t="s">
        <v>439</v>
      </c>
      <c r="F23" s="88"/>
      <c r="G23" s="132" t="s">
        <v>473</v>
      </c>
      <c r="H23" s="132" t="s">
        <v>474</v>
      </c>
      <c r="I23" s="132" t="s">
        <v>474</v>
      </c>
      <c r="J23" s="81">
        <v>46111</v>
      </c>
      <c r="K23" s="62"/>
      <c r="L23" s="62"/>
      <c r="M23" s="104">
        <v>0.3</v>
      </c>
      <c r="N23" s="60" t="s">
        <v>518</v>
      </c>
    </row>
    <row r="24" spans="1:14" ht="30" customHeight="1" x14ac:dyDescent="0.3">
      <c r="A24" s="177"/>
      <c r="D24" s="89" t="s">
        <v>462</v>
      </c>
      <c r="E24" s="88" t="s">
        <v>439</v>
      </c>
      <c r="F24" s="88"/>
      <c r="G24" s="132" t="s">
        <v>473</v>
      </c>
      <c r="H24" s="132" t="s">
        <v>474</v>
      </c>
      <c r="I24" s="132" t="s">
        <v>474</v>
      </c>
      <c r="J24" s="81">
        <v>46111</v>
      </c>
      <c r="K24" s="62"/>
      <c r="L24" s="62"/>
      <c r="M24" s="104">
        <v>0.3</v>
      </c>
      <c r="N24" s="60" t="s">
        <v>518</v>
      </c>
    </row>
    <row r="25" spans="1:14" ht="30" customHeight="1" x14ac:dyDescent="0.3">
      <c r="A25" s="177"/>
      <c r="D25" s="89" t="s">
        <v>463</v>
      </c>
      <c r="E25" s="88" t="s">
        <v>439</v>
      </c>
      <c r="F25" s="88"/>
      <c r="G25" s="132" t="s">
        <v>473</v>
      </c>
      <c r="H25" s="132" t="s">
        <v>474</v>
      </c>
      <c r="I25" s="132" t="s">
        <v>474</v>
      </c>
      <c r="J25" s="81">
        <v>46111</v>
      </c>
      <c r="K25" s="62"/>
      <c r="L25" s="62"/>
      <c r="M25" s="104">
        <v>0.3</v>
      </c>
      <c r="N25" s="60" t="s">
        <v>518</v>
      </c>
    </row>
    <row r="26" spans="1:14" ht="30" customHeight="1" x14ac:dyDescent="0.3">
      <c r="A26" s="177"/>
      <c r="D26" s="89" t="s">
        <v>464</v>
      </c>
      <c r="E26" s="88" t="s">
        <v>439</v>
      </c>
      <c r="F26" s="88"/>
      <c r="G26" s="132" t="s">
        <v>473</v>
      </c>
      <c r="H26" s="132" t="s">
        <v>474</v>
      </c>
      <c r="I26" s="132" t="s">
        <v>474</v>
      </c>
      <c r="J26" s="81">
        <v>46111</v>
      </c>
      <c r="K26" s="62"/>
      <c r="L26" s="62"/>
      <c r="M26" s="104">
        <v>0.3</v>
      </c>
      <c r="N26" s="60" t="s">
        <v>518</v>
      </c>
    </row>
    <row r="27" spans="1:14" ht="30" customHeight="1" x14ac:dyDescent="0.3">
      <c r="A27" s="177"/>
      <c r="D27" s="89" t="s">
        <v>465</v>
      </c>
      <c r="E27" s="88" t="s">
        <v>439</v>
      </c>
      <c r="F27" s="88"/>
      <c r="G27" s="132" t="s">
        <v>473</v>
      </c>
      <c r="H27" s="132" t="s">
        <v>474</v>
      </c>
      <c r="I27" s="132" t="s">
        <v>474</v>
      </c>
      <c r="J27" s="81">
        <v>46111</v>
      </c>
      <c r="K27" s="62"/>
      <c r="L27" s="62"/>
      <c r="M27" s="104">
        <v>0.3</v>
      </c>
      <c r="N27" s="60" t="s">
        <v>518</v>
      </c>
    </row>
    <row r="28" spans="1:14" ht="30" customHeight="1" x14ac:dyDescent="0.3">
      <c r="A28" s="177"/>
      <c r="D28" s="89" t="s">
        <v>466</v>
      </c>
      <c r="E28" s="88" t="s">
        <v>439</v>
      </c>
      <c r="F28" s="88"/>
      <c r="G28" s="132" t="s">
        <v>473</v>
      </c>
      <c r="H28" s="132" t="s">
        <v>474</v>
      </c>
      <c r="I28" s="132" t="s">
        <v>474</v>
      </c>
      <c r="J28" s="81">
        <v>46111</v>
      </c>
      <c r="K28" s="62"/>
      <c r="L28" s="62"/>
      <c r="M28" s="104">
        <v>0.3</v>
      </c>
      <c r="N28" s="60" t="s">
        <v>518</v>
      </c>
    </row>
    <row r="29" spans="1:14" ht="19.95" customHeight="1" x14ac:dyDescent="0.3">
      <c r="E29" s="88" t="s">
        <v>508</v>
      </c>
      <c r="M29" s="104">
        <v>1</v>
      </c>
    </row>
  </sheetData>
  <mergeCells count="1">
    <mergeCell ref="A2:A28"/>
  </mergeCells>
  <conditionalFormatting sqref="M2:M29">
    <cfRule type="dataBar" priority="37">
      <dataBar>
        <cfvo type="min"/>
        <cfvo type="max"/>
        <color rgb="FF63C384"/>
      </dataBar>
      <extLst>
        <ext xmlns:x14="http://schemas.microsoft.com/office/spreadsheetml/2009/9/main" uri="{B025F937-C7B1-47D3-B67F-A62EFF666E3E}">
          <x14:id>{F1AAA0B0-FB0C-4200-AB5C-5AF64276B5FC}</x14:id>
        </ext>
      </extLst>
    </cfRule>
  </conditionalFormatting>
  <pageMargins left="0.25" right="0.25" top="0.75" bottom="0.75" header="0.3" footer="0.3"/>
  <pageSetup paperSize="8" scale="46" orientation="portrait" r:id="rId1"/>
  <extLst>
    <ext xmlns:x14="http://schemas.microsoft.com/office/spreadsheetml/2009/9/main" uri="{78C0D931-6437-407d-A8EE-F0AAD7539E65}">
      <x14:conditionalFormattings>
        <x14:conditionalFormatting xmlns:xm="http://schemas.microsoft.com/office/excel/2006/main">
          <x14:cfRule type="dataBar" id="{F1AAA0B0-FB0C-4200-AB5C-5AF64276B5FC}">
            <x14:dataBar minLength="0" maxLength="100" border="1" negativeBarBorderColorSameAsPositive="0">
              <x14:cfvo type="autoMin"/>
              <x14:cfvo type="autoMax"/>
              <x14:borderColor rgb="FF63C384"/>
              <x14:negativeFillColor rgb="FFFF0000"/>
              <x14:negativeBorderColor rgb="FFFF0000"/>
              <x14:axisColor rgb="FF000000"/>
            </x14:dataBar>
          </x14:cfRule>
          <xm:sqref>M2:M29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46D8-4C88-48F1-B7A9-B420E26DC4EE}">
  <dimension ref="A3:D8"/>
  <sheetViews>
    <sheetView workbookViewId="0">
      <selection activeCell="D7" sqref="D7"/>
    </sheetView>
  </sheetViews>
  <sheetFormatPr defaultRowHeight="14.4" x14ac:dyDescent="0.3"/>
  <cols>
    <col min="1" max="1" width="18.109375" bestFit="1" customWidth="1"/>
    <col min="2" max="2" width="16" customWidth="1"/>
    <col min="3" max="3" width="19.6640625" customWidth="1"/>
  </cols>
  <sheetData>
    <row r="3" spans="1:4" x14ac:dyDescent="0.3">
      <c r="A3" s="180" t="s">
        <v>196</v>
      </c>
      <c r="B3" s="180"/>
      <c r="C3" s="180"/>
      <c r="D3" s="180"/>
    </row>
    <row r="4" spans="1:4" ht="28.8" x14ac:dyDescent="0.3">
      <c r="A4" s="48" t="s">
        <v>201</v>
      </c>
      <c r="B4" s="48" t="s">
        <v>204</v>
      </c>
      <c r="C4" s="48" t="s">
        <v>205</v>
      </c>
      <c r="D4" s="48" t="s">
        <v>197</v>
      </c>
    </row>
    <row r="5" spans="1:4" x14ac:dyDescent="0.3">
      <c r="A5" s="49" t="s">
        <v>199</v>
      </c>
      <c r="B5" s="47">
        <v>20</v>
      </c>
      <c r="C5" s="47">
        <f>2+6</f>
        <v>8</v>
      </c>
      <c r="D5" s="32">
        <f>SUM(B5:C5)</f>
        <v>28</v>
      </c>
    </row>
    <row r="6" spans="1:4" x14ac:dyDescent="0.3">
      <c r="A6" s="49" t="s">
        <v>198</v>
      </c>
      <c r="B6" s="47">
        <v>0</v>
      </c>
      <c r="C6" s="47">
        <f>12+7</f>
        <v>19</v>
      </c>
      <c r="D6" s="32">
        <f>SUM(B6:C6)</f>
        <v>19</v>
      </c>
    </row>
    <row r="7" spans="1:4" x14ac:dyDescent="0.3">
      <c r="A7" s="49" t="s">
        <v>200</v>
      </c>
      <c r="B7" s="47">
        <v>8</v>
      </c>
      <c r="C7" s="47">
        <v>0</v>
      </c>
      <c r="D7" s="32">
        <f>SUM(B7:C7)</f>
        <v>8</v>
      </c>
    </row>
    <row r="8" spans="1:4" x14ac:dyDescent="0.3">
      <c r="A8" s="49" t="s">
        <v>203</v>
      </c>
      <c r="B8" s="2">
        <f>SUM(B5:B7)</f>
        <v>28</v>
      </c>
      <c r="C8" s="2">
        <f>SUM(C5:C7)</f>
        <v>27</v>
      </c>
      <c r="D8" s="2">
        <f>SUM(D5:D7)</f>
        <v>55</v>
      </c>
    </row>
  </sheetData>
  <mergeCells count="1">
    <mergeCell ref="A3:D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2D4B3-E823-4102-9667-B76CD26C3592}">
  <dimension ref="A1:M13"/>
  <sheetViews>
    <sheetView zoomScale="80" workbookViewId="0">
      <pane xSplit="1" topLeftCell="B1" activePane="topRight" state="frozen"/>
      <selection pane="topRight" activeCell="L3" sqref="L3:M3"/>
    </sheetView>
  </sheetViews>
  <sheetFormatPr defaultRowHeight="14.4" x14ac:dyDescent="0.3"/>
  <cols>
    <col min="1" max="1" width="23.5546875" style="11" customWidth="1"/>
    <col min="2" max="2" width="10" style="11" customWidth="1"/>
    <col min="3" max="3" width="10.33203125" style="11" hidden="1" customWidth="1"/>
    <col min="4" max="4" width="10" style="11" hidden="1" customWidth="1"/>
    <col min="5" max="13" width="15.77734375" style="4" customWidth="1"/>
    <col min="14" max="16384" width="8.88671875" style="4"/>
  </cols>
  <sheetData>
    <row r="1" spans="1:13" ht="54.6" customHeight="1" x14ac:dyDescent="0.3">
      <c r="A1" s="17" t="s">
        <v>40</v>
      </c>
      <c r="B1" s="19" t="s">
        <v>17</v>
      </c>
      <c r="C1" s="5"/>
      <c r="D1" s="5"/>
      <c r="E1" s="12" t="s">
        <v>47</v>
      </c>
      <c r="F1" s="12" t="s">
        <v>49</v>
      </c>
      <c r="G1" s="12" t="s">
        <v>48</v>
      </c>
      <c r="H1" s="12" t="s">
        <v>50</v>
      </c>
      <c r="I1" s="12" t="s">
        <v>51</v>
      </c>
      <c r="J1" s="12" t="s">
        <v>52</v>
      </c>
      <c r="K1" s="12" t="s">
        <v>55</v>
      </c>
      <c r="L1" s="12" t="s">
        <v>54</v>
      </c>
      <c r="M1" s="12" t="s">
        <v>53</v>
      </c>
    </row>
    <row r="2" spans="1:13" x14ac:dyDescent="0.3">
      <c r="A2" s="13" t="s">
        <v>41</v>
      </c>
      <c r="B2" s="6" t="s">
        <v>44</v>
      </c>
      <c r="C2" s="14">
        <v>45748</v>
      </c>
      <c r="D2" s="6"/>
      <c r="E2" s="15">
        <v>45748</v>
      </c>
      <c r="F2" s="7"/>
      <c r="G2" s="7"/>
      <c r="H2" s="15">
        <v>45770</v>
      </c>
      <c r="I2" s="15">
        <v>45779</v>
      </c>
      <c r="J2" s="15">
        <v>45772</v>
      </c>
      <c r="K2" s="15">
        <v>45779</v>
      </c>
      <c r="L2" s="15">
        <v>45772</v>
      </c>
      <c r="M2" s="15">
        <v>45779</v>
      </c>
    </row>
    <row r="3" spans="1:13" x14ac:dyDescent="0.3">
      <c r="A3" s="13" t="s">
        <v>41</v>
      </c>
      <c r="B3" s="6" t="s">
        <v>44</v>
      </c>
      <c r="C3" s="14">
        <v>45748</v>
      </c>
      <c r="D3" s="6"/>
      <c r="E3" s="15">
        <v>45748</v>
      </c>
      <c r="F3" s="8"/>
      <c r="G3" s="8"/>
      <c r="H3" s="16"/>
      <c r="I3" s="16"/>
      <c r="J3" s="15">
        <v>45871</v>
      </c>
      <c r="K3" s="15">
        <v>45887</v>
      </c>
      <c r="L3" s="8"/>
      <c r="M3" s="8"/>
    </row>
    <row r="4" spans="1:13" x14ac:dyDescent="0.3">
      <c r="A4" s="13" t="s">
        <v>42</v>
      </c>
      <c r="B4" s="6" t="s">
        <v>45</v>
      </c>
      <c r="C4" s="14">
        <v>45809</v>
      </c>
      <c r="D4" s="6"/>
      <c r="E4" s="15">
        <v>45809</v>
      </c>
      <c r="F4" s="15">
        <v>45806</v>
      </c>
      <c r="G4" s="15">
        <v>45826</v>
      </c>
      <c r="H4" s="15">
        <v>45839</v>
      </c>
      <c r="I4" s="15">
        <v>45842</v>
      </c>
      <c r="J4" s="15">
        <v>45842</v>
      </c>
      <c r="K4" s="15">
        <v>45852</v>
      </c>
      <c r="L4" s="8"/>
      <c r="M4" s="8"/>
    </row>
    <row r="5" spans="1:13" x14ac:dyDescent="0.3">
      <c r="A5" s="13" t="s">
        <v>18</v>
      </c>
      <c r="B5" s="6" t="s">
        <v>44</v>
      </c>
      <c r="C5" s="14">
        <v>45809</v>
      </c>
      <c r="D5" s="6"/>
      <c r="E5" s="15">
        <v>45820</v>
      </c>
      <c r="F5" s="15">
        <v>45820</v>
      </c>
      <c r="G5" s="7"/>
      <c r="H5" s="7"/>
      <c r="I5" s="15">
        <v>45843</v>
      </c>
      <c r="J5" s="8"/>
      <c r="K5" s="8"/>
      <c r="L5" s="8"/>
      <c r="M5" s="8"/>
    </row>
    <row r="6" spans="1:13" x14ac:dyDescent="0.3">
      <c r="A6" s="13" t="s">
        <v>43</v>
      </c>
      <c r="B6" s="6" t="s">
        <v>80</v>
      </c>
      <c r="C6" s="14">
        <v>45874</v>
      </c>
      <c r="D6" s="6"/>
      <c r="E6" s="15">
        <v>45876</v>
      </c>
      <c r="F6" s="16"/>
      <c r="G6" s="8"/>
      <c r="H6" s="8"/>
      <c r="I6" s="16"/>
      <c r="J6" s="8"/>
      <c r="K6" s="8"/>
      <c r="L6" s="8"/>
      <c r="M6" s="8"/>
    </row>
    <row r="7" spans="1:13" x14ac:dyDescent="0.3">
      <c r="A7" s="13" t="s">
        <v>6</v>
      </c>
      <c r="B7" s="6"/>
      <c r="C7" s="14"/>
      <c r="D7" s="6"/>
      <c r="E7" s="16"/>
      <c r="F7" s="16"/>
      <c r="G7" s="8"/>
      <c r="H7" s="8"/>
      <c r="I7" s="16"/>
      <c r="J7" s="8"/>
      <c r="K7" s="8"/>
      <c r="L7" s="8"/>
      <c r="M7" s="8"/>
    </row>
    <row r="8" spans="1:13" x14ac:dyDescent="0.3">
      <c r="A8" s="13" t="s">
        <v>83</v>
      </c>
      <c r="B8" s="6"/>
      <c r="C8" s="14"/>
      <c r="D8" s="6"/>
      <c r="E8" s="16"/>
      <c r="F8" s="16"/>
      <c r="G8" s="8"/>
      <c r="H8" s="8"/>
      <c r="I8" s="16"/>
      <c r="J8" s="8"/>
      <c r="K8" s="8"/>
      <c r="L8" s="8"/>
      <c r="M8" s="8"/>
    </row>
    <row r="9" spans="1:13" x14ac:dyDescent="0.3">
      <c r="A9" s="13" t="s">
        <v>19</v>
      </c>
      <c r="B9" s="6"/>
      <c r="C9" s="14"/>
      <c r="D9" s="6"/>
      <c r="E9" s="16"/>
      <c r="F9" s="16"/>
      <c r="G9" s="8"/>
      <c r="H9" s="8"/>
      <c r="I9" s="16"/>
      <c r="J9" s="8"/>
      <c r="K9" s="8"/>
      <c r="L9" s="8"/>
      <c r="M9" s="8"/>
    </row>
    <row r="10" spans="1:13" x14ac:dyDescent="0.3">
      <c r="A10" s="13" t="s">
        <v>23</v>
      </c>
      <c r="B10" s="6"/>
      <c r="C10" s="14"/>
      <c r="D10" s="6"/>
      <c r="E10" s="16"/>
      <c r="F10" s="16"/>
      <c r="G10" s="8"/>
      <c r="H10" s="8"/>
      <c r="I10" s="16"/>
      <c r="J10" s="8"/>
      <c r="K10" s="8"/>
      <c r="L10" s="8"/>
      <c r="M10" s="8"/>
    </row>
    <row r="11" spans="1:13" x14ac:dyDescent="0.3">
      <c r="A11" s="13" t="s">
        <v>20</v>
      </c>
      <c r="B11" s="6"/>
      <c r="C11" s="14"/>
      <c r="D11" s="6"/>
      <c r="E11" s="16"/>
      <c r="F11" s="16"/>
      <c r="G11" s="8"/>
      <c r="H11" s="8"/>
      <c r="I11" s="16"/>
      <c r="J11" s="8"/>
      <c r="K11" s="8"/>
      <c r="L11" s="8"/>
      <c r="M11" s="8"/>
    </row>
    <row r="12" spans="1:13" x14ac:dyDescent="0.3">
      <c r="A12" s="13" t="s">
        <v>21</v>
      </c>
      <c r="B12" s="6"/>
      <c r="C12" s="14"/>
      <c r="D12" s="6"/>
      <c r="E12" s="16"/>
      <c r="F12" s="16"/>
      <c r="G12" s="8"/>
      <c r="H12" s="8"/>
      <c r="I12" s="16"/>
      <c r="J12" s="8"/>
      <c r="K12" s="8"/>
      <c r="L12" s="8"/>
      <c r="M12" s="8"/>
    </row>
    <row r="13" spans="1:13" x14ac:dyDescent="0.3">
      <c r="A13" s="13" t="s">
        <v>22</v>
      </c>
      <c r="B13" s="6"/>
      <c r="C13" s="14"/>
      <c r="D13" s="6"/>
      <c r="E13" s="16"/>
      <c r="F13" s="16"/>
      <c r="G13" s="8"/>
      <c r="H13" s="8"/>
      <c r="I13" s="16"/>
      <c r="J13" s="8"/>
      <c r="K13" s="8"/>
      <c r="L13" s="8"/>
      <c r="M13"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CD98-7CA7-47BA-9DD3-0320DD65AECB}">
  <dimension ref="A1:E24"/>
  <sheetViews>
    <sheetView workbookViewId="0">
      <selection activeCell="B2" sqref="B2"/>
    </sheetView>
  </sheetViews>
  <sheetFormatPr defaultRowHeight="14.4" x14ac:dyDescent="0.3"/>
  <cols>
    <col min="1" max="1" width="5.44140625" bestFit="1" customWidth="1"/>
    <col min="2" max="2" width="13.44140625" customWidth="1"/>
    <col min="3" max="3" width="43" bestFit="1" customWidth="1"/>
    <col min="4" max="4" width="11.77734375" bestFit="1" customWidth="1"/>
    <col min="5" max="5" width="40.77734375" customWidth="1"/>
  </cols>
  <sheetData>
    <row r="1" spans="1:5" x14ac:dyDescent="0.3">
      <c r="A1" s="2" t="s">
        <v>72</v>
      </c>
      <c r="B1" s="2" t="s">
        <v>40</v>
      </c>
      <c r="C1" s="2" t="s">
        <v>73</v>
      </c>
      <c r="D1" s="2" t="s">
        <v>74</v>
      </c>
      <c r="E1" s="2" t="s">
        <v>46</v>
      </c>
    </row>
    <row r="2" spans="1:5" x14ac:dyDescent="0.3">
      <c r="A2" s="1">
        <v>1</v>
      </c>
      <c r="B2" s="1" t="s">
        <v>2</v>
      </c>
      <c r="C2" s="33" t="s">
        <v>202</v>
      </c>
      <c r="D2" s="24"/>
      <c r="E2" s="1"/>
    </row>
    <row r="3" spans="1:5" x14ac:dyDescent="0.3">
      <c r="A3" s="1">
        <f>A2+1</f>
        <v>2</v>
      </c>
      <c r="B3" s="1"/>
      <c r="C3" s="3"/>
      <c r="D3" s="24"/>
      <c r="E3" s="1"/>
    </row>
    <row r="4" spans="1:5" x14ac:dyDescent="0.3">
      <c r="A4" s="1">
        <f t="shared" ref="A4:A24" si="0">A3+1</f>
        <v>3</v>
      </c>
      <c r="B4" s="1"/>
      <c r="C4" s="3"/>
      <c r="D4" s="24"/>
      <c r="E4" s="1"/>
    </row>
    <row r="5" spans="1:5" x14ac:dyDescent="0.3">
      <c r="A5" s="1">
        <f t="shared" si="0"/>
        <v>4</v>
      </c>
      <c r="B5" s="1"/>
      <c r="C5" s="3"/>
      <c r="D5" s="24"/>
      <c r="E5" s="1"/>
    </row>
    <row r="6" spans="1:5" x14ac:dyDescent="0.3">
      <c r="A6" s="1">
        <f t="shared" si="0"/>
        <v>5</v>
      </c>
      <c r="B6" s="1"/>
      <c r="C6" s="3"/>
      <c r="D6" s="24"/>
      <c r="E6" s="1"/>
    </row>
    <row r="7" spans="1:5" x14ac:dyDescent="0.3">
      <c r="A7" s="1">
        <f t="shared" si="0"/>
        <v>6</v>
      </c>
      <c r="B7" s="1"/>
      <c r="C7" s="3"/>
      <c r="D7" s="24"/>
      <c r="E7" s="1"/>
    </row>
    <row r="8" spans="1:5" x14ac:dyDescent="0.3">
      <c r="A8" s="1">
        <f t="shared" si="0"/>
        <v>7</v>
      </c>
      <c r="B8" s="1"/>
      <c r="C8" s="3"/>
      <c r="D8" s="24"/>
      <c r="E8" s="1"/>
    </row>
    <row r="9" spans="1:5" x14ac:dyDescent="0.3">
      <c r="A9" s="1">
        <f t="shared" si="0"/>
        <v>8</v>
      </c>
      <c r="B9" s="1"/>
      <c r="C9" s="3"/>
      <c r="D9" s="24"/>
      <c r="E9" s="1"/>
    </row>
    <row r="10" spans="1:5" x14ac:dyDescent="0.3">
      <c r="A10" s="1">
        <f t="shared" si="0"/>
        <v>9</v>
      </c>
      <c r="B10" s="1"/>
      <c r="C10" s="3"/>
      <c r="D10" s="24"/>
      <c r="E10" s="1"/>
    </row>
    <row r="11" spans="1:5" x14ac:dyDescent="0.3">
      <c r="A11" s="1">
        <f t="shared" si="0"/>
        <v>10</v>
      </c>
      <c r="B11" s="1"/>
      <c r="C11" s="3"/>
      <c r="D11" s="24"/>
      <c r="E11" s="1"/>
    </row>
    <row r="12" spans="1:5" x14ac:dyDescent="0.3">
      <c r="A12" s="1">
        <f t="shared" si="0"/>
        <v>11</v>
      </c>
      <c r="B12" s="1"/>
      <c r="C12" s="3"/>
      <c r="D12" s="24"/>
      <c r="E12" s="1"/>
    </row>
    <row r="13" spans="1:5" x14ac:dyDescent="0.3">
      <c r="A13" s="1">
        <f t="shared" si="0"/>
        <v>12</v>
      </c>
      <c r="B13" s="1"/>
      <c r="C13" s="3"/>
      <c r="D13" s="24"/>
      <c r="E13" s="1"/>
    </row>
    <row r="14" spans="1:5" x14ac:dyDescent="0.3">
      <c r="A14" s="1">
        <f t="shared" si="0"/>
        <v>13</v>
      </c>
      <c r="B14" s="1"/>
      <c r="C14" s="3"/>
      <c r="D14" s="24"/>
      <c r="E14" s="1"/>
    </row>
    <row r="15" spans="1:5" x14ac:dyDescent="0.3">
      <c r="A15" s="1">
        <f t="shared" si="0"/>
        <v>14</v>
      </c>
      <c r="B15" s="1"/>
      <c r="C15" s="3"/>
      <c r="D15" s="24"/>
      <c r="E15" s="1"/>
    </row>
    <row r="16" spans="1:5" x14ac:dyDescent="0.3">
      <c r="A16" s="1">
        <f t="shared" si="0"/>
        <v>15</v>
      </c>
      <c r="B16" s="1"/>
      <c r="C16" s="3"/>
      <c r="D16" s="24"/>
      <c r="E16" s="1"/>
    </row>
    <row r="17" spans="1:5" x14ac:dyDescent="0.3">
      <c r="A17" s="1">
        <f t="shared" si="0"/>
        <v>16</v>
      </c>
      <c r="B17" s="1"/>
      <c r="C17" s="3"/>
      <c r="D17" s="24"/>
      <c r="E17" s="23"/>
    </row>
    <row r="18" spans="1:5" x14ac:dyDescent="0.3">
      <c r="A18" s="1">
        <f t="shared" si="0"/>
        <v>17</v>
      </c>
      <c r="B18" s="1"/>
      <c r="C18" s="3"/>
      <c r="D18" s="24"/>
      <c r="E18" s="23"/>
    </row>
    <row r="19" spans="1:5" x14ac:dyDescent="0.3">
      <c r="A19" s="1">
        <f t="shared" si="0"/>
        <v>18</v>
      </c>
      <c r="B19" s="1"/>
      <c r="C19" s="3"/>
      <c r="D19" s="24"/>
      <c r="E19" s="23"/>
    </row>
    <row r="20" spans="1:5" x14ac:dyDescent="0.3">
      <c r="A20" s="1">
        <f t="shared" si="0"/>
        <v>19</v>
      </c>
      <c r="B20" s="1"/>
      <c r="C20" s="3"/>
      <c r="D20" s="24"/>
      <c r="E20" s="23"/>
    </row>
    <row r="21" spans="1:5" x14ac:dyDescent="0.3">
      <c r="A21" s="1">
        <f t="shared" si="0"/>
        <v>20</v>
      </c>
      <c r="B21" s="1"/>
      <c r="C21" s="3"/>
      <c r="D21" s="24"/>
      <c r="E21" s="23"/>
    </row>
    <row r="22" spans="1:5" x14ac:dyDescent="0.3">
      <c r="A22" s="1">
        <f t="shared" si="0"/>
        <v>21</v>
      </c>
      <c r="B22" s="1"/>
      <c r="C22" s="3"/>
      <c r="D22" s="24"/>
      <c r="E22" s="23"/>
    </row>
    <row r="23" spans="1:5" x14ac:dyDescent="0.3">
      <c r="A23" s="1">
        <f t="shared" si="0"/>
        <v>22</v>
      </c>
      <c r="B23" s="1"/>
      <c r="C23" s="3"/>
      <c r="D23" s="24"/>
      <c r="E23" s="23"/>
    </row>
    <row r="24" spans="1:5" x14ac:dyDescent="0.3">
      <c r="A24" s="1">
        <f t="shared" si="0"/>
        <v>23</v>
      </c>
      <c r="B24" s="1"/>
      <c r="C24" s="3"/>
      <c r="D24" s="24"/>
      <c r="E24" s="23"/>
    </row>
  </sheetData>
  <conditionalFormatting sqref="D2:D24">
    <cfRule type="cellIs" dxfId="1" priority="2" operator="lessThan">
      <formula>TODAY()</formula>
    </cfRule>
  </conditionalFormatting>
  <conditionalFormatting sqref="D2:D1048576">
    <cfRule type="timePeriod" dxfId="0" priority="3" timePeriod="last7Days">
      <formula>AND(TODAY()-FLOOR(D2,1)&lt;=6,FLOOR(D2,1)&lt;=TODAY())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Master - Civil + Utilities</vt:lpstr>
      <vt:lpstr>Utilities-P3</vt:lpstr>
      <vt:lpstr>Utilities-P2</vt:lpstr>
      <vt:lpstr>Civil-P2</vt:lpstr>
      <vt:lpstr>Civil -P11</vt:lpstr>
      <vt:lpstr>Utility Meeting</vt:lpstr>
      <vt:lpstr>Utilities -P1</vt:lpstr>
      <vt:lpstr>Civil - P1</vt:lpstr>
      <vt:lpstr>Process Tools -P2</vt:lpstr>
      <vt:lpstr>Process Tools</vt:lpstr>
      <vt:lpstr>Dry Type Transformer</vt:lpstr>
      <vt:lpstr>EP - PEB</vt:lpstr>
      <vt:lpstr>Critical Drawings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Mukul Banka</dc:creator>
  <cp:lastModifiedBy>Mukul Banka</cp:lastModifiedBy>
  <cp:lastPrinted>2025-11-11T10:30:26Z</cp:lastPrinted>
  <dcterms:created xsi:type="dcterms:W3CDTF">2025-08-05T01:40:56Z</dcterms:created>
  <dcterms:modified xsi:type="dcterms:W3CDTF">2025-11-25T13:58:28Z</dcterms:modified>
</cp:coreProperties>
</file>