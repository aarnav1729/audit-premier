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pel-my.sharepoint.com/personal/ramesh_t_premierenergies_com/Documents/Desktop/"/>
    </mc:Choice>
  </mc:AlternateContent>
  <xr:revisionPtr revIDLastSave="109" documentId="8_{841E4F5D-5F5F-4BF3-A1BE-3A355129D917}" xr6:coauthVersionLast="47" xr6:coauthVersionMax="47" xr10:uidLastSave="{7A66EEAB-1BAF-4A3B-B984-5B2A4A2E4998}"/>
  <bookViews>
    <workbookView xWindow="-110" yWindow="-110" windowWidth="19420" windowHeight="10300" xr2:uid="{54C5D74E-56FD-49E6-A461-AA669A51290C}"/>
  </bookViews>
  <sheets>
    <sheet name="HO" sheetId="1" r:id="rId1"/>
    <sheet name="P2" sheetId="2" r:id="rId2"/>
    <sheet name="P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N7" i="3"/>
  <c r="M7" i="3"/>
  <c r="L7" i="3"/>
  <c r="L8" i="3" s="1"/>
  <c r="K7" i="3"/>
  <c r="J7" i="3"/>
  <c r="I7" i="3"/>
  <c r="H7" i="3"/>
  <c r="G7" i="3"/>
  <c r="F7" i="3"/>
  <c r="E7" i="3"/>
  <c r="D7" i="3"/>
  <c r="C7" i="3"/>
  <c r="E16" i="3"/>
  <c r="D16" i="3"/>
  <c r="C16" i="3"/>
  <c r="F16" i="3" s="1"/>
  <c r="E15" i="3"/>
  <c r="D15" i="3"/>
  <c r="C15" i="3"/>
  <c r="E14" i="3"/>
  <c r="D14" i="3"/>
  <c r="C14" i="3"/>
  <c r="E13" i="3"/>
  <c r="D13" i="3"/>
  <c r="C13" i="3"/>
  <c r="F13" i="3" s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F18" i="1" s="1"/>
  <c r="E17" i="1"/>
  <c r="D17" i="1"/>
  <c r="C17" i="1"/>
  <c r="E16" i="1"/>
  <c r="D16" i="1"/>
  <c r="C16" i="1"/>
  <c r="F16" i="1" s="1"/>
  <c r="N10" i="1"/>
  <c r="M10" i="1"/>
  <c r="L10" i="1"/>
  <c r="K10" i="1"/>
  <c r="J10" i="1"/>
  <c r="I10" i="1"/>
  <c r="H10" i="1"/>
  <c r="G10" i="1"/>
  <c r="F10" i="1"/>
  <c r="E10" i="1"/>
  <c r="D10" i="1"/>
  <c r="C10" i="1"/>
  <c r="E16" i="2"/>
  <c r="D16" i="2"/>
  <c r="C16" i="2"/>
  <c r="F16" i="2" s="1"/>
  <c r="E15" i="2"/>
  <c r="D15" i="2"/>
  <c r="F15" i="2" s="1"/>
  <c r="C15" i="2"/>
  <c r="E14" i="2"/>
  <c r="D14" i="2"/>
  <c r="C14" i="2"/>
  <c r="E13" i="2"/>
  <c r="D13" i="2"/>
  <c r="C13" i="2"/>
  <c r="F13" i="2" s="1"/>
  <c r="N7" i="2"/>
  <c r="M7" i="2"/>
  <c r="L7" i="2"/>
  <c r="K7" i="2"/>
  <c r="J7" i="2"/>
  <c r="I7" i="2"/>
  <c r="H7" i="2"/>
  <c r="G7" i="2"/>
  <c r="F7" i="2"/>
  <c r="E7" i="2"/>
  <c r="D7" i="2"/>
  <c r="C7" i="2"/>
  <c r="F11" i="1" l="1"/>
  <c r="F17" i="1"/>
  <c r="F21" i="1"/>
  <c r="F20" i="1"/>
  <c r="F22" i="1"/>
  <c r="C23" i="1"/>
  <c r="F23" i="1" s="1"/>
  <c r="D23" i="1"/>
  <c r="E23" i="1"/>
  <c r="F19" i="1"/>
  <c r="F14" i="3"/>
  <c r="F15" i="3"/>
  <c r="I11" i="1"/>
  <c r="L11" i="1"/>
  <c r="E17" i="2"/>
  <c r="F8" i="3"/>
  <c r="E17" i="3"/>
  <c r="C17" i="3"/>
  <c r="C8" i="3"/>
  <c r="I8" i="3"/>
  <c r="D17" i="3"/>
  <c r="L8" i="2"/>
  <c r="C8" i="2"/>
  <c r="C17" i="2"/>
  <c r="I8" i="2"/>
  <c r="D17" i="2"/>
  <c r="F8" i="2"/>
  <c r="C11" i="1"/>
  <c r="F17" i="2" l="1"/>
  <c r="F17" i="3"/>
</calcChain>
</file>

<file path=xl/sharedStrings.xml><?xml version="1.0" encoding="utf-8"?>
<sst xmlns="http://schemas.openxmlformats.org/spreadsheetml/2006/main" count="87" uniqueCount="20">
  <si>
    <t>High</t>
  </si>
  <si>
    <t>Medium</t>
  </si>
  <si>
    <t>Low</t>
  </si>
  <si>
    <t>Compliance</t>
  </si>
  <si>
    <t>Non-Compliance</t>
  </si>
  <si>
    <t>Not Applicable</t>
  </si>
  <si>
    <t>Total</t>
  </si>
  <si>
    <t>Critical</t>
  </si>
  <si>
    <t>Firewall Configuration</t>
  </si>
  <si>
    <t>Description</t>
  </si>
  <si>
    <t>S. No.</t>
  </si>
  <si>
    <t>Internal System VA</t>
  </si>
  <si>
    <t>Wireless PT</t>
  </si>
  <si>
    <t>SQL Database and Server 2022</t>
  </si>
  <si>
    <t>SQL Database 2019</t>
  </si>
  <si>
    <t>SQL Server 2019</t>
  </si>
  <si>
    <t>Windows Server 2019</t>
  </si>
  <si>
    <t>Windows Server 2022</t>
  </si>
  <si>
    <t>Firewall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</si>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</sst>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4937-B13F-4668-9C39-1528E6328813}">
  <dimension ref="A1:O23"/>
  <sheetViews>
    <sheetView tabSelected="1" workbookViewId="0">
      <selection activeCell="B16" sqref="B16"/>
    </sheetView>
  </sheetViews>
  <sheetFormatPr defaultRowHeight="14.5" x14ac:dyDescent="0.35"/>
  <cols>
    <col min="1" max="1" width="5.6328125" bestFit="1" customWidth="1"/>
    <col min="2" max="2" width="19" bestFit="1" customWidth="1"/>
    <col min="3" max="3" width="10.54296875" bestFit="1" customWidth="1"/>
    <col min="4" max="4" width="14.7265625" bestFit="1" customWidth="1"/>
    <col min="5" max="5" width="13.08984375" bestFit="1" customWidth="1"/>
    <col min="6" max="6" width="10.54296875" bestFit="1" customWidth="1"/>
    <col min="7" max="7" width="14.7265625" bestFit="1" customWidth="1"/>
    <col min="8" max="8" width="13.08984375" bestFit="1" customWidth="1"/>
    <col min="9" max="9" width="10.54296875" bestFit="1" customWidth="1"/>
    <col min="10" max="10" width="14.7265625" bestFit="1" customWidth="1"/>
    <col min="11" max="11" width="13.08984375" bestFit="1" customWidth="1"/>
    <col min="12" max="12" width="10.54296875" bestFit="1" customWidth="1"/>
    <col min="13" max="13" width="14.7265625" bestFit="1" customWidth="1"/>
    <col min="14" max="14" width="13.08984375" bestFit="1" customWidth="1"/>
    <col min="15" max="15" width="10.54296875" bestFit="1" customWidth="1"/>
    <col min="16" max="16" width="14.7265625" bestFit="1" customWidth="1"/>
    <col min="17" max="17" width="13.08984375" bestFit="1" customWidth="1"/>
    <col min="18" max="18" width="3.81640625" bestFit="1" customWidth="1"/>
  </cols>
  <sheetData>
    <row r="1" spans="1:15" s="1" customFormat="1" x14ac:dyDescent="0.35">
      <c r="A1" s="2" t="s">
        <v>10</v>
      </c>
      <c r="B1" s="2" t="s">
        <v>9</v>
      </c>
      <c r="C1" s="3" t="s">
        <v>7</v>
      </c>
      <c r="D1" s="3"/>
      <c r="E1" s="3"/>
      <c r="F1" s="4" t="s">
        <v>0</v>
      </c>
      <c r="G1" s="4"/>
      <c r="H1" s="4"/>
      <c r="I1" s="5" t="s">
        <v>1</v>
      </c>
      <c r="J1" s="5"/>
      <c r="K1" s="5"/>
      <c r="L1" s="6" t="s">
        <v>2</v>
      </c>
      <c r="M1" s="6"/>
      <c r="N1" s="6"/>
    </row>
    <row r="2" spans="1:15" s="1" customFormat="1" x14ac:dyDescent="0.35">
      <c r="A2" s="2"/>
      <c r="B2" s="2"/>
      <c r="C2" s="7" t="s">
        <v>3</v>
      </c>
      <c r="D2" s="8" t="s">
        <v>4</v>
      </c>
      <c r="E2" s="9" t="s">
        <v>5</v>
      </c>
      <c r="F2" s="7" t="s">
        <v>3</v>
      </c>
      <c r="G2" s="8" t="s">
        <v>4</v>
      </c>
      <c r="H2" s="9" t="s">
        <v>5</v>
      </c>
      <c r="I2" s="7" t="s">
        <v>3</v>
      </c>
      <c r="J2" s="8" t="s">
        <v>4</v>
      </c>
      <c r="K2" s="9" t="s">
        <v>5</v>
      </c>
      <c r="L2" s="7" t="s">
        <v>3</v>
      </c>
      <c r="M2" s="8" t="s">
        <v>4</v>
      </c>
      <c r="N2" s="9" t="s">
        <v>5</v>
      </c>
    </row>
    <row r="3" spans="1:15" x14ac:dyDescent="0.35">
      <c r="A3" s="10">
        <v>1</v>
      </c>
      <c r="B3" s="10" t="s">
        <v>18</v>
      </c>
      <c r="C3" s="10">
        <v>1</v>
      </c>
      <c r="D3" s="10"/>
      <c r="E3" s="10">
        <v>1</v>
      </c>
      <c r="F3" s="10"/>
      <c r="G3" s="10"/>
      <c r="H3" s="10"/>
      <c r="I3" s="10"/>
      <c r="J3" s="10">
        <v>1</v>
      </c>
      <c r="K3" s="10"/>
      <c r="L3" s="10">
        <v>54</v>
      </c>
      <c r="M3" s="10">
        <v>18</v>
      </c>
      <c r="N3" s="10">
        <v>4</v>
      </c>
    </row>
    <row r="4" spans="1:15" x14ac:dyDescent="0.35">
      <c r="A4" s="10">
        <v>2</v>
      </c>
      <c r="B4" s="10" t="s">
        <v>11</v>
      </c>
      <c r="C4" s="10">
        <v>1</v>
      </c>
      <c r="D4" s="10"/>
      <c r="E4" s="10"/>
      <c r="F4" s="10">
        <v>10</v>
      </c>
      <c r="G4" s="10"/>
      <c r="H4" s="10"/>
      <c r="I4" s="10">
        <v>2</v>
      </c>
      <c r="J4" s="10">
        <v>1</v>
      </c>
      <c r="K4" s="10"/>
      <c r="L4" s="10">
        <v>1</v>
      </c>
      <c r="M4" s="10"/>
      <c r="N4" s="10"/>
    </row>
    <row r="5" spans="1:15" x14ac:dyDescent="0.35">
      <c r="A5" s="10">
        <v>3</v>
      </c>
      <c r="B5" s="10" t="s">
        <v>14</v>
      </c>
      <c r="C5" s="10">
        <v>1</v>
      </c>
      <c r="D5" s="10">
        <v>9</v>
      </c>
      <c r="E5" s="10"/>
      <c r="F5" s="10">
        <v>9</v>
      </c>
      <c r="G5" s="10">
        <v>7</v>
      </c>
      <c r="H5" s="10"/>
      <c r="I5" s="10">
        <v>12</v>
      </c>
      <c r="J5" s="10">
        <v>1</v>
      </c>
      <c r="K5" s="10"/>
      <c r="L5" s="10"/>
      <c r="M5" s="10"/>
      <c r="N5" s="10"/>
    </row>
    <row r="6" spans="1:15" x14ac:dyDescent="0.35">
      <c r="A6" s="10">
        <v>4</v>
      </c>
      <c r="B6" s="10" t="s">
        <v>15</v>
      </c>
      <c r="C6" s="10"/>
      <c r="D6" s="10"/>
      <c r="E6" s="10">
        <v>13</v>
      </c>
      <c r="F6" s="10"/>
      <c r="G6" s="10"/>
      <c r="H6" s="10">
        <v>15</v>
      </c>
      <c r="I6" s="10"/>
      <c r="J6" s="10"/>
      <c r="K6" s="10">
        <v>13</v>
      </c>
      <c r="L6" s="10"/>
      <c r="M6" s="10"/>
      <c r="N6" s="10"/>
    </row>
    <row r="7" spans="1:15" x14ac:dyDescent="0.35">
      <c r="A7" s="10">
        <v>5</v>
      </c>
      <c r="B7" s="10" t="s">
        <v>16</v>
      </c>
      <c r="C7" s="10">
        <v>2</v>
      </c>
      <c r="D7" s="10">
        <v>7</v>
      </c>
      <c r="E7" s="10"/>
      <c r="F7" s="10">
        <v>6</v>
      </c>
      <c r="G7" s="10">
        <v>5</v>
      </c>
      <c r="H7" s="10"/>
      <c r="I7" s="10">
        <v>98</v>
      </c>
      <c r="J7" s="10">
        <v>267</v>
      </c>
      <c r="K7" s="10"/>
      <c r="L7" s="10"/>
      <c r="M7" s="10">
        <v>8</v>
      </c>
      <c r="N7" s="10"/>
    </row>
    <row r="8" spans="1:15" x14ac:dyDescent="0.35">
      <c r="A8" s="10">
        <v>6</v>
      </c>
      <c r="B8" s="10" t="s">
        <v>17</v>
      </c>
      <c r="C8" s="10">
        <v>3</v>
      </c>
      <c r="D8" s="10">
        <v>6</v>
      </c>
      <c r="E8" s="10"/>
      <c r="F8" s="10">
        <v>8</v>
      </c>
      <c r="G8" s="10">
        <v>3</v>
      </c>
      <c r="H8" s="10"/>
      <c r="I8" s="10">
        <v>288</v>
      </c>
      <c r="J8" s="10">
        <v>77</v>
      </c>
      <c r="K8" s="10"/>
      <c r="L8" s="10">
        <v>6</v>
      </c>
      <c r="M8" s="10">
        <v>2</v>
      </c>
      <c r="N8" s="10"/>
    </row>
    <row r="9" spans="1:15" x14ac:dyDescent="0.35">
      <c r="A9" s="10">
        <v>7</v>
      </c>
      <c r="B9" s="10" t="s">
        <v>12</v>
      </c>
      <c r="C9" s="10"/>
      <c r="D9" s="10">
        <v>0</v>
      </c>
      <c r="E9" s="10"/>
      <c r="F9" s="10"/>
      <c r="G9" s="10">
        <v>0</v>
      </c>
      <c r="H9" s="10"/>
      <c r="I9" s="10"/>
      <c r="J9" s="10">
        <v>0</v>
      </c>
      <c r="K9" s="10"/>
      <c r="L9" s="10"/>
      <c r="M9" s="10">
        <v>0</v>
      </c>
      <c r="N9" s="10"/>
    </row>
    <row r="10" spans="1:15" x14ac:dyDescent="0.35">
      <c r="A10" s="10"/>
      <c r="B10" s="12" t="s">
        <v>6</v>
      </c>
      <c r="C10" s="11">
        <f>SUM(C3:C9)</f>
        <v>8</v>
      </c>
      <c r="D10" s="11">
        <f>SUM(D3:D9)</f>
        <v>22</v>
      </c>
      <c r="E10" s="11">
        <f>SUM(E3:E9)</f>
        <v>14</v>
      </c>
      <c r="F10" s="11">
        <f>SUM(F3:F9)</f>
        <v>33</v>
      </c>
      <c r="G10" s="11">
        <f>SUM(G3:G9)</f>
        <v>15</v>
      </c>
      <c r="H10" s="11">
        <f>SUM(H3:H9)</f>
        <v>15</v>
      </c>
      <c r="I10" s="11">
        <f>SUM(I3:I9)</f>
        <v>400</v>
      </c>
      <c r="J10" s="11">
        <f>SUM(J3:J9)</f>
        <v>347</v>
      </c>
      <c r="K10" s="11">
        <f>SUM(K3:K9)</f>
        <v>13</v>
      </c>
      <c r="L10" s="11">
        <f>SUM(L3:L9)</f>
        <v>61</v>
      </c>
      <c r="M10" s="11">
        <f>SUM(M3:M9)</f>
        <v>28</v>
      </c>
      <c r="N10" s="11">
        <f>SUM(N3:N9)</f>
        <v>4</v>
      </c>
    </row>
    <row r="11" spans="1:15" x14ac:dyDescent="0.35">
      <c r="A11" s="10"/>
      <c r="B11" s="12"/>
      <c r="C11" s="3">
        <f>C10+D10+E10</f>
        <v>44</v>
      </c>
      <c r="D11" s="3"/>
      <c r="E11" s="3"/>
      <c r="F11" s="4">
        <f>F10+G10+H10</f>
        <v>63</v>
      </c>
      <c r="G11" s="4"/>
      <c r="H11" s="4"/>
      <c r="I11" s="5">
        <f>I10+J10+K10</f>
        <v>760</v>
      </c>
      <c r="J11" s="5"/>
      <c r="K11" s="5"/>
      <c r="L11" s="6">
        <f>L10+M10+N10</f>
        <v>93</v>
      </c>
      <c r="M11" s="6"/>
      <c r="N11" s="6"/>
      <c r="O11" s="1"/>
    </row>
    <row r="14" spans="1:15" x14ac:dyDescent="0.35">
      <c r="C14" s="13" t="s">
        <v>6</v>
      </c>
      <c r="D14" s="13"/>
      <c r="E14" s="13"/>
      <c r="F14" s="13"/>
    </row>
    <row r="15" spans="1:15" x14ac:dyDescent="0.35">
      <c r="C15" s="7" t="s">
        <v>3</v>
      </c>
      <c r="D15" s="8" t="s">
        <v>4</v>
      </c>
      <c r="E15" s="9" t="s">
        <v>5</v>
      </c>
      <c r="F15" s="11" t="s">
        <v>19</v>
      </c>
    </row>
    <row r="16" spans="1:15" x14ac:dyDescent="0.35">
      <c r="C16" s="10">
        <f>C3+F3+I3+L3</f>
        <v>55</v>
      </c>
      <c r="D16" s="10">
        <f>D3+G3+J3+M3</f>
        <v>19</v>
      </c>
      <c r="E16" s="10">
        <f>E3+H3+K3+N3</f>
        <v>5</v>
      </c>
      <c r="F16" s="11">
        <f>C16+D16+E16</f>
        <v>79</v>
      </c>
    </row>
    <row r="17" spans="3:6" x14ac:dyDescent="0.35">
      <c r="C17" s="10">
        <f>C4+F4+I4+L4</f>
        <v>14</v>
      </c>
      <c r="D17" s="10">
        <f>D4+G4+J4+M4</f>
        <v>1</v>
      </c>
      <c r="E17" s="10">
        <f>E4+H4+K4+N4</f>
        <v>0</v>
      </c>
      <c r="F17" s="11">
        <f t="shared" ref="F17:F23" si="0">C17+D17+E17</f>
        <v>15</v>
      </c>
    </row>
    <row r="18" spans="3:6" x14ac:dyDescent="0.35">
      <c r="C18" s="10">
        <f>C5+F5+I5+L5</f>
        <v>22</v>
      </c>
      <c r="D18" s="10">
        <f>D5+G5+J5+M5</f>
        <v>17</v>
      </c>
      <c r="E18" s="10">
        <f>E5+H5+K5+N5</f>
        <v>0</v>
      </c>
      <c r="F18" s="11">
        <f t="shared" si="0"/>
        <v>39</v>
      </c>
    </row>
    <row r="19" spans="3:6" x14ac:dyDescent="0.35">
      <c r="C19" s="10">
        <f>C6+F6+I6+L6</f>
        <v>0</v>
      </c>
      <c r="D19" s="10">
        <f>D6+G6+J6+M6</f>
        <v>0</v>
      </c>
      <c r="E19" s="10">
        <f>E6+H6+K6+N6</f>
        <v>41</v>
      </c>
      <c r="F19" s="11">
        <f t="shared" si="0"/>
        <v>41</v>
      </c>
    </row>
    <row r="20" spans="3:6" x14ac:dyDescent="0.35">
      <c r="C20" s="10">
        <f>C7+F7+I7+L7</f>
        <v>106</v>
      </c>
      <c r="D20" s="10">
        <f>D7+G7+J7+M7</f>
        <v>287</v>
      </c>
      <c r="E20" s="10">
        <f>E7+H7+K7+N7</f>
        <v>0</v>
      </c>
      <c r="F20" s="11">
        <f t="shared" si="0"/>
        <v>393</v>
      </c>
    </row>
    <row r="21" spans="3:6" x14ac:dyDescent="0.35">
      <c r="C21" s="10">
        <f>C8+F8+I8+L8</f>
        <v>305</v>
      </c>
      <c r="D21" s="10">
        <f>D8+G8+J8+M8</f>
        <v>88</v>
      </c>
      <c r="E21" s="10">
        <f>E8+H8+K8+N8</f>
        <v>0</v>
      </c>
      <c r="F21" s="11">
        <f t="shared" si="0"/>
        <v>393</v>
      </c>
    </row>
    <row r="22" spans="3:6" x14ac:dyDescent="0.35">
      <c r="C22" s="10">
        <f>C9+F9+I9+L9</f>
        <v>0</v>
      </c>
      <c r="D22" s="10">
        <f>D9+G9+J9+M9</f>
        <v>0</v>
      </c>
      <c r="E22" s="10">
        <f>E9+H9+K9+N9</f>
        <v>0</v>
      </c>
      <c r="F22" s="11">
        <f t="shared" si="0"/>
        <v>0</v>
      </c>
    </row>
    <row r="23" spans="3:6" x14ac:dyDescent="0.35">
      <c r="C23" s="11">
        <f>C10+F10+I10+L10</f>
        <v>502</v>
      </c>
      <c r="D23" s="11">
        <f>D10+G10+J10+M10</f>
        <v>412</v>
      </c>
      <c r="E23" s="11">
        <f>E10+H10+K10+N10</f>
        <v>46</v>
      </c>
      <c r="F23" s="11">
        <f t="shared" si="0"/>
        <v>960</v>
      </c>
    </row>
  </sheetData>
  <mergeCells count="12">
    <mergeCell ref="C14:F14"/>
    <mergeCell ref="B10:B11"/>
    <mergeCell ref="C11:E11"/>
    <mergeCell ref="F11:H11"/>
    <mergeCell ref="I11:K11"/>
    <mergeCell ref="L11:N11"/>
    <mergeCell ref="A1:A2"/>
    <mergeCell ref="C1:E1"/>
    <mergeCell ref="I1:K1"/>
    <mergeCell ref="L1:N1"/>
    <mergeCell ref="F1:H1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AF7F-2120-47E8-BAD3-2C1E70CCECD8}">
  <dimension ref="A1:O17"/>
  <sheetViews>
    <sheetView zoomScaleNormal="100" workbookViewId="0">
      <selection activeCell="F13" sqref="F13"/>
    </sheetView>
  </sheetViews>
  <sheetFormatPr defaultColWidth="5.81640625" defaultRowHeight="14.5" x14ac:dyDescent="0.35"/>
  <cols>
    <col min="1" max="1" width="5.6328125" bestFit="1" customWidth="1"/>
    <col min="2" max="2" width="26.36328125" bestFit="1" customWidth="1"/>
    <col min="3" max="3" width="10.54296875" bestFit="1" customWidth="1"/>
    <col min="4" max="4" width="14.7265625" bestFit="1" customWidth="1"/>
    <col min="5" max="5" width="13.08984375" bestFit="1" customWidth="1"/>
    <col min="6" max="6" width="10.54296875" bestFit="1" customWidth="1"/>
    <col min="7" max="7" width="14.7265625" bestFit="1" customWidth="1"/>
    <col min="8" max="8" width="13.08984375" bestFit="1" customWidth="1"/>
    <col min="9" max="9" width="10.54296875" bestFit="1" customWidth="1"/>
    <col min="10" max="10" width="14.7265625" bestFit="1" customWidth="1"/>
    <col min="11" max="11" width="13.08984375" bestFit="1" customWidth="1"/>
    <col min="12" max="12" width="10.54296875" bestFit="1" customWidth="1"/>
    <col min="13" max="13" width="14.7265625" bestFit="1" customWidth="1"/>
    <col min="14" max="14" width="13.08984375" bestFit="1" customWidth="1"/>
    <col min="15" max="15" width="10.54296875" bestFit="1" customWidth="1"/>
    <col min="16" max="16" width="14.7265625" bestFit="1" customWidth="1"/>
    <col min="17" max="17" width="13.08984375" bestFit="1" customWidth="1"/>
    <col min="18" max="18" width="3.81640625" bestFit="1" customWidth="1"/>
  </cols>
  <sheetData>
    <row r="1" spans="1:15" s="1" customFormat="1" x14ac:dyDescent="0.35">
      <c r="A1" s="2" t="s">
        <v>10</v>
      </c>
      <c r="B1" s="2" t="s">
        <v>9</v>
      </c>
      <c r="C1" s="3" t="s">
        <v>7</v>
      </c>
      <c r="D1" s="3"/>
      <c r="E1" s="3"/>
      <c r="F1" s="4" t="s">
        <v>0</v>
      </c>
      <c r="G1" s="4"/>
      <c r="H1" s="4"/>
      <c r="I1" s="5" t="s">
        <v>1</v>
      </c>
      <c r="J1" s="5"/>
      <c r="K1" s="5"/>
      <c r="L1" s="6" t="s">
        <v>2</v>
      </c>
      <c r="M1" s="6"/>
      <c r="N1" s="6"/>
    </row>
    <row r="2" spans="1:15" s="1" customFormat="1" x14ac:dyDescent="0.35">
      <c r="A2" s="2"/>
      <c r="B2" s="2"/>
      <c r="C2" s="7" t="s">
        <v>3</v>
      </c>
      <c r="D2" s="8" t="s">
        <v>4</v>
      </c>
      <c r="E2" s="9" t="s">
        <v>5</v>
      </c>
      <c r="F2" s="7" t="s">
        <v>3</v>
      </c>
      <c r="G2" s="8" t="s">
        <v>4</v>
      </c>
      <c r="H2" s="9" t="s">
        <v>5</v>
      </c>
      <c r="I2" s="7" t="s">
        <v>3</v>
      </c>
      <c r="J2" s="8" t="s">
        <v>4</v>
      </c>
      <c r="K2" s="9" t="s">
        <v>5</v>
      </c>
      <c r="L2" s="7" t="s">
        <v>3</v>
      </c>
      <c r="M2" s="8" t="s">
        <v>4</v>
      </c>
      <c r="N2" s="9" t="s">
        <v>5</v>
      </c>
    </row>
    <row r="3" spans="1:15" x14ac:dyDescent="0.35">
      <c r="A3" s="10">
        <v>1</v>
      </c>
      <c r="B3" s="10" t="s">
        <v>8</v>
      </c>
      <c r="C3" s="10">
        <v>30</v>
      </c>
      <c r="D3" s="10"/>
      <c r="E3" s="10">
        <v>6</v>
      </c>
      <c r="F3" s="10">
        <v>16</v>
      </c>
      <c r="G3" s="10">
        <v>7</v>
      </c>
      <c r="H3" s="10">
        <v>2</v>
      </c>
      <c r="I3" s="10">
        <v>11</v>
      </c>
      <c r="J3" s="10">
        <v>3</v>
      </c>
      <c r="K3" s="10">
        <v>1</v>
      </c>
      <c r="L3" s="10">
        <v>1</v>
      </c>
      <c r="M3" s="10">
        <v>2</v>
      </c>
      <c r="N3" s="10"/>
    </row>
    <row r="4" spans="1:15" x14ac:dyDescent="0.35">
      <c r="A4" s="10">
        <v>2</v>
      </c>
      <c r="B4" s="10" t="s">
        <v>11</v>
      </c>
      <c r="C4" s="10"/>
      <c r="D4" s="10"/>
      <c r="E4" s="10"/>
      <c r="F4" s="10"/>
      <c r="G4" s="10"/>
      <c r="H4" s="10"/>
      <c r="I4" s="10">
        <v>3</v>
      </c>
      <c r="J4" s="10"/>
      <c r="K4" s="10"/>
      <c r="L4" s="10">
        <v>1</v>
      </c>
      <c r="M4" s="10"/>
      <c r="N4" s="10"/>
    </row>
    <row r="5" spans="1:15" x14ac:dyDescent="0.35">
      <c r="A5" s="10">
        <v>3</v>
      </c>
      <c r="B5" s="10" t="s">
        <v>13</v>
      </c>
      <c r="C5" s="10">
        <v>1</v>
      </c>
      <c r="D5" s="10"/>
      <c r="E5" s="10"/>
      <c r="F5" s="10"/>
      <c r="G5" s="10">
        <v>1</v>
      </c>
      <c r="H5" s="10"/>
      <c r="I5" s="10">
        <v>31</v>
      </c>
      <c r="J5" s="10">
        <v>14</v>
      </c>
      <c r="K5" s="10"/>
      <c r="L5" s="10"/>
      <c r="M5" s="10"/>
      <c r="N5" s="10"/>
    </row>
    <row r="6" spans="1:15" x14ac:dyDescent="0.35">
      <c r="A6" s="10">
        <v>4</v>
      </c>
      <c r="B6" s="10" t="s">
        <v>12</v>
      </c>
      <c r="C6" s="10"/>
      <c r="D6" s="10">
        <v>0</v>
      </c>
      <c r="E6" s="10"/>
      <c r="F6" s="10"/>
      <c r="G6" s="10">
        <v>0</v>
      </c>
      <c r="H6" s="10"/>
      <c r="I6" s="10"/>
      <c r="J6" s="10">
        <v>0</v>
      </c>
      <c r="K6" s="10"/>
      <c r="L6" s="10"/>
      <c r="M6" s="10">
        <v>0</v>
      </c>
      <c r="N6" s="10"/>
    </row>
    <row r="7" spans="1:15" x14ac:dyDescent="0.35">
      <c r="A7" s="10"/>
      <c r="B7" s="12" t="s">
        <v>6</v>
      </c>
      <c r="C7" s="11">
        <f>SUM(C3:C6)</f>
        <v>31</v>
      </c>
      <c r="D7" s="11">
        <f>SUM(D3:D6)</f>
        <v>0</v>
      </c>
      <c r="E7" s="11">
        <f>SUM(E3:E6)</f>
        <v>6</v>
      </c>
      <c r="F7" s="11">
        <f>SUM(F3:F6)</f>
        <v>16</v>
      </c>
      <c r="G7" s="11">
        <f>SUM(G3:G6)</f>
        <v>8</v>
      </c>
      <c r="H7" s="11">
        <f>SUM(H3:H6)</f>
        <v>2</v>
      </c>
      <c r="I7" s="11">
        <f>SUM(I3:I6)</f>
        <v>45</v>
      </c>
      <c r="J7" s="11">
        <f>SUM(J3:J6)</f>
        <v>17</v>
      </c>
      <c r="K7" s="11">
        <f>SUM(K3:K6)</f>
        <v>1</v>
      </c>
      <c r="L7" s="11">
        <f>SUM(L3:L6)</f>
        <v>2</v>
      </c>
      <c r="M7" s="11">
        <f>SUM(M3:M6)</f>
        <v>2</v>
      </c>
      <c r="N7" s="11">
        <f>SUM(N3:N6)</f>
        <v>0</v>
      </c>
    </row>
    <row r="8" spans="1:15" x14ac:dyDescent="0.35">
      <c r="A8" s="10"/>
      <c r="B8" s="12"/>
      <c r="C8" s="3">
        <f>C7+D7+E7</f>
        <v>37</v>
      </c>
      <c r="D8" s="3"/>
      <c r="E8" s="3"/>
      <c r="F8" s="4">
        <f>F7+G7+H7</f>
        <v>26</v>
      </c>
      <c r="G8" s="4"/>
      <c r="H8" s="4"/>
      <c r="I8" s="5">
        <f>I7+J7+K7</f>
        <v>63</v>
      </c>
      <c r="J8" s="5"/>
      <c r="K8" s="5"/>
      <c r="L8" s="6">
        <f>L7+M7+N7</f>
        <v>4</v>
      </c>
      <c r="M8" s="6"/>
      <c r="N8" s="6"/>
      <c r="O8" s="1"/>
    </row>
    <row r="11" spans="1:15" x14ac:dyDescent="0.35">
      <c r="C11" s="13" t="s">
        <v>6</v>
      </c>
      <c r="D11" s="13"/>
      <c r="E11" s="13"/>
      <c r="F11" s="13"/>
    </row>
    <row r="12" spans="1:15" x14ac:dyDescent="0.35">
      <c r="C12" s="7" t="s">
        <v>3</v>
      </c>
      <c r="D12" s="8" t="s">
        <v>4</v>
      </c>
      <c r="E12" s="9" t="s">
        <v>5</v>
      </c>
      <c r="F12" s="11" t="s">
        <v>19</v>
      </c>
    </row>
    <row r="13" spans="1:15" x14ac:dyDescent="0.35">
      <c r="C13" s="10">
        <f>C3+F3+I3+L3</f>
        <v>58</v>
      </c>
      <c r="D13" s="10">
        <f>D3+G3+J3+M3</f>
        <v>12</v>
      </c>
      <c r="E13" s="10">
        <f>E3+H3+K3+N3</f>
        <v>9</v>
      </c>
      <c r="F13" s="11">
        <f>C13+D13+E13</f>
        <v>79</v>
      </c>
    </row>
    <row r="14" spans="1:15" x14ac:dyDescent="0.35">
      <c r="C14" s="10">
        <f>C4+F4+I4+L4</f>
        <v>4</v>
      </c>
      <c r="D14" s="10">
        <f>D4+G4+J4+M4</f>
        <v>0</v>
      </c>
      <c r="E14" s="10">
        <f>E4+H4+K4+N4</f>
        <v>0</v>
      </c>
      <c r="F14" s="11">
        <f t="shared" ref="F14:F17" si="0">C14+D14+E14</f>
        <v>4</v>
      </c>
    </row>
    <row r="15" spans="1:15" x14ac:dyDescent="0.35">
      <c r="C15" s="10">
        <f>C5+F5+I5+L5</f>
        <v>32</v>
      </c>
      <c r="D15" s="10">
        <f>D5+G5+J5+M5</f>
        <v>15</v>
      </c>
      <c r="E15" s="10">
        <f>E5+H5+K5+N5</f>
        <v>0</v>
      </c>
      <c r="F15" s="11">
        <f t="shared" si="0"/>
        <v>47</v>
      </c>
    </row>
    <row r="16" spans="1:15" x14ac:dyDescent="0.35">
      <c r="C16" s="10">
        <f>C6+F6+I6+L6</f>
        <v>0</v>
      </c>
      <c r="D16" s="10">
        <f>D6+G6+J6+M6</f>
        <v>0</v>
      </c>
      <c r="E16" s="10">
        <f>E6+H6+K6+N6</f>
        <v>0</v>
      </c>
      <c r="F16" s="11">
        <f t="shared" si="0"/>
        <v>0</v>
      </c>
    </row>
    <row r="17" spans="3:6" x14ac:dyDescent="0.35">
      <c r="C17" s="11">
        <f>C7+F7+I7+L7</f>
        <v>94</v>
      </c>
      <c r="D17" s="11">
        <f>D7+G7+J7+M7</f>
        <v>27</v>
      </c>
      <c r="E17" s="11">
        <f>E7+H7+K7+N7</f>
        <v>9</v>
      </c>
      <c r="F17" s="11">
        <f t="shared" si="0"/>
        <v>130</v>
      </c>
    </row>
  </sheetData>
  <mergeCells count="12">
    <mergeCell ref="C11:F11"/>
    <mergeCell ref="L8:N8"/>
    <mergeCell ref="I8:K8"/>
    <mergeCell ref="F8:H8"/>
    <mergeCell ref="C8:E8"/>
    <mergeCell ref="B7:B8"/>
    <mergeCell ref="A1:A2"/>
    <mergeCell ref="B1:B2"/>
    <mergeCell ref="C1:E1"/>
    <mergeCell ref="F1:H1"/>
    <mergeCell ref="I1:K1"/>
    <mergeCell ref="L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2E98-DA1B-41DB-B2C0-2432E454482A}">
  <dimension ref="A1:O17"/>
  <sheetViews>
    <sheetView zoomScaleNormal="100" workbookViewId="0">
      <selection activeCell="H15" sqref="H15"/>
    </sheetView>
  </sheetViews>
  <sheetFormatPr defaultRowHeight="14.5" x14ac:dyDescent="0.35"/>
  <cols>
    <col min="1" max="1" width="5.6328125" bestFit="1" customWidth="1"/>
    <col min="2" max="2" width="26.36328125" bestFit="1" customWidth="1"/>
    <col min="3" max="3" width="10.54296875" bestFit="1" customWidth="1"/>
    <col min="4" max="4" width="14.7265625" bestFit="1" customWidth="1"/>
    <col min="5" max="5" width="13.08984375" bestFit="1" customWidth="1"/>
    <col min="6" max="6" width="10.54296875" bestFit="1" customWidth="1"/>
    <col min="7" max="7" width="14.7265625" bestFit="1" customWidth="1"/>
    <col min="8" max="8" width="13.08984375" bestFit="1" customWidth="1"/>
    <col min="9" max="9" width="10.54296875" bestFit="1" customWidth="1"/>
    <col min="10" max="10" width="14.7265625" bestFit="1" customWidth="1"/>
    <col min="11" max="11" width="13.08984375" bestFit="1" customWidth="1"/>
    <col min="12" max="12" width="10.54296875" bestFit="1" customWidth="1"/>
    <col min="13" max="13" width="14.7265625" bestFit="1" customWidth="1"/>
    <col min="14" max="14" width="13.08984375" bestFit="1" customWidth="1"/>
    <col min="15" max="15" width="10.54296875" bestFit="1" customWidth="1"/>
    <col min="16" max="16" width="14.7265625" bestFit="1" customWidth="1"/>
    <col min="17" max="17" width="13.08984375" bestFit="1" customWidth="1"/>
    <col min="18" max="18" width="3.81640625" bestFit="1" customWidth="1"/>
  </cols>
  <sheetData>
    <row r="1" spans="1:15" s="1" customFormat="1" x14ac:dyDescent="0.35">
      <c r="A1" s="2" t="s">
        <v>10</v>
      </c>
      <c r="B1" s="2" t="s">
        <v>9</v>
      </c>
      <c r="C1" s="3" t="s">
        <v>7</v>
      </c>
      <c r="D1" s="3"/>
      <c r="E1" s="3"/>
      <c r="F1" s="4" t="s">
        <v>0</v>
      </c>
      <c r="G1" s="4"/>
      <c r="H1" s="4"/>
      <c r="I1" s="5" t="s">
        <v>1</v>
      </c>
      <c r="J1" s="5"/>
      <c r="K1" s="5"/>
      <c r="L1" s="6" t="s">
        <v>2</v>
      </c>
      <c r="M1" s="6"/>
      <c r="N1" s="6"/>
    </row>
    <row r="2" spans="1:15" s="1" customFormat="1" x14ac:dyDescent="0.35">
      <c r="A2" s="2"/>
      <c r="B2" s="2"/>
      <c r="C2" s="7" t="s">
        <v>3</v>
      </c>
      <c r="D2" s="8" t="s">
        <v>4</v>
      </c>
      <c r="E2" s="9" t="s">
        <v>5</v>
      </c>
      <c r="F2" s="7" t="s">
        <v>3</v>
      </c>
      <c r="G2" s="8" t="s">
        <v>4</v>
      </c>
      <c r="H2" s="9" t="s">
        <v>5</v>
      </c>
      <c r="I2" s="7" t="s">
        <v>3</v>
      </c>
      <c r="J2" s="8" t="s">
        <v>4</v>
      </c>
      <c r="K2" s="9" t="s">
        <v>5</v>
      </c>
      <c r="L2" s="7" t="s">
        <v>3</v>
      </c>
      <c r="M2" s="8" t="s">
        <v>4</v>
      </c>
      <c r="N2" s="9" t="s">
        <v>5</v>
      </c>
    </row>
    <row r="3" spans="1:15" x14ac:dyDescent="0.35">
      <c r="A3" s="10">
        <v>1</v>
      </c>
      <c r="B3" s="10" t="s">
        <v>8</v>
      </c>
      <c r="C3" s="10">
        <v>2</v>
      </c>
      <c r="D3" s="10"/>
      <c r="E3" s="10"/>
      <c r="F3" s="10">
        <v>1</v>
      </c>
      <c r="G3" s="10"/>
      <c r="H3" s="10"/>
      <c r="I3" s="10">
        <v>43</v>
      </c>
      <c r="J3" s="10">
        <v>4</v>
      </c>
      <c r="K3" s="10">
        <v>6</v>
      </c>
      <c r="L3" s="10"/>
      <c r="M3" s="10"/>
      <c r="N3" s="10"/>
    </row>
    <row r="4" spans="1:15" x14ac:dyDescent="0.35">
      <c r="A4" s="10">
        <v>2</v>
      </c>
      <c r="B4" s="10" t="s">
        <v>11</v>
      </c>
      <c r="C4" s="10">
        <v>9</v>
      </c>
      <c r="D4" s="10"/>
      <c r="E4" s="10"/>
      <c r="F4" s="10">
        <v>7</v>
      </c>
      <c r="G4" s="10"/>
      <c r="H4" s="10"/>
      <c r="I4" s="10">
        <v>2</v>
      </c>
      <c r="J4" s="10">
        <v>1</v>
      </c>
      <c r="K4" s="10"/>
      <c r="L4" s="10">
        <v>1</v>
      </c>
      <c r="M4" s="10"/>
      <c r="N4" s="10"/>
    </row>
    <row r="5" spans="1:15" x14ac:dyDescent="0.35">
      <c r="A5" s="10">
        <v>3</v>
      </c>
      <c r="B5" s="10" t="s">
        <v>13</v>
      </c>
      <c r="C5" s="10">
        <v>1</v>
      </c>
      <c r="D5" s="10"/>
      <c r="E5" s="10"/>
      <c r="F5" s="10"/>
      <c r="G5" s="10">
        <v>1</v>
      </c>
      <c r="H5" s="10"/>
      <c r="I5" s="10">
        <v>30</v>
      </c>
      <c r="J5" s="10">
        <v>15</v>
      </c>
      <c r="K5" s="10"/>
      <c r="L5" s="10"/>
      <c r="M5" s="10"/>
      <c r="N5" s="10"/>
    </row>
    <row r="6" spans="1:15" x14ac:dyDescent="0.35">
      <c r="A6" s="10">
        <v>4</v>
      </c>
      <c r="B6" s="10" t="s">
        <v>12</v>
      </c>
      <c r="C6" s="10"/>
      <c r="D6" s="10">
        <v>0</v>
      </c>
      <c r="E6" s="10"/>
      <c r="F6" s="10"/>
      <c r="G6" s="10">
        <v>0</v>
      </c>
      <c r="H6" s="10"/>
      <c r="I6" s="10"/>
      <c r="J6" s="10">
        <v>0</v>
      </c>
      <c r="K6" s="10"/>
      <c r="L6" s="10"/>
      <c r="M6" s="10">
        <v>0</v>
      </c>
      <c r="N6" s="10"/>
    </row>
    <row r="7" spans="1:15" x14ac:dyDescent="0.35">
      <c r="A7" s="10"/>
      <c r="B7" s="12" t="s">
        <v>6</v>
      </c>
      <c r="C7" s="11">
        <f>SUM(C3:C6)</f>
        <v>12</v>
      </c>
      <c r="D7" s="11">
        <f>SUM(D3:D6)</f>
        <v>0</v>
      </c>
      <c r="E7" s="11">
        <f>SUM(E3:E6)</f>
        <v>0</v>
      </c>
      <c r="F7" s="11">
        <f>SUM(F3:F6)</f>
        <v>8</v>
      </c>
      <c r="G7" s="11">
        <f>SUM(G3:G6)</f>
        <v>1</v>
      </c>
      <c r="H7" s="11">
        <f>SUM(H3:H6)</f>
        <v>0</v>
      </c>
      <c r="I7" s="11">
        <f>SUM(I3:I6)</f>
        <v>75</v>
      </c>
      <c r="J7" s="11">
        <f>SUM(J3:J6)</f>
        <v>20</v>
      </c>
      <c r="K7" s="11">
        <f>SUM(K3:K6)</f>
        <v>6</v>
      </c>
      <c r="L7" s="11">
        <f>SUM(L3:L6)</f>
        <v>1</v>
      </c>
      <c r="M7" s="11">
        <f>SUM(M3:M6)</f>
        <v>0</v>
      </c>
      <c r="N7" s="11">
        <f>SUM(N3:N6)</f>
        <v>0</v>
      </c>
    </row>
    <row r="8" spans="1:15" x14ac:dyDescent="0.35">
      <c r="A8" s="10"/>
      <c r="B8" s="12"/>
      <c r="C8" s="3">
        <f>C7+D7+E7</f>
        <v>12</v>
      </c>
      <c r="D8" s="3"/>
      <c r="E8" s="3"/>
      <c r="F8" s="4">
        <f>F7+G7+H7</f>
        <v>9</v>
      </c>
      <c r="G8" s="4"/>
      <c r="H8" s="4"/>
      <c r="I8" s="5">
        <f>I7+J7+K7</f>
        <v>101</v>
      </c>
      <c r="J8" s="5"/>
      <c r="K8" s="5"/>
      <c r="L8" s="6">
        <f>L7+M7+N7</f>
        <v>1</v>
      </c>
      <c r="M8" s="6"/>
      <c r="N8" s="6"/>
      <c r="O8" s="1"/>
    </row>
    <row r="11" spans="1:15" x14ac:dyDescent="0.35">
      <c r="C11" s="2" t="s">
        <v>6</v>
      </c>
      <c r="D11" s="2"/>
      <c r="E11" s="2"/>
      <c r="F11" s="2"/>
    </row>
    <row r="12" spans="1:15" x14ac:dyDescent="0.35">
      <c r="C12" s="7" t="s">
        <v>3</v>
      </c>
      <c r="D12" s="8" t="s">
        <v>4</v>
      </c>
      <c r="E12" s="9" t="s">
        <v>5</v>
      </c>
      <c r="F12" s="11" t="s">
        <v>19</v>
      </c>
    </row>
    <row r="13" spans="1:15" x14ac:dyDescent="0.35">
      <c r="C13" s="10">
        <f>C3+F3+I3+L3</f>
        <v>46</v>
      </c>
      <c r="D13" s="10">
        <f>D3+G3+J3+M3</f>
        <v>4</v>
      </c>
      <c r="E13" s="10">
        <f>E3+H3+K3+N3</f>
        <v>6</v>
      </c>
      <c r="F13" s="11">
        <f>C13+D13+E13</f>
        <v>56</v>
      </c>
    </row>
    <row r="14" spans="1:15" x14ac:dyDescent="0.35">
      <c r="C14" s="10">
        <f>C4+F4+I4+L4</f>
        <v>19</v>
      </c>
      <c r="D14" s="10">
        <f>D4+G4+J4+M4</f>
        <v>1</v>
      </c>
      <c r="E14" s="10">
        <f>E4+H4+K4+N4</f>
        <v>0</v>
      </c>
      <c r="F14" s="11">
        <f t="shared" ref="F14:F17" si="0">C14+D14+E14</f>
        <v>20</v>
      </c>
    </row>
    <row r="15" spans="1:15" x14ac:dyDescent="0.35">
      <c r="C15" s="10">
        <f>C5+F5+I5+L5</f>
        <v>31</v>
      </c>
      <c r="D15" s="10">
        <f>D5+G5+J5+M5</f>
        <v>16</v>
      </c>
      <c r="E15" s="10">
        <f>E5+H5+K5+N5</f>
        <v>0</v>
      </c>
      <c r="F15" s="11">
        <f t="shared" si="0"/>
        <v>47</v>
      </c>
    </row>
    <row r="16" spans="1:15" x14ac:dyDescent="0.35">
      <c r="C16" s="10">
        <f>C6+F6+I6+L6</f>
        <v>0</v>
      </c>
      <c r="D16" s="10">
        <f>D6+G6+J6+M6</f>
        <v>0</v>
      </c>
      <c r="E16" s="10">
        <f>E6+H6+K6+N6</f>
        <v>0</v>
      </c>
      <c r="F16" s="11">
        <f t="shared" si="0"/>
        <v>0</v>
      </c>
    </row>
    <row r="17" spans="3:6" x14ac:dyDescent="0.35">
      <c r="C17" s="11">
        <f>C7+F7+I7+L7</f>
        <v>96</v>
      </c>
      <c r="D17" s="11">
        <f>D7+G7+J7+M7</f>
        <v>21</v>
      </c>
      <c r="E17" s="11">
        <f>E7+H7+K7+N7</f>
        <v>6</v>
      </c>
      <c r="F17" s="11">
        <f t="shared" si="0"/>
        <v>123</v>
      </c>
    </row>
  </sheetData>
  <mergeCells count="12">
    <mergeCell ref="C11:F11"/>
    <mergeCell ref="B7:B8"/>
    <mergeCell ref="C8:E8"/>
    <mergeCell ref="F8:H8"/>
    <mergeCell ref="I8:K8"/>
    <mergeCell ref="L8:N8"/>
    <mergeCell ref="A1:A2"/>
    <mergeCell ref="B1:B2"/>
    <mergeCell ref="C1:E1"/>
    <mergeCell ref="F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</vt:lpstr>
      <vt:lpstr>P2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T</dc:creator>
  <cp:lastModifiedBy>Ramesh T</cp:lastModifiedBy>
  <dcterms:created xsi:type="dcterms:W3CDTF">2025-10-24T04:23:03Z</dcterms:created>
  <dcterms:modified xsi:type="dcterms:W3CDTF">2025-10-24T06:39:20Z</dcterms:modified>
</cp:coreProperties>
</file>