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pel-my.sharepoint.com/personal/nilesh_gaidhane_premierenergies_com/Documents/CAPEX/Plant/PPGPL/ASRS/Financial model for lease/"/>
    </mc:Choice>
  </mc:AlternateContent>
  <xr:revisionPtr revIDLastSave="200" documentId="8_{08BD709B-5804-4C52-8E39-C7A49E294854}" xr6:coauthVersionLast="47" xr6:coauthVersionMax="47" xr10:uidLastSave="{1C469598-95CE-446A-80BF-D3E7D18154FE}"/>
  <bookViews>
    <workbookView xWindow="-108" yWindow="-108" windowWidth="23256" windowHeight="12456" tabRatio="902" xr2:uid="{1E177486-CADA-47ED-9902-A626855C45D5}"/>
  </bookViews>
  <sheets>
    <sheet name="Inputs" sheetId="1" r:id="rId1"/>
    <sheet name="IRR" sheetId="16" r:id="rId2"/>
    <sheet name="Sensitivities" sheetId="17" r:id="rId3"/>
    <sheet name="Computations" sheetId="14" r:id="rId4"/>
    <sheet name="Opportunity Cost" sheetId="25" r:id="rId5"/>
    <sheet name="Project Capex" sheetId="10" r:id="rId6"/>
    <sheet name="Term Loan" sheetId="8" r:id="rId7"/>
    <sheet name="Project Expenses" sheetId="13" r:id="rId8"/>
    <sheet name="Project Cost Details" sheetId="11" r:id="rId9"/>
    <sheet name="Pre - operating expense" sheetId="12" r:id="rId10"/>
    <sheet name="HSTL " sheetId="21" state="hidden" r:id="rId11"/>
    <sheet name="Warehouse Inventory " sheetId="20" r:id="rId12"/>
    <sheet name="Radiant Reference" sheetId="15" r:id="rId13"/>
    <sheet name="Kothur Reference" sheetId="18" r:id="rId14"/>
    <sheet name="Sheet5" sheetId="24" r:id="rId15"/>
    <sheet name="Day wise Churning" sheetId="22" state="hidden" r:id="rId16"/>
    <sheet name="Tax and WACC" sheetId="5" state="hidden" r:id="rId17"/>
  </sheets>
  <externalReferences>
    <externalReference r:id="rId18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5" i="18" l="1"/>
  <c r="V64" i="15"/>
  <c r="G5" i="25"/>
  <c r="M5" i="25" s="1"/>
  <c r="N33" i="1"/>
  <c r="N16" i="1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D50" i="25"/>
  <c r="E50" i="25" s="1"/>
  <c r="F50" i="25" s="1"/>
  <c r="G50" i="25" s="1"/>
  <c r="H50" i="25" s="1"/>
  <c r="I50" i="25" s="1"/>
  <c r="J50" i="25" s="1"/>
  <c r="K50" i="25" s="1"/>
  <c r="L50" i="25" s="1"/>
  <c r="M50" i="25" s="1"/>
  <c r="N50" i="25" s="1"/>
  <c r="O50" i="25" s="1"/>
  <c r="P50" i="25" s="1"/>
  <c r="Q50" i="25" s="1"/>
  <c r="R50" i="25" s="1"/>
  <c r="S50" i="25" s="1"/>
  <c r="D39" i="25"/>
  <c r="E39" i="25" s="1"/>
  <c r="D38" i="25"/>
  <c r="E38" i="25" s="1"/>
  <c r="E35" i="25"/>
  <c r="E34" i="25"/>
  <c r="E36" i="25" s="1"/>
  <c r="R42" i="25" s="1"/>
  <c r="E26" i="25"/>
  <c r="D25" i="25"/>
  <c r="E25" i="25" s="1"/>
  <c r="E24" i="25"/>
  <c r="E16" i="25"/>
  <c r="E15" i="25"/>
  <c r="E14" i="25"/>
  <c r="E13" i="25"/>
  <c r="H5" i="25"/>
  <c r="I5" i="25" s="1"/>
  <c r="E5" i="25"/>
  <c r="F5" i="25" s="1"/>
  <c r="F36" i="13"/>
  <c r="E2" i="25"/>
  <c r="F2" i="25" s="1"/>
  <c r="G2" i="25" s="1"/>
  <c r="H2" i="25" s="1"/>
  <c r="I2" i="25" s="1"/>
  <c r="J2" i="25" s="1"/>
  <c r="K2" i="25" s="1"/>
  <c r="L2" i="25" s="1"/>
  <c r="M2" i="25" s="1"/>
  <c r="N2" i="25" s="1"/>
  <c r="O2" i="25" s="1"/>
  <c r="P2" i="25" s="1"/>
  <c r="Q2" i="25" s="1"/>
  <c r="R2" i="25" s="1"/>
  <c r="S2" i="25" s="1"/>
  <c r="T2" i="25" s="1"/>
  <c r="U2" i="25" s="1"/>
  <c r="V2" i="25" s="1"/>
  <c r="W2" i="25" s="1"/>
  <c r="X2" i="25" s="1"/>
  <c r="Y2" i="25" s="1"/>
  <c r="J4" i="1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G29" i="11"/>
  <c r="J7" i="1"/>
  <c r="F24" i="11"/>
  <c r="G24" i="11"/>
  <c r="P5" i="25" l="1"/>
  <c r="Q5" i="25" s="1"/>
  <c r="R5" i="25" s="1"/>
  <c r="N5" i="25"/>
  <c r="O5" i="25" s="1"/>
  <c r="J5" i="25"/>
  <c r="K5" i="25" s="1"/>
  <c r="L5" i="25" s="1"/>
  <c r="E27" i="25"/>
  <c r="D30" i="25" s="1"/>
  <c r="E30" i="25" s="1"/>
  <c r="F30" i="25" s="1"/>
  <c r="G30" i="25" s="1"/>
  <c r="H30" i="25" s="1"/>
  <c r="I30" i="25" s="1"/>
  <c r="J30" i="25" s="1"/>
  <c r="K30" i="25" s="1"/>
  <c r="L30" i="25" s="1"/>
  <c r="M30" i="25" s="1"/>
  <c r="N30" i="25" s="1"/>
  <c r="O30" i="25" s="1"/>
  <c r="P30" i="25" s="1"/>
  <c r="Q30" i="25" s="1"/>
  <c r="R30" i="25" s="1"/>
  <c r="I42" i="25"/>
  <c r="E42" i="25"/>
  <c r="F42" i="25"/>
  <c r="G42" i="25"/>
  <c r="H42" i="25"/>
  <c r="J42" i="25"/>
  <c r="K42" i="25"/>
  <c r="L42" i="25"/>
  <c r="N42" i="25"/>
  <c r="M42" i="25"/>
  <c r="O42" i="25"/>
  <c r="P42" i="25"/>
  <c r="Q42" i="25"/>
  <c r="E40" i="25"/>
  <c r="D42" i="25" s="1"/>
  <c r="E17" i="25"/>
  <c r="D20" i="25" s="1"/>
  <c r="E20" i="25" s="1"/>
  <c r="F20" i="25" s="1"/>
  <c r="G20" i="25" s="1"/>
  <c r="H20" i="25" s="1"/>
  <c r="I20" i="25" s="1"/>
  <c r="J20" i="25" s="1"/>
  <c r="K20" i="25" s="1"/>
  <c r="L20" i="25" s="1"/>
  <c r="M20" i="25" s="1"/>
  <c r="N20" i="25" s="1"/>
  <c r="O20" i="25" s="1"/>
  <c r="P20" i="25" s="1"/>
  <c r="Q20" i="25" s="1"/>
  <c r="R20" i="25" s="1"/>
  <c r="V70" i="18"/>
  <c r="S70" i="18"/>
  <c r="T70" i="18" s="1"/>
  <c r="Q70" i="18"/>
  <c r="Y71" i="18"/>
  <c r="R70" i="18"/>
  <c r="Y70" i="18" s="1"/>
  <c r="O70" i="18"/>
  <c r="F215" i="13"/>
  <c r="D74" i="13"/>
  <c r="F74" i="13" s="1"/>
  <c r="G74" i="13" s="1"/>
  <c r="H74" i="13" s="1"/>
  <c r="I74" i="13" s="1"/>
  <c r="J74" i="13" s="1"/>
  <c r="K74" i="13" s="1"/>
  <c r="L74" i="13" s="1"/>
  <c r="M74" i="13" s="1"/>
  <c r="N74" i="13" s="1"/>
  <c r="O74" i="13" s="1"/>
  <c r="P74" i="13" s="1"/>
  <c r="Q74" i="13" s="1"/>
  <c r="R74" i="13" s="1"/>
  <c r="S74" i="13" s="1"/>
  <c r="T74" i="13" s="1"/>
  <c r="U74" i="13" s="1"/>
  <c r="V74" i="13" s="1"/>
  <c r="W74" i="13" s="1"/>
  <c r="X74" i="13" s="1"/>
  <c r="Y74" i="13" s="1"/>
  <c r="Z74" i="13" s="1"/>
  <c r="AA74" i="13" s="1"/>
  <c r="AB74" i="13" s="1"/>
  <c r="B74" i="13"/>
  <c r="B107" i="13" s="1"/>
  <c r="B141" i="13" s="1"/>
  <c r="B197" i="13"/>
  <c r="B265" i="13" s="1"/>
  <c r="D197" i="13"/>
  <c r="F197" i="13" s="1"/>
  <c r="F230" i="13" s="1"/>
  <c r="D196" i="13"/>
  <c r="F196" i="13" s="1"/>
  <c r="F229" i="13" s="1"/>
  <c r="D195" i="13"/>
  <c r="F195" i="13" s="1"/>
  <c r="F228" i="13" s="1"/>
  <c r="D193" i="13"/>
  <c r="F193" i="13" s="1"/>
  <c r="F226" i="13" s="1"/>
  <c r="D192" i="13"/>
  <c r="F192" i="13" s="1"/>
  <c r="F225" i="13" s="1"/>
  <c r="F260" i="13" s="1"/>
  <c r="G192" i="13" s="1"/>
  <c r="D191" i="13"/>
  <c r="F191" i="13" s="1"/>
  <c r="F224" i="13" s="1"/>
  <c r="F259" i="13" s="1"/>
  <c r="G191" i="13" s="1"/>
  <c r="D190" i="13"/>
  <c r="F190" i="13" s="1"/>
  <c r="F223" i="13" s="1"/>
  <c r="D189" i="13"/>
  <c r="F189" i="13" s="1"/>
  <c r="F222" i="13" s="1"/>
  <c r="F257" i="13" s="1"/>
  <c r="G189" i="13" s="1"/>
  <c r="D188" i="13"/>
  <c r="F188" i="13" s="1"/>
  <c r="F221" i="13" s="1"/>
  <c r="F256" i="13" s="1"/>
  <c r="G188" i="13" s="1"/>
  <c r="D187" i="13"/>
  <c r="F187" i="13" s="1"/>
  <c r="D186" i="13"/>
  <c r="F186" i="13" s="1"/>
  <c r="D185" i="13"/>
  <c r="F185" i="13" s="1"/>
  <c r="D184" i="13"/>
  <c r="F184" i="13" s="1"/>
  <c r="D183" i="13"/>
  <c r="F183" i="13" s="1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C63" i="10"/>
  <c r="AG63" i="10" s="1"/>
  <c r="B31" i="10"/>
  <c r="B63" i="10" s="1"/>
  <c r="B73" i="13"/>
  <c r="B106" i="13" s="1"/>
  <c r="B140" i="13" s="1"/>
  <c r="B196" i="13" s="1"/>
  <c r="B264" i="13" s="1"/>
  <c r="B72" i="13"/>
  <c r="B105" i="13" s="1"/>
  <c r="B139" i="13" s="1"/>
  <c r="B195" i="13" s="1"/>
  <c r="B263" i="13" s="1"/>
  <c r="B71" i="13"/>
  <c r="B104" i="13" s="1"/>
  <c r="B138" i="13" s="1"/>
  <c r="B194" i="13" s="1"/>
  <c r="B262" i="13" s="1"/>
  <c r="B70" i="13"/>
  <c r="B103" i="13" s="1"/>
  <c r="B137" i="13" s="1"/>
  <c r="B193" i="13" s="1"/>
  <c r="B261" i="13" s="1"/>
  <c r="B69" i="13"/>
  <c r="B102" i="13" s="1"/>
  <c r="B136" i="13" s="1"/>
  <c r="B192" i="13" s="1"/>
  <c r="B260" i="13" s="1"/>
  <c r="B68" i="13"/>
  <c r="B101" i="13" s="1"/>
  <c r="B135" i="13" s="1"/>
  <c r="B191" i="13" s="1"/>
  <c r="B259" i="13" s="1"/>
  <c r="B67" i="13"/>
  <c r="B100" i="13" s="1"/>
  <c r="B134" i="13" s="1"/>
  <c r="B190" i="13" s="1"/>
  <c r="B258" i="13" s="1"/>
  <c r="B66" i="13"/>
  <c r="B99" i="13" s="1"/>
  <c r="B133" i="13" s="1"/>
  <c r="B189" i="13" s="1"/>
  <c r="B257" i="13" s="1"/>
  <c r="B65" i="13"/>
  <c r="B98" i="13" s="1"/>
  <c r="B132" i="13" s="1"/>
  <c r="B188" i="13" s="1"/>
  <c r="B256" i="13" s="1"/>
  <c r="B64" i="13"/>
  <c r="B97" i="13" s="1"/>
  <c r="B131" i="13" s="1"/>
  <c r="B187" i="13" s="1"/>
  <c r="B255" i="13" s="1"/>
  <c r="B63" i="13"/>
  <c r="B96" i="13" s="1"/>
  <c r="B130" i="13" s="1"/>
  <c r="B186" i="13" s="1"/>
  <c r="B254" i="13" s="1"/>
  <c r="B62" i="13"/>
  <c r="B95" i="13" s="1"/>
  <c r="B129" i="13" s="1"/>
  <c r="B185" i="13" s="1"/>
  <c r="B253" i="13" s="1"/>
  <c r="B61" i="13"/>
  <c r="B94" i="13" s="1"/>
  <c r="B128" i="13" s="1"/>
  <c r="B184" i="13" s="1"/>
  <c r="B252" i="13" s="1"/>
  <c r="B60" i="13"/>
  <c r="B93" i="13" s="1"/>
  <c r="B127" i="13" s="1"/>
  <c r="B183" i="13" s="1"/>
  <c r="B251" i="13" s="1"/>
  <c r="B59" i="13"/>
  <c r="B92" i="13" s="1"/>
  <c r="B126" i="13" s="1"/>
  <c r="B182" i="13" s="1"/>
  <c r="B250" i="13" s="1"/>
  <c r="R61" i="10"/>
  <c r="Q61" i="10"/>
  <c r="AF60" i="10"/>
  <c r="AE60" i="10"/>
  <c r="O60" i="10"/>
  <c r="T55" i="10"/>
  <c r="S55" i="10"/>
  <c r="R55" i="10"/>
  <c r="C62" i="10"/>
  <c r="S62" i="10" s="1"/>
  <c r="C61" i="10"/>
  <c r="AF61" i="10" s="1"/>
  <c r="C60" i="10"/>
  <c r="AC60" i="10" s="1"/>
  <c r="B30" i="10"/>
  <c r="B62" i="10" s="1"/>
  <c r="B29" i="10"/>
  <c r="B61" i="10" s="1"/>
  <c r="B28" i="10"/>
  <c r="B60" i="10" s="1"/>
  <c r="K27" i="10"/>
  <c r="K26" i="10"/>
  <c r="K25" i="10"/>
  <c r="K24" i="10"/>
  <c r="K23" i="10"/>
  <c r="K22" i="10"/>
  <c r="K21" i="10"/>
  <c r="K20" i="10"/>
  <c r="K19" i="10"/>
  <c r="K18" i="10"/>
  <c r="K17" i="10"/>
  <c r="B27" i="10"/>
  <c r="B59" i="10" s="1"/>
  <c r="B26" i="10"/>
  <c r="B58" i="10" s="1"/>
  <c r="B25" i="10"/>
  <c r="B57" i="10" s="1"/>
  <c r="B24" i="10"/>
  <c r="B56" i="10" s="1"/>
  <c r="B23" i="10"/>
  <c r="B55" i="10" s="1"/>
  <c r="B22" i="10"/>
  <c r="B54" i="10" s="1"/>
  <c r="B21" i="10"/>
  <c r="B53" i="10" s="1"/>
  <c r="B20" i="10"/>
  <c r="B52" i="10" s="1"/>
  <c r="B19" i="10"/>
  <c r="B51" i="10" s="1"/>
  <c r="B18" i="10"/>
  <c r="B50" i="10" s="1"/>
  <c r="B17" i="10"/>
  <c r="B49" i="10" s="1"/>
  <c r="B16" i="10"/>
  <c r="B48" i="10" s="1"/>
  <c r="G17" i="11"/>
  <c r="C53" i="10" s="1"/>
  <c r="X53" i="10" s="1"/>
  <c r="G16" i="11"/>
  <c r="C52" i="10" s="1"/>
  <c r="U52" i="10" s="1"/>
  <c r="G15" i="11"/>
  <c r="C51" i="10" s="1"/>
  <c r="R51" i="10" s="1"/>
  <c r="G14" i="11"/>
  <c r="C50" i="10" s="1"/>
  <c r="AE50" i="10" s="1"/>
  <c r="F23" i="11"/>
  <c r="G23" i="11" s="1"/>
  <c r="C59" i="10" s="1"/>
  <c r="Z59" i="10" s="1"/>
  <c r="F22" i="11"/>
  <c r="G22" i="11" s="1"/>
  <c r="C58" i="10" s="1"/>
  <c r="W58" i="10" s="1"/>
  <c r="F21" i="11"/>
  <c r="G21" i="11" s="1"/>
  <c r="C57" i="10" s="1"/>
  <c r="T57" i="10" s="1"/>
  <c r="F20" i="11"/>
  <c r="G20" i="11" s="1"/>
  <c r="C56" i="10" s="1"/>
  <c r="AG56" i="10" s="1"/>
  <c r="F19" i="11"/>
  <c r="G19" i="11" s="1"/>
  <c r="C55" i="10" s="1"/>
  <c r="AD55" i="10" s="1"/>
  <c r="F18" i="11"/>
  <c r="G18" i="11" s="1"/>
  <c r="C54" i="10" s="1"/>
  <c r="AA54" i="10" s="1"/>
  <c r="F17" i="11"/>
  <c r="F16" i="11"/>
  <c r="F15" i="11"/>
  <c r="F14" i="11"/>
  <c r="F13" i="11"/>
  <c r="G13" i="11" s="1"/>
  <c r="C49" i="10" s="1"/>
  <c r="AB49" i="10" s="1"/>
  <c r="E12" i="11"/>
  <c r="BA9" i="16"/>
  <c r="AZ9" i="16"/>
  <c r="AY9" i="16"/>
  <c r="AX9" i="16"/>
  <c r="AW9" i="16"/>
  <c r="AV9" i="16"/>
  <c r="AU9" i="16"/>
  <c r="AT9" i="16"/>
  <c r="AS9" i="16"/>
  <c r="AR9" i="16"/>
  <c r="AQ9" i="16"/>
  <c r="AP9" i="16"/>
  <c r="AO9" i="16"/>
  <c r="AN9" i="16"/>
  <c r="AM9" i="16"/>
  <c r="AL9" i="16"/>
  <c r="AK9" i="16"/>
  <c r="AJ9" i="16"/>
  <c r="AI9" i="16"/>
  <c r="AH9" i="16"/>
  <c r="AG9" i="16"/>
  <c r="AF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F258" i="13" l="1"/>
  <c r="G190" i="13" s="1"/>
  <c r="B215" i="13"/>
  <c r="B216" i="13"/>
  <c r="F261" i="13"/>
  <c r="G193" i="13" s="1"/>
  <c r="B217" i="13"/>
  <c r="F263" i="13"/>
  <c r="G195" i="13" s="1"/>
  <c r="F264" i="13"/>
  <c r="G196" i="13" s="1"/>
  <c r="F216" i="13"/>
  <c r="F251" i="13" s="1"/>
  <c r="G183" i="13" s="1"/>
  <c r="F217" i="13"/>
  <c r="F252" i="13" s="1"/>
  <c r="G184" i="13" s="1"/>
  <c r="F218" i="13"/>
  <c r="F253" i="13" s="1"/>
  <c r="G185" i="13" s="1"/>
  <c r="F219" i="13"/>
  <c r="F254" i="13" s="1"/>
  <c r="G186" i="13" s="1"/>
  <c r="F220" i="13"/>
  <c r="F255" i="13" s="1"/>
  <c r="G187" i="13" s="1"/>
  <c r="F265" i="13"/>
  <c r="G197" i="13" s="1"/>
  <c r="B218" i="13"/>
  <c r="B220" i="13"/>
  <c r="B221" i="13"/>
  <c r="B219" i="13"/>
  <c r="B222" i="13"/>
  <c r="B223" i="13"/>
  <c r="B224" i="13"/>
  <c r="B225" i="13"/>
  <c r="B226" i="13"/>
  <c r="B227" i="13"/>
  <c r="B228" i="13"/>
  <c r="B229" i="13"/>
  <c r="B230" i="13"/>
  <c r="R56" i="10"/>
  <c r="AG50" i="10"/>
  <c r="E62" i="10"/>
  <c r="E51" i="10"/>
  <c r="F51" i="10"/>
  <c r="S56" i="10"/>
  <c r="G62" i="10"/>
  <c r="AF50" i="10"/>
  <c r="K56" i="10"/>
  <c r="S51" i="10"/>
  <c r="J57" i="10"/>
  <c r="H62" i="10"/>
  <c r="F62" i="10"/>
  <c r="K57" i="10"/>
  <c r="T51" i="10"/>
  <c r="L57" i="10"/>
  <c r="J62" i="10"/>
  <c r="U51" i="10"/>
  <c r="M57" i="10"/>
  <c r="T62" i="10"/>
  <c r="W52" i="10"/>
  <c r="N60" i="10"/>
  <c r="Q50" i="10"/>
  <c r="R50" i="10"/>
  <c r="X52" i="10"/>
  <c r="Y52" i="10"/>
  <c r="P60" i="10"/>
  <c r="L53" i="10"/>
  <c r="Z52" i="10"/>
  <c r="Q60" i="10"/>
  <c r="I53" i="10"/>
  <c r="R60" i="10"/>
  <c r="J53" i="10"/>
  <c r="AD60" i="10"/>
  <c r="V63" i="10"/>
  <c r="R63" i="10"/>
  <c r="S63" i="10"/>
  <c r="T63" i="10"/>
  <c r="E63" i="10"/>
  <c r="W63" i="10"/>
  <c r="X63" i="10"/>
  <c r="Y63" i="10"/>
  <c r="K63" i="10"/>
  <c r="AA63" i="10"/>
  <c r="L63" i="10"/>
  <c r="AB63" i="10"/>
  <c r="U63" i="10"/>
  <c r="I63" i="10"/>
  <c r="AC63" i="10"/>
  <c r="N63" i="10"/>
  <c r="AD63" i="10"/>
  <c r="J63" i="10"/>
  <c r="O63" i="10"/>
  <c r="AE63" i="10"/>
  <c r="G63" i="10"/>
  <c r="H63" i="10"/>
  <c r="Z63" i="10"/>
  <c r="P63" i="10"/>
  <c r="AF63" i="10"/>
  <c r="F63" i="10"/>
  <c r="M63" i="10"/>
  <c r="Q63" i="10"/>
  <c r="N54" i="10"/>
  <c r="R54" i="10"/>
  <c r="K53" i="10"/>
  <c r="AD54" i="10"/>
  <c r="X55" i="10"/>
  <c r="W56" i="10"/>
  <c r="V57" i="10"/>
  <c r="U62" i="10"/>
  <c r="M53" i="10"/>
  <c r="AF54" i="10"/>
  <c r="AF55" i="10"/>
  <c r="Y56" i="10"/>
  <c r="X57" i="10"/>
  <c r="AG60" i="10"/>
  <c r="W62" i="10"/>
  <c r="P54" i="10"/>
  <c r="N57" i="10"/>
  <c r="V56" i="10"/>
  <c r="AE54" i="10"/>
  <c r="AE55" i="10"/>
  <c r="X56" i="10"/>
  <c r="W57" i="10"/>
  <c r="V62" i="10"/>
  <c r="V51" i="10"/>
  <c r="Y53" i="10"/>
  <c r="E55" i="10"/>
  <c r="AG55" i="10"/>
  <c r="Z56" i="10"/>
  <c r="Y57" i="10"/>
  <c r="E61" i="10"/>
  <c r="X62" i="10"/>
  <c r="O54" i="10"/>
  <c r="F52" i="10"/>
  <c r="Z53" i="10"/>
  <c r="F55" i="10"/>
  <c r="E56" i="10"/>
  <c r="AA56" i="10"/>
  <c r="Z57" i="10"/>
  <c r="Z62" i="10"/>
  <c r="T56" i="10"/>
  <c r="AB54" i="10"/>
  <c r="F56" i="10"/>
  <c r="M49" i="10"/>
  <c r="G55" i="10"/>
  <c r="N49" i="10"/>
  <c r="H52" i="10"/>
  <c r="AB53" i="10"/>
  <c r="H55" i="10"/>
  <c r="G56" i="10"/>
  <c r="F57" i="10"/>
  <c r="AB57" i="10"/>
  <c r="S61" i="10"/>
  <c r="U55" i="10"/>
  <c r="V55" i="10"/>
  <c r="AC54" i="10"/>
  <c r="AA53" i="10"/>
  <c r="AC49" i="10"/>
  <c r="I52" i="10"/>
  <c r="AC53" i="10"/>
  <c r="O55" i="10"/>
  <c r="H56" i="10"/>
  <c r="G57" i="10"/>
  <c r="AC57" i="10"/>
  <c r="T61" i="10"/>
  <c r="W55" i="10"/>
  <c r="U57" i="10"/>
  <c r="G52" i="10"/>
  <c r="AA57" i="10"/>
  <c r="AD49" i="10"/>
  <c r="J52" i="10"/>
  <c r="L54" i="10"/>
  <c r="P55" i="10"/>
  <c r="I56" i="10"/>
  <c r="H57" i="10"/>
  <c r="AD57" i="10"/>
  <c r="U61" i="10"/>
  <c r="U56" i="10"/>
  <c r="E57" i="10"/>
  <c r="P50" i="10"/>
  <c r="V52" i="10"/>
  <c r="M54" i="10"/>
  <c r="Q55" i="10"/>
  <c r="J56" i="10"/>
  <c r="I57" i="10"/>
  <c r="AA59" i="10"/>
  <c r="AG61" i="10"/>
  <c r="H58" i="10"/>
  <c r="AB59" i="10"/>
  <c r="J58" i="10"/>
  <c r="T50" i="10"/>
  <c r="R49" i="10"/>
  <c r="E50" i="10"/>
  <c r="U50" i="10"/>
  <c r="H51" i="10"/>
  <c r="X51" i="10"/>
  <c r="K52" i="10"/>
  <c r="AA52" i="10"/>
  <c r="N53" i="10"/>
  <c r="AD53" i="10"/>
  <c r="Q54" i="10"/>
  <c r="AG54" i="10"/>
  <c r="M58" i="10"/>
  <c r="AC58" i="10"/>
  <c r="P59" i="10"/>
  <c r="AF59" i="10"/>
  <c r="S60" i="10"/>
  <c r="F61" i="10"/>
  <c r="V61" i="10"/>
  <c r="I62" i="10"/>
  <c r="Y62" i="10"/>
  <c r="Z58" i="10"/>
  <c r="G51" i="10"/>
  <c r="AB58" i="10"/>
  <c r="O53" i="10"/>
  <c r="T49" i="10"/>
  <c r="G50" i="10"/>
  <c r="W50" i="10"/>
  <c r="J51" i="10"/>
  <c r="Z51" i="10"/>
  <c r="M52" i="10"/>
  <c r="AC52" i="10"/>
  <c r="P53" i="10"/>
  <c r="AF53" i="10"/>
  <c r="S54" i="10"/>
  <c r="O58" i="10"/>
  <c r="AE58" i="10"/>
  <c r="R59" i="10"/>
  <c r="E60" i="10"/>
  <c r="U60" i="10"/>
  <c r="H61" i="10"/>
  <c r="X61" i="10"/>
  <c r="K62" i="10"/>
  <c r="AA62" i="10"/>
  <c r="AE49" i="10"/>
  <c r="S50" i="10"/>
  <c r="K58" i="10"/>
  <c r="L58" i="10"/>
  <c r="F50" i="10"/>
  <c r="L52" i="10"/>
  <c r="AE53" i="10"/>
  <c r="T60" i="10"/>
  <c r="E49" i="10"/>
  <c r="U49" i="10"/>
  <c r="H50" i="10"/>
  <c r="X50" i="10"/>
  <c r="K51" i="10"/>
  <c r="AA51" i="10"/>
  <c r="N52" i="10"/>
  <c r="AD52" i="10"/>
  <c r="Q53" i="10"/>
  <c r="AG53" i="10"/>
  <c r="T54" i="10"/>
  <c r="P58" i="10"/>
  <c r="AF58" i="10"/>
  <c r="S59" i="10"/>
  <c r="F60" i="10"/>
  <c r="V60" i="10"/>
  <c r="I61" i="10"/>
  <c r="Y61" i="10"/>
  <c r="L62" i="10"/>
  <c r="AB62" i="10"/>
  <c r="X58" i="10"/>
  <c r="K59" i="10"/>
  <c r="I58" i="10"/>
  <c r="O49" i="10"/>
  <c r="AG49" i="10"/>
  <c r="S49" i="10"/>
  <c r="I51" i="10"/>
  <c r="AG59" i="10"/>
  <c r="F49" i="10"/>
  <c r="V49" i="10"/>
  <c r="I50" i="10"/>
  <c r="Y50" i="10"/>
  <c r="L51" i="10"/>
  <c r="AB51" i="10"/>
  <c r="O52" i="10"/>
  <c r="AE52" i="10"/>
  <c r="R53" i="10"/>
  <c r="E54" i="10"/>
  <c r="U54" i="10"/>
  <c r="Q58" i="10"/>
  <c r="AG58" i="10"/>
  <c r="T59" i="10"/>
  <c r="G60" i="10"/>
  <c r="W60" i="10"/>
  <c r="J61" i="10"/>
  <c r="Z61" i="10"/>
  <c r="M62" i="10"/>
  <c r="AC62" i="10"/>
  <c r="M59" i="10"/>
  <c r="AA58" i="10"/>
  <c r="W51" i="10"/>
  <c r="AE59" i="10"/>
  <c r="AB52" i="10"/>
  <c r="W61" i="10"/>
  <c r="G49" i="10"/>
  <c r="W49" i="10"/>
  <c r="J50" i="10"/>
  <c r="Z50" i="10"/>
  <c r="M51" i="10"/>
  <c r="AC51" i="10"/>
  <c r="P52" i="10"/>
  <c r="AF52" i="10"/>
  <c r="S53" i="10"/>
  <c r="F54" i="10"/>
  <c r="V54" i="10"/>
  <c r="I55" i="10"/>
  <c r="Y55" i="10"/>
  <c r="L56" i="10"/>
  <c r="AB56" i="10"/>
  <c r="O57" i="10"/>
  <c r="AE57" i="10"/>
  <c r="R58" i="10"/>
  <c r="E59" i="10"/>
  <c r="U59" i="10"/>
  <c r="H60" i="10"/>
  <c r="X60" i="10"/>
  <c r="K61" i="10"/>
  <c r="AA61" i="10"/>
  <c r="N62" i="10"/>
  <c r="AD62" i="10"/>
  <c r="Q49" i="10"/>
  <c r="H49" i="10"/>
  <c r="X49" i="10"/>
  <c r="K50" i="10"/>
  <c r="AA50" i="10"/>
  <c r="N51" i="10"/>
  <c r="AD51" i="10"/>
  <c r="Q52" i="10"/>
  <c r="AG52" i="10"/>
  <c r="T53" i="10"/>
  <c r="G54" i="10"/>
  <c r="W54" i="10"/>
  <c r="J55" i="10"/>
  <c r="Z55" i="10"/>
  <c r="M56" i="10"/>
  <c r="AC56" i="10"/>
  <c r="P57" i="10"/>
  <c r="AF57" i="10"/>
  <c r="S58" i="10"/>
  <c r="F59" i="10"/>
  <c r="V59" i="10"/>
  <c r="I60" i="10"/>
  <c r="Y60" i="10"/>
  <c r="L61" i="10"/>
  <c r="AB61" i="10"/>
  <c r="O62" i="10"/>
  <c r="AE62" i="10"/>
  <c r="Y58" i="10"/>
  <c r="N59" i="10"/>
  <c r="AD58" i="10"/>
  <c r="I49" i="10"/>
  <c r="Y49" i="10"/>
  <c r="L50" i="10"/>
  <c r="AB50" i="10"/>
  <c r="O51" i="10"/>
  <c r="AE51" i="10"/>
  <c r="R52" i="10"/>
  <c r="E53" i="10"/>
  <c r="U53" i="10"/>
  <c r="H54" i="10"/>
  <c r="X54" i="10"/>
  <c r="K55" i="10"/>
  <c r="AA55" i="10"/>
  <c r="N56" i="10"/>
  <c r="AD56" i="10"/>
  <c r="Q57" i="10"/>
  <c r="AG57" i="10"/>
  <c r="T58" i="10"/>
  <c r="G59" i="10"/>
  <c r="W59" i="10"/>
  <c r="J60" i="10"/>
  <c r="Z60" i="10"/>
  <c r="M61" i="10"/>
  <c r="AC61" i="10"/>
  <c r="P62" i="10"/>
  <c r="AF62" i="10"/>
  <c r="AC59" i="10"/>
  <c r="P49" i="10"/>
  <c r="G61" i="10"/>
  <c r="J49" i="10"/>
  <c r="Z49" i="10"/>
  <c r="M50" i="10"/>
  <c r="AC50" i="10"/>
  <c r="P51" i="10"/>
  <c r="AF51" i="10"/>
  <c r="S52" i="10"/>
  <c r="F53" i="10"/>
  <c r="V53" i="10"/>
  <c r="I54" i="10"/>
  <c r="Y54" i="10"/>
  <c r="L55" i="10"/>
  <c r="AB55" i="10"/>
  <c r="O56" i="10"/>
  <c r="AE56" i="10"/>
  <c r="R57" i="10"/>
  <c r="E58" i="10"/>
  <c r="U58" i="10"/>
  <c r="H59" i="10"/>
  <c r="X59" i="10"/>
  <c r="K60" i="10"/>
  <c r="AA60" i="10"/>
  <c r="N61" i="10"/>
  <c r="AD61" i="10"/>
  <c r="Q62" i="10"/>
  <c r="AG62" i="10"/>
  <c r="L59" i="10"/>
  <c r="AF49" i="10"/>
  <c r="V50" i="10"/>
  <c r="K49" i="10"/>
  <c r="AA49" i="10"/>
  <c r="N50" i="10"/>
  <c r="AD50" i="10"/>
  <c r="Q51" i="10"/>
  <c r="AG51" i="10"/>
  <c r="T52" i="10"/>
  <c r="G53" i="10"/>
  <c r="W53" i="10"/>
  <c r="J54" i="10"/>
  <c r="Z54" i="10"/>
  <c r="M55" i="10"/>
  <c r="AC55" i="10"/>
  <c r="P56" i="10"/>
  <c r="AF56" i="10"/>
  <c r="S57" i="10"/>
  <c r="F58" i="10"/>
  <c r="V58" i="10"/>
  <c r="I59" i="10"/>
  <c r="Y59" i="10"/>
  <c r="L60" i="10"/>
  <c r="AB60" i="10"/>
  <c r="O61" i="10"/>
  <c r="AE61" i="10"/>
  <c r="R62" i="10"/>
  <c r="AD59" i="10"/>
  <c r="O59" i="10"/>
  <c r="Y51" i="10"/>
  <c r="N58" i="10"/>
  <c r="Q59" i="10"/>
  <c r="L49" i="10"/>
  <c r="O50" i="10"/>
  <c r="E52" i="10"/>
  <c r="H53" i="10"/>
  <c r="K54" i="10"/>
  <c r="N55" i="10"/>
  <c r="Q56" i="10"/>
  <c r="G58" i="10"/>
  <c r="J59" i="10"/>
  <c r="M60" i="10"/>
  <c r="P61" i="10"/>
  <c r="F12" i="11"/>
  <c r="G12" i="11" s="1"/>
  <c r="Q15" i="10"/>
  <c r="AQ38" i="10"/>
  <c r="AP37" i="10" s="1"/>
  <c r="C8" i="10"/>
  <c r="Q14" i="10"/>
  <c r="Q13" i="10"/>
  <c r="Q12" i="10"/>
  <c r="Q11" i="10"/>
  <c r="Q10" i="10"/>
  <c r="Q9" i="10"/>
  <c r="Q8" i="10"/>
  <c r="R14" i="10"/>
  <c r="R13" i="10"/>
  <c r="R12" i="10"/>
  <c r="R11" i="10"/>
  <c r="R10" i="10"/>
  <c r="R9" i="10"/>
  <c r="R8" i="10"/>
  <c r="C7" i="10"/>
  <c r="C6" i="8"/>
  <c r="D51" i="10" l="1"/>
  <c r="D62" i="13" s="1"/>
  <c r="F62" i="13" s="1"/>
  <c r="G62" i="13" s="1"/>
  <c r="H62" i="13" s="1"/>
  <c r="I62" i="13" s="1"/>
  <c r="J62" i="13" s="1"/>
  <c r="K62" i="13" s="1"/>
  <c r="L62" i="13" s="1"/>
  <c r="M62" i="13" s="1"/>
  <c r="N62" i="13" s="1"/>
  <c r="O62" i="13" s="1"/>
  <c r="P62" i="13" s="1"/>
  <c r="Q62" i="13" s="1"/>
  <c r="R62" i="13" s="1"/>
  <c r="S62" i="13" s="1"/>
  <c r="T62" i="13" s="1"/>
  <c r="U62" i="13" s="1"/>
  <c r="V62" i="13" s="1"/>
  <c r="W62" i="13" s="1"/>
  <c r="X62" i="13" s="1"/>
  <c r="Y62" i="13" s="1"/>
  <c r="Z62" i="13" s="1"/>
  <c r="AA62" i="13" s="1"/>
  <c r="AB62" i="13" s="1"/>
  <c r="D63" i="10"/>
  <c r="D62" i="10"/>
  <c r="D73" i="13" s="1"/>
  <c r="F73" i="13" s="1"/>
  <c r="G73" i="13" s="1"/>
  <c r="H73" i="13" s="1"/>
  <c r="I73" i="13" s="1"/>
  <c r="J73" i="13" s="1"/>
  <c r="K73" i="13" s="1"/>
  <c r="L73" i="13" s="1"/>
  <c r="M73" i="13" s="1"/>
  <c r="N73" i="13" s="1"/>
  <c r="O73" i="13" s="1"/>
  <c r="P73" i="13" s="1"/>
  <c r="Q73" i="13" s="1"/>
  <c r="R73" i="13" s="1"/>
  <c r="S73" i="13" s="1"/>
  <c r="T73" i="13" s="1"/>
  <c r="U73" i="13" s="1"/>
  <c r="V73" i="13" s="1"/>
  <c r="W73" i="13" s="1"/>
  <c r="X73" i="13" s="1"/>
  <c r="Y73" i="13" s="1"/>
  <c r="Z73" i="13" s="1"/>
  <c r="AA73" i="13" s="1"/>
  <c r="AB73" i="13" s="1"/>
  <c r="D55" i="10"/>
  <c r="D66" i="13" s="1"/>
  <c r="F66" i="13" s="1"/>
  <c r="G66" i="13" s="1"/>
  <c r="H66" i="13" s="1"/>
  <c r="I66" i="13" s="1"/>
  <c r="J66" i="13" s="1"/>
  <c r="K66" i="13" s="1"/>
  <c r="L66" i="13" s="1"/>
  <c r="M66" i="13" s="1"/>
  <c r="N66" i="13" s="1"/>
  <c r="O66" i="13" s="1"/>
  <c r="P66" i="13" s="1"/>
  <c r="Q66" i="13" s="1"/>
  <c r="R66" i="13" s="1"/>
  <c r="S66" i="13" s="1"/>
  <c r="T66" i="13" s="1"/>
  <c r="U66" i="13" s="1"/>
  <c r="V66" i="13" s="1"/>
  <c r="W66" i="13" s="1"/>
  <c r="X66" i="13" s="1"/>
  <c r="Y66" i="13" s="1"/>
  <c r="Z66" i="13" s="1"/>
  <c r="AA66" i="13" s="1"/>
  <c r="AB66" i="13" s="1"/>
  <c r="D56" i="10"/>
  <c r="D67" i="13" s="1"/>
  <c r="F67" i="13" s="1"/>
  <c r="G67" i="13" s="1"/>
  <c r="H67" i="13" s="1"/>
  <c r="I67" i="13" s="1"/>
  <c r="J67" i="13" s="1"/>
  <c r="K67" i="13" s="1"/>
  <c r="L67" i="13" s="1"/>
  <c r="M67" i="13" s="1"/>
  <c r="N67" i="13" s="1"/>
  <c r="O67" i="13" s="1"/>
  <c r="P67" i="13" s="1"/>
  <c r="Q67" i="13" s="1"/>
  <c r="R67" i="13" s="1"/>
  <c r="S67" i="13" s="1"/>
  <c r="T67" i="13" s="1"/>
  <c r="U67" i="13" s="1"/>
  <c r="V67" i="13" s="1"/>
  <c r="W67" i="13" s="1"/>
  <c r="X67" i="13" s="1"/>
  <c r="Y67" i="13" s="1"/>
  <c r="Z67" i="13" s="1"/>
  <c r="AA67" i="13" s="1"/>
  <c r="AB67" i="13" s="1"/>
  <c r="D53" i="10"/>
  <c r="D64" i="13" s="1"/>
  <c r="F64" i="13" s="1"/>
  <c r="G64" i="13" s="1"/>
  <c r="H64" i="13" s="1"/>
  <c r="I64" i="13" s="1"/>
  <c r="J64" i="13" s="1"/>
  <c r="K64" i="13" s="1"/>
  <c r="L64" i="13" s="1"/>
  <c r="M64" i="13" s="1"/>
  <c r="N64" i="13" s="1"/>
  <c r="O64" i="13" s="1"/>
  <c r="P64" i="13" s="1"/>
  <c r="Q64" i="13" s="1"/>
  <c r="R64" i="13" s="1"/>
  <c r="S64" i="13" s="1"/>
  <c r="T64" i="13" s="1"/>
  <c r="U64" i="13" s="1"/>
  <c r="V64" i="13" s="1"/>
  <c r="W64" i="13" s="1"/>
  <c r="X64" i="13" s="1"/>
  <c r="Y64" i="13" s="1"/>
  <c r="Z64" i="13" s="1"/>
  <c r="AA64" i="13" s="1"/>
  <c r="AB64" i="13" s="1"/>
  <c r="D54" i="10"/>
  <c r="D65" i="13" s="1"/>
  <c r="F65" i="13" s="1"/>
  <c r="G65" i="13" s="1"/>
  <c r="H65" i="13" s="1"/>
  <c r="I65" i="13" s="1"/>
  <c r="J65" i="13" s="1"/>
  <c r="K65" i="13" s="1"/>
  <c r="L65" i="13" s="1"/>
  <c r="M65" i="13" s="1"/>
  <c r="N65" i="13" s="1"/>
  <c r="O65" i="13" s="1"/>
  <c r="P65" i="13" s="1"/>
  <c r="Q65" i="13" s="1"/>
  <c r="R65" i="13" s="1"/>
  <c r="S65" i="13" s="1"/>
  <c r="T65" i="13" s="1"/>
  <c r="U65" i="13" s="1"/>
  <c r="V65" i="13" s="1"/>
  <c r="W65" i="13" s="1"/>
  <c r="X65" i="13" s="1"/>
  <c r="Y65" i="13" s="1"/>
  <c r="Z65" i="13" s="1"/>
  <c r="AA65" i="13" s="1"/>
  <c r="AB65" i="13" s="1"/>
  <c r="D59" i="10"/>
  <c r="D70" i="13" s="1"/>
  <c r="F70" i="13" s="1"/>
  <c r="G70" i="13" s="1"/>
  <c r="H70" i="13" s="1"/>
  <c r="I70" i="13" s="1"/>
  <c r="J70" i="13" s="1"/>
  <c r="K70" i="13" s="1"/>
  <c r="L70" i="13" s="1"/>
  <c r="M70" i="13" s="1"/>
  <c r="N70" i="13" s="1"/>
  <c r="O70" i="13" s="1"/>
  <c r="P70" i="13" s="1"/>
  <c r="Q70" i="13" s="1"/>
  <c r="R70" i="13" s="1"/>
  <c r="S70" i="13" s="1"/>
  <c r="T70" i="13" s="1"/>
  <c r="U70" i="13" s="1"/>
  <c r="V70" i="13" s="1"/>
  <c r="W70" i="13" s="1"/>
  <c r="X70" i="13" s="1"/>
  <c r="Y70" i="13" s="1"/>
  <c r="Z70" i="13" s="1"/>
  <c r="AA70" i="13" s="1"/>
  <c r="AB70" i="13" s="1"/>
  <c r="D61" i="10"/>
  <c r="D72" i="13" s="1"/>
  <c r="F72" i="13" s="1"/>
  <c r="G72" i="13" s="1"/>
  <c r="H72" i="13" s="1"/>
  <c r="I72" i="13" s="1"/>
  <c r="J72" i="13" s="1"/>
  <c r="K72" i="13" s="1"/>
  <c r="L72" i="13" s="1"/>
  <c r="M72" i="13" s="1"/>
  <c r="N72" i="13" s="1"/>
  <c r="O72" i="13" s="1"/>
  <c r="P72" i="13" s="1"/>
  <c r="Q72" i="13" s="1"/>
  <c r="R72" i="13" s="1"/>
  <c r="S72" i="13" s="1"/>
  <c r="T72" i="13" s="1"/>
  <c r="U72" i="13" s="1"/>
  <c r="V72" i="13" s="1"/>
  <c r="W72" i="13" s="1"/>
  <c r="X72" i="13" s="1"/>
  <c r="Y72" i="13" s="1"/>
  <c r="Z72" i="13" s="1"/>
  <c r="AA72" i="13" s="1"/>
  <c r="AB72" i="13" s="1"/>
  <c r="D50" i="10"/>
  <c r="D61" i="13" s="1"/>
  <c r="F61" i="13" s="1"/>
  <c r="G61" i="13" s="1"/>
  <c r="H61" i="13" s="1"/>
  <c r="I61" i="13" s="1"/>
  <c r="J61" i="13" s="1"/>
  <c r="K61" i="13" s="1"/>
  <c r="L61" i="13" s="1"/>
  <c r="M61" i="13" s="1"/>
  <c r="N61" i="13" s="1"/>
  <c r="O61" i="13" s="1"/>
  <c r="P61" i="13" s="1"/>
  <c r="Q61" i="13" s="1"/>
  <c r="R61" i="13" s="1"/>
  <c r="S61" i="13" s="1"/>
  <c r="T61" i="13" s="1"/>
  <c r="U61" i="13" s="1"/>
  <c r="V61" i="13" s="1"/>
  <c r="W61" i="13" s="1"/>
  <c r="X61" i="13" s="1"/>
  <c r="Y61" i="13" s="1"/>
  <c r="Z61" i="13" s="1"/>
  <c r="AA61" i="13" s="1"/>
  <c r="AB61" i="13" s="1"/>
  <c r="D52" i="10"/>
  <c r="D63" i="13" s="1"/>
  <c r="F63" i="13" s="1"/>
  <c r="G63" i="13" s="1"/>
  <c r="H63" i="13" s="1"/>
  <c r="I63" i="13" s="1"/>
  <c r="J63" i="13" s="1"/>
  <c r="K63" i="13" s="1"/>
  <c r="L63" i="13" s="1"/>
  <c r="M63" i="13" s="1"/>
  <c r="N63" i="13" s="1"/>
  <c r="O63" i="13" s="1"/>
  <c r="P63" i="13" s="1"/>
  <c r="Q63" i="13" s="1"/>
  <c r="R63" i="13" s="1"/>
  <c r="S63" i="13" s="1"/>
  <c r="T63" i="13" s="1"/>
  <c r="U63" i="13" s="1"/>
  <c r="V63" i="13" s="1"/>
  <c r="W63" i="13" s="1"/>
  <c r="X63" i="13" s="1"/>
  <c r="Y63" i="13" s="1"/>
  <c r="Z63" i="13" s="1"/>
  <c r="AA63" i="13" s="1"/>
  <c r="AB63" i="13" s="1"/>
  <c r="D49" i="10"/>
  <c r="D60" i="13" s="1"/>
  <c r="F60" i="13" s="1"/>
  <c r="G60" i="13" s="1"/>
  <c r="H60" i="13" s="1"/>
  <c r="I60" i="13" s="1"/>
  <c r="J60" i="13" s="1"/>
  <c r="K60" i="13" s="1"/>
  <c r="L60" i="13" s="1"/>
  <c r="M60" i="13" s="1"/>
  <c r="N60" i="13" s="1"/>
  <c r="O60" i="13" s="1"/>
  <c r="P60" i="13" s="1"/>
  <c r="Q60" i="13" s="1"/>
  <c r="R60" i="13" s="1"/>
  <c r="S60" i="13" s="1"/>
  <c r="T60" i="13" s="1"/>
  <c r="U60" i="13" s="1"/>
  <c r="V60" i="13" s="1"/>
  <c r="W60" i="13" s="1"/>
  <c r="X60" i="13" s="1"/>
  <c r="Y60" i="13" s="1"/>
  <c r="Z60" i="13" s="1"/>
  <c r="AA60" i="13" s="1"/>
  <c r="AB60" i="13" s="1"/>
  <c r="D60" i="10"/>
  <c r="D58" i="10"/>
  <c r="D69" i="13" s="1"/>
  <c r="F69" i="13" s="1"/>
  <c r="G69" i="13" s="1"/>
  <c r="H69" i="13" s="1"/>
  <c r="I69" i="13" s="1"/>
  <c r="J69" i="13" s="1"/>
  <c r="K69" i="13" s="1"/>
  <c r="L69" i="13" s="1"/>
  <c r="M69" i="13" s="1"/>
  <c r="N69" i="13" s="1"/>
  <c r="O69" i="13" s="1"/>
  <c r="P69" i="13" s="1"/>
  <c r="Q69" i="13" s="1"/>
  <c r="R69" i="13" s="1"/>
  <c r="S69" i="13" s="1"/>
  <c r="T69" i="13" s="1"/>
  <c r="U69" i="13" s="1"/>
  <c r="V69" i="13" s="1"/>
  <c r="W69" i="13" s="1"/>
  <c r="X69" i="13" s="1"/>
  <c r="Y69" i="13" s="1"/>
  <c r="Z69" i="13" s="1"/>
  <c r="AA69" i="13" s="1"/>
  <c r="AB69" i="13" s="1"/>
  <c r="D57" i="10"/>
  <c r="D68" i="13" s="1"/>
  <c r="F68" i="13" s="1"/>
  <c r="G68" i="13" s="1"/>
  <c r="H68" i="13" s="1"/>
  <c r="I68" i="13" s="1"/>
  <c r="J68" i="13" s="1"/>
  <c r="K68" i="13" s="1"/>
  <c r="L68" i="13" s="1"/>
  <c r="M68" i="13" s="1"/>
  <c r="N68" i="13" s="1"/>
  <c r="O68" i="13" s="1"/>
  <c r="P68" i="13" s="1"/>
  <c r="Q68" i="13" s="1"/>
  <c r="R68" i="13" s="1"/>
  <c r="S68" i="13" s="1"/>
  <c r="T68" i="13" s="1"/>
  <c r="U68" i="13" s="1"/>
  <c r="V68" i="13" s="1"/>
  <c r="W68" i="13" s="1"/>
  <c r="X68" i="13" s="1"/>
  <c r="Y68" i="13" s="1"/>
  <c r="Z68" i="13" s="1"/>
  <c r="AA68" i="13" s="1"/>
  <c r="AB68" i="13" s="1"/>
  <c r="AP8" i="10"/>
  <c r="AP33" i="10"/>
  <c r="AP9" i="10"/>
  <c r="AP11" i="10"/>
  <c r="AP12" i="10"/>
  <c r="AP15" i="10"/>
  <c r="AP35" i="10"/>
  <c r="AP10" i="10"/>
  <c r="AP13" i="10"/>
  <c r="AP14" i="10"/>
  <c r="AP34" i="10"/>
  <c r="AP36" i="10"/>
  <c r="AP32" i="10"/>
  <c r="A23" i="16"/>
  <c r="C3" i="15"/>
  <c r="E3" i="15"/>
  <c r="G62" i="15"/>
  <c r="T69" i="18"/>
  <c r="T68" i="18"/>
  <c r="T67" i="18"/>
  <c r="T66" i="18"/>
  <c r="T65" i="18"/>
  <c r="S69" i="18"/>
  <c r="S68" i="18"/>
  <c r="S67" i="18"/>
  <c r="S66" i="18"/>
  <c r="S65" i="18"/>
  <c r="R65" i="18"/>
  <c r="I215" i="18"/>
  <c r="I214" i="18"/>
  <c r="I213" i="18"/>
  <c r="I212" i="18"/>
  <c r="I211" i="18"/>
  <c r="I210" i="18"/>
  <c r="I209" i="18"/>
  <c r="I208" i="18"/>
  <c r="I207" i="18"/>
  <c r="I206" i="18"/>
  <c r="I205" i="18"/>
  <c r="I204" i="18"/>
  <c r="I203" i="18"/>
  <c r="I202" i="18"/>
  <c r="I201" i="18"/>
  <c r="I200" i="18"/>
  <c r="I199" i="18"/>
  <c r="I198" i="18"/>
  <c r="I197" i="18"/>
  <c r="I196" i="18"/>
  <c r="I195" i="18"/>
  <c r="I194" i="18"/>
  <c r="I193" i="18"/>
  <c r="I192" i="18"/>
  <c r="I191" i="18"/>
  <c r="I190" i="18"/>
  <c r="I189" i="18"/>
  <c r="I188" i="18"/>
  <c r="I187" i="18"/>
  <c r="I186" i="18"/>
  <c r="I185" i="18"/>
  <c r="I184" i="18"/>
  <c r="I183" i="18"/>
  <c r="I182" i="18"/>
  <c r="I181" i="18"/>
  <c r="I180" i="18"/>
  <c r="I179" i="18"/>
  <c r="I178" i="18"/>
  <c r="I177" i="18"/>
  <c r="I176" i="18"/>
  <c r="I175" i="18"/>
  <c r="I174" i="18"/>
  <c r="I173" i="18"/>
  <c r="I172" i="18"/>
  <c r="I171" i="18"/>
  <c r="I170" i="18"/>
  <c r="I169" i="18"/>
  <c r="I168" i="18"/>
  <c r="I167" i="18"/>
  <c r="I166" i="18"/>
  <c r="I165" i="18"/>
  <c r="I164" i="18"/>
  <c r="I163" i="18"/>
  <c r="I162" i="18"/>
  <c r="I161" i="18"/>
  <c r="I160" i="18"/>
  <c r="I159" i="18"/>
  <c r="I158" i="18"/>
  <c r="I157" i="18"/>
  <c r="I156" i="18"/>
  <c r="I155" i="18"/>
  <c r="I154" i="18"/>
  <c r="I153" i="18"/>
  <c r="I152" i="18"/>
  <c r="I151" i="18"/>
  <c r="I150" i="18"/>
  <c r="I149" i="18"/>
  <c r="I148" i="18"/>
  <c r="I147" i="18"/>
  <c r="I146" i="18"/>
  <c r="I145" i="18"/>
  <c r="I144" i="18"/>
  <c r="I143" i="18"/>
  <c r="I142" i="18"/>
  <c r="I141" i="18"/>
  <c r="I140" i="18"/>
  <c r="I139" i="18"/>
  <c r="I138" i="18"/>
  <c r="I137" i="18"/>
  <c r="I136" i="18"/>
  <c r="I135" i="18"/>
  <c r="I134" i="18"/>
  <c r="I133" i="18"/>
  <c r="I132" i="18"/>
  <c r="I131" i="18"/>
  <c r="I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T68" i="15"/>
  <c r="U68" i="15" s="1"/>
  <c r="T67" i="15"/>
  <c r="U67" i="15" s="1"/>
  <c r="T66" i="15"/>
  <c r="U66" i="15" s="1"/>
  <c r="T65" i="15"/>
  <c r="U65" i="15" s="1"/>
  <c r="T64" i="15"/>
  <c r="U64" i="15" s="1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28" i="22"/>
  <c r="I27" i="22"/>
  <c r="I12" i="22"/>
  <c r="I11" i="22"/>
  <c r="D45" i="1"/>
  <c r="D46" i="1"/>
  <c r="D183" i="15"/>
  <c r="G182" i="15" s="1"/>
  <c r="G183" i="15"/>
  <c r="V65" i="15"/>
  <c r="V66" i="15" s="1"/>
  <c r="S64" i="15"/>
  <c r="B152" i="15"/>
  <c r="B151" i="15" s="1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B181" i="15"/>
  <c r="B180" i="15" s="1"/>
  <c r="B182" i="15"/>
  <c r="C182" i="15" s="1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1" i="15"/>
  <c r="C152" i="15"/>
  <c r="N65" i="15"/>
  <c r="M65" i="15" s="1"/>
  <c r="P64" i="15"/>
  <c r="M64" i="15"/>
  <c r="Q64" i="15" s="1"/>
  <c r="H206" i="15"/>
  <c r="H205" i="15"/>
  <c r="H204" i="15"/>
  <c r="H196" i="15"/>
  <c r="H194" i="15"/>
  <c r="H192" i="15"/>
  <c r="H191" i="15"/>
  <c r="H190" i="15"/>
  <c r="H189" i="15"/>
  <c r="H188" i="15"/>
  <c r="E212" i="15"/>
  <c r="D212" i="15"/>
  <c r="G184" i="15"/>
  <c r="D185" i="15" s="1"/>
  <c r="G185" i="15" s="1"/>
  <c r="D186" i="15" s="1"/>
  <c r="G186" i="15" s="1"/>
  <c r="D187" i="15" s="1"/>
  <c r="G187" i="15" s="1"/>
  <c r="D188" i="15" s="1"/>
  <c r="G188" i="15" s="1"/>
  <c r="D189" i="15" s="1"/>
  <c r="G189" i="15" s="1"/>
  <c r="D190" i="15" s="1"/>
  <c r="G190" i="15" s="1"/>
  <c r="D191" i="15" s="1"/>
  <c r="G191" i="15" s="1"/>
  <c r="D192" i="15" s="1"/>
  <c r="G192" i="15" s="1"/>
  <c r="D193" i="15" s="1"/>
  <c r="G193" i="15" s="1"/>
  <c r="D194" i="15" s="1"/>
  <c r="G194" i="15" s="1"/>
  <c r="D195" i="15" s="1"/>
  <c r="G195" i="15" s="1"/>
  <c r="D196" i="15" s="1"/>
  <c r="G196" i="15" s="1"/>
  <c r="D197" i="15" s="1"/>
  <c r="G197" i="15" s="1"/>
  <c r="D198" i="15" s="1"/>
  <c r="G198" i="15" s="1"/>
  <c r="D199" i="15" s="1"/>
  <c r="G199" i="15" s="1"/>
  <c r="D200" i="15" s="1"/>
  <c r="G200" i="15" s="1"/>
  <c r="D201" i="15" s="1"/>
  <c r="G201" i="15" s="1"/>
  <c r="D202" i="15" s="1"/>
  <c r="G202" i="15" s="1"/>
  <c r="D203" i="15" s="1"/>
  <c r="G203" i="15" s="1"/>
  <c r="D204" i="15" s="1"/>
  <c r="G204" i="15" s="1"/>
  <c r="D205" i="15" s="1"/>
  <c r="G205" i="15" s="1"/>
  <c r="D206" i="15" s="1"/>
  <c r="G206" i="15" s="1"/>
  <c r="D207" i="15" s="1"/>
  <c r="G207" i="15" s="1"/>
  <c r="D208" i="15" s="1"/>
  <c r="G208" i="15" s="1"/>
  <c r="D209" i="15" s="1"/>
  <c r="G209" i="15" s="1"/>
  <c r="D210" i="15" s="1"/>
  <c r="G210" i="15" s="1"/>
  <c r="D211" i="15" s="1"/>
  <c r="G211" i="15" s="1"/>
  <c r="H211" i="15" s="1"/>
  <c r="W65" i="18"/>
  <c r="X65" i="18" s="1"/>
  <c r="V65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V66" i="18" s="1"/>
  <c r="V67" i="18" s="1"/>
  <c r="V68" i="18" s="1"/>
  <c r="V69" i="18" s="1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U66" i="18"/>
  <c r="U67" i="18" s="1"/>
  <c r="N66" i="18"/>
  <c r="O66" i="18" s="1"/>
  <c r="M66" i="18"/>
  <c r="L66" i="18" s="1"/>
  <c r="C66" i="18"/>
  <c r="O65" i="18"/>
  <c r="L65" i="18"/>
  <c r="G65" i="18"/>
  <c r="H65" i="18" s="1"/>
  <c r="C65" i="18"/>
  <c r="O4" i="22"/>
  <c r="U4" i="22"/>
  <c r="U5" i="22" s="1"/>
  <c r="U6" i="22" s="1"/>
  <c r="U7" i="22" s="1"/>
  <c r="U8" i="22" s="1"/>
  <c r="L4" i="22"/>
  <c r="S4" i="22" s="1"/>
  <c r="C154" i="22"/>
  <c r="C153" i="22"/>
  <c r="C152" i="22"/>
  <c r="C151" i="22"/>
  <c r="C150" i="22"/>
  <c r="C149" i="22"/>
  <c r="C148" i="22"/>
  <c r="C147" i="22"/>
  <c r="C146" i="22"/>
  <c r="C145" i="22"/>
  <c r="C144" i="22"/>
  <c r="C143" i="22"/>
  <c r="C142" i="22"/>
  <c r="C141" i="22"/>
  <c r="C140" i="22"/>
  <c r="C139" i="22"/>
  <c r="C138" i="22"/>
  <c r="C137" i="22"/>
  <c r="C136" i="22"/>
  <c r="C135" i="22"/>
  <c r="C134" i="22"/>
  <c r="C133" i="22"/>
  <c r="C132" i="22"/>
  <c r="C131" i="22"/>
  <c r="C130" i="22"/>
  <c r="C129" i="22"/>
  <c r="C128" i="22"/>
  <c r="C127" i="22"/>
  <c r="C126" i="22"/>
  <c r="C125" i="22"/>
  <c r="C124" i="22"/>
  <c r="C123" i="22"/>
  <c r="C122" i="22"/>
  <c r="C121" i="22"/>
  <c r="C120" i="22"/>
  <c r="C119" i="22"/>
  <c r="C118" i="22"/>
  <c r="C117" i="22"/>
  <c r="C116" i="22"/>
  <c r="C115" i="22"/>
  <c r="C114" i="22"/>
  <c r="C113" i="22"/>
  <c r="C112" i="22"/>
  <c r="C111" i="22"/>
  <c r="C110" i="22"/>
  <c r="C109" i="22"/>
  <c r="C108" i="22"/>
  <c r="C107" i="22"/>
  <c r="C106" i="22"/>
  <c r="C105" i="22"/>
  <c r="C104" i="22"/>
  <c r="C103" i="22"/>
  <c r="C102" i="22"/>
  <c r="C101" i="22"/>
  <c r="C100" i="22"/>
  <c r="C99" i="22"/>
  <c r="C98" i="22"/>
  <c r="C97" i="22"/>
  <c r="C96" i="22"/>
  <c r="C95" i="22"/>
  <c r="C94" i="22"/>
  <c r="C93" i="22"/>
  <c r="C92" i="22"/>
  <c r="C91" i="22"/>
  <c r="C90" i="22"/>
  <c r="C89" i="22"/>
  <c r="C88" i="22"/>
  <c r="C87" i="22"/>
  <c r="C86" i="22"/>
  <c r="C85" i="22"/>
  <c r="C84" i="22"/>
  <c r="C83" i="22"/>
  <c r="C82" i="22"/>
  <c r="C81" i="22"/>
  <c r="C80" i="22"/>
  <c r="C79" i="22"/>
  <c r="C78" i="22"/>
  <c r="C77" i="22"/>
  <c r="C76" i="22"/>
  <c r="C75" i="22"/>
  <c r="C74" i="22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M5" i="22"/>
  <c r="N5" i="22" s="1"/>
  <c r="M6" i="22" s="1"/>
  <c r="N6" i="22" s="1"/>
  <c r="M7" i="22" s="1"/>
  <c r="N7" i="22" s="1"/>
  <c r="M8" i="22" s="1"/>
  <c r="N8" i="22" s="1"/>
  <c r="M9" i="22" s="1"/>
  <c r="N9" i="22" s="1"/>
  <c r="O9" i="22" s="1"/>
  <c r="G4" i="22"/>
  <c r="D5" i="22" s="1"/>
  <c r="G5" i="22" s="1"/>
  <c r="D6" i="22" s="1"/>
  <c r="G6" i="22" s="1"/>
  <c r="D7" i="22" s="1"/>
  <c r="G7" i="22" s="1"/>
  <c r="D8" i="22" s="1"/>
  <c r="G8" i="22" s="1"/>
  <c r="D9" i="22" s="1"/>
  <c r="G9" i="22" s="1"/>
  <c r="D10" i="22" s="1"/>
  <c r="G10" i="22" s="1"/>
  <c r="D11" i="22" s="1"/>
  <c r="G11" i="22" s="1"/>
  <c r="D12" i="22" s="1"/>
  <c r="G12" i="22" s="1"/>
  <c r="D13" i="22" s="1"/>
  <c r="G13" i="22" s="1"/>
  <c r="D14" i="22" s="1"/>
  <c r="G14" i="22" s="1"/>
  <c r="D15" i="22" s="1"/>
  <c r="G15" i="22" s="1"/>
  <c r="D16" i="22" s="1"/>
  <c r="G16" i="22" s="1"/>
  <c r="D17" i="22" s="1"/>
  <c r="G17" i="22" s="1"/>
  <c r="D18" i="22" s="1"/>
  <c r="G18" i="22" s="1"/>
  <c r="D19" i="22" s="1"/>
  <c r="G19" i="22" s="1"/>
  <c r="D20" i="22" s="1"/>
  <c r="G20" i="22" s="1"/>
  <c r="D21" i="22" s="1"/>
  <c r="G21" i="22" s="1"/>
  <c r="D22" i="22" s="1"/>
  <c r="G22" i="22" s="1"/>
  <c r="D23" i="22" s="1"/>
  <c r="G23" i="22" s="1"/>
  <c r="D24" i="22" s="1"/>
  <c r="G24" i="22" s="1"/>
  <c r="D25" i="22" s="1"/>
  <c r="G25" i="22" s="1"/>
  <c r="D26" i="22" s="1"/>
  <c r="G26" i="22" s="1"/>
  <c r="D27" i="22" s="1"/>
  <c r="G27" i="22" s="1"/>
  <c r="D28" i="22" s="1"/>
  <c r="G28" i="22" s="1"/>
  <c r="D29" i="22" s="1"/>
  <c r="G29" i="22" s="1"/>
  <c r="D30" i="22" s="1"/>
  <c r="G30" i="22" s="1"/>
  <c r="D31" i="22" s="1"/>
  <c r="G31" i="22" s="1"/>
  <c r="D32" i="22" s="1"/>
  <c r="G32" i="22" s="1"/>
  <c r="D33" i="22" s="1"/>
  <c r="G33" i="22" s="1"/>
  <c r="D34" i="22" s="1"/>
  <c r="G34" i="22" s="1"/>
  <c r="D35" i="22" s="1"/>
  <c r="C3" i="21"/>
  <c r="C5" i="21" s="1"/>
  <c r="E2" i="21"/>
  <c r="F2" i="21" s="1"/>
  <c r="G2" i="21" s="1"/>
  <c r="H2" i="21" s="1"/>
  <c r="I2" i="21" s="1"/>
  <c r="J2" i="21" s="1"/>
  <c r="K2" i="21" s="1"/>
  <c r="L2" i="21" s="1"/>
  <c r="M2" i="21" s="1"/>
  <c r="N2" i="21" s="1"/>
  <c r="O2" i="21" s="1"/>
  <c r="P2" i="21" s="1"/>
  <c r="Q2" i="21" s="1"/>
  <c r="R2" i="21" s="1"/>
  <c r="S2" i="21" s="1"/>
  <c r="T2" i="21" s="1"/>
  <c r="U2" i="21" s="1"/>
  <c r="V2" i="21" s="1"/>
  <c r="W2" i="21" s="1"/>
  <c r="X2" i="21" s="1"/>
  <c r="Y2" i="21" s="1"/>
  <c r="Z2" i="21" s="1"/>
  <c r="AA2" i="21" s="1"/>
  <c r="AB2" i="21" s="1"/>
  <c r="AC2" i="21" s="1"/>
  <c r="AD2" i="21" s="1"/>
  <c r="AE2" i="21" s="1"/>
  <c r="AF2" i="21" s="1"/>
  <c r="AG2" i="21" s="1"/>
  <c r="F20" i="13"/>
  <c r="C282" i="13"/>
  <c r="C279" i="13"/>
  <c r="D71" i="13" l="1"/>
  <c r="F71" i="13" s="1"/>
  <c r="G71" i="13" s="1"/>
  <c r="H71" i="13" s="1"/>
  <c r="I71" i="13" s="1"/>
  <c r="J71" i="13" s="1"/>
  <c r="K71" i="13" s="1"/>
  <c r="L71" i="13" s="1"/>
  <c r="M71" i="13" s="1"/>
  <c r="N71" i="13" s="1"/>
  <c r="O71" i="13" s="1"/>
  <c r="P71" i="13" s="1"/>
  <c r="Q71" i="13" s="1"/>
  <c r="R71" i="13" s="1"/>
  <c r="S71" i="13" s="1"/>
  <c r="T71" i="13" s="1"/>
  <c r="U71" i="13" s="1"/>
  <c r="V71" i="13" s="1"/>
  <c r="W71" i="13" s="1"/>
  <c r="X71" i="13" s="1"/>
  <c r="Y71" i="13" s="1"/>
  <c r="Z71" i="13" s="1"/>
  <c r="AA71" i="13" s="1"/>
  <c r="AB71" i="13" s="1"/>
  <c r="D194" i="13"/>
  <c r="F194" i="13" s="1"/>
  <c r="AP38" i="10"/>
  <c r="Y65" i="18"/>
  <c r="R66" i="18"/>
  <c r="Q66" i="18"/>
  <c r="P66" i="18"/>
  <c r="Q65" i="18"/>
  <c r="P65" i="18"/>
  <c r="I13" i="22"/>
  <c r="I29" i="22"/>
  <c r="I14" i="22"/>
  <c r="I30" i="22"/>
  <c r="I15" i="22"/>
  <c r="I31" i="22"/>
  <c r="I16" i="22"/>
  <c r="I32" i="22"/>
  <c r="I17" i="22"/>
  <c r="I33" i="22"/>
  <c r="I18" i="22"/>
  <c r="I34" i="22"/>
  <c r="I19" i="22"/>
  <c r="I4" i="22"/>
  <c r="I20" i="22"/>
  <c r="I5" i="22"/>
  <c r="I21" i="22"/>
  <c r="I6" i="22"/>
  <c r="I22" i="22"/>
  <c r="P4" i="22"/>
  <c r="I7" i="22"/>
  <c r="I23" i="22"/>
  <c r="I8" i="22"/>
  <c r="I24" i="22"/>
  <c r="I9" i="22"/>
  <c r="I25" i="22"/>
  <c r="I10" i="22"/>
  <c r="I26" i="22"/>
  <c r="O6" i="22"/>
  <c r="O8" i="22"/>
  <c r="O7" i="22"/>
  <c r="O5" i="22"/>
  <c r="B150" i="15"/>
  <c r="C151" i="15"/>
  <c r="B179" i="15"/>
  <c r="C180" i="15"/>
  <c r="H207" i="15"/>
  <c r="H208" i="15"/>
  <c r="H193" i="15"/>
  <c r="H209" i="15"/>
  <c r="H210" i="15"/>
  <c r="H195" i="15"/>
  <c r="H197" i="15"/>
  <c r="H198" i="15"/>
  <c r="H199" i="15"/>
  <c r="H184" i="15"/>
  <c r="H200" i="15"/>
  <c r="H185" i="15"/>
  <c r="H201" i="15"/>
  <c r="H186" i="15"/>
  <c r="H202" i="15"/>
  <c r="O65" i="15"/>
  <c r="P65" i="15" s="1"/>
  <c r="H187" i="15"/>
  <c r="H203" i="15"/>
  <c r="V67" i="15"/>
  <c r="U68" i="18"/>
  <c r="W67" i="18"/>
  <c r="X67" i="18" s="1"/>
  <c r="W66" i="18"/>
  <c r="X66" i="18" s="1"/>
  <c r="D66" i="18"/>
  <c r="G66" i="18" s="1"/>
  <c r="M67" i="18"/>
  <c r="L5" i="22"/>
  <c r="S5" i="22" s="1"/>
  <c r="L6" i="22"/>
  <c r="S6" i="22" s="1"/>
  <c r="R4" i="22"/>
  <c r="L7" i="22"/>
  <c r="S7" i="22" s="1"/>
  <c r="L8" i="22"/>
  <c r="S8" i="22" s="1"/>
  <c r="L9" i="22"/>
  <c r="H19" i="22"/>
  <c r="H34" i="22"/>
  <c r="H15" i="22"/>
  <c r="H5" i="22"/>
  <c r="H21" i="22"/>
  <c r="H6" i="22"/>
  <c r="H22" i="22"/>
  <c r="H20" i="22"/>
  <c r="H7" i="22"/>
  <c r="H23" i="22"/>
  <c r="H33" i="22"/>
  <c r="H31" i="22"/>
  <c r="H32" i="22"/>
  <c r="H4" i="22"/>
  <c r="H10" i="22"/>
  <c r="H26" i="22"/>
  <c r="H16" i="22"/>
  <c r="H8" i="22"/>
  <c r="H25" i="22"/>
  <c r="H11" i="22"/>
  <c r="H27" i="22"/>
  <c r="H12" i="22"/>
  <c r="H28" i="22"/>
  <c r="H17" i="22"/>
  <c r="H18" i="22"/>
  <c r="H24" i="22"/>
  <c r="H9" i="22"/>
  <c r="H13" i="22"/>
  <c r="H29" i="22"/>
  <c r="H14" i="22"/>
  <c r="H30" i="22"/>
  <c r="G35" i="22"/>
  <c r="I35" i="22" s="1"/>
  <c r="C4" i="21"/>
  <c r="C6" i="21" s="1"/>
  <c r="C24" i="21" s="1"/>
  <c r="C25" i="21" s="1"/>
  <c r="F227" i="13" l="1"/>
  <c r="F262" i="13" s="1"/>
  <c r="G194" i="13" s="1"/>
  <c r="Y66" i="18"/>
  <c r="B149" i="15"/>
  <c r="C150" i="15"/>
  <c r="B178" i="15"/>
  <c r="C179" i="15"/>
  <c r="N66" i="15"/>
  <c r="V68" i="15"/>
  <c r="O66" i="15"/>
  <c r="M66" i="15"/>
  <c r="D67" i="18"/>
  <c r="H66" i="18"/>
  <c r="L67" i="18"/>
  <c r="N67" i="18"/>
  <c r="U69" i="18"/>
  <c r="W68" i="18"/>
  <c r="X68" i="18" s="1"/>
  <c r="Q9" i="22"/>
  <c r="P9" i="22"/>
  <c r="R9" i="22"/>
  <c r="Q4" i="22"/>
  <c r="D36" i="22"/>
  <c r="H35" i="22"/>
  <c r="X15" i="21"/>
  <c r="AG15" i="21"/>
  <c r="E15" i="21"/>
  <c r="T15" i="21"/>
  <c r="AE15" i="21"/>
  <c r="O15" i="21"/>
  <c r="J15" i="21"/>
  <c r="G15" i="21"/>
  <c r="AD15" i="21"/>
  <c r="N15" i="21"/>
  <c r="S15" i="21"/>
  <c r="D15" i="21"/>
  <c r="R15" i="21"/>
  <c r="AA15" i="21"/>
  <c r="W15" i="21"/>
  <c r="F15" i="21"/>
  <c r="AC15" i="21"/>
  <c r="L15" i="21"/>
  <c r="K15" i="21"/>
  <c r="I15" i="21"/>
  <c r="Y15" i="21"/>
  <c r="V15" i="21"/>
  <c r="U15" i="21"/>
  <c r="H15" i="21"/>
  <c r="AF15" i="21"/>
  <c r="P15" i="21"/>
  <c r="M15" i="21"/>
  <c r="Z15" i="21"/>
  <c r="Q15" i="21"/>
  <c r="AB15" i="21"/>
  <c r="W69" i="18" l="1"/>
  <c r="X69" i="18" s="1"/>
  <c r="U70" i="18"/>
  <c r="W70" i="18" s="1"/>
  <c r="X70" i="18" s="1"/>
  <c r="R67" i="18"/>
  <c r="Q67" i="18"/>
  <c r="P67" i="18"/>
  <c r="B148" i="15"/>
  <c r="C149" i="15"/>
  <c r="B177" i="15"/>
  <c r="C178" i="15"/>
  <c r="P66" i="15"/>
  <c r="N67" i="15"/>
  <c r="O67" i="18"/>
  <c r="M68" i="18"/>
  <c r="G67" i="18"/>
  <c r="W63" i="18"/>
  <c r="G36" i="22"/>
  <c r="I36" i="22" s="1"/>
  <c r="D37" i="22"/>
  <c r="H36" i="22"/>
  <c r="X63" i="18" l="1"/>
  <c r="Y67" i="18"/>
  <c r="G37" i="22"/>
  <c r="I37" i="22" s="1"/>
  <c r="B147" i="15"/>
  <c r="C148" i="15"/>
  <c r="B176" i="15"/>
  <c r="C177" i="15"/>
  <c r="O67" i="15"/>
  <c r="M67" i="15"/>
  <c r="N68" i="18"/>
  <c r="L68" i="18"/>
  <c r="H67" i="18"/>
  <c r="D68" i="18"/>
  <c r="D38" i="22"/>
  <c r="H37" i="22"/>
  <c r="R68" i="18" l="1"/>
  <c r="Q68" i="18"/>
  <c r="P68" i="18"/>
  <c r="G38" i="22"/>
  <c r="I38" i="22"/>
  <c r="B146" i="15"/>
  <c r="C147" i="15"/>
  <c r="C176" i="15"/>
  <c r="B175" i="15"/>
  <c r="N68" i="15"/>
  <c r="P67" i="15"/>
  <c r="G68" i="18"/>
  <c r="O68" i="18"/>
  <c r="M69" i="18"/>
  <c r="D39" i="22"/>
  <c r="H38" i="22"/>
  <c r="Y68" i="18" l="1"/>
  <c r="G39" i="22"/>
  <c r="I39" i="22"/>
  <c r="B145" i="15"/>
  <c r="C146" i="15"/>
  <c r="C175" i="15"/>
  <c r="B174" i="15"/>
  <c r="O68" i="15"/>
  <c r="M68" i="15"/>
  <c r="N69" i="18"/>
  <c r="L69" i="18"/>
  <c r="H68" i="18"/>
  <c r="D69" i="18"/>
  <c r="D40" i="22"/>
  <c r="H39" i="22"/>
  <c r="P69" i="18" l="1"/>
  <c r="Q69" i="18"/>
  <c r="R69" i="18"/>
  <c r="G40" i="22"/>
  <c r="I40" i="22" s="1"/>
  <c r="B144" i="15"/>
  <c r="C145" i="15"/>
  <c r="C174" i="15"/>
  <c r="B173" i="15"/>
  <c r="P68" i="15"/>
  <c r="G69" i="18"/>
  <c r="O69" i="18"/>
  <c r="D41" i="22"/>
  <c r="H40" i="22"/>
  <c r="Y69" i="18" l="1"/>
  <c r="R63" i="18"/>
  <c r="G41" i="22"/>
  <c r="D42" i="22" s="1"/>
  <c r="I41" i="22"/>
  <c r="B143" i="15"/>
  <c r="C144" i="15"/>
  <c r="C173" i="15"/>
  <c r="B172" i="15"/>
  <c r="H69" i="18"/>
  <c r="D70" i="18"/>
  <c r="H41" i="22"/>
  <c r="G42" i="22" l="1"/>
  <c r="I42" i="22"/>
  <c r="B142" i="15"/>
  <c r="C143" i="15"/>
  <c r="C172" i="15"/>
  <c r="B171" i="15"/>
  <c r="G70" i="18"/>
  <c r="D43" i="22"/>
  <c r="H42" i="22"/>
  <c r="G43" i="22" l="1"/>
  <c r="I43" i="22"/>
  <c r="C142" i="15"/>
  <c r="B141" i="15"/>
  <c r="C171" i="15"/>
  <c r="B170" i="15"/>
  <c r="D71" i="18"/>
  <c r="G71" i="18" s="1"/>
  <c r="H70" i="18"/>
  <c r="D44" i="22"/>
  <c r="H43" i="22"/>
  <c r="G44" i="22" l="1"/>
  <c r="I44" i="22"/>
  <c r="C141" i="15"/>
  <c r="B140" i="15"/>
  <c r="C170" i="15"/>
  <c r="B169" i="15"/>
  <c r="H71" i="18"/>
  <c r="D72" i="18"/>
  <c r="G72" i="18" s="1"/>
  <c r="D45" i="22"/>
  <c r="H44" i="22"/>
  <c r="G45" i="22" l="1"/>
  <c r="I45" i="22"/>
  <c r="C140" i="15"/>
  <c r="B139" i="15"/>
  <c r="C169" i="15"/>
  <c r="B168" i="15"/>
  <c r="D73" i="18"/>
  <c r="G73" i="18" s="1"/>
  <c r="H72" i="18"/>
  <c r="D46" i="22"/>
  <c r="H45" i="22"/>
  <c r="G46" i="22" l="1"/>
  <c r="I46" i="22"/>
  <c r="C139" i="15"/>
  <c r="B138" i="15"/>
  <c r="C168" i="15"/>
  <c r="B167" i="15"/>
  <c r="D74" i="18"/>
  <c r="G74" i="18" s="1"/>
  <c r="H73" i="18"/>
  <c r="D47" i="22"/>
  <c r="H46" i="22"/>
  <c r="G47" i="22" l="1"/>
  <c r="I47" i="22"/>
  <c r="C138" i="15"/>
  <c r="B137" i="15"/>
  <c r="B166" i="15"/>
  <c r="C167" i="15"/>
  <c r="D75" i="18"/>
  <c r="G75" i="18" s="1"/>
  <c r="H74" i="18"/>
  <c r="D48" i="22"/>
  <c r="H47" i="22"/>
  <c r="G48" i="22" l="1"/>
  <c r="I48" i="22"/>
  <c r="B136" i="15"/>
  <c r="C137" i="15"/>
  <c r="B165" i="15"/>
  <c r="C166" i="15"/>
  <c r="H75" i="18"/>
  <c r="D76" i="18"/>
  <c r="G76" i="18" s="1"/>
  <c r="D49" i="22"/>
  <c r="H48" i="22"/>
  <c r="G49" i="22" l="1"/>
  <c r="I49" i="22"/>
  <c r="B135" i="15"/>
  <c r="C136" i="15"/>
  <c r="B164" i="15"/>
  <c r="C165" i="15"/>
  <c r="D77" i="18"/>
  <c r="G77" i="18" s="1"/>
  <c r="H76" i="18"/>
  <c r="D50" i="22"/>
  <c r="H49" i="22"/>
  <c r="G50" i="22" l="1"/>
  <c r="I50" i="22"/>
  <c r="B134" i="15"/>
  <c r="C135" i="15"/>
  <c r="B163" i="15"/>
  <c r="C164" i="15"/>
  <c r="D78" i="18"/>
  <c r="G78" i="18" s="1"/>
  <c r="H77" i="18"/>
  <c r="D51" i="22"/>
  <c r="H50" i="22"/>
  <c r="G51" i="22" l="1"/>
  <c r="I51" i="22"/>
  <c r="B133" i="15"/>
  <c r="C134" i="15"/>
  <c r="B162" i="15"/>
  <c r="C163" i="15"/>
  <c r="D79" i="18"/>
  <c r="G79" i="18" s="1"/>
  <c r="H78" i="18"/>
  <c r="D52" i="22"/>
  <c r="H51" i="22"/>
  <c r="G52" i="22" l="1"/>
  <c r="I52" i="22"/>
  <c r="B132" i="15"/>
  <c r="C133" i="15"/>
  <c r="B161" i="15"/>
  <c r="C162" i="15"/>
  <c r="H79" i="18"/>
  <c r="D80" i="18"/>
  <c r="G80" i="18" s="1"/>
  <c r="D53" i="22"/>
  <c r="H52" i="22"/>
  <c r="G53" i="22" l="1"/>
  <c r="I53" i="22"/>
  <c r="B131" i="15"/>
  <c r="C132" i="15"/>
  <c r="C161" i="15"/>
  <c r="B160" i="15"/>
  <c r="D81" i="18"/>
  <c r="G81" i="18" s="1"/>
  <c r="H80" i="18"/>
  <c r="D54" i="22"/>
  <c r="H53" i="22"/>
  <c r="G54" i="22" l="1"/>
  <c r="I54" i="22" s="1"/>
  <c r="B130" i="15"/>
  <c r="C131" i="15"/>
  <c r="C160" i="15"/>
  <c r="B159" i="15"/>
  <c r="D82" i="18"/>
  <c r="G82" i="18" s="1"/>
  <c r="H81" i="18"/>
  <c r="D55" i="22"/>
  <c r="H54" i="22"/>
  <c r="G55" i="22" l="1"/>
  <c r="I55" i="22"/>
  <c r="B129" i="15"/>
  <c r="C130" i="15"/>
  <c r="C159" i="15"/>
  <c r="B158" i="15"/>
  <c r="D83" i="18"/>
  <c r="G83" i="18" s="1"/>
  <c r="H82" i="18"/>
  <c r="D56" i="22"/>
  <c r="H55" i="22"/>
  <c r="G56" i="22" l="1"/>
  <c r="I56" i="22"/>
  <c r="B128" i="15"/>
  <c r="C129" i="15"/>
  <c r="C158" i="15"/>
  <c r="B157" i="15"/>
  <c r="H83" i="18"/>
  <c r="D84" i="18"/>
  <c r="G84" i="18" s="1"/>
  <c r="D57" i="22"/>
  <c r="H56" i="22"/>
  <c r="G57" i="22" l="1"/>
  <c r="I57" i="22"/>
  <c r="B127" i="15"/>
  <c r="C128" i="15"/>
  <c r="C157" i="15"/>
  <c r="B156" i="15"/>
  <c r="D85" i="18"/>
  <c r="G85" i="18" s="1"/>
  <c r="H84" i="18"/>
  <c r="D58" i="22"/>
  <c r="H57" i="22"/>
  <c r="G58" i="22" l="1"/>
  <c r="I58" i="22"/>
  <c r="B126" i="15"/>
  <c r="C127" i="15"/>
  <c r="C156" i="15"/>
  <c r="B155" i="15"/>
  <c r="D86" i="18"/>
  <c r="G86" i="18" s="1"/>
  <c r="H85" i="18"/>
  <c r="D59" i="22"/>
  <c r="H58" i="22"/>
  <c r="G59" i="22" l="1"/>
  <c r="I59" i="22"/>
  <c r="C126" i="15"/>
  <c r="B125" i="15"/>
  <c r="C155" i="15"/>
  <c r="B154" i="15"/>
  <c r="D87" i="18"/>
  <c r="G87" i="18" s="1"/>
  <c r="H86" i="18"/>
  <c r="D60" i="22"/>
  <c r="H59" i="22"/>
  <c r="G60" i="22" l="1"/>
  <c r="I60" i="22"/>
  <c r="C125" i="15"/>
  <c r="B124" i="15"/>
  <c r="C154" i="15"/>
  <c r="B153" i="15"/>
  <c r="C153" i="15" s="1"/>
  <c r="H87" i="18"/>
  <c r="D88" i="18"/>
  <c r="G88" i="18" s="1"/>
  <c r="D61" i="22"/>
  <c r="H60" i="22"/>
  <c r="G61" i="22" l="1"/>
  <c r="I61" i="22"/>
  <c r="C124" i="15"/>
  <c r="B123" i="15"/>
  <c r="D89" i="18"/>
  <c r="G89" i="18" s="1"/>
  <c r="H88" i="18"/>
  <c r="D62" i="22"/>
  <c r="H61" i="22"/>
  <c r="G62" i="22" l="1"/>
  <c r="I62" i="22"/>
  <c r="C123" i="15"/>
  <c r="B122" i="15"/>
  <c r="D90" i="18"/>
  <c r="G90" i="18" s="1"/>
  <c r="H89" i="18"/>
  <c r="D63" i="22"/>
  <c r="H62" i="22"/>
  <c r="G63" i="22" l="1"/>
  <c r="I63" i="22"/>
  <c r="C122" i="15"/>
  <c r="B121" i="15"/>
  <c r="D91" i="18"/>
  <c r="G91" i="18" s="1"/>
  <c r="H90" i="18"/>
  <c r="D64" i="22"/>
  <c r="H63" i="22"/>
  <c r="G64" i="22" l="1"/>
  <c r="I64" i="22"/>
  <c r="B120" i="15"/>
  <c r="C121" i="15"/>
  <c r="H91" i="18"/>
  <c r="D92" i="18"/>
  <c r="G92" i="18" s="1"/>
  <c r="D65" i="22"/>
  <c r="H64" i="22"/>
  <c r="B119" i="15" l="1"/>
  <c r="C120" i="15"/>
  <c r="D93" i="18"/>
  <c r="G93" i="18" s="1"/>
  <c r="H92" i="18"/>
  <c r="G65" i="22"/>
  <c r="I65" i="22" s="1"/>
  <c r="D66" i="22"/>
  <c r="H65" i="22"/>
  <c r="G66" i="22" l="1"/>
  <c r="I66" i="22"/>
  <c r="B118" i="15"/>
  <c r="C119" i="15"/>
  <c r="D94" i="18"/>
  <c r="G94" i="18" s="1"/>
  <c r="H93" i="18"/>
  <c r="D67" i="22"/>
  <c r="H66" i="22"/>
  <c r="B117" i="15" l="1"/>
  <c r="C118" i="15"/>
  <c r="D95" i="18"/>
  <c r="G95" i="18" s="1"/>
  <c r="H94" i="18"/>
  <c r="G67" i="22"/>
  <c r="I67" i="22" s="1"/>
  <c r="D68" i="22"/>
  <c r="H67" i="22"/>
  <c r="G68" i="22" l="1"/>
  <c r="I68" i="22"/>
  <c r="B116" i="15"/>
  <c r="C117" i="15"/>
  <c r="H95" i="18"/>
  <c r="D96" i="18"/>
  <c r="D69" i="22"/>
  <c r="H68" i="22"/>
  <c r="B115" i="15" l="1"/>
  <c r="C116" i="15"/>
  <c r="G96" i="18"/>
  <c r="G69" i="22"/>
  <c r="I69" i="22" s="1"/>
  <c r="D70" i="22"/>
  <c r="H69" i="22"/>
  <c r="G70" i="22" l="1"/>
  <c r="I70" i="22"/>
  <c r="B114" i="15"/>
  <c r="C115" i="15"/>
  <c r="D97" i="18"/>
  <c r="H96" i="18"/>
  <c r="D71" i="22"/>
  <c r="H70" i="22"/>
  <c r="B113" i="15" l="1"/>
  <c r="C114" i="15"/>
  <c r="G97" i="18"/>
  <c r="G71" i="22"/>
  <c r="I71" i="22" s="1"/>
  <c r="D72" i="22"/>
  <c r="H71" i="22"/>
  <c r="G72" i="22" l="1"/>
  <c r="I72" i="22"/>
  <c r="B112" i="15"/>
  <c r="C113" i="15"/>
  <c r="D98" i="18"/>
  <c r="H97" i="18"/>
  <c r="D73" i="22"/>
  <c r="H72" i="22"/>
  <c r="G73" i="22" l="1"/>
  <c r="I73" i="22"/>
  <c r="B111" i="15"/>
  <c r="C112" i="15"/>
  <c r="G98" i="18"/>
  <c r="D74" i="22"/>
  <c r="H73" i="22"/>
  <c r="G74" i="22" l="1"/>
  <c r="I74" i="22"/>
  <c r="C111" i="15"/>
  <c r="B110" i="15"/>
  <c r="D99" i="18"/>
  <c r="H98" i="18"/>
  <c r="D75" i="22"/>
  <c r="H74" i="22"/>
  <c r="G75" i="22" l="1"/>
  <c r="I75" i="22"/>
  <c r="C110" i="15"/>
  <c r="B109" i="15"/>
  <c r="G99" i="18"/>
  <c r="D76" i="22"/>
  <c r="H75" i="22"/>
  <c r="G76" i="22" l="1"/>
  <c r="I76" i="22"/>
  <c r="C109" i="15"/>
  <c r="B108" i="15"/>
  <c r="H99" i="18"/>
  <c r="D100" i="18"/>
  <c r="G100" i="18" s="1"/>
  <c r="D77" i="22"/>
  <c r="H76" i="22"/>
  <c r="G77" i="22" l="1"/>
  <c r="I77" i="22"/>
  <c r="C108" i="15"/>
  <c r="B107" i="15"/>
  <c r="D101" i="18"/>
  <c r="G101" i="18" s="1"/>
  <c r="H100" i="18"/>
  <c r="D78" i="22"/>
  <c r="H77" i="22"/>
  <c r="A16" i="16"/>
  <c r="F37" i="1"/>
  <c r="AG43" i="14"/>
  <c r="AF43" i="14"/>
  <c r="AE43" i="14"/>
  <c r="AD43" i="14"/>
  <c r="AC43" i="14"/>
  <c r="AB43" i="14"/>
  <c r="AA43" i="14"/>
  <c r="Z43" i="14"/>
  <c r="C58" i="13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57" i="13"/>
  <c r="C56" i="13"/>
  <c r="C55" i="13"/>
  <c r="C54" i="13"/>
  <c r="C53" i="13"/>
  <c r="C52" i="13"/>
  <c r="C51" i="13"/>
  <c r="P39" i="1"/>
  <c r="I13" i="20"/>
  <c r="I12" i="20"/>
  <c r="E12" i="20"/>
  <c r="D12" i="20"/>
  <c r="C12" i="20"/>
  <c r="E11" i="20"/>
  <c r="D11" i="20"/>
  <c r="E6" i="20"/>
  <c r="AG72" i="14"/>
  <c r="AF72" i="14"/>
  <c r="AE72" i="14"/>
  <c r="AD72" i="14"/>
  <c r="AC72" i="14"/>
  <c r="AB72" i="14"/>
  <c r="AA72" i="14"/>
  <c r="Z72" i="14"/>
  <c r="Q72" i="14"/>
  <c r="I16" i="20"/>
  <c r="I11" i="20"/>
  <c r="G6" i="20"/>
  <c r="G11" i="20"/>
  <c r="G12" i="20" s="1"/>
  <c r="F6" i="20"/>
  <c r="F11" i="20"/>
  <c r="F12" i="20" s="1"/>
  <c r="I39" i="1"/>
  <c r="F29" i="1"/>
  <c r="G27" i="1"/>
  <c r="G26" i="1"/>
  <c r="E27" i="1"/>
  <c r="D27" i="1"/>
  <c r="E26" i="1"/>
  <c r="D26" i="1"/>
  <c r="F26" i="1"/>
  <c r="T4" i="22" s="1"/>
  <c r="O9" i="15"/>
  <c r="G14" i="15"/>
  <c r="J8" i="15"/>
  <c r="J7" i="15"/>
  <c r="I7" i="15"/>
  <c r="I9" i="15" s="1"/>
  <c r="I8" i="15"/>
  <c r="G7" i="15"/>
  <c r="H39" i="16"/>
  <c r="J9" i="15" l="1"/>
  <c r="G78" i="22"/>
  <c r="I78" i="22"/>
  <c r="C107" i="15"/>
  <c r="B106" i="15"/>
  <c r="M7" i="15"/>
  <c r="G13" i="15"/>
  <c r="G15" i="15" s="1"/>
  <c r="K7" i="15"/>
  <c r="V4" i="22"/>
  <c r="W4" i="22" s="1"/>
  <c r="T5" i="22"/>
  <c r="D102" i="18"/>
  <c r="G102" i="18" s="1"/>
  <c r="H101" i="18"/>
  <c r="D79" i="22"/>
  <c r="H78" i="22"/>
  <c r="C75" i="13"/>
  <c r="C76" i="13"/>
  <c r="D28" i="1"/>
  <c r="D36" i="1" s="1"/>
  <c r="D33" i="1" s="1"/>
  <c r="I6" i="20"/>
  <c r="I17" i="20" s="1"/>
  <c r="I18" i="20" s="1"/>
  <c r="F4" i="20"/>
  <c r="F5" i="20" s="1"/>
  <c r="H29" i="1"/>
  <c r="H26" i="1"/>
  <c r="I26" i="1" s="1"/>
  <c r="I29" i="1"/>
  <c r="G28" i="1"/>
  <c r="G4" i="20"/>
  <c r="G5" i="20" s="1"/>
  <c r="E80" i="13"/>
  <c r="D39" i="16"/>
  <c r="D17" i="15"/>
  <c r="D18" i="15"/>
  <c r="G79" i="22" l="1"/>
  <c r="I79" i="22"/>
  <c r="C106" i="15"/>
  <c r="B105" i="15"/>
  <c r="H40" i="1"/>
  <c r="C10" i="14" s="1"/>
  <c r="D8" i="1"/>
  <c r="D34" i="1"/>
  <c r="V5" i="22"/>
  <c r="W5" i="22" s="1"/>
  <c r="T6" i="22"/>
  <c r="D103" i="18"/>
  <c r="G103" i="18" s="1"/>
  <c r="H102" i="18"/>
  <c r="D80" i="22"/>
  <c r="H79" i="22"/>
  <c r="C77" i="13"/>
  <c r="I5" i="20"/>
  <c r="I4" i="20"/>
  <c r="G33" i="1"/>
  <c r="G36" i="1"/>
  <c r="C3" i="18"/>
  <c r="D51" i="18"/>
  <c r="D74" i="1"/>
  <c r="D72" i="1"/>
  <c r="D70" i="1"/>
  <c r="D68" i="1"/>
  <c r="D67" i="1"/>
  <c r="D66" i="1"/>
  <c r="D10" i="14" l="1"/>
  <c r="E10" i="14" s="1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D4" i="25"/>
  <c r="D7" i="25" s="1"/>
  <c r="I40" i="1"/>
  <c r="G80" i="22"/>
  <c r="I80" i="22"/>
  <c r="B104" i="15"/>
  <c r="C105" i="15"/>
  <c r="V6" i="22"/>
  <c r="W6" i="22" s="1"/>
  <c r="T7" i="22"/>
  <c r="D35" i="1"/>
  <c r="H103" i="18"/>
  <c r="D104" i="18"/>
  <c r="G104" i="18" s="1"/>
  <c r="D81" i="22"/>
  <c r="H80" i="22"/>
  <c r="C78" i="13"/>
  <c r="G34" i="1"/>
  <c r="D12" i="14"/>
  <c r="E12" i="14" s="1"/>
  <c r="F12" i="14" s="1"/>
  <c r="G12" i="14" s="1"/>
  <c r="H12" i="14" s="1"/>
  <c r="I12" i="14" s="1"/>
  <c r="J12" i="14" s="1"/>
  <c r="K12" i="14" s="1"/>
  <c r="L12" i="14" s="1"/>
  <c r="M12" i="14" s="1"/>
  <c r="N12" i="14" s="1"/>
  <c r="O12" i="14" s="1"/>
  <c r="P12" i="14" s="1"/>
  <c r="Q12" i="14" s="1"/>
  <c r="R12" i="14" s="1"/>
  <c r="S12" i="14" s="1"/>
  <c r="T12" i="14" s="1"/>
  <c r="U12" i="14" s="1"/>
  <c r="V12" i="14" s="1"/>
  <c r="W12" i="14" s="1"/>
  <c r="X12" i="14" s="1"/>
  <c r="Y12" i="14" s="1"/>
  <c r="Z12" i="14" s="1"/>
  <c r="AA12" i="14" s="1"/>
  <c r="AB12" i="14" s="1"/>
  <c r="AC12" i="14" s="1"/>
  <c r="AD12" i="14" s="1"/>
  <c r="AE12" i="14" s="1"/>
  <c r="AF12" i="14" s="1"/>
  <c r="AG12" i="14" s="1"/>
  <c r="AG23" i="14"/>
  <c r="AF23" i="14"/>
  <c r="AE23" i="14"/>
  <c r="AD23" i="14"/>
  <c r="AC23" i="14"/>
  <c r="AB23" i="14"/>
  <c r="AA23" i="14"/>
  <c r="Z23" i="14"/>
  <c r="F44" i="13"/>
  <c r="C23" i="14" s="1"/>
  <c r="D8" i="25" l="1"/>
  <c r="R7" i="25"/>
  <c r="E4" i="25"/>
  <c r="E8" i="25" s="1"/>
  <c r="D52" i="25"/>
  <c r="C13" i="14" s="1"/>
  <c r="G81" i="22"/>
  <c r="I81" i="22"/>
  <c r="B103" i="15"/>
  <c r="C104" i="15"/>
  <c r="V7" i="22"/>
  <c r="W7" i="22" s="1"/>
  <c r="T8" i="22"/>
  <c r="V8" i="22" s="1"/>
  <c r="W8" i="22" s="1"/>
  <c r="D105" i="18"/>
  <c r="G105" i="18" s="1"/>
  <c r="H104" i="18"/>
  <c r="D82" i="22"/>
  <c r="H81" i="22"/>
  <c r="G35" i="1"/>
  <c r="D45" i="15"/>
  <c r="E45" i="15" s="1"/>
  <c r="F45" i="15" s="1"/>
  <c r="G45" i="15" s="1"/>
  <c r="H45" i="15" s="1"/>
  <c r="I45" i="15" s="1"/>
  <c r="J45" i="15" s="1"/>
  <c r="K45" i="15" s="1"/>
  <c r="L45" i="15" s="1"/>
  <c r="M45" i="15" s="1"/>
  <c r="N45" i="15" s="1"/>
  <c r="O45" i="15" s="1"/>
  <c r="P45" i="15" s="1"/>
  <c r="Q45" i="15" s="1"/>
  <c r="Q47" i="15" s="1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D47" i="18"/>
  <c r="E47" i="18"/>
  <c r="E45" i="18"/>
  <c r="F45" i="18" s="1"/>
  <c r="G45" i="18" s="1"/>
  <c r="H45" i="18" s="1"/>
  <c r="I45" i="18" s="1"/>
  <c r="J45" i="18" s="1"/>
  <c r="K45" i="18" s="1"/>
  <c r="L45" i="18" s="1"/>
  <c r="M45" i="18" s="1"/>
  <c r="N45" i="18" s="1"/>
  <c r="O45" i="18" s="1"/>
  <c r="P45" i="18" s="1"/>
  <c r="Q45" i="18" s="1"/>
  <c r="D45" i="18"/>
  <c r="C40" i="18"/>
  <c r="C42" i="18" s="1"/>
  <c r="C53" i="18" s="1"/>
  <c r="C39" i="15"/>
  <c r="C40" i="15" s="1"/>
  <c r="C41" i="15" s="1"/>
  <c r="C42" i="15" s="1"/>
  <c r="F4" i="25" l="1"/>
  <c r="F8" i="25" s="1"/>
  <c r="E52" i="25"/>
  <c r="D13" i="14" s="1"/>
  <c r="G82" i="22"/>
  <c r="I82" i="22"/>
  <c r="V2" i="22"/>
  <c r="B102" i="15"/>
  <c r="C103" i="15"/>
  <c r="C53" i="15"/>
  <c r="C74" i="1" s="1"/>
  <c r="F30" i="1"/>
  <c r="D106" i="18"/>
  <c r="G106" i="18" s="1"/>
  <c r="H105" i="18"/>
  <c r="D83" i="22"/>
  <c r="H82" i="22"/>
  <c r="D53" i="15"/>
  <c r="E53" i="15"/>
  <c r="F53" i="15"/>
  <c r="P49" i="15"/>
  <c r="D51" i="15"/>
  <c r="Q49" i="15"/>
  <c r="E51" i="15"/>
  <c r="D50" i="15"/>
  <c r="E50" i="15" s="1"/>
  <c r="F50" i="15" s="1"/>
  <c r="G50" i="15" s="1"/>
  <c r="F51" i="15"/>
  <c r="G51" i="15" s="1"/>
  <c r="H52" i="15"/>
  <c r="L49" i="15"/>
  <c r="N50" i="15"/>
  <c r="P51" i="15"/>
  <c r="M49" i="15"/>
  <c r="O50" i="15"/>
  <c r="Q51" i="15"/>
  <c r="N49" i="15"/>
  <c r="P50" i="15"/>
  <c r="D52" i="15"/>
  <c r="O49" i="15"/>
  <c r="Q50" i="15"/>
  <c r="E52" i="15"/>
  <c r="F52" i="15" s="1"/>
  <c r="G52" i="15" s="1"/>
  <c r="G53" i="15"/>
  <c r="H53" i="15"/>
  <c r="I53" i="15"/>
  <c r="J53" i="15"/>
  <c r="K53" i="15"/>
  <c r="L53" i="15"/>
  <c r="M53" i="15"/>
  <c r="N53" i="15"/>
  <c r="O53" i="15"/>
  <c r="P53" i="15"/>
  <c r="Q53" i="15"/>
  <c r="I52" i="15"/>
  <c r="D49" i="15"/>
  <c r="H51" i="15"/>
  <c r="J52" i="15"/>
  <c r="E49" i="15"/>
  <c r="I51" i="15"/>
  <c r="K52" i="15"/>
  <c r="F49" i="15"/>
  <c r="G49" i="15" s="1"/>
  <c r="H50" i="15"/>
  <c r="J51" i="15"/>
  <c r="L52" i="15"/>
  <c r="I50" i="15"/>
  <c r="K51" i="15"/>
  <c r="M52" i="15"/>
  <c r="H49" i="15"/>
  <c r="J50" i="15"/>
  <c r="L51" i="15"/>
  <c r="N52" i="15"/>
  <c r="I49" i="15"/>
  <c r="K50" i="15"/>
  <c r="M51" i="15"/>
  <c r="O52" i="15"/>
  <c r="J49" i="15"/>
  <c r="L50" i="15"/>
  <c r="N51" i="15"/>
  <c r="P52" i="15"/>
  <c r="K49" i="15"/>
  <c r="M50" i="15"/>
  <c r="O51" i="15"/>
  <c r="Q52" i="15"/>
  <c r="P46" i="15"/>
  <c r="H47" i="15"/>
  <c r="J47" i="15"/>
  <c r="L47" i="15"/>
  <c r="J46" i="15"/>
  <c r="M47" i="15"/>
  <c r="Q46" i="15"/>
  <c r="G46" i="15"/>
  <c r="I46" i="15"/>
  <c r="K46" i="15"/>
  <c r="N47" i="15"/>
  <c r="D46" i="15"/>
  <c r="L46" i="15"/>
  <c r="O47" i="15"/>
  <c r="E46" i="15"/>
  <c r="M46" i="15"/>
  <c r="P47" i="15"/>
  <c r="E47" i="15"/>
  <c r="G47" i="15"/>
  <c r="F46" i="15"/>
  <c r="K47" i="15"/>
  <c r="N46" i="15"/>
  <c r="F47" i="15"/>
  <c r="I47" i="15"/>
  <c r="H46" i="15"/>
  <c r="O46" i="15"/>
  <c r="B52" i="18"/>
  <c r="C49" i="18"/>
  <c r="D35" i="18"/>
  <c r="E35" i="18" s="1"/>
  <c r="D34" i="18"/>
  <c r="E34" i="18" s="1"/>
  <c r="E31" i="18"/>
  <c r="E30" i="18"/>
  <c r="D52" i="18" s="1"/>
  <c r="E52" i="18" s="1"/>
  <c r="E25" i="18"/>
  <c r="D24" i="18"/>
  <c r="E24" i="18" s="1"/>
  <c r="E23" i="18"/>
  <c r="E18" i="18"/>
  <c r="E17" i="18"/>
  <c r="E16" i="18"/>
  <c r="E15" i="18"/>
  <c r="C7" i="18"/>
  <c r="C9" i="18" s="1"/>
  <c r="C46" i="18" s="1"/>
  <c r="H3" i="18"/>
  <c r="AG22" i="14"/>
  <c r="AF22" i="14"/>
  <c r="AE22" i="14"/>
  <c r="AD22" i="14"/>
  <c r="AC22" i="14"/>
  <c r="AB22" i="14"/>
  <c r="AA22" i="14"/>
  <c r="Z22" i="14"/>
  <c r="N31" i="1"/>
  <c r="N12" i="1"/>
  <c r="N10" i="1"/>
  <c r="N9" i="1"/>
  <c r="N7" i="1"/>
  <c r="N6" i="1"/>
  <c r="N15" i="1"/>
  <c r="G4" i="25" l="1"/>
  <c r="G8" i="25" s="1"/>
  <c r="F52" i="25"/>
  <c r="E13" i="14" s="1"/>
  <c r="G83" i="22"/>
  <c r="I83" i="22"/>
  <c r="B101" i="15"/>
  <c r="C102" i="15"/>
  <c r="H30" i="1"/>
  <c r="I30" i="1"/>
  <c r="AG8" i="21"/>
  <c r="AG9" i="21" s="1"/>
  <c r="AG10" i="21" s="1"/>
  <c r="AG17" i="21" s="1"/>
  <c r="AG19" i="21" s="1"/>
  <c r="AG21" i="21" s="1"/>
  <c r="AG24" i="21" s="1"/>
  <c r="AG25" i="21" s="1"/>
  <c r="Q8" i="21"/>
  <c r="Q9" i="21" s="1"/>
  <c r="Q10" i="21" s="1"/>
  <c r="Q17" i="21" s="1"/>
  <c r="Q19" i="21" s="1"/>
  <c r="Q21" i="21" s="1"/>
  <c r="Q24" i="21" s="1"/>
  <c r="Q25" i="21" s="1"/>
  <c r="AF8" i="21"/>
  <c r="AF9" i="21" s="1"/>
  <c r="AF10" i="21" s="1"/>
  <c r="AF17" i="21" s="1"/>
  <c r="AF19" i="21" s="1"/>
  <c r="AF21" i="21" s="1"/>
  <c r="AF24" i="21" s="1"/>
  <c r="AF25" i="21" s="1"/>
  <c r="P8" i="21"/>
  <c r="P9" i="21" s="1"/>
  <c r="P10" i="21" s="1"/>
  <c r="P17" i="21" s="1"/>
  <c r="P19" i="21" s="1"/>
  <c r="P21" i="21" s="1"/>
  <c r="P24" i="21" s="1"/>
  <c r="P25" i="21" s="1"/>
  <c r="AE8" i="21"/>
  <c r="AE9" i="21" s="1"/>
  <c r="AE10" i="21" s="1"/>
  <c r="AE17" i="21" s="1"/>
  <c r="AE19" i="21" s="1"/>
  <c r="AE21" i="21" s="1"/>
  <c r="AE24" i="21" s="1"/>
  <c r="AE25" i="21" s="1"/>
  <c r="O8" i="21"/>
  <c r="O9" i="21" s="1"/>
  <c r="O10" i="21" s="1"/>
  <c r="O17" i="21" s="1"/>
  <c r="O19" i="21" s="1"/>
  <c r="O21" i="21" s="1"/>
  <c r="O24" i="21" s="1"/>
  <c r="O25" i="21" s="1"/>
  <c r="AD8" i="21"/>
  <c r="AD9" i="21" s="1"/>
  <c r="AD10" i="21" s="1"/>
  <c r="AD17" i="21" s="1"/>
  <c r="AD19" i="21" s="1"/>
  <c r="AD21" i="21" s="1"/>
  <c r="AD24" i="21" s="1"/>
  <c r="AD25" i="21" s="1"/>
  <c r="N8" i="21"/>
  <c r="N9" i="21" s="1"/>
  <c r="N10" i="21" s="1"/>
  <c r="N17" i="21" s="1"/>
  <c r="N19" i="21" s="1"/>
  <c r="N21" i="21" s="1"/>
  <c r="N24" i="21" s="1"/>
  <c r="N25" i="21" s="1"/>
  <c r="S8" i="21"/>
  <c r="S9" i="21" s="1"/>
  <c r="S10" i="21" s="1"/>
  <c r="S17" i="21" s="1"/>
  <c r="S19" i="21" s="1"/>
  <c r="S21" i="21" s="1"/>
  <c r="S24" i="21" s="1"/>
  <c r="S25" i="21" s="1"/>
  <c r="AC8" i="21"/>
  <c r="AC9" i="21" s="1"/>
  <c r="AC10" i="21" s="1"/>
  <c r="AC17" i="21" s="1"/>
  <c r="M8" i="21"/>
  <c r="M9" i="21" s="1"/>
  <c r="M10" i="21" s="1"/>
  <c r="M17" i="21" s="1"/>
  <c r="M19" i="21" s="1"/>
  <c r="M21" i="21" s="1"/>
  <c r="M24" i="21" s="1"/>
  <c r="M25" i="21" s="1"/>
  <c r="AB8" i="21"/>
  <c r="AB9" i="21" s="1"/>
  <c r="AB10" i="21" s="1"/>
  <c r="AB17" i="21" s="1"/>
  <c r="AB19" i="21" s="1"/>
  <c r="AB21" i="21" s="1"/>
  <c r="AB24" i="21" s="1"/>
  <c r="AB25" i="21" s="1"/>
  <c r="L8" i="21"/>
  <c r="L9" i="21" s="1"/>
  <c r="L10" i="21" s="1"/>
  <c r="L17" i="21" s="1"/>
  <c r="L19" i="21" s="1"/>
  <c r="L21" i="21" s="1"/>
  <c r="L24" i="21" s="1"/>
  <c r="L25" i="21" s="1"/>
  <c r="AA8" i="21"/>
  <c r="AA9" i="21" s="1"/>
  <c r="AA10" i="21" s="1"/>
  <c r="AA17" i="21" s="1"/>
  <c r="AA19" i="21" s="1"/>
  <c r="AA21" i="21" s="1"/>
  <c r="AA24" i="21" s="1"/>
  <c r="AA25" i="21" s="1"/>
  <c r="K8" i="21"/>
  <c r="K9" i="21" s="1"/>
  <c r="K10" i="21" s="1"/>
  <c r="K17" i="21" s="1"/>
  <c r="K19" i="21" s="1"/>
  <c r="K21" i="21" s="1"/>
  <c r="K24" i="21" s="1"/>
  <c r="K25" i="21" s="1"/>
  <c r="Z8" i="21"/>
  <c r="Z9" i="21" s="1"/>
  <c r="Z10" i="21" s="1"/>
  <c r="Z17" i="21" s="1"/>
  <c r="Z19" i="21" s="1"/>
  <c r="Z21" i="21" s="1"/>
  <c r="Z24" i="21" s="1"/>
  <c r="Z25" i="21" s="1"/>
  <c r="J8" i="21"/>
  <c r="J9" i="21" s="1"/>
  <c r="J10" i="21" s="1"/>
  <c r="J17" i="21" s="1"/>
  <c r="J19" i="21" s="1"/>
  <c r="J21" i="21" s="1"/>
  <c r="J24" i="21" s="1"/>
  <c r="J25" i="21" s="1"/>
  <c r="Y8" i="21"/>
  <c r="Y9" i="21" s="1"/>
  <c r="Y10" i="21" s="1"/>
  <c r="Y17" i="21" s="1"/>
  <c r="Y19" i="21" s="1"/>
  <c r="Y21" i="21" s="1"/>
  <c r="Y24" i="21" s="1"/>
  <c r="Y25" i="21" s="1"/>
  <c r="I8" i="21"/>
  <c r="I9" i="21" s="1"/>
  <c r="I10" i="21" s="1"/>
  <c r="I17" i="21" s="1"/>
  <c r="G8" i="21"/>
  <c r="G9" i="21" s="1"/>
  <c r="G10" i="21" s="1"/>
  <c r="G17" i="21" s="1"/>
  <c r="G19" i="21" s="1"/>
  <c r="G21" i="21" s="1"/>
  <c r="G24" i="21" s="1"/>
  <c r="G25" i="21" s="1"/>
  <c r="X8" i="21"/>
  <c r="X9" i="21" s="1"/>
  <c r="X10" i="21" s="1"/>
  <c r="X17" i="21" s="1"/>
  <c r="X19" i="21" s="1"/>
  <c r="X21" i="21" s="1"/>
  <c r="X24" i="21" s="1"/>
  <c r="X25" i="21" s="1"/>
  <c r="H8" i="21"/>
  <c r="H9" i="21" s="1"/>
  <c r="H10" i="21" s="1"/>
  <c r="H17" i="21" s="1"/>
  <c r="H19" i="21" s="1"/>
  <c r="H21" i="21" s="1"/>
  <c r="H24" i="21" s="1"/>
  <c r="H25" i="21" s="1"/>
  <c r="W8" i="21"/>
  <c r="W9" i="21" s="1"/>
  <c r="W10" i="21" s="1"/>
  <c r="W17" i="21" s="1"/>
  <c r="W19" i="21" s="1"/>
  <c r="W21" i="21" s="1"/>
  <c r="W24" i="21" s="1"/>
  <c r="W25" i="21" s="1"/>
  <c r="R8" i="21"/>
  <c r="R9" i="21" s="1"/>
  <c r="R10" i="21" s="1"/>
  <c r="R17" i="21" s="1"/>
  <c r="R19" i="21" s="1"/>
  <c r="R21" i="21" s="1"/>
  <c r="R24" i="21" s="1"/>
  <c r="R25" i="21" s="1"/>
  <c r="V8" i="21"/>
  <c r="V9" i="21" s="1"/>
  <c r="V10" i="21" s="1"/>
  <c r="V17" i="21" s="1"/>
  <c r="V19" i="21" s="1"/>
  <c r="V21" i="21" s="1"/>
  <c r="V24" i="21" s="1"/>
  <c r="V25" i="21" s="1"/>
  <c r="F8" i="21"/>
  <c r="F9" i="21" s="1"/>
  <c r="F10" i="21" s="1"/>
  <c r="F17" i="21" s="1"/>
  <c r="F19" i="21" s="1"/>
  <c r="F21" i="21" s="1"/>
  <c r="F24" i="21" s="1"/>
  <c r="F25" i="21" s="1"/>
  <c r="U8" i="21"/>
  <c r="U9" i="21" s="1"/>
  <c r="U10" i="21" s="1"/>
  <c r="U17" i="21" s="1"/>
  <c r="U19" i="21" s="1"/>
  <c r="U21" i="21" s="1"/>
  <c r="U24" i="21" s="1"/>
  <c r="U25" i="21" s="1"/>
  <c r="E8" i="21"/>
  <c r="E9" i="21" s="1"/>
  <c r="E10" i="21" s="1"/>
  <c r="E17" i="21" s="1"/>
  <c r="E19" i="21" s="1"/>
  <c r="E21" i="21" s="1"/>
  <c r="E24" i="21" s="1"/>
  <c r="E25" i="21" s="1"/>
  <c r="T8" i="21"/>
  <c r="T9" i="21" s="1"/>
  <c r="T10" i="21" s="1"/>
  <c r="T17" i="21" s="1"/>
  <c r="T19" i="21" s="1"/>
  <c r="T21" i="21" s="1"/>
  <c r="T24" i="21" s="1"/>
  <c r="T25" i="21" s="1"/>
  <c r="D8" i="21"/>
  <c r="D107" i="18"/>
  <c r="G107" i="18" s="1"/>
  <c r="H106" i="18"/>
  <c r="D84" i="22"/>
  <c r="H83" i="22"/>
  <c r="E19" i="18"/>
  <c r="C50" i="18" s="1"/>
  <c r="E32" i="18"/>
  <c r="E26" i="18"/>
  <c r="C51" i="18"/>
  <c r="E36" i="18"/>
  <c r="C52" i="18" s="1"/>
  <c r="D73" i="1" s="1"/>
  <c r="C8" i="18"/>
  <c r="C47" i="18" s="1"/>
  <c r="C22" i="1"/>
  <c r="H3" i="15"/>
  <c r="H4" i="25" l="1"/>
  <c r="H8" i="25" s="1"/>
  <c r="G52" i="25"/>
  <c r="F13" i="14" s="1"/>
  <c r="G84" i="22"/>
  <c r="I84" i="22"/>
  <c r="B100" i="15"/>
  <c r="C101" i="15"/>
  <c r="I19" i="21"/>
  <c r="I21" i="21" s="1"/>
  <c r="I24" i="21" s="1"/>
  <c r="I25" i="21" s="1"/>
  <c r="D9" i="21"/>
  <c r="D10" i="21" s="1"/>
  <c r="D30" i="21"/>
  <c r="AC19" i="21"/>
  <c r="AC21" i="21" s="1"/>
  <c r="AC24" i="21" s="1"/>
  <c r="AC25" i="21" s="1"/>
  <c r="H107" i="18"/>
  <c r="D108" i="18"/>
  <c r="G108" i="18" s="1"/>
  <c r="D85" i="22"/>
  <c r="H84" i="22"/>
  <c r="N11" i="1"/>
  <c r="D71" i="1"/>
  <c r="D75" i="1" s="1"/>
  <c r="D50" i="18"/>
  <c r="E50" i="18" s="1"/>
  <c r="D48" i="18"/>
  <c r="C48" i="18"/>
  <c r="E31" i="15"/>
  <c r="B52" i="15"/>
  <c r="D34" i="15"/>
  <c r="E34" i="15" s="1"/>
  <c r="D35" i="15"/>
  <c r="E35" i="15" s="1"/>
  <c r="E30" i="15"/>
  <c r="E25" i="15"/>
  <c r="E23" i="15"/>
  <c r="D24" i="15"/>
  <c r="E24" i="15" s="1"/>
  <c r="E18" i="15"/>
  <c r="E17" i="15"/>
  <c r="E16" i="15"/>
  <c r="E15" i="15"/>
  <c r="I4" i="25" l="1"/>
  <c r="I8" i="25" s="1"/>
  <c r="H52" i="25"/>
  <c r="G13" i="14" s="1"/>
  <c r="G85" i="22"/>
  <c r="I85" i="22"/>
  <c r="B99" i="15"/>
  <c r="C100" i="15"/>
  <c r="D12" i="21"/>
  <c r="E12" i="21" s="1"/>
  <c r="F12" i="21" s="1"/>
  <c r="G12" i="21" s="1"/>
  <c r="H12" i="21" s="1"/>
  <c r="I12" i="21" s="1"/>
  <c r="J12" i="21" s="1"/>
  <c r="K12" i="21" s="1"/>
  <c r="L12" i="21" s="1"/>
  <c r="M12" i="21" s="1"/>
  <c r="N12" i="21" s="1"/>
  <c r="O12" i="21" s="1"/>
  <c r="P12" i="21" s="1"/>
  <c r="Q12" i="21" s="1"/>
  <c r="R12" i="21" s="1"/>
  <c r="S12" i="21" s="1"/>
  <c r="T12" i="21" s="1"/>
  <c r="U12" i="21" s="1"/>
  <c r="V12" i="21" s="1"/>
  <c r="W12" i="21" s="1"/>
  <c r="X12" i="21" s="1"/>
  <c r="Y12" i="21" s="1"/>
  <c r="Z12" i="21" s="1"/>
  <c r="AA12" i="21" s="1"/>
  <c r="AB12" i="21" s="1"/>
  <c r="AC12" i="21" s="1"/>
  <c r="AD12" i="21" s="1"/>
  <c r="AE12" i="21" s="1"/>
  <c r="AF12" i="21" s="1"/>
  <c r="AG12" i="21" s="1"/>
  <c r="D17" i="21"/>
  <c r="D19" i="21" s="1"/>
  <c r="D21" i="21" s="1"/>
  <c r="D24" i="21" s="1"/>
  <c r="D25" i="21" s="1"/>
  <c r="D109" i="18"/>
  <c r="G109" i="18" s="1"/>
  <c r="H108" i="18"/>
  <c r="D86" i="22"/>
  <c r="H85" i="22"/>
  <c r="C54" i="18"/>
  <c r="C56" i="18" s="1"/>
  <c r="D54" i="18"/>
  <c r="D56" i="18" s="1"/>
  <c r="E48" i="18"/>
  <c r="E32" i="15"/>
  <c r="F35" i="1" s="1"/>
  <c r="C51" i="15"/>
  <c r="C72" i="1" s="1"/>
  <c r="E36" i="15"/>
  <c r="C52" i="15" s="1"/>
  <c r="C73" i="1" s="1"/>
  <c r="E26" i="15"/>
  <c r="F34" i="1" s="1"/>
  <c r="E19" i="15"/>
  <c r="W64" i="15" s="1"/>
  <c r="J4" i="25" l="1"/>
  <c r="J8" i="25" s="1"/>
  <c r="I52" i="25"/>
  <c r="H13" i="14" s="1"/>
  <c r="W65" i="15"/>
  <c r="X64" i="15"/>
  <c r="Y64" i="15" s="1"/>
  <c r="G86" i="22"/>
  <c r="I86" i="22"/>
  <c r="B98" i="15"/>
  <c r="C99" i="15"/>
  <c r="E34" i="1"/>
  <c r="H34" i="1"/>
  <c r="I34" i="1" s="1"/>
  <c r="E35" i="1"/>
  <c r="H35" i="1"/>
  <c r="I35" i="1" s="1"/>
  <c r="C50" i="15"/>
  <c r="C71" i="1" s="1"/>
  <c r="F33" i="1"/>
  <c r="C28" i="21"/>
  <c r="C27" i="21"/>
  <c r="D110" i="18"/>
  <c r="G110" i="18" s="1"/>
  <c r="H109" i="18"/>
  <c r="D87" i="22"/>
  <c r="H86" i="22"/>
  <c r="E54" i="18"/>
  <c r="E56" i="18" s="1"/>
  <c r="C58" i="18" s="1"/>
  <c r="F48" i="18"/>
  <c r="K4" i="25" l="1"/>
  <c r="K8" i="25" s="1"/>
  <c r="J52" i="25"/>
  <c r="I13" i="14" s="1"/>
  <c r="X65" i="15"/>
  <c r="Y65" i="15" s="1"/>
  <c r="W66" i="15"/>
  <c r="G87" i="22"/>
  <c r="I87" i="22"/>
  <c r="B97" i="15"/>
  <c r="C98" i="15"/>
  <c r="F36" i="1"/>
  <c r="E33" i="1"/>
  <c r="H33" i="1"/>
  <c r="I33" i="1" s="1"/>
  <c r="D111" i="18"/>
  <c r="G111" i="18" s="1"/>
  <c r="H110" i="18"/>
  <c r="D88" i="22"/>
  <c r="H87" i="22"/>
  <c r="F54" i="18"/>
  <c r="F56" i="18" s="1"/>
  <c r="G48" i="18"/>
  <c r="L4" i="25" l="1"/>
  <c r="L8" i="25" s="1"/>
  <c r="K52" i="25"/>
  <c r="J13" i="14" s="1"/>
  <c r="W67" i="15"/>
  <c r="X66" i="15"/>
  <c r="Y66" i="15" s="1"/>
  <c r="G88" i="22"/>
  <c r="I88" i="22"/>
  <c r="B96" i="15"/>
  <c r="C97" i="15"/>
  <c r="H36" i="1"/>
  <c r="E36" i="1"/>
  <c r="H111" i="18"/>
  <c r="D112" i="18"/>
  <c r="G112" i="18" s="1"/>
  <c r="D89" i="22"/>
  <c r="H88" i="22"/>
  <c r="G54" i="18"/>
  <c r="G56" i="18" s="1"/>
  <c r="H48" i="18"/>
  <c r="AG21" i="14"/>
  <c r="AG24" i="14" s="1"/>
  <c r="AF21" i="14"/>
  <c r="AF24" i="14" s="1"/>
  <c r="AE21" i="14"/>
  <c r="AE24" i="14" s="1"/>
  <c r="AD21" i="14"/>
  <c r="AD24" i="14" s="1"/>
  <c r="AC21" i="14"/>
  <c r="AC24" i="14" s="1"/>
  <c r="AB21" i="14"/>
  <c r="AB24" i="14" s="1"/>
  <c r="AA21" i="14"/>
  <c r="AA24" i="14" s="1"/>
  <c r="Z21" i="14"/>
  <c r="Z24" i="14" s="1"/>
  <c r="C21" i="14"/>
  <c r="B21" i="14"/>
  <c r="C32" i="13"/>
  <c r="M4" i="25" l="1"/>
  <c r="M8" i="25" s="1"/>
  <c r="L52" i="25"/>
  <c r="K13" i="14" s="1"/>
  <c r="X67" i="15"/>
  <c r="Y67" i="15" s="1"/>
  <c r="W68" i="15"/>
  <c r="X68" i="15" s="1"/>
  <c r="Y68" i="15" s="1"/>
  <c r="G89" i="22"/>
  <c r="I89" i="22"/>
  <c r="B95" i="15"/>
  <c r="C96" i="15"/>
  <c r="I36" i="1"/>
  <c r="D113" i="18"/>
  <c r="G113" i="18" s="1"/>
  <c r="H112" i="18"/>
  <c r="D90" i="22"/>
  <c r="H89" i="22"/>
  <c r="H54" i="18"/>
  <c r="H56" i="18" s="1"/>
  <c r="I48" i="18"/>
  <c r="A70" i="14"/>
  <c r="D38" i="11"/>
  <c r="J5" i="1"/>
  <c r="C3" i="16"/>
  <c r="C4" i="16" s="1"/>
  <c r="C5" i="16" s="1"/>
  <c r="AG108" i="14"/>
  <c r="AF108" i="14"/>
  <c r="AE108" i="14"/>
  <c r="AD108" i="14"/>
  <c r="AC108" i="14"/>
  <c r="AB108" i="14"/>
  <c r="AA108" i="14"/>
  <c r="Z108" i="14"/>
  <c r="Y108" i="14"/>
  <c r="AG86" i="14"/>
  <c r="AF86" i="14"/>
  <c r="AE86" i="14"/>
  <c r="AD86" i="14"/>
  <c r="AC86" i="14"/>
  <c r="AB86" i="14"/>
  <c r="AA86" i="14"/>
  <c r="Z86" i="14"/>
  <c r="Y86" i="14"/>
  <c r="AG71" i="14"/>
  <c r="AF71" i="14"/>
  <c r="AE71" i="14"/>
  <c r="AD71" i="14"/>
  <c r="AC71" i="14"/>
  <c r="AB71" i="14"/>
  <c r="AA71" i="14"/>
  <c r="Z71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AB168" i="13"/>
  <c r="AA168" i="13"/>
  <c r="Z168" i="13"/>
  <c r="Y168" i="13"/>
  <c r="X168" i="13"/>
  <c r="W168" i="13"/>
  <c r="V168" i="13"/>
  <c r="U168" i="13"/>
  <c r="N4" i="25" l="1"/>
  <c r="N8" i="25" s="1"/>
  <c r="M52" i="25"/>
  <c r="L13" i="14" s="1"/>
  <c r="G90" i="22"/>
  <c r="I90" i="22"/>
  <c r="C95" i="15"/>
  <c r="B94" i="15"/>
  <c r="D114" i="18"/>
  <c r="G114" i="18" s="1"/>
  <c r="H113" i="18"/>
  <c r="D91" i="22"/>
  <c r="H90" i="22"/>
  <c r="I54" i="18"/>
  <c r="I56" i="18" s="1"/>
  <c r="A35" i="14"/>
  <c r="A45" i="14" s="1"/>
  <c r="N32" i="1"/>
  <c r="J48" i="18"/>
  <c r="AG65" i="14"/>
  <c r="AF65" i="14"/>
  <c r="AE65" i="14"/>
  <c r="AD65" i="14"/>
  <c r="AC65" i="14"/>
  <c r="AB65" i="14"/>
  <c r="AA65" i="14"/>
  <c r="Z65" i="14"/>
  <c r="Y65" i="14"/>
  <c r="AG58" i="14"/>
  <c r="AF58" i="14"/>
  <c r="AE58" i="14"/>
  <c r="AD58" i="14"/>
  <c r="AC58" i="14"/>
  <c r="AB58" i="14"/>
  <c r="AA58" i="14"/>
  <c r="Z58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AG28" i="14"/>
  <c r="AF28" i="14"/>
  <c r="AE28" i="14"/>
  <c r="AD28" i="14"/>
  <c r="AC28" i="14"/>
  <c r="AB28" i="14"/>
  <c r="AA28" i="14"/>
  <c r="Z28" i="14"/>
  <c r="Y28" i="14"/>
  <c r="G59" i="8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F59" i="8"/>
  <c r="E59" i="8"/>
  <c r="B20" i="14"/>
  <c r="B19" i="14"/>
  <c r="B18" i="14"/>
  <c r="B17" i="14"/>
  <c r="C49" i="15"/>
  <c r="C70" i="1" s="1"/>
  <c r="C7" i="15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D3" i="14"/>
  <c r="O4" i="25" l="1"/>
  <c r="O8" i="25" s="1"/>
  <c r="N52" i="25"/>
  <c r="M13" i="14" s="1"/>
  <c r="G91" i="22"/>
  <c r="I91" i="22"/>
  <c r="C94" i="15"/>
  <c r="B93" i="15"/>
  <c r="C9" i="15"/>
  <c r="C46" i="15" s="1"/>
  <c r="G8" i="15"/>
  <c r="F27" i="1"/>
  <c r="D115" i="18"/>
  <c r="G115" i="18" s="1"/>
  <c r="H114" i="18"/>
  <c r="D92" i="22"/>
  <c r="H91" i="22"/>
  <c r="M10" i="15"/>
  <c r="J54" i="18"/>
  <c r="J56" i="18" s="1"/>
  <c r="K48" i="18"/>
  <c r="E3" i="14"/>
  <c r="AB41" i="14"/>
  <c r="AB64" i="14" s="1"/>
  <c r="AB81" i="14" s="1"/>
  <c r="AB57" i="14"/>
  <c r="AB59" i="14" s="1"/>
  <c r="AB83" i="14" s="1"/>
  <c r="U41" i="14"/>
  <c r="U64" i="14" s="1"/>
  <c r="U81" i="14" s="1"/>
  <c r="U57" i="14"/>
  <c r="V41" i="14"/>
  <c r="V64" i="14" s="1"/>
  <c r="V81" i="14" s="1"/>
  <c r="V57" i="14"/>
  <c r="W41" i="14"/>
  <c r="W64" i="14" s="1"/>
  <c r="W81" i="14" s="1"/>
  <c r="W57" i="14"/>
  <c r="Y41" i="14"/>
  <c r="Y64" i="14" s="1"/>
  <c r="Y81" i="14" s="1"/>
  <c r="Y57" i="14"/>
  <c r="AD41" i="14"/>
  <c r="AD64" i="14" s="1"/>
  <c r="AD81" i="14" s="1"/>
  <c r="AD57" i="14"/>
  <c r="AD59" i="14" s="1"/>
  <c r="AD83" i="14" s="1"/>
  <c r="AE41" i="14"/>
  <c r="AE64" i="14" s="1"/>
  <c r="AE81" i="14" s="1"/>
  <c r="AE57" i="14"/>
  <c r="AE59" i="14" s="1"/>
  <c r="AE83" i="14" s="1"/>
  <c r="AF41" i="14"/>
  <c r="AF64" i="14" s="1"/>
  <c r="AF81" i="14" s="1"/>
  <c r="AF57" i="14"/>
  <c r="AF59" i="14" s="1"/>
  <c r="AF83" i="14" s="1"/>
  <c r="X41" i="14"/>
  <c r="X64" i="14" s="1"/>
  <c r="X81" i="14" s="1"/>
  <c r="X57" i="14"/>
  <c r="Z41" i="14"/>
  <c r="Z64" i="14" s="1"/>
  <c r="Z81" i="14" s="1"/>
  <c r="Z57" i="14"/>
  <c r="Z59" i="14" s="1"/>
  <c r="Z83" i="14" s="1"/>
  <c r="AA41" i="14"/>
  <c r="AA64" i="14" s="1"/>
  <c r="AA81" i="14" s="1"/>
  <c r="AA57" i="14"/>
  <c r="AA59" i="14" s="1"/>
  <c r="AA83" i="14" s="1"/>
  <c r="S41" i="14"/>
  <c r="S64" i="14" s="1"/>
  <c r="S81" i="14" s="1"/>
  <c r="S57" i="14"/>
  <c r="AC41" i="14"/>
  <c r="AC64" i="14" s="1"/>
  <c r="AC81" i="14" s="1"/>
  <c r="AC57" i="14"/>
  <c r="AC59" i="14" s="1"/>
  <c r="AC83" i="14" s="1"/>
  <c r="AG41" i="14"/>
  <c r="AG64" i="14" s="1"/>
  <c r="AG81" i="14" s="1"/>
  <c r="AG57" i="14"/>
  <c r="AG59" i="14" s="1"/>
  <c r="AG83" i="14" s="1"/>
  <c r="R41" i="14"/>
  <c r="R64" i="14" s="1"/>
  <c r="R81" i="14" s="1"/>
  <c r="R57" i="14"/>
  <c r="T41" i="14"/>
  <c r="T64" i="14" s="1"/>
  <c r="T81" i="14" s="1"/>
  <c r="T57" i="14"/>
  <c r="C8" i="15"/>
  <c r="P4" i="25" l="1"/>
  <c r="P8" i="25" s="1"/>
  <c r="O52" i="25"/>
  <c r="N13" i="14" s="1"/>
  <c r="G92" i="22"/>
  <c r="I92" i="22"/>
  <c r="C93" i="15"/>
  <c r="B92" i="15"/>
  <c r="C67" i="1"/>
  <c r="C47" i="15"/>
  <c r="F28" i="1"/>
  <c r="H27" i="1"/>
  <c r="I27" i="1" s="1"/>
  <c r="M8" i="15"/>
  <c r="K8" i="15"/>
  <c r="G9" i="15"/>
  <c r="C66" i="1"/>
  <c r="H115" i="18"/>
  <c r="D116" i="18"/>
  <c r="G116" i="18" s="1"/>
  <c r="D93" i="22"/>
  <c r="H92" i="22"/>
  <c r="K54" i="18"/>
  <c r="K56" i="18" s="1"/>
  <c r="L48" i="18"/>
  <c r="F3" i="14"/>
  <c r="Q4" i="25" l="1"/>
  <c r="Q8" i="25" s="1"/>
  <c r="P52" i="25"/>
  <c r="O13" i="14" s="1"/>
  <c r="C68" i="1"/>
  <c r="C75" i="1" s="1"/>
  <c r="G93" i="22"/>
  <c r="I93" i="22"/>
  <c r="C92" i="15"/>
  <c r="B91" i="15"/>
  <c r="H28" i="1"/>
  <c r="E28" i="1"/>
  <c r="K9" i="15"/>
  <c r="M9" i="15"/>
  <c r="D117" i="18"/>
  <c r="G117" i="18" s="1"/>
  <c r="H116" i="18"/>
  <c r="D94" i="22"/>
  <c r="H93" i="22"/>
  <c r="L54" i="18"/>
  <c r="L56" i="18" s="1"/>
  <c r="M48" i="18"/>
  <c r="G3" i="14"/>
  <c r="E48" i="15"/>
  <c r="E54" i="15" s="1"/>
  <c r="R4" i="25" l="1"/>
  <c r="R8" i="25" s="1"/>
  <c r="Q52" i="25"/>
  <c r="P13" i="14" s="1"/>
  <c r="G94" i="22"/>
  <c r="I94" i="22"/>
  <c r="C91" i="15"/>
  <c r="B90" i="15"/>
  <c r="N9" i="15"/>
  <c r="P9" i="15" s="1"/>
  <c r="P10" i="15" s="1"/>
  <c r="M11" i="15"/>
  <c r="M12" i="15" s="1"/>
  <c r="M13" i="15" s="1"/>
  <c r="H31" i="1"/>
  <c r="H37" i="1" s="1"/>
  <c r="H38" i="1" s="1"/>
  <c r="I28" i="1"/>
  <c r="I31" i="1" s="1"/>
  <c r="I37" i="1" s="1"/>
  <c r="I38" i="1" s="1"/>
  <c r="D118" i="18"/>
  <c r="G118" i="18" s="1"/>
  <c r="H117" i="18"/>
  <c r="D95" i="22"/>
  <c r="H94" i="22"/>
  <c r="M54" i="18"/>
  <c r="M56" i="18" s="1"/>
  <c r="N48" i="18"/>
  <c r="H3" i="14"/>
  <c r="E56" i="15"/>
  <c r="F48" i="15"/>
  <c r="F54" i="15" s="1"/>
  <c r="S4" i="25" l="1"/>
  <c r="T4" i="25" s="1"/>
  <c r="U4" i="25" s="1"/>
  <c r="V4" i="25" s="1"/>
  <c r="W4" i="25" s="1"/>
  <c r="X4" i="25" s="1"/>
  <c r="Y4" i="25" s="1"/>
  <c r="R52" i="25"/>
  <c r="Q13" i="14" s="1"/>
  <c r="I41" i="1"/>
  <c r="G95" i="22"/>
  <c r="I95" i="22"/>
  <c r="C90" i="15"/>
  <c r="B89" i="15"/>
  <c r="D119" i="18"/>
  <c r="G119" i="18" s="1"/>
  <c r="H118" i="18"/>
  <c r="D96" i="22"/>
  <c r="H95" i="22"/>
  <c r="N54" i="18"/>
  <c r="N56" i="18" s="1"/>
  <c r="O48" i="18"/>
  <c r="I3" i="14"/>
  <c r="F56" i="15"/>
  <c r="G48" i="15"/>
  <c r="G54" i="15" s="1"/>
  <c r="B88" i="15" l="1"/>
  <c r="C89" i="15"/>
  <c r="H119" i="18"/>
  <c r="D120" i="18"/>
  <c r="G120" i="18" s="1"/>
  <c r="G96" i="22"/>
  <c r="I96" i="22" s="1"/>
  <c r="D97" i="22"/>
  <c r="H96" i="22"/>
  <c r="O54" i="18"/>
  <c r="O56" i="18" s="1"/>
  <c r="P48" i="18"/>
  <c r="Q48" i="18"/>
  <c r="J3" i="14"/>
  <c r="G56" i="15"/>
  <c r="H48" i="15"/>
  <c r="H54" i="15" s="1"/>
  <c r="G97" i="22" l="1"/>
  <c r="I97" i="22"/>
  <c r="B87" i="15"/>
  <c r="C88" i="15"/>
  <c r="D121" i="18"/>
  <c r="G121" i="18" s="1"/>
  <c r="H120" i="18"/>
  <c r="D98" i="22"/>
  <c r="H97" i="22"/>
  <c r="Q54" i="18"/>
  <c r="Q56" i="18" s="1"/>
  <c r="P54" i="18"/>
  <c r="P56" i="18" s="1"/>
  <c r="K3" i="14"/>
  <c r="H56" i="15"/>
  <c r="I48" i="15"/>
  <c r="I54" i="15" s="1"/>
  <c r="G98" i="22" l="1"/>
  <c r="I98" i="22"/>
  <c r="B86" i="15"/>
  <c r="C87" i="15"/>
  <c r="D122" i="18"/>
  <c r="G122" i="18" s="1"/>
  <c r="H121" i="18"/>
  <c r="D99" i="22"/>
  <c r="H98" i="22"/>
  <c r="L3" i="14"/>
  <c r="I56" i="15"/>
  <c r="J48" i="15"/>
  <c r="J54" i="15" s="1"/>
  <c r="G99" i="22" l="1"/>
  <c r="I99" i="22"/>
  <c r="B85" i="15"/>
  <c r="C86" i="15"/>
  <c r="D123" i="18"/>
  <c r="G123" i="18" s="1"/>
  <c r="H122" i="18"/>
  <c r="D100" i="22"/>
  <c r="H99" i="22"/>
  <c r="M3" i="14"/>
  <c r="J56" i="15"/>
  <c r="B84" i="15" l="1"/>
  <c r="C85" i="15"/>
  <c r="H123" i="18"/>
  <c r="D124" i="18"/>
  <c r="G124" i="18" s="1"/>
  <c r="G100" i="22"/>
  <c r="I100" i="22" s="1"/>
  <c r="D101" i="22"/>
  <c r="H100" i="22"/>
  <c r="N3" i="14"/>
  <c r="G101" i="22" l="1"/>
  <c r="I101" i="22"/>
  <c r="B83" i="15"/>
  <c r="C84" i="15"/>
  <c r="D125" i="18"/>
  <c r="G125" i="18" s="1"/>
  <c r="H124" i="18"/>
  <c r="D102" i="22"/>
  <c r="H101" i="22"/>
  <c r="O3" i="14"/>
  <c r="G102" i="22" l="1"/>
  <c r="I102" i="22"/>
  <c r="B82" i="15"/>
  <c r="C83" i="15"/>
  <c r="D126" i="18"/>
  <c r="H125" i="18"/>
  <c r="D103" i="22"/>
  <c r="H102" i="22"/>
  <c r="P3" i="14"/>
  <c r="L48" i="15"/>
  <c r="L54" i="15" s="1"/>
  <c r="K48" i="15"/>
  <c r="K54" i="15" s="1"/>
  <c r="G103" i="22" l="1"/>
  <c r="I103" i="22"/>
  <c r="B81" i="15"/>
  <c r="C82" i="15"/>
  <c r="G126" i="18"/>
  <c r="D104" i="22"/>
  <c r="H103" i="22"/>
  <c r="Q3" i="14"/>
  <c r="K56" i="15"/>
  <c r="M48" i="15"/>
  <c r="M54" i="15" s="1"/>
  <c r="G104" i="22" l="1"/>
  <c r="I104" i="22"/>
  <c r="B80" i="15"/>
  <c r="C81" i="15"/>
  <c r="D127" i="18"/>
  <c r="H126" i="18"/>
  <c r="D105" i="22"/>
  <c r="H104" i="22"/>
  <c r="R3" i="14"/>
  <c r="L56" i="15"/>
  <c r="G105" i="22" l="1"/>
  <c r="I105" i="22"/>
  <c r="B79" i="15"/>
  <c r="C80" i="15"/>
  <c r="G127" i="18"/>
  <c r="D106" i="22"/>
  <c r="H105" i="22"/>
  <c r="N48" i="15"/>
  <c r="N54" i="15" s="1"/>
  <c r="N56" i="15" s="1"/>
  <c r="R70" i="14"/>
  <c r="R11" i="14"/>
  <c r="R14" i="14" s="1"/>
  <c r="S3" i="14"/>
  <c r="M56" i="15"/>
  <c r="G106" i="22" l="1"/>
  <c r="I106" i="22"/>
  <c r="B78" i="15"/>
  <c r="C79" i="15"/>
  <c r="H127" i="18"/>
  <c r="D128" i="18"/>
  <c r="D107" i="22"/>
  <c r="H106" i="22"/>
  <c r="O48" i="15"/>
  <c r="S70" i="14"/>
  <c r="T3" i="14"/>
  <c r="S11" i="14"/>
  <c r="S14" i="14" s="1"/>
  <c r="G107" i="22" l="1"/>
  <c r="I107" i="22"/>
  <c r="C78" i="15"/>
  <c r="B77" i="15"/>
  <c r="G128" i="18"/>
  <c r="D108" i="22"/>
  <c r="H107" i="22"/>
  <c r="O54" i="15"/>
  <c r="O56" i="15" s="1"/>
  <c r="Q48" i="15"/>
  <c r="P48" i="15"/>
  <c r="T70" i="14"/>
  <c r="T11" i="14"/>
  <c r="T14" i="14" s="1"/>
  <c r="U3" i="14"/>
  <c r="G108" i="22" l="1"/>
  <c r="I108" i="22"/>
  <c r="C77" i="15"/>
  <c r="B76" i="15"/>
  <c r="D129" i="18"/>
  <c r="H128" i="18"/>
  <c r="D109" i="22"/>
  <c r="H108" i="22"/>
  <c r="Q54" i="15"/>
  <c r="Q56" i="15" s="1"/>
  <c r="P54" i="15"/>
  <c r="P56" i="15" s="1"/>
  <c r="U70" i="14"/>
  <c r="U11" i="14"/>
  <c r="U14" i="14" s="1"/>
  <c r="V3" i="14"/>
  <c r="G109" i="22" l="1"/>
  <c r="I109" i="22" s="1"/>
  <c r="C76" i="15"/>
  <c r="B75" i="15"/>
  <c r="G129" i="18"/>
  <c r="D110" i="22"/>
  <c r="H109" i="22"/>
  <c r="V70" i="14"/>
  <c r="V11" i="14"/>
  <c r="V14" i="14" s="1"/>
  <c r="W3" i="14"/>
  <c r="G110" i="22" l="1"/>
  <c r="I110" i="22"/>
  <c r="C75" i="15"/>
  <c r="B74" i="15"/>
  <c r="D130" i="18"/>
  <c r="G130" i="18" s="1"/>
  <c r="H129" i="18"/>
  <c r="D111" i="22"/>
  <c r="H110" i="22"/>
  <c r="W70" i="14"/>
  <c r="W90" i="14"/>
  <c r="W99" i="14" s="1"/>
  <c r="X3" i="14"/>
  <c r="W103" i="14"/>
  <c r="W105" i="14"/>
  <c r="W102" i="14"/>
  <c r="W11" i="14"/>
  <c r="W14" i="14" s="1"/>
  <c r="G111" i="22" l="1"/>
  <c r="I111" i="22"/>
  <c r="C74" i="15"/>
  <c r="B73" i="15"/>
  <c r="D131" i="18"/>
  <c r="G131" i="18" s="1"/>
  <c r="H130" i="18"/>
  <c r="D112" i="22"/>
  <c r="H111" i="22"/>
  <c r="X70" i="14"/>
  <c r="X11" i="14"/>
  <c r="X14" i="14" s="1"/>
  <c r="X90" i="14"/>
  <c r="X99" i="14" s="1"/>
  <c r="X105" i="14"/>
  <c r="Y3" i="14"/>
  <c r="X102" i="14"/>
  <c r="X103" i="14"/>
  <c r="G112" i="22" l="1"/>
  <c r="I112" i="22"/>
  <c r="B72" i="15"/>
  <c r="C73" i="15"/>
  <c r="H131" i="18"/>
  <c r="D132" i="18"/>
  <c r="G132" i="18" s="1"/>
  <c r="D113" i="22"/>
  <c r="H112" i="22"/>
  <c r="Y70" i="14"/>
  <c r="Y102" i="14"/>
  <c r="Z3" i="14"/>
  <c r="Y11" i="14"/>
  <c r="Y14" i="14" s="1"/>
  <c r="Y103" i="14"/>
  <c r="Y90" i="14"/>
  <c r="Y99" i="14" s="1"/>
  <c r="Y105" i="14"/>
  <c r="G113" i="22" l="1"/>
  <c r="I113" i="22"/>
  <c r="B71" i="15"/>
  <c r="C72" i="15"/>
  <c r="D133" i="18"/>
  <c r="G133" i="18" s="1"/>
  <c r="H132" i="18"/>
  <c r="D114" i="22"/>
  <c r="H113" i="22"/>
  <c r="Z70" i="14"/>
  <c r="Z73" i="14" s="1"/>
  <c r="Z103" i="14"/>
  <c r="Z105" i="14"/>
  <c r="Z11" i="14"/>
  <c r="Z14" i="14" s="1"/>
  <c r="Z102" i="14"/>
  <c r="AA3" i="14"/>
  <c r="Z90" i="14"/>
  <c r="Z99" i="14" s="1"/>
  <c r="G114" i="22" l="1"/>
  <c r="I114" i="22"/>
  <c r="B70" i="15"/>
  <c r="C71" i="15"/>
  <c r="D134" i="18"/>
  <c r="G134" i="18" s="1"/>
  <c r="H133" i="18"/>
  <c r="D115" i="22"/>
  <c r="H114" i="22"/>
  <c r="AA70" i="14"/>
  <c r="AA105" i="14"/>
  <c r="AA102" i="14"/>
  <c r="AB3" i="14"/>
  <c r="AA90" i="14"/>
  <c r="AA99" i="14" s="1"/>
  <c r="AA103" i="14"/>
  <c r="AA11" i="14"/>
  <c r="AA14" i="14" s="1"/>
  <c r="Z104" i="14"/>
  <c r="Z74" i="14"/>
  <c r="Z98" i="14"/>
  <c r="Z100" i="14" s="1"/>
  <c r="G115" i="22" l="1"/>
  <c r="I115" i="22"/>
  <c r="B69" i="15"/>
  <c r="C70" i="15"/>
  <c r="D135" i="18"/>
  <c r="G135" i="18" s="1"/>
  <c r="H134" i="18"/>
  <c r="D116" i="22"/>
  <c r="H115" i="22"/>
  <c r="AA73" i="14"/>
  <c r="AA87" i="14" s="1"/>
  <c r="AB70" i="14"/>
  <c r="AB103" i="14"/>
  <c r="AC3" i="14"/>
  <c r="AB102" i="14"/>
  <c r="AB90" i="14"/>
  <c r="AB99" i="14" s="1"/>
  <c r="AB105" i="14"/>
  <c r="AB11" i="14"/>
  <c r="AB14" i="14" s="1"/>
  <c r="G116" i="22" l="1"/>
  <c r="I116" i="22"/>
  <c r="B68" i="15"/>
  <c r="C69" i="15"/>
  <c r="H135" i="18"/>
  <c r="D136" i="18"/>
  <c r="G136" i="18" s="1"/>
  <c r="D117" i="22"/>
  <c r="H116" i="22"/>
  <c r="AA84" i="14"/>
  <c r="AA104" i="14"/>
  <c r="AA98" i="14"/>
  <c r="AA100" i="14" s="1"/>
  <c r="AA74" i="14"/>
  <c r="AB73" i="14"/>
  <c r="AB87" i="14" s="1"/>
  <c r="AC70" i="14"/>
  <c r="AC102" i="14"/>
  <c r="AD3" i="14"/>
  <c r="AC90" i="14"/>
  <c r="AC99" i="14" s="1"/>
  <c r="AC103" i="14"/>
  <c r="AC105" i="14"/>
  <c r="AC11" i="14"/>
  <c r="AC14" i="14" s="1"/>
  <c r="G117" i="22" l="1"/>
  <c r="I117" i="22"/>
  <c r="B67" i="15"/>
  <c r="C68" i="15"/>
  <c r="AB98" i="14"/>
  <c r="AB100" i="14" s="1"/>
  <c r="AB84" i="14"/>
  <c r="AB74" i="14"/>
  <c r="D137" i="18"/>
  <c r="G137" i="18" s="1"/>
  <c r="H136" i="18"/>
  <c r="D118" i="22"/>
  <c r="H117" i="22"/>
  <c r="AB104" i="14"/>
  <c r="AC73" i="14"/>
  <c r="AC87" i="14" s="1"/>
  <c r="AD70" i="14"/>
  <c r="AD105" i="14"/>
  <c r="AD90" i="14"/>
  <c r="AD99" i="14" s="1"/>
  <c r="AD102" i="14"/>
  <c r="AD103" i="14"/>
  <c r="AE3" i="14"/>
  <c r="AD11" i="14"/>
  <c r="AD14" i="14" s="1"/>
  <c r="G118" i="22" l="1"/>
  <c r="I118" i="22"/>
  <c r="B66" i="15"/>
  <c r="C67" i="15"/>
  <c r="D138" i="18"/>
  <c r="G138" i="18" s="1"/>
  <c r="H137" i="18"/>
  <c r="D119" i="22"/>
  <c r="H118" i="22"/>
  <c r="AC84" i="14"/>
  <c r="AC98" i="14"/>
  <c r="AC100" i="14" s="1"/>
  <c r="AC74" i="14"/>
  <c r="AC104" i="14"/>
  <c r="AD73" i="14"/>
  <c r="AD87" i="14" s="1"/>
  <c r="AE70" i="14"/>
  <c r="AE105" i="14"/>
  <c r="AE103" i="14"/>
  <c r="AE102" i="14"/>
  <c r="AF3" i="14"/>
  <c r="AE90" i="14"/>
  <c r="AE99" i="14" s="1"/>
  <c r="AE11" i="14"/>
  <c r="AE14" i="14" s="1"/>
  <c r="G119" i="22" l="1"/>
  <c r="I119" i="22"/>
  <c r="B65" i="15"/>
  <c r="C66" i="15"/>
  <c r="D139" i="18"/>
  <c r="G139" i="18" s="1"/>
  <c r="H138" i="18"/>
  <c r="D120" i="22"/>
  <c r="H119" i="22"/>
  <c r="AD98" i="14"/>
  <c r="AD100" i="14" s="1"/>
  <c r="AD84" i="14"/>
  <c r="AD74" i="14"/>
  <c r="AD104" i="14"/>
  <c r="AE73" i="14"/>
  <c r="AE87" i="14" s="1"/>
  <c r="AF70" i="14"/>
  <c r="AF11" i="14"/>
  <c r="AF14" i="14" s="1"/>
  <c r="AF105" i="14"/>
  <c r="AF90" i="14"/>
  <c r="AF99" i="14" s="1"/>
  <c r="AF103" i="14"/>
  <c r="AG3" i="14"/>
  <c r="AF102" i="14"/>
  <c r="G120" i="22" l="1"/>
  <c r="I120" i="22"/>
  <c r="B64" i="15"/>
  <c r="C64" i="15" s="1"/>
  <c r="C65" i="15"/>
  <c r="AE98" i="14"/>
  <c r="AE100" i="14" s="1"/>
  <c r="AE84" i="14"/>
  <c r="AE74" i="14"/>
  <c r="AE104" i="14"/>
  <c r="H139" i="18"/>
  <c r="D140" i="18"/>
  <c r="G140" i="18" s="1"/>
  <c r="D121" i="22"/>
  <c r="H120" i="22"/>
  <c r="AF73" i="14"/>
  <c r="AF87" i="14" s="1"/>
  <c r="AG70" i="14"/>
  <c r="AG73" i="14" s="1"/>
  <c r="AG11" i="14"/>
  <c r="AG14" i="14" s="1"/>
  <c r="AG102" i="14"/>
  <c r="AG103" i="14"/>
  <c r="AG90" i="14"/>
  <c r="AG99" i="14" s="1"/>
  <c r="AG105" i="14"/>
  <c r="G121" i="22" l="1"/>
  <c r="I121" i="22"/>
  <c r="S65" i="15"/>
  <c r="R65" i="15"/>
  <c r="S66" i="15"/>
  <c r="R66" i="15"/>
  <c r="Q66" i="15"/>
  <c r="S68" i="15"/>
  <c r="R64" i="15"/>
  <c r="Q65" i="15"/>
  <c r="R68" i="15"/>
  <c r="Q68" i="15"/>
  <c r="D141" i="18"/>
  <c r="G141" i="18" s="1"/>
  <c r="H140" i="18"/>
  <c r="D122" i="22"/>
  <c r="H121" i="22"/>
  <c r="AF84" i="14"/>
  <c r="AF98" i="14"/>
  <c r="AF100" i="14" s="1"/>
  <c r="AF74" i="14"/>
  <c r="AF104" i="14"/>
  <c r="AG104" i="14"/>
  <c r="AG74" i="14"/>
  <c r="AG98" i="14"/>
  <c r="AG100" i="14" s="1"/>
  <c r="AG84" i="14"/>
  <c r="AG87" i="14"/>
  <c r="G122" i="22" l="1"/>
  <c r="I122" i="22"/>
  <c r="D142" i="18"/>
  <c r="G142" i="18" s="1"/>
  <c r="H141" i="18"/>
  <c r="D123" i="22"/>
  <c r="H122" i="22"/>
  <c r="B113" i="13"/>
  <c r="B147" i="13" s="1"/>
  <c r="B164" i="13" s="1"/>
  <c r="B203" i="13" s="1"/>
  <c r="B236" i="13" s="1"/>
  <c r="B271" i="13" s="1"/>
  <c r="B78" i="13"/>
  <c r="B111" i="13" s="1"/>
  <c r="B145" i="13" s="1"/>
  <c r="B163" i="13" s="1"/>
  <c r="B201" i="13" s="1"/>
  <c r="B234" i="13" s="1"/>
  <c r="B269" i="13" s="1"/>
  <c r="B77" i="13"/>
  <c r="B110" i="13" s="1"/>
  <c r="B144" i="13" s="1"/>
  <c r="B162" i="13" s="1"/>
  <c r="B200" i="13" s="1"/>
  <c r="B233" i="13" s="1"/>
  <c r="B268" i="13" s="1"/>
  <c r="B76" i="13"/>
  <c r="B109" i="13" s="1"/>
  <c r="B143" i="13" s="1"/>
  <c r="B161" i="13" s="1"/>
  <c r="B199" i="13" s="1"/>
  <c r="B232" i="13" s="1"/>
  <c r="B267" i="13" s="1"/>
  <c r="B75" i="13"/>
  <c r="B108" i="13" s="1"/>
  <c r="B142" i="13" s="1"/>
  <c r="B160" i="13" s="1"/>
  <c r="B198" i="13" s="1"/>
  <c r="B231" i="13" s="1"/>
  <c r="B266" i="13" s="1"/>
  <c r="B58" i="13"/>
  <c r="B91" i="13" s="1"/>
  <c r="B125" i="13" s="1"/>
  <c r="B158" i="13" s="1"/>
  <c r="B181" i="13" s="1"/>
  <c r="B214" i="13" s="1"/>
  <c r="B249" i="13" s="1"/>
  <c r="B57" i="13"/>
  <c r="B90" i="13" s="1"/>
  <c r="B124" i="13" s="1"/>
  <c r="B157" i="13" s="1"/>
  <c r="B180" i="13" s="1"/>
  <c r="B213" i="13" s="1"/>
  <c r="B248" i="13" s="1"/>
  <c r="B56" i="13"/>
  <c r="B89" i="13" s="1"/>
  <c r="B123" i="13" s="1"/>
  <c r="B156" i="13" s="1"/>
  <c r="B179" i="13" s="1"/>
  <c r="B212" i="13" s="1"/>
  <c r="B247" i="13" s="1"/>
  <c r="B55" i="13"/>
  <c r="B88" i="13" s="1"/>
  <c r="B122" i="13" s="1"/>
  <c r="B155" i="13" s="1"/>
  <c r="B178" i="13" s="1"/>
  <c r="B211" i="13" s="1"/>
  <c r="B246" i="13" s="1"/>
  <c r="B54" i="13"/>
  <c r="B87" i="13" s="1"/>
  <c r="B121" i="13" s="1"/>
  <c r="B154" i="13" s="1"/>
  <c r="B177" i="13" s="1"/>
  <c r="B210" i="13" s="1"/>
  <c r="B245" i="13" s="1"/>
  <c r="B53" i="13"/>
  <c r="B86" i="13" s="1"/>
  <c r="B120" i="13" s="1"/>
  <c r="B153" i="13" s="1"/>
  <c r="B176" i="13" s="1"/>
  <c r="B209" i="13" s="1"/>
  <c r="B244" i="13" s="1"/>
  <c r="B52" i="13"/>
  <c r="B85" i="13" s="1"/>
  <c r="B119" i="13" s="1"/>
  <c r="B152" i="13" s="1"/>
  <c r="B175" i="13" s="1"/>
  <c r="B208" i="13" s="1"/>
  <c r="B243" i="13" s="1"/>
  <c r="B51" i="13"/>
  <c r="B84" i="13" s="1"/>
  <c r="B118" i="13" s="1"/>
  <c r="B151" i="13" s="1"/>
  <c r="B174" i="13" s="1"/>
  <c r="B207" i="13" s="1"/>
  <c r="B242" i="13" s="1"/>
  <c r="B50" i="13"/>
  <c r="B83" i="13" s="1"/>
  <c r="B117" i="13" s="1"/>
  <c r="B150" i="13" s="1"/>
  <c r="B173" i="13" s="1"/>
  <c r="B206" i="13" s="1"/>
  <c r="B241" i="13" s="1"/>
  <c r="F28" i="13"/>
  <c r="F21" i="13"/>
  <c r="G21" i="13" s="1"/>
  <c r="H21" i="13" s="1"/>
  <c r="I21" i="13" s="1"/>
  <c r="J21" i="13" s="1"/>
  <c r="K21" i="13" s="1"/>
  <c r="L21" i="13" s="1"/>
  <c r="M21" i="13" s="1"/>
  <c r="N21" i="13" s="1"/>
  <c r="O21" i="13" s="1"/>
  <c r="P21" i="13" s="1"/>
  <c r="Q21" i="13" s="1"/>
  <c r="R21" i="13" s="1"/>
  <c r="S21" i="13" s="1"/>
  <c r="T21" i="13" s="1"/>
  <c r="U21" i="13" s="1"/>
  <c r="V21" i="13" s="1"/>
  <c r="W21" i="13" s="1"/>
  <c r="X21" i="13" s="1"/>
  <c r="Y21" i="13" s="1"/>
  <c r="Z21" i="13" s="1"/>
  <c r="AA21" i="13" s="1"/>
  <c r="AB21" i="13" s="1"/>
  <c r="G20" i="13"/>
  <c r="H20" i="13" s="1"/>
  <c r="I20" i="13" s="1"/>
  <c r="J20" i="13" s="1"/>
  <c r="K20" i="13" s="1"/>
  <c r="L20" i="13" s="1"/>
  <c r="M20" i="13" s="1"/>
  <c r="N20" i="13" s="1"/>
  <c r="O20" i="13" s="1"/>
  <c r="P20" i="13" s="1"/>
  <c r="Q20" i="13" s="1"/>
  <c r="R20" i="13" s="1"/>
  <c r="S20" i="13" s="1"/>
  <c r="T20" i="13" s="1"/>
  <c r="D16" i="13"/>
  <c r="F16" i="13" s="1"/>
  <c r="C283" i="13" s="1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M2" i="8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F6" i="8"/>
  <c r="F7" i="8" s="1"/>
  <c r="C20" i="8"/>
  <c r="C22" i="8" s="1"/>
  <c r="C54" i="8" s="1"/>
  <c r="C12" i="8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G10" i="12"/>
  <c r="H10" i="12" s="1"/>
  <c r="G9" i="12"/>
  <c r="H9" i="12" s="1"/>
  <c r="G8" i="12"/>
  <c r="H8" i="12" s="1"/>
  <c r="G5" i="12"/>
  <c r="H5" i="12" s="1"/>
  <c r="G4" i="12"/>
  <c r="H4" i="12" s="1"/>
  <c r="G3" i="12"/>
  <c r="H3" i="12" s="1"/>
  <c r="F10" i="12"/>
  <c r="F9" i="12"/>
  <c r="F8" i="12"/>
  <c r="H6" i="12"/>
  <c r="F5" i="12"/>
  <c r="F4" i="12"/>
  <c r="F3" i="12"/>
  <c r="F1" i="13"/>
  <c r="B36" i="10"/>
  <c r="B68" i="10" s="1"/>
  <c r="B35" i="10"/>
  <c r="B67" i="10" s="1"/>
  <c r="B34" i="10"/>
  <c r="B66" i="10" s="1"/>
  <c r="B33" i="10"/>
  <c r="B65" i="10" s="1"/>
  <c r="F107" i="13" l="1"/>
  <c r="F141" i="13" s="1"/>
  <c r="F100" i="13"/>
  <c r="F134" i="13" s="1"/>
  <c r="F94" i="13"/>
  <c r="F128" i="13" s="1"/>
  <c r="F93" i="13"/>
  <c r="F127" i="13" s="1"/>
  <c r="F102" i="13"/>
  <c r="F136" i="13" s="1"/>
  <c r="F95" i="13"/>
  <c r="F129" i="13" s="1"/>
  <c r="F104" i="13"/>
  <c r="F138" i="13" s="1"/>
  <c r="F97" i="13"/>
  <c r="F131" i="13" s="1"/>
  <c r="F103" i="13"/>
  <c r="F137" i="13" s="1"/>
  <c r="F106" i="13"/>
  <c r="F140" i="13" s="1"/>
  <c r="F96" i="13"/>
  <c r="F130" i="13" s="1"/>
  <c r="F99" i="13"/>
  <c r="F133" i="13" s="1"/>
  <c r="F105" i="13"/>
  <c r="F126" i="13" s="1"/>
  <c r="F101" i="13"/>
  <c r="F135" i="13" s="1"/>
  <c r="F98" i="13"/>
  <c r="F132" i="13" s="1"/>
  <c r="G123" i="22"/>
  <c r="I123" i="22"/>
  <c r="D143" i="18"/>
  <c r="G143" i="18" s="1"/>
  <c r="H142" i="18"/>
  <c r="D124" i="22"/>
  <c r="H123" i="22"/>
  <c r="F39" i="13"/>
  <c r="C72" i="14" s="1"/>
  <c r="T24" i="13"/>
  <c r="U20" i="13"/>
  <c r="G1" i="13"/>
  <c r="F29" i="13"/>
  <c r="C20" i="14" s="1"/>
  <c r="C18" i="14"/>
  <c r="G28" i="13"/>
  <c r="F24" i="13"/>
  <c r="G24" i="13"/>
  <c r="H24" i="13"/>
  <c r="I24" i="13"/>
  <c r="J24" i="13"/>
  <c r="K24" i="13"/>
  <c r="N24" i="13"/>
  <c r="M22" i="13"/>
  <c r="N23" i="13"/>
  <c r="O24" i="13"/>
  <c r="G22" i="13"/>
  <c r="H22" i="13"/>
  <c r="J23" i="13"/>
  <c r="J22" i="13"/>
  <c r="L24" i="13"/>
  <c r="K22" i="13"/>
  <c r="L23" i="13"/>
  <c r="M24" i="13"/>
  <c r="M23" i="13"/>
  <c r="P24" i="13"/>
  <c r="O22" i="13"/>
  <c r="P23" i="13"/>
  <c r="Q24" i="13"/>
  <c r="N22" i="13"/>
  <c r="O23" i="13"/>
  <c r="P22" i="13"/>
  <c r="Q23" i="13"/>
  <c r="R24" i="13"/>
  <c r="T23" i="13"/>
  <c r="T22" i="13"/>
  <c r="F23" i="13"/>
  <c r="G23" i="13"/>
  <c r="H23" i="13"/>
  <c r="I23" i="13"/>
  <c r="I22" i="13"/>
  <c r="K23" i="13"/>
  <c r="L22" i="13"/>
  <c r="Q22" i="13"/>
  <c r="R23" i="13"/>
  <c r="S24" i="13"/>
  <c r="S22" i="13"/>
  <c r="F22" i="13"/>
  <c r="R22" i="13"/>
  <c r="S23" i="13"/>
  <c r="C11" i="8"/>
  <c r="C8" i="8"/>
  <c r="C7" i="8"/>
  <c r="F8" i="8"/>
  <c r="F9" i="8" s="1"/>
  <c r="F10" i="8" s="1"/>
  <c r="F11" i="8" s="1"/>
  <c r="F12" i="8" s="1"/>
  <c r="F13" i="8" s="1"/>
  <c r="F14" i="8" s="1"/>
  <c r="G107" i="13" l="1"/>
  <c r="G141" i="13"/>
  <c r="F139" i="13"/>
  <c r="G93" i="13"/>
  <c r="G127" i="13" s="1"/>
  <c r="G102" i="13"/>
  <c r="G136" i="13" s="1"/>
  <c r="G95" i="13"/>
  <c r="G129" i="13" s="1"/>
  <c r="G105" i="13"/>
  <c r="G104" i="13"/>
  <c r="G138" i="13" s="1"/>
  <c r="G97" i="13"/>
  <c r="G131" i="13" s="1"/>
  <c r="G106" i="13"/>
  <c r="G140" i="13" s="1"/>
  <c r="G98" i="13"/>
  <c r="G132" i="13" s="1"/>
  <c r="G99" i="13"/>
  <c r="G133" i="13" s="1"/>
  <c r="G94" i="13"/>
  <c r="G128" i="13" s="1"/>
  <c r="G96" i="13"/>
  <c r="G130" i="13" s="1"/>
  <c r="G101" i="13"/>
  <c r="G135" i="13" s="1"/>
  <c r="G103" i="13"/>
  <c r="G137" i="13" s="1"/>
  <c r="G100" i="13"/>
  <c r="G134" i="13" s="1"/>
  <c r="F40" i="13"/>
  <c r="C22" i="14" s="1"/>
  <c r="G124" i="22"/>
  <c r="I124" i="22"/>
  <c r="H143" i="18"/>
  <c r="D144" i="18"/>
  <c r="G144" i="18" s="1"/>
  <c r="D125" i="22"/>
  <c r="H124" i="22"/>
  <c r="G126" i="13"/>
  <c r="G43" i="13"/>
  <c r="G44" i="13" s="1"/>
  <c r="D23" i="14" s="1"/>
  <c r="G37" i="13"/>
  <c r="G39" i="13"/>
  <c r="D72" i="14" s="1"/>
  <c r="G36" i="13"/>
  <c r="F25" i="13"/>
  <c r="V20" i="13"/>
  <c r="U23" i="13"/>
  <c r="U22" i="13"/>
  <c r="U24" i="13"/>
  <c r="H1" i="13"/>
  <c r="G29" i="13"/>
  <c r="D20" i="14" s="1"/>
  <c r="G16" i="13"/>
  <c r="G25" i="13"/>
  <c r="D19" i="14" s="1"/>
  <c r="H28" i="13"/>
  <c r="C21" i="8"/>
  <c r="H107" i="13" l="1"/>
  <c r="H141" i="13"/>
  <c r="G139" i="13"/>
  <c r="H102" i="13"/>
  <c r="H136" i="13" s="1"/>
  <c r="H95" i="13"/>
  <c r="H129" i="13" s="1"/>
  <c r="H104" i="13"/>
  <c r="H138" i="13" s="1"/>
  <c r="H97" i="13"/>
  <c r="H131" i="13" s="1"/>
  <c r="H106" i="13"/>
  <c r="H140" i="13" s="1"/>
  <c r="H98" i="13"/>
  <c r="H132" i="13" s="1"/>
  <c r="H99" i="13"/>
  <c r="H133" i="13" s="1"/>
  <c r="H96" i="13"/>
  <c r="H130" i="13" s="1"/>
  <c r="H101" i="13"/>
  <c r="H135" i="13" s="1"/>
  <c r="H94" i="13"/>
  <c r="H128" i="13" s="1"/>
  <c r="H105" i="13"/>
  <c r="H126" i="13" s="1"/>
  <c r="H103" i="13"/>
  <c r="H137" i="13" s="1"/>
  <c r="H93" i="13"/>
  <c r="H127" i="13" s="1"/>
  <c r="H100" i="13"/>
  <c r="H134" i="13" s="1"/>
  <c r="G125" i="22"/>
  <c r="I125" i="22"/>
  <c r="D145" i="18"/>
  <c r="G145" i="18" s="1"/>
  <c r="H144" i="18"/>
  <c r="D126" i="22"/>
  <c r="H125" i="22"/>
  <c r="C19" i="14"/>
  <c r="C284" i="13"/>
  <c r="H43" i="13"/>
  <c r="H44" i="13" s="1"/>
  <c r="E23" i="14" s="1"/>
  <c r="G40" i="13"/>
  <c r="H29" i="13"/>
  <c r="E20" i="14" s="1"/>
  <c r="H39" i="13"/>
  <c r="E72" i="14" s="1"/>
  <c r="H36" i="13"/>
  <c r="H37" i="13"/>
  <c r="W20" i="13"/>
  <c r="V24" i="13"/>
  <c r="V22" i="13"/>
  <c r="V23" i="13"/>
  <c r="I1" i="13"/>
  <c r="H17" i="13"/>
  <c r="H16" i="13" s="1"/>
  <c r="H25" i="13"/>
  <c r="E19" i="14" s="1"/>
  <c r="D18" i="14"/>
  <c r="I28" i="13"/>
  <c r="I107" i="13" l="1"/>
  <c r="I141" i="13"/>
  <c r="H139" i="13"/>
  <c r="I95" i="13"/>
  <c r="I129" i="13" s="1"/>
  <c r="I104" i="13"/>
  <c r="I138" i="13" s="1"/>
  <c r="I97" i="13"/>
  <c r="I131" i="13" s="1"/>
  <c r="I100" i="13"/>
  <c r="I134" i="13" s="1"/>
  <c r="I102" i="13"/>
  <c r="I136" i="13" s="1"/>
  <c r="I106" i="13"/>
  <c r="I140" i="13" s="1"/>
  <c r="I99" i="13"/>
  <c r="I133" i="13" s="1"/>
  <c r="I101" i="13"/>
  <c r="I135" i="13" s="1"/>
  <c r="I98" i="13"/>
  <c r="I132" i="13" s="1"/>
  <c r="I94" i="13"/>
  <c r="I128" i="13" s="1"/>
  <c r="I105" i="13"/>
  <c r="I126" i="13" s="1"/>
  <c r="I103" i="13"/>
  <c r="I137" i="13" s="1"/>
  <c r="I96" i="13"/>
  <c r="I130" i="13" s="1"/>
  <c r="I93" i="13"/>
  <c r="I127" i="13" s="1"/>
  <c r="G126" i="22"/>
  <c r="I126" i="22"/>
  <c r="D22" i="14"/>
  <c r="C278" i="13"/>
  <c r="D146" i="18"/>
  <c r="G146" i="18" s="1"/>
  <c r="H145" i="18"/>
  <c r="D127" i="22"/>
  <c r="H126" i="22"/>
  <c r="I39" i="13"/>
  <c r="F72" i="14" s="1"/>
  <c r="I43" i="13"/>
  <c r="I37" i="13"/>
  <c r="I36" i="13"/>
  <c r="H40" i="13"/>
  <c r="E22" i="14" s="1"/>
  <c r="W23" i="13"/>
  <c r="X20" i="13"/>
  <c r="W24" i="13"/>
  <c r="W22" i="13"/>
  <c r="I29" i="13"/>
  <c r="F20" i="14" s="1"/>
  <c r="E18" i="14"/>
  <c r="I17" i="13"/>
  <c r="I16" i="13" s="1"/>
  <c r="F18" i="14" s="1"/>
  <c r="J1" i="13"/>
  <c r="I25" i="13"/>
  <c r="F19" i="14" s="1"/>
  <c r="J28" i="13"/>
  <c r="J107" i="13" l="1"/>
  <c r="J141" i="13" s="1"/>
  <c r="I139" i="13"/>
  <c r="J104" i="13"/>
  <c r="J138" i="13" s="1"/>
  <c r="J97" i="13"/>
  <c r="J131" i="13" s="1"/>
  <c r="J106" i="13"/>
  <c r="J140" i="13" s="1"/>
  <c r="J99" i="13"/>
  <c r="J133" i="13" s="1"/>
  <c r="J98" i="13"/>
  <c r="J132" i="13" s="1"/>
  <c r="J101" i="13"/>
  <c r="J135" i="13" s="1"/>
  <c r="J94" i="13"/>
  <c r="J128" i="13" s="1"/>
  <c r="J100" i="13"/>
  <c r="J134" i="13" s="1"/>
  <c r="J93" i="13"/>
  <c r="J127" i="13" s="1"/>
  <c r="J95" i="13"/>
  <c r="J129" i="13" s="1"/>
  <c r="J103" i="13"/>
  <c r="J137" i="13" s="1"/>
  <c r="J96" i="13"/>
  <c r="J130" i="13" s="1"/>
  <c r="J105" i="13"/>
  <c r="J126" i="13" s="1"/>
  <c r="J102" i="13"/>
  <c r="J136" i="13" s="1"/>
  <c r="D147" i="18"/>
  <c r="G147" i="18" s="1"/>
  <c r="H146" i="18"/>
  <c r="G127" i="22"/>
  <c r="I127" i="22" s="1"/>
  <c r="H127" i="22"/>
  <c r="D128" i="22"/>
  <c r="J43" i="13"/>
  <c r="I44" i="13"/>
  <c r="F23" i="14" s="1"/>
  <c r="J25" i="13"/>
  <c r="G19" i="14" s="1"/>
  <c r="J39" i="13"/>
  <c r="G72" i="14" s="1"/>
  <c r="J36" i="13"/>
  <c r="I40" i="13"/>
  <c r="F22" i="14" s="1"/>
  <c r="J37" i="13"/>
  <c r="K1" i="13"/>
  <c r="X23" i="13"/>
  <c r="X22" i="13"/>
  <c r="Y20" i="13"/>
  <c r="X24" i="13"/>
  <c r="J17" i="13"/>
  <c r="J29" i="13"/>
  <c r="G20" i="14" s="1"/>
  <c r="K28" i="13"/>
  <c r="K107" i="13" l="1"/>
  <c r="K141" i="13"/>
  <c r="J139" i="13"/>
  <c r="K97" i="13"/>
  <c r="K131" i="13" s="1"/>
  <c r="K106" i="13"/>
  <c r="K140" i="13" s="1"/>
  <c r="K99" i="13"/>
  <c r="K133" i="13" s="1"/>
  <c r="K101" i="13"/>
  <c r="K135" i="13" s="1"/>
  <c r="K94" i="13"/>
  <c r="K128" i="13" s="1"/>
  <c r="K103" i="13"/>
  <c r="K137" i="13" s="1"/>
  <c r="K100" i="13"/>
  <c r="K134" i="13" s="1"/>
  <c r="K102" i="13"/>
  <c r="K136" i="13" s="1"/>
  <c r="K95" i="13"/>
  <c r="K129" i="13" s="1"/>
  <c r="K96" i="13"/>
  <c r="K130" i="13" s="1"/>
  <c r="K105" i="13"/>
  <c r="K126" i="13" s="1"/>
  <c r="K93" i="13"/>
  <c r="K127" i="13" s="1"/>
  <c r="K98" i="13"/>
  <c r="K132" i="13" s="1"/>
  <c r="K104" i="13"/>
  <c r="K138" i="13" s="1"/>
  <c r="G128" i="22"/>
  <c r="I128" i="22"/>
  <c r="H147" i="18"/>
  <c r="D148" i="18"/>
  <c r="G148" i="18" s="1"/>
  <c r="D129" i="22"/>
  <c r="H128" i="22"/>
  <c r="K43" i="13"/>
  <c r="J44" i="13"/>
  <c r="G23" i="14" s="1"/>
  <c r="K25" i="13"/>
  <c r="H19" i="14" s="1"/>
  <c r="K39" i="13"/>
  <c r="H72" i="14" s="1"/>
  <c r="K37" i="13"/>
  <c r="K36" i="13"/>
  <c r="J40" i="13"/>
  <c r="G22" i="14" s="1"/>
  <c r="K29" i="13"/>
  <c r="H20" i="14" s="1"/>
  <c r="K17" i="13"/>
  <c r="L1" i="13"/>
  <c r="J16" i="13"/>
  <c r="Y22" i="13"/>
  <c r="Y24" i="13"/>
  <c r="Z20" i="13"/>
  <c r="Y23" i="13"/>
  <c r="L28" i="13"/>
  <c r="L107" i="13" l="1"/>
  <c r="L141" i="13"/>
  <c r="K139" i="13"/>
  <c r="L106" i="13"/>
  <c r="L140" i="13" s="1"/>
  <c r="L99" i="13"/>
  <c r="L133" i="13" s="1"/>
  <c r="L101" i="13"/>
  <c r="L135" i="13" s="1"/>
  <c r="L94" i="13"/>
  <c r="L128" i="13" s="1"/>
  <c r="L103" i="13"/>
  <c r="L137" i="13" s="1"/>
  <c r="L96" i="13"/>
  <c r="L130" i="13" s="1"/>
  <c r="L102" i="13"/>
  <c r="L136" i="13" s="1"/>
  <c r="L95" i="13"/>
  <c r="L129" i="13" s="1"/>
  <c r="L105" i="13"/>
  <c r="L126" i="13" s="1"/>
  <c r="L98" i="13"/>
  <c r="L132" i="13" s="1"/>
  <c r="L93" i="13"/>
  <c r="L127" i="13" s="1"/>
  <c r="L100" i="13"/>
  <c r="L134" i="13" s="1"/>
  <c r="L104" i="13"/>
  <c r="L138" i="13" s="1"/>
  <c r="L97" i="13"/>
  <c r="L131" i="13" s="1"/>
  <c r="D149" i="18"/>
  <c r="G149" i="18" s="1"/>
  <c r="H148" i="18"/>
  <c r="G129" i="22"/>
  <c r="I129" i="22" s="1"/>
  <c r="D130" i="22"/>
  <c r="H129" i="22"/>
  <c r="K16" i="13"/>
  <c r="H18" i="14" s="1"/>
  <c r="L43" i="13"/>
  <c r="K44" i="13"/>
  <c r="H23" i="14" s="1"/>
  <c r="L37" i="13"/>
  <c r="L36" i="13"/>
  <c r="K40" i="13"/>
  <c r="H22" i="14" s="1"/>
  <c r="L25" i="13"/>
  <c r="I19" i="14" s="1"/>
  <c r="M1" i="13"/>
  <c r="G18" i="14"/>
  <c r="L17" i="13"/>
  <c r="L29" i="13"/>
  <c r="I20" i="14" s="1"/>
  <c r="AA20" i="13"/>
  <c r="Z24" i="13"/>
  <c r="Z22" i="13"/>
  <c r="Z23" i="13"/>
  <c r="M28" i="13"/>
  <c r="M107" i="13" l="1"/>
  <c r="M141" i="13"/>
  <c r="L139" i="13"/>
  <c r="M99" i="13"/>
  <c r="M133" i="13" s="1"/>
  <c r="M95" i="13"/>
  <c r="M129" i="13" s="1"/>
  <c r="M101" i="13"/>
  <c r="M135" i="13" s="1"/>
  <c r="M94" i="13"/>
  <c r="M128" i="13" s="1"/>
  <c r="M103" i="13"/>
  <c r="M137" i="13" s="1"/>
  <c r="M102" i="13"/>
  <c r="M136" i="13" s="1"/>
  <c r="M96" i="13"/>
  <c r="M130" i="13" s="1"/>
  <c r="M106" i="13"/>
  <c r="M140" i="13" s="1"/>
  <c r="M105" i="13"/>
  <c r="M126" i="13" s="1"/>
  <c r="M104" i="13"/>
  <c r="M138" i="13" s="1"/>
  <c r="M98" i="13"/>
  <c r="M132" i="13" s="1"/>
  <c r="M93" i="13"/>
  <c r="M127" i="13" s="1"/>
  <c r="M100" i="13"/>
  <c r="M134" i="13" s="1"/>
  <c r="M97" i="13"/>
  <c r="M131" i="13" s="1"/>
  <c r="G130" i="22"/>
  <c r="I130" i="22"/>
  <c r="D150" i="18"/>
  <c r="G150" i="18" s="1"/>
  <c r="H149" i="18"/>
  <c r="D131" i="22"/>
  <c r="H130" i="22"/>
  <c r="N1" i="13"/>
  <c r="N235" i="13" s="1"/>
  <c r="M43" i="13"/>
  <c r="L44" i="13"/>
  <c r="I23" i="14" s="1"/>
  <c r="M36" i="13"/>
  <c r="M25" i="13"/>
  <c r="J19" i="14" s="1"/>
  <c r="M37" i="13"/>
  <c r="L39" i="13"/>
  <c r="M17" i="13"/>
  <c r="L16" i="13"/>
  <c r="M29" i="13"/>
  <c r="J20" i="14" s="1"/>
  <c r="AB20" i="13"/>
  <c r="AA24" i="13"/>
  <c r="AA22" i="13"/>
  <c r="AA23" i="13"/>
  <c r="N28" i="13"/>
  <c r="N112" i="13" l="1"/>
  <c r="N146" i="13"/>
  <c r="N230" i="13"/>
  <c r="N226" i="13"/>
  <c r="N225" i="13"/>
  <c r="N229" i="13"/>
  <c r="N228" i="13"/>
  <c r="N227" i="13"/>
  <c r="N224" i="13"/>
  <c r="N223" i="13"/>
  <c r="N222" i="13"/>
  <c r="N221" i="13"/>
  <c r="N220" i="13"/>
  <c r="N219" i="13"/>
  <c r="N218" i="13"/>
  <c r="N217" i="13"/>
  <c r="N216" i="13"/>
  <c r="N141" i="13"/>
  <c r="N107" i="13"/>
  <c r="M139" i="13"/>
  <c r="N127" i="13"/>
  <c r="N132" i="13"/>
  <c r="N129" i="13"/>
  <c r="N135" i="13"/>
  <c r="N133" i="13"/>
  <c r="N134" i="13"/>
  <c r="N128" i="13"/>
  <c r="N139" i="13"/>
  <c r="N138" i="13"/>
  <c r="N137" i="13"/>
  <c r="N136" i="13"/>
  <c r="N131" i="13"/>
  <c r="N130" i="13"/>
  <c r="N102" i="13"/>
  <c r="N99" i="13"/>
  <c r="N101" i="13"/>
  <c r="N94" i="13"/>
  <c r="N103" i="13"/>
  <c r="N95" i="13"/>
  <c r="N96" i="13"/>
  <c r="N105" i="13"/>
  <c r="N98" i="13"/>
  <c r="N97" i="13"/>
  <c r="N100" i="13"/>
  <c r="N104" i="13"/>
  <c r="N93" i="13"/>
  <c r="N106" i="13"/>
  <c r="N140" i="13" s="1"/>
  <c r="N86" i="13"/>
  <c r="N87" i="13"/>
  <c r="N85" i="13"/>
  <c r="N88" i="13"/>
  <c r="N91" i="13"/>
  <c r="N90" i="13"/>
  <c r="N89" i="13"/>
  <c r="N84" i="13"/>
  <c r="N108" i="13"/>
  <c r="N109" i="13"/>
  <c r="N110" i="13"/>
  <c r="D151" i="18"/>
  <c r="G151" i="18" s="1"/>
  <c r="H150" i="18"/>
  <c r="G131" i="22"/>
  <c r="I131" i="22" s="1"/>
  <c r="N143" i="13"/>
  <c r="N37" i="13"/>
  <c r="O1" i="13"/>
  <c r="O235" i="13" s="1"/>
  <c r="N25" i="13"/>
  <c r="K19" i="14" s="1"/>
  <c r="N39" i="13"/>
  <c r="K72" i="14" s="1"/>
  <c r="N29" i="13"/>
  <c r="K20" i="14" s="1"/>
  <c r="L40" i="13"/>
  <c r="I22" i="14" s="1"/>
  <c r="I72" i="14"/>
  <c r="M16" i="13"/>
  <c r="I18" i="14"/>
  <c r="N43" i="13"/>
  <c r="M44" i="13"/>
  <c r="J23" i="14" s="1"/>
  <c r="N17" i="13"/>
  <c r="M39" i="13"/>
  <c r="N36" i="13"/>
  <c r="AB24" i="13"/>
  <c r="AB22" i="13"/>
  <c r="AB23" i="13"/>
  <c r="O28" i="13"/>
  <c r="O112" i="13" l="1"/>
  <c r="O146" i="13"/>
  <c r="O230" i="13"/>
  <c r="O226" i="13"/>
  <c r="O225" i="13"/>
  <c r="O229" i="13"/>
  <c r="O228" i="13"/>
  <c r="O227" i="13"/>
  <c r="O224" i="13"/>
  <c r="O223" i="13"/>
  <c r="O222" i="13"/>
  <c r="O221" i="13"/>
  <c r="O220" i="13"/>
  <c r="O219" i="13"/>
  <c r="O218" i="13"/>
  <c r="O217" i="13"/>
  <c r="O216" i="13"/>
  <c r="O141" i="13"/>
  <c r="O107" i="13"/>
  <c r="O138" i="13"/>
  <c r="O136" i="13"/>
  <c r="O133" i="13"/>
  <c r="O127" i="13"/>
  <c r="O134" i="13"/>
  <c r="O128" i="13"/>
  <c r="O139" i="13"/>
  <c r="O135" i="13"/>
  <c r="O130" i="13"/>
  <c r="O137" i="13"/>
  <c r="O132" i="13"/>
  <c r="O129" i="13"/>
  <c r="O131" i="13"/>
  <c r="N126" i="13"/>
  <c r="O39" i="13"/>
  <c r="L72" i="14" s="1"/>
  <c r="O101" i="13"/>
  <c r="O104" i="13"/>
  <c r="O94" i="13"/>
  <c r="O103" i="13"/>
  <c r="O96" i="13"/>
  <c r="O105" i="13"/>
  <c r="O98" i="13"/>
  <c r="O100" i="13"/>
  <c r="O95" i="13"/>
  <c r="O99" i="13"/>
  <c r="O93" i="13"/>
  <c r="O97" i="13"/>
  <c r="O102" i="13"/>
  <c r="O106" i="13"/>
  <c r="O140" i="13" s="1"/>
  <c r="H131" i="22"/>
  <c r="D132" i="22"/>
  <c r="O86" i="13"/>
  <c r="O88" i="13"/>
  <c r="O87" i="13"/>
  <c r="O89" i="13"/>
  <c r="O91" i="13"/>
  <c r="O90" i="13"/>
  <c r="O85" i="13"/>
  <c r="O84" i="13"/>
  <c r="O108" i="13"/>
  <c r="O109" i="13"/>
  <c r="O110" i="13"/>
  <c r="H151" i="18"/>
  <c r="D152" i="18"/>
  <c r="G152" i="18" s="1"/>
  <c r="J18" i="14"/>
  <c r="P1" i="13"/>
  <c r="P235" i="13" s="1"/>
  <c r="O25" i="13"/>
  <c r="L19" i="14" s="1"/>
  <c r="O37" i="13"/>
  <c r="O143" i="13"/>
  <c r="O29" i="13"/>
  <c r="L20" i="14" s="1"/>
  <c r="N16" i="13"/>
  <c r="K18" i="14" s="1"/>
  <c r="M40" i="13"/>
  <c r="J22" i="14" s="1"/>
  <c r="J72" i="14"/>
  <c r="O17" i="13"/>
  <c r="O43" i="13"/>
  <c r="N44" i="13"/>
  <c r="K23" i="14" s="1"/>
  <c r="O36" i="13"/>
  <c r="N40" i="13"/>
  <c r="K22" i="14" s="1"/>
  <c r="P28" i="13"/>
  <c r="P112" i="13" l="1"/>
  <c r="P146" i="13"/>
  <c r="P230" i="13"/>
  <c r="P226" i="13"/>
  <c r="P225" i="13"/>
  <c r="P229" i="13"/>
  <c r="P228" i="13"/>
  <c r="P227" i="13"/>
  <c r="P224" i="13"/>
  <c r="P223" i="13"/>
  <c r="P222" i="13"/>
  <c r="P221" i="13"/>
  <c r="P220" i="13"/>
  <c r="P219" i="13"/>
  <c r="P218" i="13"/>
  <c r="P217" i="13"/>
  <c r="P216" i="13"/>
  <c r="P107" i="13"/>
  <c r="P141" i="13"/>
  <c r="P136" i="13"/>
  <c r="P130" i="13"/>
  <c r="P127" i="13"/>
  <c r="P128" i="13"/>
  <c r="P129" i="13"/>
  <c r="P138" i="13"/>
  <c r="P137" i="13"/>
  <c r="P139" i="13"/>
  <c r="P131" i="13"/>
  <c r="P133" i="13"/>
  <c r="P135" i="13"/>
  <c r="P134" i="13"/>
  <c r="P132" i="13"/>
  <c r="O126" i="13"/>
  <c r="P94" i="13"/>
  <c r="P97" i="13"/>
  <c r="P103" i="13"/>
  <c r="P101" i="13"/>
  <c r="P96" i="13"/>
  <c r="P105" i="13"/>
  <c r="P98" i="13"/>
  <c r="P100" i="13"/>
  <c r="P106" i="13"/>
  <c r="P140" i="13" s="1"/>
  <c r="P99" i="13"/>
  <c r="P93" i="13"/>
  <c r="P95" i="13"/>
  <c r="P102" i="13"/>
  <c r="P104" i="13"/>
  <c r="P37" i="13"/>
  <c r="G132" i="22"/>
  <c r="I132" i="22"/>
  <c r="P86" i="13"/>
  <c r="P85" i="13"/>
  <c r="P91" i="13"/>
  <c r="P89" i="13"/>
  <c r="P87" i="13"/>
  <c r="P90" i="13"/>
  <c r="P84" i="13"/>
  <c r="P88" i="13"/>
  <c r="P108" i="13"/>
  <c r="P109" i="13"/>
  <c r="P110" i="13"/>
  <c r="D153" i="18"/>
  <c r="G153" i="18" s="1"/>
  <c r="H152" i="18"/>
  <c r="O16" i="13"/>
  <c r="L18" i="14" s="1"/>
  <c r="P143" i="13"/>
  <c r="Q1" i="13"/>
  <c r="Q235" i="13" s="1"/>
  <c r="P29" i="13"/>
  <c r="M20" i="14" s="1"/>
  <c r="P25" i="13"/>
  <c r="M19" i="14" s="1"/>
  <c r="P17" i="13"/>
  <c r="P39" i="13"/>
  <c r="M72" i="14" s="1"/>
  <c r="P43" i="13"/>
  <c r="O44" i="13"/>
  <c r="L23" i="14" s="1"/>
  <c r="P36" i="13"/>
  <c r="O40" i="13"/>
  <c r="L22" i="14" s="1"/>
  <c r="Q28" i="13"/>
  <c r="Q112" i="13" l="1"/>
  <c r="Q146" i="13"/>
  <c r="Q230" i="13"/>
  <c r="Q226" i="13"/>
  <c r="Q225" i="13"/>
  <c r="Q229" i="13"/>
  <c r="Q228" i="13"/>
  <c r="Q227" i="13"/>
  <c r="Q224" i="13"/>
  <c r="Q223" i="13"/>
  <c r="Q222" i="13"/>
  <c r="Q221" i="13"/>
  <c r="Q220" i="13"/>
  <c r="Q219" i="13"/>
  <c r="Q218" i="13"/>
  <c r="Q217" i="13"/>
  <c r="Q216" i="13"/>
  <c r="Q141" i="13"/>
  <c r="Q107" i="13"/>
  <c r="Q130" i="13"/>
  <c r="Q134" i="13"/>
  <c r="Q133" i="13"/>
  <c r="Q132" i="13"/>
  <c r="Q131" i="13"/>
  <c r="Q127" i="13"/>
  <c r="Q139" i="13"/>
  <c r="Q138" i="13"/>
  <c r="Q137" i="13"/>
  <c r="Q136" i="13"/>
  <c r="Q135" i="13"/>
  <c r="Q128" i="13"/>
  <c r="Q129" i="13"/>
  <c r="P126" i="13"/>
  <c r="P16" i="13"/>
  <c r="M18" i="14" s="1"/>
  <c r="Q103" i="13"/>
  <c r="Q97" i="13"/>
  <c r="Q99" i="13"/>
  <c r="Q96" i="13"/>
  <c r="Q105" i="13"/>
  <c r="Q98" i="13"/>
  <c r="Q100" i="13"/>
  <c r="Q93" i="13"/>
  <c r="Q102" i="13"/>
  <c r="Q95" i="13"/>
  <c r="Q104" i="13"/>
  <c r="Q106" i="13"/>
  <c r="Q140" i="13" s="1"/>
  <c r="Q94" i="13"/>
  <c r="Q101" i="13"/>
  <c r="D133" i="22"/>
  <c r="H132" i="22"/>
  <c r="Q85" i="13"/>
  <c r="Q90" i="13"/>
  <c r="Q89" i="13"/>
  <c r="Q87" i="13"/>
  <c r="Q86" i="13"/>
  <c r="Q84" i="13"/>
  <c r="Q91" i="13"/>
  <c r="Q88" i="13"/>
  <c r="Q108" i="13"/>
  <c r="Q109" i="13"/>
  <c r="Q110" i="13"/>
  <c r="D154" i="18"/>
  <c r="H153" i="18"/>
  <c r="Q29" i="13"/>
  <c r="N20" i="14" s="1"/>
  <c r="R1" i="13"/>
  <c r="R235" i="13" s="1"/>
  <c r="Q25" i="13"/>
  <c r="N19" i="14" s="1"/>
  <c r="Q17" i="13"/>
  <c r="Q37" i="13"/>
  <c r="Q143" i="13"/>
  <c r="Q39" i="13"/>
  <c r="N72" i="14" s="1"/>
  <c r="Q43" i="13"/>
  <c r="P44" i="13"/>
  <c r="M23" i="14" s="1"/>
  <c r="Q36" i="13"/>
  <c r="P40" i="13"/>
  <c r="M22" i="14" s="1"/>
  <c r="R28" i="13"/>
  <c r="R112" i="13" l="1"/>
  <c r="R146" i="13"/>
  <c r="R229" i="13"/>
  <c r="R228" i="13"/>
  <c r="R227" i="13"/>
  <c r="R224" i="13"/>
  <c r="R223" i="13"/>
  <c r="R222" i="13"/>
  <c r="R221" i="13"/>
  <c r="R220" i="13"/>
  <c r="R219" i="13"/>
  <c r="R218" i="13"/>
  <c r="R217" i="13"/>
  <c r="R216" i="13"/>
  <c r="R226" i="13"/>
  <c r="R230" i="13"/>
  <c r="R225" i="13"/>
  <c r="R141" i="13"/>
  <c r="R107" i="13"/>
  <c r="Q126" i="13"/>
  <c r="R130" i="13"/>
  <c r="R134" i="13"/>
  <c r="R129" i="13"/>
  <c r="R135" i="13"/>
  <c r="R133" i="13"/>
  <c r="R132" i="13"/>
  <c r="R139" i="13"/>
  <c r="R138" i="13"/>
  <c r="R137" i="13"/>
  <c r="R136" i="13"/>
  <c r="R127" i="13"/>
  <c r="R131" i="13"/>
  <c r="R128" i="13"/>
  <c r="Q16" i="13"/>
  <c r="N18" i="14" s="1"/>
  <c r="R96" i="13"/>
  <c r="R99" i="13"/>
  <c r="R105" i="13"/>
  <c r="R126" i="13" s="1"/>
  <c r="R98" i="13"/>
  <c r="R100" i="13"/>
  <c r="R93" i="13"/>
  <c r="R102" i="13"/>
  <c r="R95" i="13"/>
  <c r="R101" i="13"/>
  <c r="R104" i="13"/>
  <c r="R97" i="13"/>
  <c r="R103" i="13"/>
  <c r="R106" i="13"/>
  <c r="R140" i="13" s="1"/>
  <c r="R94" i="13"/>
  <c r="R25" i="13"/>
  <c r="O19" i="14" s="1"/>
  <c r="R143" i="13"/>
  <c r="G133" i="22"/>
  <c r="R89" i="13"/>
  <c r="R87" i="13"/>
  <c r="R91" i="13"/>
  <c r="R86" i="13"/>
  <c r="R90" i="13"/>
  <c r="R88" i="13"/>
  <c r="R85" i="13"/>
  <c r="R84" i="13"/>
  <c r="R108" i="13"/>
  <c r="R109" i="13"/>
  <c r="R110" i="13"/>
  <c r="R29" i="13"/>
  <c r="O20" i="14" s="1"/>
  <c r="S1" i="13"/>
  <c r="S235" i="13" s="1"/>
  <c r="G154" i="18"/>
  <c r="R39" i="13"/>
  <c r="O72" i="14" s="1"/>
  <c r="R17" i="13"/>
  <c r="R37" i="13"/>
  <c r="R43" i="13"/>
  <c r="Q44" i="13"/>
  <c r="N23" i="14" s="1"/>
  <c r="R36" i="13"/>
  <c r="Q40" i="13"/>
  <c r="N22" i="14" s="1"/>
  <c r="S28" i="13"/>
  <c r="S112" i="13" l="1"/>
  <c r="S146" i="13"/>
  <c r="S223" i="13"/>
  <c r="S222" i="13"/>
  <c r="S221" i="13"/>
  <c r="S220" i="13"/>
  <c r="S219" i="13"/>
  <c r="S218" i="13"/>
  <c r="S217" i="13"/>
  <c r="S216" i="13"/>
  <c r="S224" i="13"/>
  <c r="S228" i="13"/>
  <c r="S229" i="13"/>
  <c r="S227" i="13"/>
  <c r="S230" i="13"/>
  <c r="S226" i="13"/>
  <c r="S225" i="13"/>
  <c r="S141" i="13"/>
  <c r="S107" i="13"/>
  <c r="S131" i="13"/>
  <c r="S130" i="13"/>
  <c r="S139" i="13"/>
  <c r="S138" i="13"/>
  <c r="S137" i="13"/>
  <c r="S136" i="13"/>
  <c r="S135" i="13"/>
  <c r="S134" i="13"/>
  <c r="S133" i="13"/>
  <c r="S132" i="13"/>
  <c r="S129" i="13"/>
  <c r="S127" i="13"/>
  <c r="S128" i="13"/>
  <c r="R16" i="13"/>
  <c r="O18" i="14" s="1"/>
  <c r="S25" i="13"/>
  <c r="P19" i="14" s="1"/>
  <c r="S105" i="13"/>
  <c r="S98" i="13"/>
  <c r="S100" i="13"/>
  <c r="S93" i="13"/>
  <c r="S102" i="13"/>
  <c r="S95" i="13"/>
  <c r="S99" i="13"/>
  <c r="S101" i="13"/>
  <c r="S104" i="13"/>
  <c r="S97" i="13"/>
  <c r="S94" i="13"/>
  <c r="S96" i="13"/>
  <c r="S106" i="13"/>
  <c r="S140" i="13" s="1"/>
  <c r="S103" i="13"/>
  <c r="D134" i="22"/>
  <c r="H133" i="22"/>
  <c r="I133" i="22"/>
  <c r="S29" i="13"/>
  <c r="P20" i="14" s="1"/>
  <c r="T1" i="13"/>
  <c r="T235" i="13" s="1"/>
  <c r="S89" i="13"/>
  <c r="S87" i="13"/>
  <c r="S84" i="13"/>
  <c r="S86" i="13"/>
  <c r="S88" i="13"/>
  <c r="S91" i="13"/>
  <c r="S85" i="13"/>
  <c r="S90" i="13"/>
  <c r="S108" i="13"/>
  <c r="S109" i="13"/>
  <c r="S110" i="13"/>
  <c r="S37" i="13"/>
  <c r="S17" i="13"/>
  <c r="S143" i="13"/>
  <c r="D155" i="18"/>
  <c r="G155" i="18" s="1"/>
  <c r="H154" i="18"/>
  <c r="S43" i="13"/>
  <c r="R44" i="13"/>
  <c r="O23" i="14" s="1"/>
  <c r="S36" i="13"/>
  <c r="R40" i="13"/>
  <c r="O22" i="14" s="1"/>
  <c r="T28" i="13"/>
  <c r="U28" i="13" s="1"/>
  <c r="V28" i="13" s="1"/>
  <c r="W28" i="13" s="1"/>
  <c r="X28" i="13" s="1"/>
  <c r="Y28" i="13" s="1"/>
  <c r="Z28" i="13" s="1"/>
  <c r="AA28" i="13" s="1"/>
  <c r="AB28" i="13" s="1"/>
  <c r="T112" i="13" l="1"/>
  <c r="T146" i="13"/>
  <c r="T216" i="13"/>
  <c r="T219" i="13"/>
  <c r="T223" i="13"/>
  <c r="T221" i="13"/>
  <c r="T222" i="13"/>
  <c r="T218" i="13"/>
  <c r="T220" i="13"/>
  <c r="T217" i="13"/>
  <c r="T230" i="13"/>
  <c r="T226" i="13"/>
  <c r="T225" i="13"/>
  <c r="T229" i="13"/>
  <c r="T228" i="13"/>
  <c r="T227" i="13"/>
  <c r="T224" i="13"/>
  <c r="T141" i="13"/>
  <c r="T107" i="13"/>
  <c r="S16" i="13"/>
  <c r="P18" i="14" s="1"/>
  <c r="T109" i="13"/>
  <c r="T139" i="13"/>
  <c r="T138" i="13"/>
  <c r="T137" i="13"/>
  <c r="T136" i="13"/>
  <c r="T135" i="13"/>
  <c r="T134" i="13"/>
  <c r="T133" i="13"/>
  <c r="T132" i="13"/>
  <c r="T127" i="13"/>
  <c r="T131" i="13"/>
  <c r="T130" i="13"/>
  <c r="T129" i="13"/>
  <c r="T128" i="13"/>
  <c r="T108" i="13"/>
  <c r="S126" i="13"/>
  <c r="T85" i="13"/>
  <c r="T37" i="13"/>
  <c r="T110" i="13"/>
  <c r="T98" i="13"/>
  <c r="T101" i="13"/>
  <c r="T105" i="13"/>
  <c r="T100" i="13"/>
  <c r="T93" i="13"/>
  <c r="T103" i="13"/>
  <c r="T102" i="13"/>
  <c r="T96" i="13"/>
  <c r="T95" i="13"/>
  <c r="T104" i="13"/>
  <c r="T94" i="13"/>
  <c r="T97" i="13"/>
  <c r="T106" i="13"/>
  <c r="T140" i="13" s="1"/>
  <c r="T99" i="13"/>
  <c r="T89" i="13"/>
  <c r="T84" i="13"/>
  <c r="T90" i="13"/>
  <c r="T87" i="13"/>
  <c r="T91" i="13"/>
  <c r="T88" i="13"/>
  <c r="U1" i="13"/>
  <c r="U235" i="13" s="1"/>
  <c r="T86" i="13"/>
  <c r="T25" i="13"/>
  <c r="Q19" i="14" s="1"/>
  <c r="T143" i="13"/>
  <c r="G134" i="22"/>
  <c r="I134" i="22"/>
  <c r="S39" i="13"/>
  <c r="P72" i="14" s="1"/>
  <c r="T17" i="13"/>
  <c r="C45" i="1"/>
  <c r="E45" i="1" s="1"/>
  <c r="H155" i="18"/>
  <c r="D156" i="18"/>
  <c r="G156" i="18" s="1"/>
  <c r="T43" i="13"/>
  <c r="T44" i="13" s="1"/>
  <c r="Q23" i="14" s="1"/>
  <c r="S44" i="13"/>
  <c r="P23" i="14" s="1"/>
  <c r="T36" i="13"/>
  <c r="T29" i="13"/>
  <c r="Q20" i="14" s="1"/>
  <c r="U112" i="13" l="1"/>
  <c r="U146" i="13"/>
  <c r="U230" i="13"/>
  <c r="U226" i="13"/>
  <c r="U225" i="13"/>
  <c r="U229" i="13"/>
  <c r="U228" i="13"/>
  <c r="U227" i="13"/>
  <c r="U224" i="13"/>
  <c r="U223" i="13"/>
  <c r="U222" i="13"/>
  <c r="U221" i="13"/>
  <c r="U220" i="13"/>
  <c r="U219" i="13"/>
  <c r="U218" i="13"/>
  <c r="U217" i="13"/>
  <c r="U216" i="13"/>
  <c r="T16" i="13"/>
  <c r="Q18" i="14" s="1"/>
  <c r="U141" i="13"/>
  <c r="U107" i="13"/>
  <c r="T126" i="13"/>
  <c r="U139" i="13"/>
  <c r="U138" i="13"/>
  <c r="U137" i="13"/>
  <c r="U136" i="13"/>
  <c r="U140" i="13"/>
  <c r="U135" i="13"/>
  <c r="U134" i="13"/>
  <c r="U133" i="13"/>
  <c r="U132" i="13"/>
  <c r="U131" i="13"/>
  <c r="U130" i="13"/>
  <c r="U129" i="13"/>
  <c r="U128" i="13"/>
  <c r="U127" i="13"/>
  <c r="U90" i="13"/>
  <c r="U103" i="13"/>
  <c r="U100" i="13"/>
  <c r="U93" i="13"/>
  <c r="U102" i="13"/>
  <c r="U101" i="13"/>
  <c r="U95" i="13"/>
  <c r="U104" i="13"/>
  <c r="U97" i="13"/>
  <c r="U106" i="13"/>
  <c r="U94" i="13"/>
  <c r="U98" i="13"/>
  <c r="U99" i="13"/>
  <c r="U96" i="13"/>
  <c r="U105" i="13"/>
  <c r="U124" i="13"/>
  <c r="U143" i="13"/>
  <c r="U118" i="13"/>
  <c r="U119" i="13"/>
  <c r="U144" i="13"/>
  <c r="U208" i="13"/>
  <c r="U232" i="13"/>
  <c r="U88" i="13"/>
  <c r="U91" i="13"/>
  <c r="U207" i="13"/>
  <c r="U214" i="13"/>
  <c r="U209" i="13"/>
  <c r="U16" i="13"/>
  <c r="U6" i="13"/>
  <c r="U213" i="13"/>
  <c r="U36" i="13"/>
  <c r="U211" i="13"/>
  <c r="U37" i="13"/>
  <c r="U39" i="13"/>
  <c r="R72" i="14" s="1"/>
  <c r="U145" i="13"/>
  <c r="U122" i="13"/>
  <c r="U123" i="13"/>
  <c r="U17" i="13"/>
  <c r="U126" i="13"/>
  <c r="U111" i="13"/>
  <c r="U29" i="13"/>
  <c r="U142" i="13"/>
  <c r="U86" i="13"/>
  <c r="S40" i="13"/>
  <c r="P22" i="14" s="1"/>
  <c r="U33" i="13"/>
  <c r="R21" i="14" s="1"/>
  <c r="U120" i="13"/>
  <c r="U234" i="13"/>
  <c r="U109" i="13"/>
  <c r="U231" i="13"/>
  <c r="U43" i="13"/>
  <c r="U44" i="13" s="1"/>
  <c r="R23" i="14" s="1"/>
  <c r="U108" i="13"/>
  <c r="V1" i="13"/>
  <c r="V235" i="13" s="1"/>
  <c r="U125" i="13"/>
  <c r="U215" i="13"/>
  <c r="U84" i="13"/>
  <c r="U110" i="13"/>
  <c r="U233" i="13"/>
  <c r="U25" i="13"/>
  <c r="U121" i="13"/>
  <c r="U237" i="13"/>
  <c r="U89" i="13"/>
  <c r="U210" i="13"/>
  <c r="U87" i="13"/>
  <c r="U212" i="13"/>
  <c r="U85" i="13"/>
  <c r="D135" i="22"/>
  <c r="H134" i="22"/>
  <c r="D157" i="18"/>
  <c r="G157" i="18" s="1"/>
  <c r="H156" i="18"/>
  <c r="T40" i="13"/>
  <c r="Q22" i="14" s="1"/>
  <c r="V112" i="13" l="1"/>
  <c r="V146" i="13"/>
  <c r="V230" i="13"/>
  <c r="V226" i="13"/>
  <c r="V225" i="13"/>
  <c r="V229" i="13"/>
  <c r="V228" i="13"/>
  <c r="V227" i="13"/>
  <c r="V224" i="13"/>
  <c r="V223" i="13"/>
  <c r="V222" i="13"/>
  <c r="V221" i="13"/>
  <c r="V220" i="13"/>
  <c r="V219" i="13"/>
  <c r="V218" i="13"/>
  <c r="V217" i="13"/>
  <c r="V216" i="13"/>
  <c r="V141" i="13"/>
  <c r="V107" i="13"/>
  <c r="V139" i="13"/>
  <c r="V138" i="13"/>
  <c r="V137" i="13"/>
  <c r="V136" i="13"/>
  <c r="V135" i="13"/>
  <c r="V134" i="13"/>
  <c r="V133" i="13"/>
  <c r="V132" i="13"/>
  <c r="V131" i="13"/>
  <c r="V130" i="13"/>
  <c r="V129" i="13"/>
  <c r="V128" i="13"/>
  <c r="V127" i="13"/>
  <c r="V140" i="13"/>
  <c r="V87" i="13"/>
  <c r="V100" i="13"/>
  <c r="V98" i="13"/>
  <c r="V93" i="13"/>
  <c r="V102" i="13"/>
  <c r="V95" i="13"/>
  <c r="V104" i="13"/>
  <c r="V97" i="13"/>
  <c r="V106" i="13"/>
  <c r="V103" i="13"/>
  <c r="V99" i="13"/>
  <c r="V96" i="13"/>
  <c r="V105" i="13"/>
  <c r="V101" i="13"/>
  <c r="V94" i="13"/>
  <c r="V215" i="13"/>
  <c r="V207" i="13"/>
  <c r="V209" i="13"/>
  <c r="U40" i="13"/>
  <c r="R22" i="14" s="1"/>
  <c r="R24" i="14" s="1"/>
  <c r="R71" i="14" s="1"/>
  <c r="R73" i="14" s="1"/>
  <c r="V208" i="13"/>
  <c r="V90" i="13"/>
  <c r="W1" i="13"/>
  <c r="W235" i="13" s="1"/>
  <c r="V84" i="13"/>
  <c r="V88" i="13"/>
  <c r="V33" i="13"/>
  <c r="S21" i="14" s="1"/>
  <c r="V85" i="13"/>
  <c r="V25" i="13"/>
  <c r="V121" i="13"/>
  <c r="V124" i="13"/>
  <c r="V126" i="13"/>
  <c r="V120" i="13"/>
  <c r="V125" i="13"/>
  <c r="V17" i="13"/>
  <c r="V123" i="13"/>
  <c r="V36" i="13"/>
  <c r="V237" i="13"/>
  <c r="V86" i="13"/>
  <c r="V122" i="13"/>
  <c r="V211" i="13"/>
  <c r="V29" i="13"/>
  <c r="V212" i="13"/>
  <c r="V89" i="13"/>
  <c r="V6" i="13"/>
  <c r="V213" i="13"/>
  <c r="V145" i="13"/>
  <c r="V39" i="13"/>
  <c r="S72" i="14" s="1"/>
  <c r="V110" i="13"/>
  <c r="V43" i="13"/>
  <c r="V44" i="13" s="1"/>
  <c r="S23" i="14" s="1"/>
  <c r="V231" i="13"/>
  <c r="V109" i="13"/>
  <c r="V91" i="13"/>
  <c r="V118" i="13"/>
  <c r="V37" i="13"/>
  <c r="V111" i="13"/>
  <c r="V232" i="13"/>
  <c r="V143" i="13"/>
  <c r="V233" i="13"/>
  <c r="V108" i="13"/>
  <c r="V16" i="13"/>
  <c r="V210" i="13"/>
  <c r="V144" i="13"/>
  <c r="V119" i="13"/>
  <c r="V214" i="13"/>
  <c r="V142" i="13"/>
  <c r="V234" i="13"/>
  <c r="G135" i="22"/>
  <c r="I135" i="22"/>
  <c r="D158" i="18"/>
  <c r="G158" i="18" s="1"/>
  <c r="H157" i="18"/>
  <c r="W112" i="13" l="1"/>
  <c r="W146" i="13"/>
  <c r="W230" i="13"/>
  <c r="W226" i="13"/>
  <c r="W225" i="13"/>
  <c r="W229" i="13"/>
  <c r="W228" i="13"/>
  <c r="W227" i="13"/>
  <c r="W224" i="13"/>
  <c r="W223" i="13"/>
  <c r="W222" i="13"/>
  <c r="W221" i="13"/>
  <c r="W220" i="13"/>
  <c r="W219" i="13"/>
  <c r="W218" i="13"/>
  <c r="W217" i="13"/>
  <c r="W216" i="13"/>
  <c r="W141" i="13"/>
  <c r="W107" i="13"/>
  <c r="W135" i="13"/>
  <c r="W134" i="13"/>
  <c r="W133" i="13"/>
  <c r="W132" i="13"/>
  <c r="W137" i="13"/>
  <c r="W131" i="13"/>
  <c r="W130" i="13"/>
  <c r="W129" i="13"/>
  <c r="W128" i="13"/>
  <c r="W127" i="13"/>
  <c r="W140" i="13"/>
  <c r="W136" i="13"/>
  <c r="W138" i="13"/>
  <c r="W139" i="13"/>
  <c r="W145" i="13"/>
  <c r="W118" i="13"/>
  <c r="W237" i="13"/>
  <c r="W93" i="13"/>
  <c r="W102" i="13"/>
  <c r="W95" i="13"/>
  <c r="W104" i="13"/>
  <c r="W97" i="13"/>
  <c r="W106" i="13"/>
  <c r="W99" i="13"/>
  <c r="W103" i="13"/>
  <c r="W100" i="13"/>
  <c r="W98" i="13"/>
  <c r="W101" i="13"/>
  <c r="W94" i="13"/>
  <c r="W96" i="13"/>
  <c r="W105" i="13"/>
  <c r="W111" i="13"/>
  <c r="W110" i="13"/>
  <c r="W108" i="13"/>
  <c r="W89" i="13"/>
  <c r="W143" i="13"/>
  <c r="W109" i="13"/>
  <c r="W84" i="13"/>
  <c r="W126" i="13"/>
  <c r="W123" i="13"/>
  <c r="W120" i="13"/>
  <c r="W29" i="13"/>
  <c r="W90" i="13"/>
  <c r="W232" i="13"/>
  <c r="W85" i="13"/>
  <c r="W87" i="13"/>
  <c r="W233" i="13"/>
  <c r="W208" i="13"/>
  <c r="W88" i="13"/>
  <c r="W37" i="13"/>
  <c r="W39" i="13"/>
  <c r="T72" i="14" s="1"/>
  <c r="W210" i="13"/>
  <c r="W211" i="13"/>
  <c r="W234" i="13"/>
  <c r="W231" i="13"/>
  <c r="W36" i="13"/>
  <c r="W209" i="13"/>
  <c r="W43" i="13"/>
  <c r="W44" i="13" s="1"/>
  <c r="T23" i="14" s="1"/>
  <c r="W124" i="13"/>
  <c r="W33" i="13"/>
  <c r="T21" i="14" s="1"/>
  <c r="X1" i="13"/>
  <c r="X235" i="13" s="1"/>
  <c r="W213" i="13"/>
  <c r="W6" i="13"/>
  <c r="W207" i="13"/>
  <c r="W125" i="13"/>
  <c r="W212" i="13"/>
  <c r="W86" i="13"/>
  <c r="W144" i="13"/>
  <c r="W91" i="13"/>
  <c r="W25" i="13"/>
  <c r="W122" i="13"/>
  <c r="W214" i="13"/>
  <c r="W142" i="13"/>
  <c r="W17" i="13"/>
  <c r="W119" i="13"/>
  <c r="W16" i="13"/>
  <c r="W121" i="13"/>
  <c r="W215" i="13"/>
  <c r="V40" i="13"/>
  <c r="S22" i="14" s="1"/>
  <c r="S24" i="14" s="1"/>
  <c r="S71" i="14" s="1"/>
  <c r="S73" i="14" s="1"/>
  <c r="S104" i="14" s="1"/>
  <c r="D136" i="22"/>
  <c r="H135" i="22"/>
  <c r="D159" i="18"/>
  <c r="G159" i="18" s="1"/>
  <c r="H158" i="18"/>
  <c r="R104" i="14"/>
  <c r="R74" i="14"/>
  <c r="R98" i="14"/>
  <c r="X112" i="13" l="1"/>
  <c r="X146" i="13"/>
  <c r="X230" i="13"/>
  <c r="X226" i="13"/>
  <c r="X225" i="13"/>
  <c r="X229" i="13"/>
  <c r="X228" i="13"/>
  <c r="X227" i="13"/>
  <c r="X224" i="13"/>
  <c r="X223" i="13"/>
  <c r="X222" i="13"/>
  <c r="X221" i="13"/>
  <c r="X220" i="13"/>
  <c r="X219" i="13"/>
  <c r="X218" i="13"/>
  <c r="X217" i="13"/>
  <c r="X216" i="13"/>
  <c r="X141" i="13"/>
  <c r="X107" i="13"/>
  <c r="X135" i="13"/>
  <c r="X134" i="13"/>
  <c r="X133" i="13"/>
  <c r="X132" i="13"/>
  <c r="X131" i="13"/>
  <c r="X130" i="13"/>
  <c r="X129" i="13"/>
  <c r="X128" i="13"/>
  <c r="X139" i="13"/>
  <c r="X127" i="13"/>
  <c r="X138" i="13"/>
  <c r="X140" i="13"/>
  <c r="X136" i="13"/>
  <c r="X137" i="13"/>
  <c r="W40" i="13"/>
  <c r="T22" i="14" s="1"/>
  <c r="T24" i="14" s="1"/>
  <c r="T71" i="14" s="1"/>
  <c r="T73" i="14" s="1"/>
  <c r="X91" i="13"/>
  <c r="X102" i="13"/>
  <c r="X95" i="13"/>
  <c r="X104" i="13"/>
  <c r="X97" i="13"/>
  <c r="X106" i="13"/>
  <c r="X99" i="13"/>
  <c r="X98" i="13"/>
  <c r="X100" i="13"/>
  <c r="X101" i="13"/>
  <c r="X94" i="13"/>
  <c r="X96" i="13"/>
  <c r="X103" i="13"/>
  <c r="X105" i="13"/>
  <c r="X93" i="13"/>
  <c r="X211" i="13"/>
  <c r="X122" i="13"/>
  <c r="X209" i="13"/>
  <c r="X210" i="13"/>
  <c r="X145" i="13"/>
  <c r="X119" i="13"/>
  <c r="Y1" i="13"/>
  <c r="Y235" i="13" s="1"/>
  <c r="X213" i="13"/>
  <c r="X6" i="13"/>
  <c r="X121" i="13"/>
  <c r="X118" i="13"/>
  <c r="X25" i="13"/>
  <c r="X84" i="13"/>
  <c r="X36" i="13"/>
  <c r="X143" i="13"/>
  <c r="X85" i="13"/>
  <c r="X125" i="13"/>
  <c r="X86" i="13"/>
  <c r="X142" i="13"/>
  <c r="X88" i="13"/>
  <c r="X126" i="13"/>
  <c r="X37" i="13"/>
  <c r="X234" i="13"/>
  <c r="X87" i="13"/>
  <c r="X123" i="13"/>
  <c r="X212" i="13"/>
  <c r="X214" i="13"/>
  <c r="X16" i="13"/>
  <c r="X144" i="13"/>
  <c r="X89" i="13"/>
  <c r="X39" i="13"/>
  <c r="U72" i="14" s="1"/>
  <c r="X207" i="13"/>
  <c r="X90" i="13"/>
  <c r="X17" i="13"/>
  <c r="X29" i="13"/>
  <c r="X208" i="13"/>
  <c r="X237" i="13"/>
  <c r="X111" i="13"/>
  <c r="X110" i="13"/>
  <c r="X215" i="13"/>
  <c r="X231" i="13"/>
  <c r="X43" i="13"/>
  <c r="X44" i="13" s="1"/>
  <c r="U23" i="14" s="1"/>
  <c r="X108" i="13"/>
  <c r="X120" i="13"/>
  <c r="X232" i="13"/>
  <c r="X109" i="13"/>
  <c r="X33" i="13"/>
  <c r="U21" i="14" s="1"/>
  <c r="X124" i="13"/>
  <c r="X233" i="13"/>
  <c r="G136" i="22"/>
  <c r="I136" i="22"/>
  <c r="H159" i="18"/>
  <c r="D160" i="18"/>
  <c r="G160" i="18" s="1"/>
  <c r="S84" i="14"/>
  <c r="S98" i="14"/>
  <c r="S87" i="14"/>
  <c r="S74" i="14"/>
  <c r="Y112" i="13" l="1"/>
  <c r="Y146" i="13"/>
  <c r="Y230" i="13"/>
  <c r="Y226" i="13"/>
  <c r="Y225" i="13"/>
  <c r="Y229" i="13"/>
  <c r="Y228" i="13"/>
  <c r="Y227" i="13"/>
  <c r="Y224" i="13"/>
  <c r="Y223" i="13"/>
  <c r="Y222" i="13"/>
  <c r="Y221" i="13"/>
  <c r="Y220" i="13"/>
  <c r="Y219" i="13"/>
  <c r="Y218" i="13"/>
  <c r="Y217" i="13"/>
  <c r="Y216" i="13"/>
  <c r="Y141" i="13"/>
  <c r="Y107" i="13"/>
  <c r="Y43" i="13"/>
  <c r="Y44" i="13" s="1"/>
  <c r="V23" i="14" s="1"/>
  <c r="Y131" i="13"/>
  <c r="Y130" i="13"/>
  <c r="Y129" i="13"/>
  <c r="Y128" i="13"/>
  <c r="Y137" i="13"/>
  <c r="Y135" i="13"/>
  <c r="Y127" i="13"/>
  <c r="Y139" i="13"/>
  <c r="Y140" i="13"/>
  <c r="Y134" i="13"/>
  <c r="Y132" i="13"/>
  <c r="Y133" i="13"/>
  <c r="Y136" i="13"/>
  <c r="Y138" i="13"/>
  <c r="Y16" i="13"/>
  <c r="Y125" i="13"/>
  <c r="Y119" i="13"/>
  <c r="Y212" i="13"/>
  <c r="Y208" i="13"/>
  <c r="Y234" i="13"/>
  <c r="Y95" i="13"/>
  <c r="Y104" i="13"/>
  <c r="Y97" i="13"/>
  <c r="Y106" i="13"/>
  <c r="Y102" i="13"/>
  <c r="Y99" i="13"/>
  <c r="Y101" i="13"/>
  <c r="Y96" i="13"/>
  <c r="Y94" i="13"/>
  <c r="Y103" i="13"/>
  <c r="Y98" i="13"/>
  <c r="Y100" i="13"/>
  <c r="Y105" i="13"/>
  <c r="Y93" i="13"/>
  <c r="Y123" i="13"/>
  <c r="Y209" i="13"/>
  <c r="Y122" i="13"/>
  <c r="Y110" i="13"/>
  <c r="Y86" i="13"/>
  <c r="Y213" i="13"/>
  <c r="Y91" i="13"/>
  <c r="Y111" i="13"/>
  <c r="Y109" i="13"/>
  <c r="Y214" i="13"/>
  <c r="Z1" i="13"/>
  <c r="Z235" i="13" s="1"/>
  <c r="Y124" i="13"/>
  <c r="Y120" i="13"/>
  <c r="Y108" i="13"/>
  <c r="Y87" i="13"/>
  <c r="Y33" i="13"/>
  <c r="V21" i="14" s="1"/>
  <c r="Y207" i="13"/>
  <c r="Y17" i="13"/>
  <c r="Y211" i="13"/>
  <c r="X40" i="13"/>
  <c r="U22" i="14" s="1"/>
  <c r="U24" i="14" s="1"/>
  <c r="U71" i="14" s="1"/>
  <c r="U73" i="14" s="1"/>
  <c r="Y25" i="13"/>
  <c r="Y121" i="13"/>
  <c r="Y145" i="13"/>
  <c r="Y88" i="13"/>
  <c r="Y6" i="13"/>
  <c r="Y215" i="13"/>
  <c r="Y142" i="13"/>
  <c r="Y233" i="13"/>
  <c r="Y232" i="13"/>
  <c r="Y90" i="13"/>
  <c r="Y29" i="13"/>
  <c r="Y237" i="13"/>
  <c r="Y231" i="13"/>
  <c r="Y118" i="13"/>
  <c r="Y143" i="13"/>
  <c r="Y126" i="13"/>
  <c r="Y89" i="13"/>
  <c r="Y36" i="13"/>
  <c r="Y84" i="13"/>
  <c r="Y37" i="13"/>
  <c r="Y39" i="13"/>
  <c r="V72" i="14" s="1"/>
  <c r="Y144" i="13"/>
  <c r="Y210" i="13"/>
  <c r="Y85" i="13"/>
  <c r="H136" i="22"/>
  <c r="D137" i="22"/>
  <c r="D161" i="18"/>
  <c r="G161" i="18" s="1"/>
  <c r="H160" i="18"/>
  <c r="T98" i="14"/>
  <c r="T104" i="14"/>
  <c r="T84" i="14"/>
  <c r="T87" i="14"/>
  <c r="T74" i="14"/>
  <c r="Z112" i="13" l="1"/>
  <c r="Z146" i="13"/>
  <c r="Z230" i="13"/>
  <c r="Z226" i="13"/>
  <c r="Z225" i="13"/>
  <c r="Z229" i="13"/>
  <c r="Z228" i="13"/>
  <c r="Z227" i="13"/>
  <c r="Z224" i="13"/>
  <c r="Z223" i="13"/>
  <c r="Z222" i="13"/>
  <c r="Z221" i="13"/>
  <c r="Z220" i="13"/>
  <c r="Z219" i="13"/>
  <c r="Z218" i="13"/>
  <c r="Z217" i="13"/>
  <c r="Z216" i="13"/>
  <c r="Z107" i="13"/>
  <c r="Z141" i="13"/>
  <c r="Z127" i="13"/>
  <c r="Z132" i="13"/>
  <c r="Z138" i="13"/>
  <c r="Z131" i="13"/>
  <c r="Z140" i="13"/>
  <c r="Z139" i="13"/>
  <c r="Z130" i="13"/>
  <c r="Z135" i="13"/>
  <c r="Z137" i="13"/>
  <c r="Z128" i="13"/>
  <c r="Z136" i="13"/>
  <c r="Z133" i="13"/>
  <c r="Z134" i="13"/>
  <c r="Z129" i="13"/>
  <c r="Z207" i="13"/>
  <c r="Z86" i="13"/>
  <c r="Z84" i="13"/>
  <c r="Z88" i="13"/>
  <c r="Z89" i="13"/>
  <c r="Z144" i="13"/>
  <c r="Z124" i="13"/>
  <c r="Z125" i="13"/>
  <c r="Z142" i="13"/>
  <c r="Z126" i="13"/>
  <c r="Z237" i="13"/>
  <c r="Z37" i="13"/>
  <c r="Y40" i="13"/>
  <c r="V22" i="14" s="1"/>
  <c r="V24" i="14" s="1"/>
  <c r="V71" i="14" s="1"/>
  <c r="Z39" i="13"/>
  <c r="W72" i="14" s="1"/>
  <c r="Z36" i="13"/>
  <c r="Z143" i="13"/>
  <c r="Z215" i="13"/>
  <c r="Z233" i="13"/>
  <c r="Z234" i="13"/>
  <c r="Z231" i="13"/>
  <c r="Z232" i="13"/>
  <c r="Z145" i="13"/>
  <c r="Z212" i="13"/>
  <c r="Z43" i="13"/>
  <c r="Z44" i="13" s="1"/>
  <c r="W23" i="14" s="1"/>
  <c r="Z118" i="13"/>
  <c r="Z33" i="13"/>
  <c r="W21" i="14" s="1"/>
  <c r="Z16" i="13"/>
  <c r="Z111" i="13"/>
  <c r="Z210" i="13"/>
  <c r="AA1" i="13"/>
  <c r="AA235" i="13" s="1"/>
  <c r="Z108" i="13"/>
  <c r="Z6" i="13"/>
  <c r="Z104" i="13"/>
  <c r="Z93" i="13"/>
  <c r="Z95" i="13"/>
  <c r="Z97" i="13"/>
  <c r="Z106" i="13"/>
  <c r="Z99" i="13"/>
  <c r="Z101" i="13"/>
  <c r="Z100" i="13"/>
  <c r="Z94" i="13"/>
  <c r="Z103" i="13"/>
  <c r="Z98" i="13"/>
  <c r="Z96" i="13"/>
  <c r="Z105" i="13"/>
  <c r="Z102" i="13"/>
  <c r="Z110" i="13"/>
  <c r="Z209" i="13"/>
  <c r="Z119" i="13"/>
  <c r="Z109" i="13"/>
  <c r="Z120" i="13"/>
  <c r="Z87" i="13"/>
  <c r="Z25" i="13"/>
  <c r="Z211" i="13"/>
  <c r="Z90" i="13"/>
  <c r="Z213" i="13"/>
  <c r="Z214" i="13"/>
  <c r="Z17" i="13"/>
  <c r="Z121" i="13"/>
  <c r="Z91" i="13"/>
  <c r="Z122" i="13"/>
  <c r="Z29" i="13"/>
  <c r="Z123" i="13"/>
  <c r="Z208" i="13"/>
  <c r="Z85" i="13"/>
  <c r="G137" i="22"/>
  <c r="I137" i="22"/>
  <c r="D162" i="18"/>
  <c r="G162" i="18" s="1"/>
  <c r="H161" i="18"/>
  <c r="U104" i="14"/>
  <c r="U98" i="14"/>
  <c r="U84" i="14"/>
  <c r="U87" i="14"/>
  <c r="U74" i="14"/>
  <c r="AA112" i="13" l="1"/>
  <c r="AA146" i="13"/>
  <c r="AA230" i="13"/>
  <c r="AA226" i="13"/>
  <c r="AA225" i="13"/>
  <c r="AA229" i="13"/>
  <c r="AA228" i="13"/>
  <c r="AA227" i="13"/>
  <c r="AA224" i="13"/>
  <c r="AA223" i="13"/>
  <c r="AA222" i="13"/>
  <c r="AA221" i="13"/>
  <c r="AA220" i="13"/>
  <c r="AA219" i="13"/>
  <c r="AA218" i="13"/>
  <c r="AA217" i="13"/>
  <c r="AA216" i="13"/>
  <c r="AA107" i="13"/>
  <c r="AA141" i="13"/>
  <c r="AA139" i="13"/>
  <c r="AA127" i="13"/>
  <c r="AA140" i="13"/>
  <c r="AA135" i="13"/>
  <c r="AA131" i="13"/>
  <c r="AA138" i="13"/>
  <c r="AA130" i="13"/>
  <c r="AA137" i="13"/>
  <c r="AA129" i="13"/>
  <c r="AA134" i="13"/>
  <c r="AA136" i="13"/>
  <c r="AA132" i="13"/>
  <c r="AA128" i="13"/>
  <c r="AA133" i="13"/>
  <c r="AA213" i="13"/>
  <c r="AA84" i="13"/>
  <c r="AA36" i="13"/>
  <c r="Z40" i="13"/>
  <c r="W22" i="14" s="1"/>
  <c r="AA39" i="13"/>
  <c r="X72" i="14" s="1"/>
  <c r="AA89" i="13"/>
  <c r="AA144" i="13"/>
  <c r="AA233" i="13"/>
  <c r="AA232" i="13"/>
  <c r="AA118" i="13"/>
  <c r="AA142" i="13"/>
  <c r="AA234" i="13"/>
  <c r="AA126" i="13"/>
  <c r="AA145" i="13"/>
  <c r="AA143" i="13"/>
  <c r="AA231" i="13"/>
  <c r="AA111" i="13"/>
  <c r="AB1" i="13"/>
  <c r="AB235" i="13" s="1"/>
  <c r="AA91" i="13"/>
  <c r="AA209" i="13"/>
  <c r="AA97" i="13"/>
  <c r="AA106" i="13"/>
  <c r="AA102" i="13"/>
  <c r="AA99" i="13"/>
  <c r="AA101" i="13"/>
  <c r="AA94" i="13"/>
  <c r="AA103" i="13"/>
  <c r="AA96" i="13"/>
  <c r="AA104" i="13"/>
  <c r="AA93" i="13"/>
  <c r="AA105" i="13"/>
  <c r="AA100" i="13"/>
  <c r="AA98" i="13"/>
  <c r="AA95" i="13"/>
  <c r="AA43" i="13"/>
  <c r="AA44" i="13" s="1"/>
  <c r="X23" i="14" s="1"/>
  <c r="AA108" i="13"/>
  <c r="AA122" i="13"/>
  <c r="AA210" i="13"/>
  <c r="AA25" i="13"/>
  <c r="AA212" i="13"/>
  <c r="AA6" i="13"/>
  <c r="AA109" i="13"/>
  <c r="AA17" i="13"/>
  <c r="AA211" i="13"/>
  <c r="AA33" i="13"/>
  <c r="X21" i="14" s="1"/>
  <c r="AA110" i="13"/>
  <c r="AA124" i="13"/>
  <c r="AA16" i="13"/>
  <c r="AA119" i="13"/>
  <c r="AA237" i="13"/>
  <c r="AA208" i="13"/>
  <c r="AA121" i="13"/>
  <c r="AA214" i="13"/>
  <c r="AA90" i="13"/>
  <c r="AA125" i="13"/>
  <c r="AA207" i="13"/>
  <c r="AA86" i="13"/>
  <c r="AA29" i="13"/>
  <c r="AA87" i="13"/>
  <c r="W24" i="14"/>
  <c r="W71" i="14" s="1"/>
  <c r="AA120" i="13"/>
  <c r="AA85" i="13"/>
  <c r="AA37" i="13"/>
  <c r="AA40" i="13" s="1"/>
  <c r="X22" i="14" s="1"/>
  <c r="AA123" i="13"/>
  <c r="AA215" i="13"/>
  <c r="AA88" i="13"/>
  <c r="H137" i="22"/>
  <c r="D138" i="22"/>
  <c r="D163" i="18"/>
  <c r="G163" i="18" s="1"/>
  <c r="H162" i="18"/>
  <c r="V73" i="14"/>
  <c r="V87" i="14" s="1"/>
  <c r="AB112" i="13" l="1"/>
  <c r="AB146" i="13"/>
  <c r="AB230" i="13"/>
  <c r="AB226" i="13"/>
  <c r="AB225" i="13"/>
  <c r="AB229" i="13"/>
  <c r="AB228" i="13"/>
  <c r="AB227" i="13"/>
  <c r="AB224" i="13"/>
  <c r="AB223" i="13"/>
  <c r="AB222" i="13"/>
  <c r="AB221" i="13"/>
  <c r="AB220" i="13"/>
  <c r="AB219" i="13"/>
  <c r="AB218" i="13"/>
  <c r="AB217" i="13"/>
  <c r="AB216" i="13"/>
  <c r="AB141" i="13"/>
  <c r="AB107" i="13"/>
  <c r="AB140" i="13"/>
  <c r="AB137" i="13"/>
  <c r="AB134" i="13"/>
  <c r="AB128" i="13"/>
  <c r="AB136" i="13"/>
  <c r="AB133" i="13"/>
  <c r="AB131" i="13"/>
  <c r="AB139" i="13"/>
  <c r="AB130" i="13"/>
  <c r="AB138" i="13"/>
  <c r="AB129" i="13"/>
  <c r="AB135" i="13"/>
  <c r="AB127" i="13"/>
  <c r="AB132" i="13"/>
  <c r="AB108" i="13"/>
  <c r="AB6" i="13"/>
  <c r="AB87" i="13"/>
  <c r="AB210" i="13"/>
  <c r="AB214" i="13"/>
  <c r="AB88" i="13"/>
  <c r="AB16" i="13"/>
  <c r="AB25" i="13"/>
  <c r="AB17" i="13"/>
  <c r="AB215" i="13"/>
  <c r="AB33" i="13"/>
  <c r="Y21" i="14" s="1"/>
  <c r="AB232" i="13"/>
  <c r="AB207" i="13"/>
  <c r="AB234" i="13"/>
  <c r="AB124" i="13"/>
  <c r="AB89" i="13"/>
  <c r="AB121" i="13"/>
  <c r="AB90" i="13"/>
  <c r="AB211" i="13"/>
  <c r="AB29" i="13"/>
  <c r="AB237" i="13"/>
  <c r="AB122" i="13"/>
  <c r="AB91" i="13"/>
  <c r="AB118" i="13"/>
  <c r="AB120" i="13"/>
  <c r="AB84" i="13"/>
  <c r="AB125" i="13"/>
  <c r="AB123" i="13"/>
  <c r="AB85" i="13"/>
  <c r="AB126" i="13"/>
  <c r="AB86" i="13"/>
  <c r="AB142" i="13"/>
  <c r="AB143" i="13"/>
  <c r="AB39" i="13"/>
  <c r="Y72" i="14" s="1"/>
  <c r="AB212" i="13"/>
  <c r="AB111" i="13"/>
  <c r="AB36" i="13"/>
  <c r="AB209" i="13"/>
  <c r="AB110" i="13"/>
  <c r="AB145" i="13"/>
  <c r="AB43" i="13"/>
  <c r="AB44" i="13" s="1"/>
  <c r="Y23" i="14" s="1"/>
  <c r="AB213" i="13"/>
  <c r="AB109" i="13"/>
  <c r="AB231" i="13"/>
  <c r="AB37" i="13"/>
  <c r="AB233" i="13"/>
  <c r="AB144" i="13"/>
  <c r="AB119" i="13"/>
  <c r="AB208" i="13"/>
  <c r="AB106" i="13"/>
  <c r="AB94" i="13"/>
  <c r="AB93" i="13"/>
  <c r="AB99" i="13"/>
  <c r="AB100" i="13"/>
  <c r="AB101" i="13"/>
  <c r="AB103" i="13"/>
  <c r="AB96" i="13"/>
  <c r="AB97" i="13"/>
  <c r="AB105" i="13"/>
  <c r="AB102" i="13"/>
  <c r="AB95" i="13"/>
  <c r="AB98" i="13"/>
  <c r="AB104" i="13"/>
  <c r="G138" i="22"/>
  <c r="I138" i="22"/>
  <c r="H163" i="18"/>
  <c r="D164" i="18"/>
  <c r="G164" i="18" s="1"/>
  <c r="V84" i="14"/>
  <c r="V74" i="14"/>
  <c r="V98" i="14"/>
  <c r="V104" i="14"/>
  <c r="W73" i="14"/>
  <c r="W87" i="14" s="1"/>
  <c r="X24" i="14"/>
  <c r="X71" i="14" s="1"/>
  <c r="X73" i="14" s="1"/>
  <c r="D36" i="10"/>
  <c r="D35" i="10"/>
  <c r="D34" i="10"/>
  <c r="D33" i="10"/>
  <c r="D32" i="10"/>
  <c r="D14" i="10"/>
  <c r="D13" i="10"/>
  <c r="D12" i="10"/>
  <c r="D11" i="10"/>
  <c r="D10" i="10"/>
  <c r="D9" i="10"/>
  <c r="B32" i="10"/>
  <c r="B15" i="10"/>
  <c r="B47" i="10" s="1"/>
  <c r="B14" i="10"/>
  <c r="B46" i="10" s="1"/>
  <c r="B13" i="10"/>
  <c r="B45" i="10" s="1"/>
  <c r="B12" i="10"/>
  <c r="B44" i="10" s="1"/>
  <c r="B11" i="10"/>
  <c r="B43" i="10" s="1"/>
  <c r="B10" i="10"/>
  <c r="B42" i="10" s="1"/>
  <c r="B9" i="10"/>
  <c r="B41" i="10" s="1"/>
  <c r="B8" i="10"/>
  <c r="B40" i="10" s="1"/>
  <c r="B7" i="10"/>
  <c r="B39" i="10" s="1"/>
  <c r="E28" i="11"/>
  <c r="F28" i="11" s="1"/>
  <c r="G28" i="11" s="1"/>
  <c r="E9" i="11"/>
  <c r="F9" i="11" s="1"/>
  <c r="E8" i="11"/>
  <c r="F8" i="11" s="1"/>
  <c r="G8" i="11" s="1"/>
  <c r="C44" i="10" s="1"/>
  <c r="E7" i="11"/>
  <c r="F7" i="11" s="1"/>
  <c r="G7" i="11" s="1"/>
  <c r="C43" i="10" s="1"/>
  <c r="E6" i="11"/>
  <c r="F6" i="11" s="1"/>
  <c r="G6" i="11" s="1"/>
  <c r="C42" i="10" s="1"/>
  <c r="E5" i="11"/>
  <c r="F5" i="11" s="1"/>
  <c r="G5" i="11" s="1"/>
  <c r="C41" i="10" s="1"/>
  <c r="E4" i="11"/>
  <c r="F4" i="11" s="1"/>
  <c r="C10" i="11"/>
  <c r="E10" i="11" s="1"/>
  <c r="BB3" i="10"/>
  <c r="BB4" i="10" s="1"/>
  <c r="BB5" i="10" s="1"/>
  <c r="BB6" i="10" s="1"/>
  <c r="BB7" i="10" s="1"/>
  <c r="BB8" i="10" s="1"/>
  <c r="BB9" i="10" s="1"/>
  <c r="BB10" i="10" s="1"/>
  <c r="BB11" i="10" s="1"/>
  <c r="BB12" i="10" s="1"/>
  <c r="BB13" i="10" s="1"/>
  <c r="E2" i="10"/>
  <c r="B64" i="10" l="1"/>
  <c r="AB40" i="13"/>
  <c r="Y22" i="14" s="1"/>
  <c r="Y24" i="14" s="1"/>
  <c r="Y71" i="14" s="1"/>
  <c r="E3" i="11"/>
  <c r="C64" i="10"/>
  <c r="Y64" i="10" s="1"/>
  <c r="C65" i="10"/>
  <c r="AD65" i="10" s="1"/>
  <c r="H138" i="22"/>
  <c r="D139" i="22"/>
  <c r="D165" i="18"/>
  <c r="G165" i="18" s="1"/>
  <c r="H164" i="18"/>
  <c r="W104" i="14"/>
  <c r="W74" i="14"/>
  <c r="W84" i="14"/>
  <c r="W98" i="14"/>
  <c r="W100" i="14" s="1"/>
  <c r="X84" i="14"/>
  <c r="X98" i="14"/>
  <c r="X100" i="14" s="1"/>
  <c r="X104" i="14"/>
  <c r="X74" i="14"/>
  <c r="X87" i="14"/>
  <c r="E3" i="10"/>
  <c r="AE64" i="10"/>
  <c r="O64" i="10"/>
  <c r="AD64" i="10"/>
  <c r="N64" i="10"/>
  <c r="R64" i="10"/>
  <c r="AC64" i="10"/>
  <c r="M64" i="10"/>
  <c r="AB64" i="10"/>
  <c r="L64" i="10"/>
  <c r="E64" i="10"/>
  <c r="AA64" i="10"/>
  <c r="S41" i="10"/>
  <c r="F41" i="10"/>
  <c r="T41" i="10"/>
  <c r="R41" i="10"/>
  <c r="AG41" i="10"/>
  <c r="Q41" i="10"/>
  <c r="G41" i="10"/>
  <c r="AF41" i="10"/>
  <c r="P41" i="10"/>
  <c r="AE41" i="10"/>
  <c r="O41" i="10"/>
  <c r="Y41" i="10"/>
  <c r="AD41" i="10"/>
  <c r="N41" i="10"/>
  <c r="U41" i="10"/>
  <c r="AC41" i="10"/>
  <c r="M41" i="10"/>
  <c r="AB41" i="10"/>
  <c r="L41" i="10"/>
  <c r="W41" i="10"/>
  <c r="AA41" i="10"/>
  <c r="K41" i="10"/>
  <c r="I41" i="10"/>
  <c r="Z41" i="10"/>
  <c r="J41" i="10"/>
  <c r="E41" i="10"/>
  <c r="X41" i="10"/>
  <c r="H41" i="10"/>
  <c r="V41" i="10"/>
  <c r="AA43" i="10"/>
  <c r="K43" i="10"/>
  <c r="Z43" i="10"/>
  <c r="J43" i="10"/>
  <c r="O43" i="10"/>
  <c r="Y43" i="10"/>
  <c r="I43" i="10"/>
  <c r="AD43" i="10"/>
  <c r="AB43" i="10"/>
  <c r="X43" i="10"/>
  <c r="H43" i="10"/>
  <c r="AC43" i="10"/>
  <c r="W43" i="10"/>
  <c r="G43" i="10"/>
  <c r="AG43" i="10"/>
  <c r="V43" i="10"/>
  <c r="F43" i="10"/>
  <c r="AE43" i="10"/>
  <c r="U43" i="10"/>
  <c r="Q43" i="10"/>
  <c r="M43" i="10"/>
  <c r="T43" i="10"/>
  <c r="N43" i="10"/>
  <c r="L43" i="10"/>
  <c r="S43" i="10"/>
  <c r="E43" i="10"/>
  <c r="R43" i="10"/>
  <c r="AF43" i="10"/>
  <c r="P43" i="10"/>
  <c r="AE44" i="10"/>
  <c r="O44" i="10"/>
  <c r="AD44" i="10"/>
  <c r="N44" i="10"/>
  <c r="U44" i="10"/>
  <c r="AC44" i="10"/>
  <c r="M44" i="10"/>
  <c r="S44" i="10"/>
  <c r="AB44" i="10"/>
  <c r="L44" i="10"/>
  <c r="AA44" i="10"/>
  <c r="K44" i="10"/>
  <c r="Z44" i="10"/>
  <c r="J44" i="10"/>
  <c r="P44" i="10"/>
  <c r="Y44" i="10"/>
  <c r="I44" i="10"/>
  <c r="X44" i="10"/>
  <c r="H44" i="10"/>
  <c r="E44" i="10"/>
  <c r="W44" i="10"/>
  <c r="G44" i="10"/>
  <c r="AG44" i="10"/>
  <c r="V44" i="10"/>
  <c r="F44" i="10"/>
  <c r="T44" i="10"/>
  <c r="R44" i="10"/>
  <c r="AF44" i="10"/>
  <c r="Q44" i="10"/>
  <c r="W42" i="10"/>
  <c r="G42" i="10"/>
  <c r="K42" i="10"/>
  <c r="V42" i="10"/>
  <c r="F42" i="10"/>
  <c r="E42" i="10"/>
  <c r="M42" i="10"/>
  <c r="Z42" i="10"/>
  <c r="Y42" i="10"/>
  <c r="U42" i="10"/>
  <c r="T42" i="10"/>
  <c r="AA42" i="10"/>
  <c r="S42" i="10"/>
  <c r="X42" i="10"/>
  <c r="R42" i="10"/>
  <c r="J42" i="10"/>
  <c r="AG42" i="10"/>
  <c r="Q42" i="10"/>
  <c r="AF42" i="10"/>
  <c r="P42" i="10"/>
  <c r="AE42" i="10"/>
  <c r="O42" i="10"/>
  <c r="AC42" i="10"/>
  <c r="AD42" i="10"/>
  <c r="N42" i="10"/>
  <c r="AB42" i="10"/>
  <c r="L42" i="10"/>
  <c r="I42" i="10"/>
  <c r="H42" i="10"/>
  <c r="X65" i="10"/>
  <c r="J65" i="10"/>
  <c r="Z65" i="10"/>
  <c r="Y65" i="10"/>
  <c r="K65" i="10"/>
  <c r="AA65" i="10"/>
  <c r="F65" i="10"/>
  <c r="L65" i="10"/>
  <c r="AB65" i="10"/>
  <c r="M65" i="10"/>
  <c r="AC65" i="10"/>
  <c r="N65" i="10"/>
  <c r="P65" i="10"/>
  <c r="AF65" i="10"/>
  <c r="E65" i="10"/>
  <c r="W65" i="10"/>
  <c r="Q65" i="10"/>
  <c r="AG65" i="10"/>
  <c r="I65" i="10"/>
  <c r="G9" i="11"/>
  <c r="C45" i="10" s="1"/>
  <c r="R65" i="10"/>
  <c r="V65" i="10"/>
  <c r="E4" i="10"/>
  <c r="F10" i="11"/>
  <c r="G4" i="11"/>
  <c r="C40" i="10" s="1"/>
  <c r="L40" i="10" s="1"/>
  <c r="H65" i="10" l="1"/>
  <c r="AE65" i="10"/>
  <c r="G65" i="10"/>
  <c r="U65" i="10"/>
  <c r="O65" i="10"/>
  <c r="Z64" i="10"/>
  <c r="K64" i="10"/>
  <c r="J64" i="10"/>
  <c r="AG64" i="10"/>
  <c r="Q64" i="10"/>
  <c r="S64" i="10"/>
  <c r="T64" i="10"/>
  <c r="U64" i="10"/>
  <c r="F64" i="10"/>
  <c r="V64" i="10"/>
  <c r="AF64" i="10"/>
  <c r="G64" i="10"/>
  <c r="W64" i="10"/>
  <c r="P64" i="10"/>
  <c r="H64" i="10"/>
  <c r="X64" i="10"/>
  <c r="I64" i="10"/>
  <c r="T65" i="10"/>
  <c r="S65" i="10"/>
  <c r="G139" i="22"/>
  <c r="I139" i="22"/>
  <c r="D166" i="18"/>
  <c r="G166" i="18" s="1"/>
  <c r="H165" i="18"/>
  <c r="Y73" i="14"/>
  <c r="Z87" i="14" s="1"/>
  <c r="AE40" i="10"/>
  <c r="AD40" i="10"/>
  <c r="N40" i="10"/>
  <c r="U40" i="10"/>
  <c r="AC40" i="10"/>
  <c r="M40" i="10"/>
  <c r="E40" i="10"/>
  <c r="AB40" i="10"/>
  <c r="AG40" i="10"/>
  <c r="AA40" i="10"/>
  <c r="K40" i="10"/>
  <c r="Z40" i="10"/>
  <c r="J40" i="10"/>
  <c r="Y40" i="10"/>
  <c r="I40" i="10"/>
  <c r="AF40" i="10"/>
  <c r="X40" i="10"/>
  <c r="H40" i="10"/>
  <c r="W40" i="10"/>
  <c r="G40" i="10"/>
  <c r="V40" i="10"/>
  <c r="F40" i="10"/>
  <c r="T40" i="10"/>
  <c r="S40" i="10"/>
  <c r="R40" i="10"/>
  <c r="Q40" i="10"/>
  <c r="P40" i="10"/>
  <c r="G10" i="11"/>
  <c r="C46" i="10" s="1"/>
  <c r="D42" i="10"/>
  <c r="S45" i="10"/>
  <c r="U45" i="10"/>
  <c r="R45" i="10"/>
  <c r="AG45" i="10"/>
  <c r="Q45" i="10"/>
  <c r="AF45" i="10"/>
  <c r="P45" i="10"/>
  <c r="F45" i="10"/>
  <c r="AE45" i="10"/>
  <c r="O45" i="10"/>
  <c r="W45" i="10"/>
  <c r="AD45" i="10"/>
  <c r="N45" i="10"/>
  <c r="Y45" i="10"/>
  <c r="AC45" i="10"/>
  <c r="M45" i="10"/>
  <c r="E45" i="10"/>
  <c r="AB45" i="10"/>
  <c r="L45" i="10"/>
  <c r="AA45" i="10"/>
  <c r="K45" i="10"/>
  <c r="I45" i="10"/>
  <c r="Z45" i="10"/>
  <c r="J45" i="10"/>
  <c r="X45" i="10"/>
  <c r="H45" i="10"/>
  <c r="G45" i="10"/>
  <c r="T45" i="10"/>
  <c r="V45" i="10"/>
  <c r="D44" i="10"/>
  <c r="D41" i="10"/>
  <c r="D43" i="10"/>
  <c r="D65" i="10" l="1"/>
  <c r="D76" i="13" s="1"/>
  <c r="F76" i="13" s="1"/>
  <c r="G76" i="13" s="1"/>
  <c r="H76" i="13" s="1"/>
  <c r="I76" i="13" s="1"/>
  <c r="J76" i="13" s="1"/>
  <c r="K76" i="13" s="1"/>
  <c r="L76" i="13" s="1"/>
  <c r="M76" i="13" s="1"/>
  <c r="N76" i="13" s="1"/>
  <c r="O76" i="13" s="1"/>
  <c r="P76" i="13" s="1"/>
  <c r="Q76" i="13" s="1"/>
  <c r="R76" i="13" s="1"/>
  <c r="S76" i="13" s="1"/>
  <c r="T76" i="13" s="1"/>
  <c r="U76" i="13" s="1"/>
  <c r="V76" i="13" s="1"/>
  <c r="W76" i="13" s="1"/>
  <c r="X76" i="13" s="1"/>
  <c r="Y76" i="13" s="1"/>
  <c r="Z76" i="13" s="1"/>
  <c r="AA76" i="13" s="1"/>
  <c r="AB76" i="13" s="1"/>
  <c r="D64" i="10"/>
  <c r="D75" i="13" s="1"/>
  <c r="D160" i="13" s="1"/>
  <c r="D140" i="22"/>
  <c r="H139" i="22"/>
  <c r="Y84" i="14"/>
  <c r="Y87" i="14"/>
  <c r="Y74" i="14"/>
  <c r="D52" i="13"/>
  <c r="F52" i="13" s="1"/>
  <c r="G52" i="13" s="1"/>
  <c r="H52" i="13" s="1"/>
  <c r="I52" i="13" s="1"/>
  <c r="J52" i="13" s="1"/>
  <c r="K52" i="13" s="1"/>
  <c r="L52" i="13" s="1"/>
  <c r="M52" i="13" s="1"/>
  <c r="N52" i="13" s="1"/>
  <c r="O52" i="13" s="1"/>
  <c r="P52" i="13" s="1"/>
  <c r="Q52" i="13" s="1"/>
  <c r="R52" i="13" s="1"/>
  <c r="S52" i="13" s="1"/>
  <c r="T52" i="13" s="1"/>
  <c r="U52" i="13" s="1"/>
  <c r="V52" i="13" s="1"/>
  <c r="W52" i="13" s="1"/>
  <c r="X52" i="13" s="1"/>
  <c r="Y52" i="13" s="1"/>
  <c r="Z52" i="13" s="1"/>
  <c r="AA52" i="13" s="1"/>
  <c r="AB52" i="13" s="1"/>
  <c r="D54" i="13"/>
  <c r="K87" i="13" s="1"/>
  <c r="D53" i="13"/>
  <c r="F53" i="13" s="1"/>
  <c r="D55" i="13"/>
  <c r="H88" i="13" s="1"/>
  <c r="F108" i="13"/>
  <c r="H108" i="13"/>
  <c r="I108" i="13"/>
  <c r="J108" i="13"/>
  <c r="K108" i="13"/>
  <c r="L108" i="13"/>
  <c r="M108" i="13"/>
  <c r="Y104" i="14"/>
  <c r="Y98" i="14"/>
  <c r="Y100" i="14" s="1"/>
  <c r="Z84" i="14"/>
  <c r="D167" i="18"/>
  <c r="G167" i="18" s="1"/>
  <c r="H166" i="18"/>
  <c r="W46" i="10"/>
  <c r="G46" i="10"/>
  <c r="V46" i="10"/>
  <c r="F46" i="10"/>
  <c r="AC46" i="10"/>
  <c r="Y46" i="10"/>
  <c r="U46" i="10"/>
  <c r="AA46" i="10"/>
  <c r="T46" i="10"/>
  <c r="M46" i="10"/>
  <c r="K46" i="10"/>
  <c r="S46" i="10"/>
  <c r="J46" i="10"/>
  <c r="H46" i="10"/>
  <c r="R46" i="10"/>
  <c r="E46" i="10"/>
  <c r="AG46" i="10"/>
  <c r="Q46" i="10"/>
  <c r="X46" i="10"/>
  <c r="AF46" i="10"/>
  <c r="P46" i="10"/>
  <c r="I46" i="10"/>
  <c r="AE46" i="10"/>
  <c r="O46" i="10"/>
  <c r="AD46" i="10"/>
  <c r="N46" i="10"/>
  <c r="AB46" i="10"/>
  <c r="L46" i="10"/>
  <c r="Z46" i="10"/>
  <c r="D45" i="10"/>
  <c r="M109" i="13" l="1"/>
  <c r="L109" i="13"/>
  <c r="K109" i="13"/>
  <c r="J109" i="13"/>
  <c r="I109" i="13"/>
  <c r="H109" i="13"/>
  <c r="G109" i="13"/>
  <c r="F109" i="13"/>
  <c r="F143" i="13" s="1"/>
  <c r="D161" i="13"/>
  <c r="G108" i="13"/>
  <c r="F75" i="13"/>
  <c r="G75" i="13" s="1"/>
  <c r="H75" i="13" s="1"/>
  <c r="I75" i="13" s="1"/>
  <c r="J75" i="13" s="1"/>
  <c r="K75" i="13" s="1"/>
  <c r="L75" i="13" s="1"/>
  <c r="M75" i="13" s="1"/>
  <c r="N75" i="13" s="1"/>
  <c r="O75" i="13" s="1"/>
  <c r="P75" i="13" s="1"/>
  <c r="Q75" i="13" s="1"/>
  <c r="R75" i="13" s="1"/>
  <c r="S75" i="13" s="1"/>
  <c r="T75" i="13" s="1"/>
  <c r="U75" i="13" s="1"/>
  <c r="V75" i="13" s="1"/>
  <c r="W75" i="13" s="1"/>
  <c r="X75" i="13" s="1"/>
  <c r="Y75" i="13" s="1"/>
  <c r="Z75" i="13" s="1"/>
  <c r="AA75" i="13" s="1"/>
  <c r="AB75" i="13" s="1"/>
  <c r="F142" i="13"/>
  <c r="G143" i="13"/>
  <c r="H143" i="13" s="1"/>
  <c r="I143" i="13" s="1"/>
  <c r="J143" i="13" s="1"/>
  <c r="K143" i="13" s="1"/>
  <c r="L143" i="13" s="1"/>
  <c r="M143" i="13" s="1"/>
  <c r="G142" i="13"/>
  <c r="H142" i="13" s="1"/>
  <c r="I142" i="13" s="1"/>
  <c r="J142" i="13" s="1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D199" i="13"/>
  <c r="F199" i="13" s="1"/>
  <c r="F232" i="13" s="1"/>
  <c r="F267" i="13" s="1"/>
  <c r="F161" i="13"/>
  <c r="L85" i="13"/>
  <c r="K85" i="13"/>
  <c r="H85" i="13"/>
  <c r="J85" i="13"/>
  <c r="H86" i="13"/>
  <c r="G86" i="13"/>
  <c r="F86" i="13"/>
  <c r="F120" i="13" s="1"/>
  <c r="I85" i="13"/>
  <c r="F87" i="13"/>
  <c r="H87" i="13"/>
  <c r="M87" i="13"/>
  <c r="L87" i="13"/>
  <c r="J87" i="13"/>
  <c r="I87" i="13"/>
  <c r="M85" i="13"/>
  <c r="F54" i="13"/>
  <c r="G87" i="13"/>
  <c r="D152" i="13"/>
  <c r="D175" i="13" s="1"/>
  <c r="F175" i="13" s="1"/>
  <c r="F208" i="13" s="1"/>
  <c r="G85" i="13"/>
  <c r="D153" i="13"/>
  <c r="F153" i="13" s="1"/>
  <c r="G153" i="13" s="1"/>
  <c r="H153" i="13" s="1"/>
  <c r="K88" i="13"/>
  <c r="F85" i="13"/>
  <c r="F119" i="13" s="1"/>
  <c r="G119" i="13" s="1"/>
  <c r="H119" i="13" s="1"/>
  <c r="I88" i="13"/>
  <c r="J86" i="13"/>
  <c r="D154" i="13"/>
  <c r="F154" i="13" s="1"/>
  <c r="G154" i="13" s="1"/>
  <c r="H154" i="13" s="1"/>
  <c r="I154" i="13" s="1"/>
  <c r="M86" i="13"/>
  <c r="J88" i="13"/>
  <c r="K86" i="13"/>
  <c r="I86" i="13"/>
  <c r="G140" i="22"/>
  <c r="I140" i="22"/>
  <c r="M88" i="13"/>
  <c r="L86" i="13"/>
  <c r="L88" i="13"/>
  <c r="G53" i="13"/>
  <c r="H53" i="13" s="1"/>
  <c r="I53" i="13" s="1"/>
  <c r="J53" i="13" s="1"/>
  <c r="K53" i="13" s="1"/>
  <c r="L53" i="13" s="1"/>
  <c r="M53" i="13" s="1"/>
  <c r="N53" i="13" s="1"/>
  <c r="O53" i="13" s="1"/>
  <c r="P53" i="13" s="1"/>
  <c r="Q53" i="13" s="1"/>
  <c r="R53" i="13" s="1"/>
  <c r="S53" i="13" s="1"/>
  <c r="T53" i="13" s="1"/>
  <c r="U53" i="13" s="1"/>
  <c r="V53" i="13" s="1"/>
  <c r="W53" i="13" s="1"/>
  <c r="X53" i="13" s="1"/>
  <c r="Y53" i="13" s="1"/>
  <c r="Z53" i="13" s="1"/>
  <c r="AA53" i="13" s="1"/>
  <c r="AB53" i="13" s="1"/>
  <c r="D56" i="13"/>
  <c r="K89" i="13" s="1"/>
  <c r="G88" i="13"/>
  <c r="F88" i="13"/>
  <c r="F55" i="13"/>
  <c r="D155" i="13"/>
  <c r="D178" i="13" s="1"/>
  <c r="F178" i="13" s="1"/>
  <c r="H167" i="18"/>
  <c r="D168" i="18"/>
  <c r="G168" i="18" s="1"/>
  <c r="F160" i="13"/>
  <c r="G160" i="13" s="1"/>
  <c r="H160" i="13" s="1"/>
  <c r="D198" i="13"/>
  <c r="F198" i="13" s="1"/>
  <c r="D46" i="10"/>
  <c r="D39" i="11"/>
  <c r="D40" i="11" s="1"/>
  <c r="G199" i="13" l="1"/>
  <c r="G120" i="13"/>
  <c r="H120" i="13" s="1"/>
  <c r="D177" i="13"/>
  <c r="F177" i="13" s="1"/>
  <c r="F210" i="13" s="1"/>
  <c r="G161" i="13"/>
  <c r="H161" i="13" s="1"/>
  <c r="I161" i="13" s="1"/>
  <c r="J161" i="13" s="1"/>
  <c r="K161" i="13" s="1"/>
  <c r="L161" i="13" s="1"/>
  <c r="I119" i="13"/>
  <c r="J119" i="13" s="1"/>
  <c r="K119" i="13" s="1"/>
  <c r="L119" i="13" s="1"/>
  <c r="M119" i="13" s="1"/>
  <c r="N119" i="13" s="1"/>
  <c r="O119" i="13" s="1"/>
  <c r="P119" i="13" s="1"/>
  <c r="Q119" i="13" s="1"/>
  <c r="R119" i="13" s="1"/>
  <c r="S119" i="13" s="1"/>
  <c r="T119" i="13" s="1"/>
  <c r="F152" i="13"/>
  <c r="G152" i="13" s="1"/>
  <c r="G89" i="13"/>
  <c r="J89" i="13"/>
  <c r="I89" i="13"/>
  <c r="H89" i="13"/>
  <c r="F89" i="13"/>
  <c r="D176" i="13"/>
  <c r="F176" i="13" s="1"/>
  <c r="F209" i="13" s="1"/>
  <c r="F244" i="13" s="1"/>
  <c r="G176" i="13" s="1"/>
  <c r="I120" i="13"/>
  <c r="J120" i="13" s="1"/>
  <c r="K120" i="13" s="1"/>
  <c r="L120" i="13" s="1"/>
  <c r="M120" i="13" s="1"/>
  <c r="N120" i="13" s="1"/>
  <c r="O120" i="13" s="1"/>
  <c r="P120" i="13" s="1"/>
  <c r="Q120" i="13" s="1"/>
  <c r="R120" i="13" s="1"/>
  <c r="S120" i="13" s="1"/>
  <c r="T120" i="13" s="1"/>
  <c r="F56" i="13"/>
  <c r="G56" i="13" s="1"/>
  <c r="H56" i="13" s="1"/>
  <c r="I56" i="13" s="1"/>
  <c r="J56" i="13" s="1"/>
  <c r="K56" i="13" s="1"/>
  <c r="L56" i="13" s="1"/>
  <c r="M56" i="13" s="1"/>
  <c r="N56" i="13" s="1"/>
  <c r="O56" i="13" s="1"/>
  <c r="P56" i="13" s="1"/>
  <c r="Q56" i="13" s="1"/>
  <c r="R56" i="13" s="1"/>
  <c r="S56" i="13" s="1"/>
  <c r="T56" i="13" s="1"/>
  <c r="U56" i="13" s="1"/>
  <c r="V56" i="13" s="1"/>
  <c r="W56" i="13" s="1"/>
  <c r="X56" i="13" s="1"/>
  <c r="Y56" i="13" s="1"/>
  <c r="Z56" i="13" s="1"/>
  <c r="AA56" i="13" s="1"/>
  <c r="AB56" i="13" s="1"/>
  <c r="G54" i="13"/>
  <c r="H54" i="13" s="1"/>
  <c r="I54" i="13" s="1"/>
  <c r="J54" i="13" s="1"/>
  <c r="K54" i="13" s="1"/>
  <c r="L54" i="13" s="1"/>
  <c r="M54" i="13" s="1"/>
  <c r="N54" i="13" s="1"/>
  <c r="O54" i="13" s="1"/>
  <c r="P54" i="13" s="1"/>
  <c r="Q54" i="13" s="1"/>
  <c r="R54" i="13" s="1"/>
  <c r="S54" i="13" s="1"/>
  <c r="T54" i="13" s="1"/>
  <c r="U54" i="13" s="1"/>
  <c r="V54" i="13" s="1"/>
  <c r="W54" i="13" s="1"/>
  <c r="X54" i="13" s="1"/>
  <c r="Y54" i="13" s="1"/>
  <c r="Z54" i="13" s="1"/>
  <c r="AA54" i="13" s="1"/>
  <c r="AB54" i="13" s="1"/>
  <c r="F121" i="13"/>
  <c r="G121" i="13" s="1"/>
  <c r="H121" i="13" s="1"/>
  <c r="I121" i="13" s="1"/>
  <c r="J121" i="13" s="1"/>
  <c r="K121" i="13" s="1"/>
  <c r="L121" i="13" s="1"/>
  <c r="M121" i="13" s="1"/>
  <c r="N121" i="13" s="1"/>
  <c r="O121" i="13" s="1"/>
  <c r="P121" i="13" s="1"/>
  <c r="Q121" i="13" s="1"/>
  <c r="R121" i="13" s="1"/>
  <c r="S121" i="13" s="1"/>
  <c r="T121" i="13" s="1"/>
  <c r="H140" i="22"/>
  <c r="D141" i="22"/>
  <c r="M89" i="13"/>
  <c r="D57" i="13"/>
  <c r="L90" i="13" s="1"/>
  <c r="G55" i="13"/>
  <c r="H55" i="13" s="1"/>
  <c r="I55" i="13" s="1"/>
  <c r="J55" i="13" s="1"/>
  <c r="K55" i="13" s="1"/>
  <c r="L55" i="13" s="1"/>
  <c r="M55" i="13" s="1"/>
  <c r="N55" i="13" s="1"/>
  <c r="O55" i="13" s="1"/>
  <c r="P55" i="13" s="1"/>
  <c r="Q55" i="13" s="1"/>
  <c r="R55" i="13" s="1"/>
  <c r="S55" i="13" s="1"/>
  <c r="T55" i="13" s="1"/>
  <c r="U55" i="13" s="1"/>
  <c r="V55" i="13" s="1"/>
  <c r="W55" i="13" s="1"/>
  <c r="X55" i="13" s="1"/>
  <c r="Y55" i="13" s="1"/>
  <c r="Z55" i="13" s="1"/>
  <c r="AA55" i="13" s="1"/>
  <c r="AB55" i="13" s="1"/>
  <c r="F122" i="13"/>
  <c r="G122" i="13" s="1"/>
  <c r="H122" i="13" s="1"/>
  <c r="I122" i="13" s="1"/>
  <c r="J122" i="13" s="1"/>
  <c r="K122" i="13" s="1"/>
  <c r="L122" i="13" s="1"/>
  <c r="M122" i="13" s="1"/>
  <c r="N122" i="13" s="1"/>
  <c r="O122" i="13" s="1"/>
  <c r="P122" i="13" s="1"/>
  <c r="Q122" i="13" s="1"/>
  <c r="R122" i="13" s="1"/>
  <c r="S122" i="13" s="1"/>
  <c r="T122" i="13" s="1"/>
  <c r="F155" i="13"/>
  <c r="G155" i="13" s="1"/>
  <c r="H155" i="13" s="1"/>
  <c r="I155" i="13" s="1"/>
  <c r="J155" i="13" s="1"/>
  <c r="K155" i="13" s="1"/>
  <c r="L155" i="13" s="1"/>
  <c r="M155" i="13" s="1"/>
  <c r="N155" i="13" s="1"/>
  <c r="O155" i="13" s="1"/>
  <c r="P155" i="13" s="1"/>
  <c r="Q155" i="13" s="1"/>
  <c r="R155" i="13" s="1"/>
  <c r="S155" i="13" s="1"/>
  <c r="T155" i="13" s="1"/>
  <c r="L89" i="13"/>
  <c r="D156" i="13"/>
  <c r="D179" i="13" s="1"/>
  <c r="F179" i="13" s="1"/>
  <c r="D169" i="18"/>
  <c r="G169" i="18" s="1"/>
  <c r="H168" i="18"/>
  <c r="F245" i="13"/>
  <c r="G177" i="13" s="1"/>
  <c r="F211" i="13"/>
  <c r="F231" i="13"/>
  <c r="F243" i="13"/>
  <c r="G175" i="13" s="1"/>
  <c r="I153" i="13"/>
  <c r="J153" i="13" s="1"/>
  <c r="I160" i="13"/>
  <c r="J154" i="13"/>
  <c r="K154" i="13" s="1"/>
  <c r="L154" i="13" s="1"/>
  <c r="M154" i="13" s="1"/>
  <c r="N154" i="13" s="1"/>
  <c r="O154" i="13" s="1"/>
  <c r="P154" i="13" s="1"/>
  <c r="Q154" i="13" s="1"/>
  <c r="R154" i="13" s="1"/>
  <c r="S154" i="13" s="1"/>
  <c r="T154" i="13" s="1"/>
  <c r="C10" i="5"/>
  <c r="C9" i="5"/>
  <c r="C8" i="5"/>
  <c r="C7" i="5"/>
  <c r="C6" i="5"/>
  <c r="C5" i="5"/>
  <c r="C4" i="5"/>
  <c r="G5" i="1"/>
  <c r="E2" i="13" s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M161" i="13" l="1"/>
  <c r="N161" i="13" s="1"/>
  <c r="O161" i="13" s="1"/>
  <c r="P161" i="13" s="1"/>
  <c r="Q161" i="13" s="1"/>
  <c r="R161" i="13" s="1"/>
  <c r="S161" i="13" s="1"/>
  <c r="T161" i="13" s="1"/>
  <c r="F123" i="13"/>
  <c r="G123" i="13" s="1"/>
  <c r="H123" i="13" s="1"/>
  <c r="I123" i="13" s="1"/>
  <c r="J123" i="13" s="1"/>
  <c r="K123" i="13" s="1"/>
  <c r="G90" i="13"/>
  <c r="F90" i="13"/>
  <c r="F57" i="13"/>
  <c r="G57" i="13" s="1"/>
  <c r="H57" i="13" s="1"/>
  <c r="I57" i="13" s="1"/>
  <c r="J57" i="13" s="1"/>
  <c r="K57" i="13" s="1"/>
  <c r="L57" i="13" s="1"/>
  <c r="M57" i="13" s="1"/>
  <c r="N57" i="13" s="1"/>
  <c r="O57" i="13" s="1"/>
  <c r="P57" i="13" s="1"/>
  <c r="Q57" i="13" s="1"/>
  <c r="R57" i="13" s="1"/>
  <c r="S57" i="13" s="1"/>
  <c r="T57" i="13" s="1"/>
  <c r="U57" i="13" s="1"/>
  <c r="V57" i="13" s="1"/>
  <c r="W57" i="13" s="1"/>
  <c r="X57" i="13" s="1"/>
  <c r="Y57" i="13" s="1"/>
  <c r="Z57" i="13" s="1"/>
  <c r="AA57" i="13" s="1"/>
  <c r="AB57" i="13" s="1"/>
  <c r="D157" i="13"/>
  <c r="F157" i="13" s="1"/>
  <c r="G157" i="13" s="1"/>
  <c r="H157" i="13" s="1"/>
  <c r="I157" i="13" s="1"/>
  <c r="J157" i="13" s="1"/>
  <c r="J90" i="13"/>
  <c r="K90" i="13"/>
  <c r="I90" i="13"/>
  <c r="H90" i="13"/>
  <c r="G141" i="22"/>
  <c r="I141" i="22"/>
  <c r="M90" i="13"/>
  <c r="F124" i="13"/>
  <c r="G124" i="13" s="1"/>
  <c r="H124" i="13" s="1"/>
  <c r="I124" i="13" s="1"/>
  <c r="J124" i="13" s="1"/>
  <c r="K124" i="13" s="1"/>
  <c r="L124" i="13" s="1"/>
  <c r="M124" i="13" s="1"/>
  <c r="N124" i="13" s="1"/>
  <c r="O124" i="13" s="1"/>
  <c r="P124" i="13" s="1"/>
  <c r="Q124" i="13" s="1"/>
  <c r="R124" i="13" s="1"/>
  <c r="S124" i="13" s="1"/>
  <c r="T124" i="13" s="1"/>
  <c r="L123" i="13"/>
  <c r="M123" i="13" s="1"/>
  <c r="N123" i="13" s="1"/>
  <c r="O123" i="13" s="1"/>
  <c r="P123" i="13" s="1"/>
  <c r="Q123" i="13" s="1"/>
  <c r="R123" i="13" s="1"/>
  <c r="S123" i="13" s="1"/>
  <c r="T123" i="13" s="1"/>
  <c r="F156" i="13"/>
  <c r="G156" i="13" s="1"/>
  <c r="H156" i="13" s="1"/>
  <c r="I156" i="13" s="1"/>
  <c r="J156" i="13" s="1"/>
  <c r="D170" i="18"/>
  <c r="G170" i="18" s="1"/>
  <c r="H169" i="18"/>
  <c r="F212" i="13"/>
  <c r="H152" i="13"/>
  <c r="I152" i="13" s="1"/>
  <c r="J152" i="13" s="1"/>
  <c r="F246" i="13"/>
  <c r="G178" i="13" s="1"/>
  <c r="F266" i="13"/>
  <c r="K153" i="13"/>
  <c r="L153" i="13" s="1"/>
  <c r="M153" i="13" s="1"/>
  <c r="N153" i="13" s="1"/>
  <c r="O153" i="13" s="1"/>
  <c r="P153" i="13" s="1"/>
  <c r="Q153" i="13" s="1"/>
  <c r="R153" i="13" s="1"/>
  <c r="S153" i="13" s="1"/>
  <c r="T153" i="13" s="1"/>
  <c r="J160" i="13"/>
  <c r="K160" i="13" s="1"/>
  <c r="N13" i="1"/>
  <c r="C2" i="16"/>
  <c r="C4" i="14"/>
  <c r="C5" i="14" s="1"/>
  <c r="C6" i="14" s="1"/>
  <c r="G6" i="1"/>
  <c r="D3" i="16" s="1"/>
  <c r="D4" i="16" s="1"/>
  <c r="F3" i="13"/>
  <c r="C19" i="8"/>
  <c r="D20" i="8"/>
  <c r="F2" i="10"/>
  <c r="G198" i="13" l="1"/>
  <c r="D180" i="13"/>
  <c r="F180" i="13" s="1"/>
  <c r="H141" i="22"/>
  <c r="D142" i="22"/>
  <c r="K156" i="13"/>
  <c r="L156" i="13" s="1"/>
  <c r="M156" i="13" s="1"/>
  <c r="N156" i="13" s="1"/>
  <c r="O156" i="13" s="1"/>
  <c r="P156" i="13" s="1"/>
  <c r="Q156" i="13" s="1"/>
  <c r="R156" i="13" s="1"/>
  <c r="S156" i="13" s="1"/>
  <c r="T156" i="13" s="1"/>
  <c r="D171" i="18"/>
  <c r="G171" i="18" s="1"/>
  <c r="H170" i="18"/>
  <c r="K152" i="13"/>
  <c r="L152" i="13" s="1"/>
  <c r="M152" i="13" s="1"/>
  <c r="F247" i="13"/>
  <c r="G179" i="13" s="1"/>
  <c r="F213" i="13"/>
  <c r="L160" i="13"/>
  <c r="M160" i="13" s="1"/>
  <c r="N160" i="13" s="1"/>
  <c r="O160" i="13" s="1"/>
  <c r="P160" i="13" s="1"/>
  <c r="Q160" i="13" s="1"/>
  <c r="R160" i="13" s="1"/>
  <c r="S160" i="13" s="1"/>
  <c r="T160" i="13" s="1"/>
  <c r="K157" i="13"/>
  <c r="L157" i="13" s="1"/>
  <c r="E20" i="8"/>
  <c r="D21" i="8"/>
  <c r="D22" i="8"/>
  <c r="D19" i="8"/>
  <c r="G2" i="10"/>
  <c r="F3" i="10"/>
  <c r="C23" i="8"/>
  <c r="C47" i="8"/>
  <c r="C48" i="8" s="1" a="1"/>
  <c r="C48" i="8" s="1"/>
  <c r="E3" i="16"/>
  <c r="E4" i="16" s="1"/>
  <c r="E2" i="16" s="1"/>
  <c r="D2" i="16"/>
  <c r="D5" i="16"/>
  <c r="D4" i="14"/>
  <c r="D5" i="14" s="1"/>
  <c r="D6" i="14" s="1"/>
  <c r="C12" i="16"/>
  <c r="C6" i="16"/>
  <c r="C16" i="16" s="1"/>
  <c r="F4" i="10"/>
  <c r="G142" i="22" l="1"/>
  <c r="I142" i="22"/>
  <c r="N152" i="13"/>
  <c r="O152" i="13" s="1"/>
  <c r="P152" i="13" s="1"/>
  <c r="Q152" i="13" s="1"/>
  <c r="R152" i="13" s="1"/>
  <c r="S152" i="13" s="1"/>
  <c r="T152" i="13" s="1"/>
  <c r="H171" i="18"/>
  <c r="D172" i="18"/>
  <c r="G172" i="18" s="1"/>
  <c r="F248" i="13"/>
  <c r="G180" i="13" s="1"/>
  <c r="G3" i="13"/>
  <c r="A7" i="14"/>
  <c r="M157" i="13"/>
  <c r="N157" i="13" s="1"/>
  <c r="O157" i="13" s="1"/>
  <c r="P157" i="13" s="1"/>
  <c r="Q157" i="13" s="1"/>
  <c r="R157" i="13" s="1"/>
  <c r="S157" i="13" s="1"/>
  <c r="T157" i="13" s="1"/>
  <c r="H2" i="10"/>
  <c r="G3" i="10"/>
  <c r="C49" i="8"/>
  <c r="D47" i="8"/>
  <c r="D23" i="8"/>
  <c r="C24" i="8"/>
  <c r="C25" i="8"/>
  <c r="C27" i="8" s="1"/>
  <c r="E5" i="16"/>
  <c r="F3" i="16"/>
  <c r="F4" i="16" s="1"/>
  <c r="E4" i="14"/>
  <c r="E5" i="14" s="1"/>
  <c r="E6" i="14" s="1"/>
  <c r="D6" i="16"/>
  <c r="D16" i="16" s="1"/>
  <c r="D12" i="16"/>
  <c r="F20" i="8"/>
  <c r="E19" i="8"/>
  <c r="E22" i="8"/>
  <c r="E21" i="8"/>
  <c r="G4" i="10"/>
  <c r="D48" i="8" l="1" a="1"/>
  <c r="D48" i="8" s="1"/>
  <c r="D49" i="8" s="1"/>
  <c r="H142" i="22"/>
  <c r="D143" i="22"/>
  <c r="D173" i="18"/>
  <c r="G173" i="18" s="1"/>
  <c r="H172" i="18"/>
  <c r="P5" i="22"/>
  <c r="P6" i="22"/>
  <c r="P7" i="22"/>
  <c r="Q5" i="22"/>
  <c r="Q6" i="22"/>
  <c r="Q7" i="22"/>
  <c r="H3" i="13"/>
  <c r="C50" i="8"/>
  <c r="F4" i="14"/>
  <c r="F5" i="14" s="1"/>
  <c r="F6" i="14" s="1"/>
  <c r="E6" i="16"/>
  <c r="E16" i="16" s="1"/>
  <c r="E12" i="16"/>
  <c r="E47" i="8"/>
  <c r="E48" i="8" s="1" a="1"/>
  <c r="E48" i="8" s="1"/>
  <c r="E23" i="8"/>
  <c r="G20" i="8"/>
  <c r="F22" i="8"/>
  <c r="F21" i="8"/>
  <c r="F19" i="8"/>
  <c r="G3" i="16"/>
  <c r="G4" i="16" s="1"/>
  <c r="F2" i="16"/>
  <c r="F5" i="16"/>
  <c r="D24" i="8"/>
  <c r="D25" i="8"/>
  <c r="D27" i="8" s="1"/>
  <c r="I2" i="10"/>
  <c r="H3" i="10"/>
  <c r="H4" i="10"/>
  <c r="D50" i="8" l="1"/>
  <c r="G143" i="22"/>
  <c r="I143" i="22"/>
  <c r="D174" i="18"/>
  <c r="G174" i="18" s="1"/>
  <c r="H173" i="18"/>
  <c r="R5" i="22"/>
  <c r="R6" i="22"/>
  <c r="R7" i="22"/>
  <c r="N231" i="13"/>
  <c r="I3" i="13"/>
  <c r="G2" i="16"/>
  <c r="G5" i="16"/>
  <c r="H3" i="16"/>
  <c r="H4" i="16" s="1"/>
  <c r="J2" i="10"/>
  <c r="I3" i="10"/>
  <c r="E49" i="8"/>
  <c r="H20" i="8"/>
  <c r="G21" i="8"/>
  <c r="G19" i="8"/>
  <c r="G22" i="8"/>
  <c r="G4" i="14"/>
  <c r="G5" i="14" s="1"/>
  <c r="G6" i="14" s="1"/>
  <c r="F6" i="16"/>
  <c r="F16" i="16" s="1"/>
  <c r="F12" i="16"/>
  <c r="E25" i="8"/>
  <c r="E27" i="8" s="1"/>
  <c r="E24" i="8"/>
  <c r="F47" i="8"/>
  <c r="F23" i="8"/>
  <c r="I4" i="10"/>
  <c r="F48" i="8" l="1" a="1"/>
  <c r="F48" i="8" s="1"/>
  <c r="F49" i="8" s="1"/>
  <c r="D144" i="22"/>
  <c r="H143" i="22"/>
  <c r="D175" i="18"/>
  <c r="G175" i="18" s="1"/>
  <c r="H174" i="18"/>
  <c r="O231" i="13"/>
  <c r="J3" i="13"/>
  <c r="E50" i="8"/>
  <c r="H4" i="14"/>
  <c r="H5" i="14" s="1"/>
  <c r="H6" i="14" s="1"/>
  <c r="G47" i="8"/>
  <c r="G23" i="8"/>
  <c r="K2" i="10"/>
  <c r="J3" i="10"/>
  <c r="I20" i="8"/>
  <c r="H22" i="8"/>
  <c r="H19" i="8"/>
  <c r="H21" i="8"/>
  <c r="F24" i="8"/>
  <c r="F25" i="8"/>
  <c r="F27" i="8" s="1"/>
  <c r="H2" i="16"/>
  <c r="I3" i="16"/>
  <c r="I4" i="16" s="1"/>
  <c r="H5" i="16"/>
  <c r="G12" i="16"/>
  <c r="G6" i="16"/>
  <c r="G16" i="16" s="1"/>
  <c r="J4" i="10"/>
  <c r="G48" i="8" l="1" a="1"/>
  <c r="G48" i="8" s="1"/>
  <c r="G49" i="8" s="1"/>
  <c r="F50" i="8"/>
  <c r="G144" i="22"/>
  <c r="I144" i="22" s="1"/>
  <c r="H175" i="18"/>
  <c r="D176" i="18"/>
  <c r="G176" i="18" s="1"/>
  <c r="P231" i="13"/>
  <c r="N208" i="13"/>
  <c r="N232" i="13"/>
  <c r="K3" i="13"/>
  <c r="H6" i="16"/>
  <c r="H16" i="16" s="1"/>
  <c r="H12" i="16"/>
  <c r="H47" i="8"/>
  <c r="H23" i="8"/>
  <c r="I5" i="16"/>
  <c r="I2" i="16"/>
  <c r="J3" i="16"/>
  <c r="J4" i="16" s="1"/>
  <c r="J20" i="8"/>
  <c r="I21" i="8"/>
  <c r="I22" i="8"/>
  <c r="I19" i="8"/>
  <c r="G25" i="8"/>
  <c r="G27" i="8" s="1"/>
  <c r="G24" i="8"/>
  <c r="I4" i="14"/>
  <c r="I5" i="14" s="1"/>
  <c r="I6" i="14" s="1"/>
  <c r="L2" i="10"/>
  <c r="K3" i="10"/>
  <c r="K4" i="10"/>
  <c r="H48" i="8" l="1" a="1"/>
  <c r="H48" i="8" s="1"/>
  <c r="H49" i="8" s="1"/>
  <c r="G50" i="8"/>
  <c r="D145" i="22"/>
  <c r="H144" i="22"/>
  <c r="D177" i="18"/>
  <c r="G177" i="18" s="1"/>
  <c r="H176" i="18"/>
  <c r="N212" i="13"/>
  <c r="O208" i="13"/>
  <c r="Q231" i="13"/>
  <c r="O232" i="13"/>
  <c r="N210" i="13"/>
  <c r="L3" i="13"/>
  <c r="K20" i="8"/>
  <c r="J19" i="8"/>
  <c r="J22" i="8"/>
  <c r="J21" i="8"/>
  <c r="M2" i="10"/>
  <c r="L3" i="10"/>
  <c r="H24" i="8"/>
  <c r="H25" i="8"/>
  <c r="H27" i="8" s="1"/>
  <c r="I12" i="16"/>
  <c r="I6" i="16"/>
  <c r="I16" i="16" s="1"/>
  <c r="J5" i="16"/>
  <c r="J2" i="16"/>
  <c r="K3" i="16"/>
  <c r="K4" i="16" s="1"/>
  <c r="J4" i="14"/>
  <c r="J5" i="14" s="1"/>
  <c r="J6" i="14" s="1"/>
  <c r="I47" i="8"/>
  <c r="I23" i="8"/>
  <c r="L4" i="10"/>
  <c r="I48" i="8" l="1" a="1"/>
  <c r="I48" i="8" s="1"/>
  <c r="I49" i="8" s="1"/>
  <c r="H50" i="8"/>
  <c r="G145" i="22"/>
  <c r="I145" i="22"/>
  <c r="D178" i="18"/>
  <c r="G178" i="18" s="1"/>
  <c r="H177" i="18"/>
  <c r="N211" i="13"/>
  <c r="P208" i="13"/>
  <c r="O212" i="13"/>
  <c r="P232" i="13"/>
  <c r="O210" i="13"/>
  <c r="O209" i="13"/>
  <c r="R231" i="13"/>
  <c r="M3" i="13"/>
  <c r="K4" i="14"/>
  <c r="K5" i="14" s="1"/>
  <c r="K6" i="14" s="1"/>
  <c r="J23" i="8"/>
  <c r="J47" i="8"/>
  <c r="I24" i="8"/>
  <c r="I25" i="8"/>
  <c r="I27" i="8" s="1"/>
  <c r="L3" i="16"/>
  <c r="L4" i="16" s="1"/>
  <c r="K2" i="16"/>
  <c r="K5" i="16"/>
  <c r="J6" i="16"/>
  <c r="J16" i="16" s="1"/>
  <c r="J12" i="16"/>
  <c r="N2" i="10"/>
  <c r="M3" i="10"/>
  <c r="L20" i="8"/>
  <c r="K19" i="8"/>
  <c r="K22" i="8"/>
  <c r="K21" i="8"/>
  <c r="M4" i="10"/>
  <c r="I50" i="8" l="1"/>
  <c r="J48" i="8" a="1"/>
  <c r="J48" i="8" s="1"/>
  <c r="J49" i="8" s="1"/>
  <c r="H145" i="22"/>
  <c r="D146" i="22"/>
  <c r="D179" i="18"/>
  <c r="G179" i="18" s="1"/>
  <c r="H178" i="18"/>
  <c r="P210" i="13"/>
  <c r="N207" i="13"/>
  <c r="Q232" i="13"/>
  <c r="P212" i="13"/>
  <c r="P209" i="13"/>
  <c r="S231" i="13"/>
  <c r="O211" i="13"/>
  <c r="N213" i="13"/>
  <c r="N3" i="13"/>
  <c r="K6" i="16"/>
  <c r="K16" i="16" s="1"/>
  <c r="K12" i="16"/>
  <c r="L5" i="16"/>
  <c r="L2" i="16"/>
  <c r="M3" i="16"/>
  <c r="M4" i="16" s="1"/>
  <c r="M20" i="8"/>
  <c r="L22" i="8"/>
  <c r="L21" i="8"/>
  <c r="L19" i="8"/>
  <c r="O2" i="10"/>
  <c r="N3" i="10"/>
  <c r="L4" i="14"/>
  <c r="L5" i="14" s="1"/>
  <c r="L6" i="14" s="1"/>
  <c r="K47" i="8"/>
  <c r="K23" i="8"/>
  <c r="J24" i="8"/>
  <c r="J25" i="8"/>
  <c r="J27" i="8" s="1"/>
  <c r="N4" i="10"/>
  <c r="K48" i="8" l="1" a="1"/>
  <c r="K48" i="8" s="1"/>
  <c r="K49" i="8" s="1"/>
  <c r="J50" i="8"/>
  <c r="G146" i="22"/>
  <c r="I146" i="22"/>
  <c r="H179" i="18"/>
  <c r="D180" i="18"/>
  <c r="G180" i="18" s="1"/>
  <c r="P213" i="13"/>
  <c r="Q209" i="13"/>
  <c r="O207" i="13"/>
  <c r="Q212" i="13"/>
  <c r="Q208" i="13"/>
  <c r="Q210" i="13"/>
  <c r="O3" i="13"/>
  <c r="M4" i="14"/>
  <c r="M5" i="14" s="1"/>
  <c r="M6" i="14" s="1"/>
  <c r="M5" i="16"/>
  <c r="M2" i="16"/>
  <c r="N3" i="16"/>
  <c r="N4" i="16" s="1"/>
  <c r="L6" i="16"/>
  <c r="L16" i="16" s="1"/>
  <c r="L12" i="16"/>
  <c r="P2" i="10"/>
  <c r="O3" i="10"/>
  <c r="L47" i="8"/>
  <c r="L48" i="8" s="1" a="1"/>
  <c r="L48" i="8" s="1"/>
  <c r="L23" i="8"/>
  <c r="K25" i="8"/>
  <c r="K27" i="8" s="1"/>
  <c r="K24" i="8"/>
  <c r="N20" i="8"/>
  <c r="M22" i="8"/>
  <c r="M21" i="8"/>
  <c r="M19" i="8"/>
  <c r="O4" i="10"/>
  <c r="K50" i="8" l="1"/>
  <c r="D147" i="22"/>
  <c r="H146" i="22"/>
  <c r="D181" i="18"/>
  <c r="G181" i="18" s="1"/>
  <c r="H180" i="18"/>
  <c r="S232" i="13"/>
  <c r="R208" i="13"/>
  <c r="P207" i="13"/>
  <c r="Q211" i="13"/>
  <c r="R210" i="13"/>
  <c r="Q213" i="13"/>
  <c r="P3" i="13"/>
  <c r="O3" i="16"/>
  <c r="O4" i="16" s="1"/>
  <c r="N5" i="16"/>
  <c r="N2" i="16"/>
  <c r="M47" i="8"/>
  <c r="M48" i="8" s="1" a="1"/>
  <c r="M48" i="8" s="1"/>
  <c r="M23" i="8"/>
  <c r="Q2" i="10"/>
  <c r="P3" i="10"/>
  <c r="L49" i="8"/>
  <c r="L24" i="8"/>
  <c r="L25" i="8"/>
  <c r="L27" i="8" s="1"/>
  <c r="M6" i="16"/>
  <c r="M16" i="16" s="1"/>
  <c r="M12" i="16"/>
  <c r="O20" i="8"/>
  <c r="N19" i="8"/>
  <c r="N22" i="8"/>
  <c r="N21" i="8"/>
  <c r="N4" i="14"/>
  <c r="N5" i="14" s="1"/>
  <c r="N6" i="14" s="1"/>
  <c r="P4" i="10"/>
  <c r="G147" i="22" l="1"/>
  <c r="I147" i="22"/>
  <c r="D182" i="18"/>
  <c r="G182" i="18" s="1"/>
  <c r="H181" i="18"/>
  <c r="S209" i="13"/>
  <c r="R213" i="13"/>
  <c r="S212" i="13"/>
  <c r="S210" i="13"/>
  <c r="R211" i="13"/>
  <c r="Q3" i="13"/>
  <c r="L50" i="8"/>
  <c r="M24" i="8"/>
  <c r="M25" i="8"/>
  <c r="M27" i="8" s="1"/>
  <c r="O4" i="14"/>
  <c r="O5" i="14" s="1"/>
  <c r="O6" i="14" s="1"/>
  <c r="P20" i="8"/>
  <c r="O22" i="8"/>
  <c r="O19" i="8"/>
  <c r="O21" i="8"/>
  <c r="M49" i="8"/>
  <c r="R2" i="10"/>
  <c r="Q3" i="10"/>
  <c r="N6" i="16"/>
  <c r="N16" i="16" s="1"/>
  <c r="N12" i="16"/>
  <c r="N47" i="8"/>
  <c r="N48" i="8" s="1" a="1"/>
  <c r="N48" i="8" s="1"/>
  <c r="N23" i="8"/>
  <c r="P3" i="16"/>
  <c r="P4" i="16" s="1"/>
  <c r="O2" i="16"/>
  <c r="O5" i="16"/>
  <c r="Q4" i="10"/>
  <c r="M50" i="8" l="1"/>
  <c r="H147" i="22"/>
  <c r="D148" i="22"/>
  <c r="D183" i="18"/>
  <c r="G183" i="18" s="1"/>
  <c r="H182" i="18"/>
  <c r="T208" i="13"/>
  <c r="T232" i="13"/>
  <c r="S211" i="13"/>
  <c r="S213" i="13"/>
  <c r="Q207" i="13"/>
  <c r="R3" i="13"/>
  <c r="P5" i="16"/>
  <c r="Q3" i="16"/>
  <c r="Q4" i="16" s="1"/>
  <c r="P2" i="16"/>
  <c r="S2" i="10"/>
  <c r="R3" i="10"/>
  <c r="P4" i="14"/>
  <c r="P5" i="14" s="1"/>
  <c r="P6" i="14" s="1"/>
  <c r="O12" i="16"/>
  <c r="O6" i="16"/>
  <c r="O16" i="16" s="1"/>
  <c r="O23" i="8"/>
  <c r="O47" i="8"/>
  <c r="O48" i="8" s="1" a="1"/>
  <c r="O48" i="8" s="1"/>
  <c r="N24" i="8"/>
  <c r="N25" i="8"/>
  <c r="N27" i="8" s="1"/>
  <c r="N49" i="8"/>
  <c r="Q20" i="8"/>
  <c r="P19" i="8"/>
  <c r="P22" i="8"/>
  <c r="P21" i="8"/>
  <c r="R4" i="10"/>
  <c r="G148" i="22" l="1"/>
  <c r="I148" i="22"/>
  <c r="H183" i="18"/>
  <c r="D184" i="18"/>
  <c r="G184" i="18" s="1"/>
  <c r="R207" i="13"/>
  <c r="T211" i="13"/>
  <c r="T210" i="13"/>
  <c r="S3" i="13"/>
  <c r="N50" i="8"/>
  <c r="R20" i="8"/>
  <c r="Q19" i="8"/>
  <c r="Q22" i="8"/>
  <c r="Q21" i="8"/>
  <c r="T2" i="10"/>
  <c r="S3" i="10"/>
  <c r="O49" i="8"/>
  <c r="O24" i="8"/>
  <c r="O25" i="8"/>
  <c r="O27" i="8" s="1"/>
  <c r="Q4" i="14"/>
  <c r="Q5" i="14" s="1"/>
  <c r="Q6" i="14" s="1"/>
  <c r="P12" i="16"/>
  <c r="P6" i="16"/>
  <c r="P16" i="16" s="1"/>
  <c r="P47" i="8"/>
  <c r="P48" i="8" s="1" a="1"/>
  <c r="P48" i="8" s="1"/>
  <c r="P23" i="8"/>
  <c r="Q2" i="16"/>
  <c r="Q5" i="16"/>
  <c r="R3" i="16"/>
  <c r="R4" i="16" s="1"/>
  <c r="S4" i="10"/>
  <c r="H148" i="22" l="1"/>
  <c r="D149" i="22"/>
  <c r="D185" i="18"/>
  <c r="G185" i="18" s="1"/>
  <c r="H184" i="18"/>
  <c r="S207" i="13"/>
  <c r="T3" i="13"/>
  <c r="O50" i="8"/>
  <c r="R4" i="14"/>
  <c r="R5" i="14" s="1"/>
  <c r="R6" i="14" s="1"/>
  <c r="U2" i="10"/>
  <c r="T3" i="10"/>
  <c r="R2" i="16"/>
  <c r="S3" i="16"/>
  <c r="S4" i="16" s="1"/>
  <c r="R5" i="16"/>
  <c r="P25" i="8"/>
  <c r="P27" i="8" s="1"/>
  <c r="P24" i="8"/>
  <c r="Q23" i="8"/>
  <c r="Q6" i="16"/>
  <c r="Q16" i="16" s="1"/>
  <c r="P49" i="8"/>
  <c r="S20" i="8"/>
  <c r="R22" i="8"/>
  <c r="R21" i="8"/>
  <c r="R19" i="8"/>
  <c r="R35" i="8" s="1"/>
  <c r="T72" i="10" s="1"/>
  <c r="T4" i="10"/>
  <c r="G149" i="22" l="1"/>
  <c r="I149" i="22"/>
  <c r="D186" i="18"/>
  <c r="G186" i="18" s="1"/>
  <c r="H185" i="18"/>
  <c r="U3" i="13"/>
  <c r="P50" i="8"/>
  <c r="T20" i="8"/>
  <c r="S22" i="8"/>
  <c r="S19" i="8"/>
  <c r="S35" i="8" s="1"/>
  <c r="U72" i="10" s="1"/>
  <c r="S21" i="8"/>
  <c r="R6" i="16"/>
  <c r="R16" i="16" s="1"/>
  <c r="R40" i="8"/>
  <c r="T71" i="10" s="1"/>
  <c r="R34" i="8"/>
  <c r="R39" i="8"/>
  <c r="R23" i="8"/>
  <c r="V2" i="10"/>
  <c r="U3" i="10"/>
  <c r="S2" i="16"/>
  <c r="S5" i="16"/>
  <c r="T3" i="16"/>
  <c r="T4" i="16" s="1"/>
  <c r="S4" i="14"/>
  <c r="S5" i="14" s="1"/>
  <c r="S6" i="14" s="1"/>
  <c r="Q25" i="8"/>
  <c r="Q27" i="8" s="1"/>
  <c r="Q24" i="8"/>
  <c r="U4" i="10"/>
  <c r="H149" i="22" l="1"/>
  <c r="D150" i="22"/>
  <c r="D187" i="18"/>
  <c r="G187" i="18" s="1"/>
  <c r="H186" i="18"/>
  <c r="V3" i="13"/>
  <c r="R41" i="8"/>
  <c r="R26" i="14"/>
  <c r="R25" i="8"/>
  <c r="R27" i="8" s="1"/>
  <c r="R44" i="8" s="1"/>
  <c r="R24" i="8"/>
  <c r="T2" i="16"/>
  <c r="T5" i="16"/>
  <c r="U3" i="16"/>
  <c r="U4" i="16" s="1"/>
  <c r="S6" i="16"/>
  <c r="S16" i="16" s="1"/>
  <c r="S40" i="8"/>
  <c r="U71" i="10" s="1"/>
  <c r="S39" i="8"/>
  <c r="S23" i="8"/>
  <c r="S34" i="8"/>
  <c r="T4" i="14"/>
  <c r="T5" i="14" s="1"/>
  <c r="T6" i="14" s="1"/>
  <c r="W2" i="10"/>
  <c r="V3" i="10"/>
  <c r="U20" i="8"/>
  <c r="T19" i="8"/>
  <c r="T35" i="8" s="1"/>
  <c r="V72" i="10" s="1"/>
  <c r="T22" i="8"/>
  <c r="T21" i="8"/>
  <c r="V4" i="10"/>
  <c r="G150" i="22" l="1"/>
  <c r="I150" i="22"/>
  <c r="H187" i="18"/>
  <c r="D188" i="18"/>
  <c r="G188" i="18" s="1"/>
  <c r="W3" i="13"/>
  <c r="S26" i="14"/>
  <c r="S41" i="8"/>
  <c r="V20" i="8"/>
  <c r="U19" i="8"/>
  <c r="U35" i="8" s="1"/>
  <c r="W72" i="10" s="1"/>
  <c r="U22" i="8"/>
  <c r="U21" i="8"/>
  <c r="S25" i="8"/>
  <c r="S27" i="8" s="1"/>
  <c r="S44" i="8" s="1"/>
  <c r="S24" i="8"/>
  <c r="T40" i="8"/>
  <c r="V71" i="10" s="1"/>
  <c r="T23" i="8"/>
  <c r="T39" i="8"/>
  <c r="T34" i="8"/>
  <c r="U5" i="16"/>
  <c r="U2" i="16"/>
  <c r="V3" i="16"/>
  <c r="V4" i="16" s="1"/>
  <c r="T6" i="16"/>
  <c r="T16" i="16" s="1"/>
  <c r="X2" i="10"/>
  <c r="W3" i="10"/>
  <c r="U4" i="14"/>
  <c r="U5" i="14" s="1"/>
  <c r="U6" i="14" s="1"/>
  <c r="W4" i="10"/>
  <c r="D151" i="22" l="1"/>
  <c r="H150" i="22"/>
  <c r="D189" i="18"/>
  <c r="G189" i="18" s="1"/>
  <c r="H188" i="18"/>
  <c r="X3" i="13"/>
  <c r="T41" i="8"/>
  <c r="T26" i="14"/>
  <c r="V2" i="16"/>
  <c r="V5" i="16"/>
  <c r="W3" i="16"/>
  <c r="W4" i="16" s="1"/>
  <c r="T25" i="8"/>
  <c r="T27" i="8" s="1"/>
  <c r="T24" i="8"/>
  <c r="U6" i="16"/>
  <c r="U16" i="16" s="1"/>
  <c r="V4" i="14"/>
  <c r="V5" i="14" s="1"/>
  <c r="V6" i="14" s="1"/>
  <c r="U40" i="8"/>
  <c r="W71" i="10" s="1"/>
  <c r="U39" i="8"/>
  <c r="U34" i="8"/>
  <c r="U23" i="8"/>
  <c r="Y2" i="10"/>
  <c r="X3" i="10"/>
  <c r="W20" i="8"/>
  <c r="V22" i="8"/>
  <c r="V19" i="8"/>
  <c r="V35" i="8" s="1"/>
  <c r="X72" i="10" s="1"/>
  <c r="V21" i="8"/>
  <c r="X4" i="10"/>
  <c r="T44" i="8" l="1"/>
  <c r="G151" i="22"/>
  <c r="I151" i="22"/>
  <c r="D190" i="18"/>
  <c r="G190" i="18" s="1"/>
  <c r="H189" i="18"/>
  <c r="Y3" i="13"/>
  <c r="U26" i="14"/>
  <c r="U41" i="8"/>
  <c r="W4" i="14"/>
  <c r="W5" i="14" s="1"/>
  <c r="W6" i="14" s="1"/>
  <c r="U25" i="8"/>
  <c r="U27" i="8" s="1"/>
  <c r="U24" i="8"/>
  <c r="V40" i="8"/>
  <c r="X71" i="10" s="1"/>
  <c r="V39" i="8"/>
  <c r="V23" i="8"/>
  <c r="V34" i="8"/>
  <c r="X3" i="16"/>
  <c r="X4" i="16" s="1"/>
  <c r="W2" i="16"/>
  <c r="W5" i="16"/>
  <c r="Z2" i="10"/>
  <c r="Y3" i="10"/>
  <c r="X20" i="8"/>
  <c r="W19" i="8"/>
  <c r="W35" i="8" s="1"/>
  <c r="Y72" i="10" s="1"/>
  <c r="W22" i="8"/>
  <c r="W21" i="8"/>
  <c r="V6" i="16"/>
  <c r="V16" i="16" s="1"/>
  <c r="Y4" i="10"/>
  <c r="U44" i="8" l="1"/>
  <c r="V41" i="8"/>
  <c r="D152" i="22"/>
  <c r="H151" i="22"/>
  <c r="D191" i="18"/>
  <c r="G191" i="18" s="1"/>
  <c r="H190" i="18"/>
  <c r="Z3" i="13"/>
  <c r="V26" i="14"/>
  <c r="Y20" i="8"/>
  <c r="X19" i="8"/>
  <c r="X35" i="8" s="1"/>
  <c r="Z72" i="10" s="1"/>
  <c r="X22" i="8"/>
  <c r="X21" i="8"/>
  <c r="W6" i="16"/>
  <c r="W16" i="16" s="1"/>
  <c r="X5" i="16"/>
  <c r="Y3" i="16"/>
  <c r="Y4" i="16" s="1"/>
  <c r="X2" i="16"/>
  <c r="V25" i="8"/>
  <c r="V27" i="8" s="1"/>
  <c r="V24" i="8"/>
  <c r="X4" i="14"/>
  <c r="X5" i="14" s="1"/>
  <c r="X6" i="14" s="1"/>
  <c r="AA2" i="10"/>
  <c r="Z3" i="10"/>
  <c r="W40" i="8"/>
  <c r="Y71" i="10" s="1"/>
  <c r="W23" i="8"/>
  <c r="W34" i="8"/>
  <c r="W39" i="8"/>
  <c r="Z4" i="10"/>
  <c r="V44" i="8" l="1"/>
  <c r="G152" i="22"/>
  <c r="I152" i="22"/>
  <c r="H191" i="18"/>
  <c r="D192" i="18"/>
  <c r="G192" i="18" s="1"/>
  <c r="AB3" i="13"/>
  <c r="AA3" i="13"/>
  <c r="W26" i="14"/>
  <c r="W41" i="8"/>
  <c r="AB2" i="10"/>
  <c r="AA3" i="10"/>
  <c r="Y5" i="16"/>
  <c r="Z3" i="16"/>
  <c r="Z4" i="16" s="1"/>
  <c r="Y2" i="16"/>
  <c r="Y4" i="14"/>
  <c r="Y5" i="14" s="1"/>
  <c r="Y6" i="14" s="1"/>
  <c r="X6" i="16"/>
  <c r="X16" i="16" s="1"/>
  <c r="W24" i="8"/>
  <c r="W25" i="8"/>
  <c r="W27" i="8" s="1"/>
  <c r="X40" i="8"/>
  <c r="Z71" i="10" s="1"/>
  <c r="X23" i="8"/>
  <c r="X34" i="8"/>
  <c r="X39" i="8"/>
  <c r="Z20" i="8"/>
  <c r="Y19" i="8"/>
  <c r="Y35" i="8" s="1"/>
  <c r="AA72" i="10" s="1"/>
  <c r="Y22" i="8"/>
  <c r="Y21" i="8"/>
  <c r="AA4" i="10"/>
  <c r="W44" i="8" l="1"/>
  <c r="D153" i="22"/>
  <c r="H152" i="22"/>
  <c r="D193" i="18"/>
  <c r="G193" i="18" s="1"/>
  <c r="H192" i="18"/>
  <c r="X26" i="14"/>
  <c r="X24" i="8"/>
  <c r="X25" i="8"/>
  <c r="X27" i="8" s="1"/>
  <c r="Y6" i="16"/>
  <c r="Y16" i="16" s="1"/>
  <c r="Z4" i="14"/>
  <c r="Z5" i="14" s="1"/>
  <c r="Z6" i="14" s="1"/>
  <c r="AA20" i="8"/>
  <c r="Z21" i="8"/>
  <c r="Z19" i="8"/>
  <c r="Z35" i="8" s="1"/>
  <c r="AB72" i="10" s="1"/>
  <c r="Z22" i="8"/>
  <c r="Z5" i="16"/>
  <c r="Z2" i="16"/>
  <c r="AA3" i="16"/>
  <c r="AA4" i="16" s="1"/>
  <c r="Y40" i="8"/>
  <c r="AA71" i="10" s="1"/>
  <c r="Y23" i="8"/>
  <c r="Y34" i="8"/>
  <c r="Y39" i="8"/>
  <c r="X41" i="8"/>
  <c r="AC2" i="10"/>
  <c r="AB3" i="10"/>
  <c r="AB4" i="10"/>
  <c r="G153" i="22" l="1"/>
  <c r="I153" i="22"/>
  <c r="D194" i="18"/>
  <c r="G194" i="18" s="1"/>
  <c r="H193" i="18"/>
  <c r="Y26" i="14"/>
  <c r="Y30" i="14" s="1"/>
  <c r="Y34" i="14" s="1"/>
  <c r="Z40" i="8"/>
  <c r="AB71" i="10" s="1"/>
  <c r="Z23" i="8"/>
  <c r="Z39" i="8"/>
  <c r="Z34" i="8"/>
  <c r="AA5" i="16"/>
  <c r="AA2" i="16"/>
  <c r="AB3" i="16"/>
  <c r="AB4" i="16" s="1"/>
  <c r="AB20" i="8"/>
  <c r="AA22" i="8"/>
  <c r="AA19" i="8"/>
  <c r="AA35" i="8" s="1"/>
  <c r="AC72" i="10" s="1"/>
  <c r="AA21" i="8"/>
  <c r="X44" i="8"/>
  <c r="Y24" i="8"/>
  <c r="Y25" i="8"/>
  <c r="Y27" i="8" s="1"/>
  <c r="AA4" i="14"/>
  <c r="AA5" i="14" s="1"/>
  <c r="AA6" i="14" s="1"/>
  <c r="AD2" i="10"/>
  <c r="AC3" i="10"/>
  <c r="Z6" i="16"/>
  <c r="Z16" i="16" s="1"/>
  <c r="Y41" i="8"/>
  <c r="AC4" i="10"/>
  <c r="Z41" i="8" l="1"/>
  <c r="D154" i="22"/>
  <c r="H153" i="22"/>
  <c r="D195" i="18"/>
  <c r="G195" i="18" s="1"/>
  <c r="H194" i="18"/>
  <c r="Y40" i="14"/>
  <c r="Y42" i="14" s="1"/>
  <c r="Y35" i="14"/>
  <c r="Z26" i="14"/>
  <c r="Z30" i="14" s="1"/>
  <c r="Z34" i="14" s="1"/>
  <c r="AA40" i="8"/>
  <c r="AC71" i="10" s="1"/>
  <c r="AA23" i="8"/>
  <c r="AA39" i="8"/>
  <c r="AA34" i="8"/>
  <c r="AC3" i="16"/>
  <c r="AC4" i="16" s="1"/>
  <c r="AB5" i="16"/>
  <c r="AB2" i="16"/>
  <c r="Z44" i="8"/>
  <c r="Y44" i="8"/>
  <c r="AE2" i="10"/>
  <c r="AD3" i="10"/>
  <c r="Z24" i="8"/>
  <c r="Z25" i="8"/>
  <c r="Z27" i="8" s="1"/>
  <c r="AC20" i="8"/>
  <c r="AB22" i="8"/>
  <c r="AB19" i="8"/>
  <c r="AB35" i="8" s="1"/>
  <c r="AD72" i="10" s="1"/>
  <c r="AB21" i="8"/>
  <c r="AA6" i="16"/>
  <c r="AA16" i="16" s="1"/>
  <c r="AB4" i="14"/>
  <c r="AB5" i="14" s="1"/>
  <c r="AB6" i="14" s="1"/>
  <c r="AD4" i="10"/>
  <c r="AA41" i="8" l="1"/>
  <c r="G154" i="22"/>
  <c r="P8" i="22"/>
  <c r="H195" i="18"/>
  <c r="D196" i="18"/>
  <c r="G196" i="18" s="1"/>
  <c r="Z40" i="14"/>
  <c r="Z42" i="14" s="1"/>
  <c r="Z44" i="14" s="1"/>
  <c r="Z50" i="14" s="1"/>
  <c r="Z35" i="14"/>
  <c r="AA26" i="14"/>
  <c r="AA30" i="14" s="1"/>
  <c r="AA34" i="14" s="1"/>
  <c r="AB6" i="16"/>
  <c r="AB16" i="16" s="1"/>
  <c r="AB40" i="8"/>
  <c r="AD71" i="10" s="1"/>
  <c r="AB23" i="8"/>
  <c r="AB34" i="8"/>
  <c r="AB39" i="8"/>
  <c r="AC4" i="14"/>
  <c r="AC5" i="14" s="1"/>
  <c r="AC6" i="14" s="1"/>
  <c r="AC5" i="16"/>
  <c r="AD3" i="16"/>
  <c r="AD4" i="16" s="1"/>
  <c r="AC2" i="16"/>
  <c r="AD20" i="8"/>
  <c r="AC22" i="8"/>
  <c r="AC21" i="8"/>
  <c r="AC19" i="8"/>
  <c r="AC35" i="8" s="1"/>
  <c r="AE72" i="10" s="1"/>
  <c r="AA24" i="8"/>
  <c r="AA25" i="8"/>
  <c r="AA27" i="8" s="1"/>
  <c r="AA44" i="8" s="1"/>
  <c r="AF2" i="10"/>
  <c r="AE3" i="10"/>
  <c r="AE4" i="10"/>
  <c r="AB41" i="8" l="1"/>
  <c r="G2" i="22"/>
  <c r="H154" i="22"/>
  <c r="Q8" i="22" s="1"/>
  <c r="R8" i="22"/>
  <c r="I154" i="22"/>
  <c r="D197" i="18"/>
  <c r="G197" i="18" s="1"/>
  <c r="H196" i="18"/>
  <c r="Z51" i="14"/>
  <c r="Z53" i="14" s="1"/>
  <c r="AA40" i="14"/>
  <c r="AA42" i="14" s="1"/>
  <c r="AA44" i="14" s="1"/>
  <c r="AA35" i="14"/>
  <c r="AB26" i="14"/>
  <c r="AB30" i="14" s="1"/>
  <c r="AB34" i="14" s="1"/>
  <c r="AC6" i="16"/>
  <c r="AC16" i="16" s="1"/>
  <c r="AB24" i="8"/>
  <c r="AB25" i="8"/>
  <c r="AB27" i="8" s="1"/>
  <c r="AB44" i="8" s="1"/>
  <c r="AD5" i="16"/>
  <c r="AE3" i="16"/>
  <c r="AE4" i="16" s="1"/>
  <c r="AD2" i="16"/>
  <c r="AC40" i="8"/>
  <c r="AE71" i="10" s="1"/>
  <c r="AC23" i="8"/>
  <c r="AC34" i="8"/>
  <c r="AC39" i="8"/>
  <c r="AD4" i="14"/>
  <c r="AD5" i="14" s="1"/>
  <c r="AD6" i="14" s="1"/>
  <c r="AE20" i="8"/>
  <c r="AD21" i="8"/>
  <c r="AD22" i="8"/>
  <c r="AD19" i="8"/>
  <c r="AD35" i="8" s="1"/>
  <c r="AF72" i="10" s="1"/>
  <c r="AG2" i="10"/>
  <c r="AG3" i="10" s="1"/>
  <c r="AF3" i="10"/>
  <c r="AF4" i="10"/>
  <c r="W2" i="22" l="1"/>
  <c r="R2" i="22"/>
  <c r="D198" i="18"/>
  <c r="G198" i="18" s="1"/>
  <c r="H197" i="18"/>
  <c r="AA50" i="14"/>
  <c r="AA51" i="14"/>
  <c r="AA53" i="14" s="1"/>
  <c r="AC41" i="8"/>
  <c r="AB40" i="14"/>
  <c r="AB42" i="14" s="1"/>
  <c r="AB44" i="14" s="1"/>
  <c r="AB51" i="14" s="1"/>
  <c r="AB53" i="14" s="1"/>
  <c r="AB35" i="14"/>
  <c r="AC26" i="14"/>
  <c r="AC30" i="14" s="1"/>
  <c r="AC34" i="14" s="1"/>
  <c r="AD6" i="16"/>
  <c r="AD16" i="16" s="1"/>
  <c r="AD40" i="8"/>
  <c r="AF71" i="10" s="1"/>
  <c r="AD23" i="8"/>
  <c r="AD39" i="8"/>
  <c r="AD34" i="8"/>
  <c r="AE4" i="14"/>
  <c r="AE5" i="14" s="1"/>
  <c r="AE6" i="14" s="1"/>
  <c r="AC24" i="8"/>
  <c r="AC25" i="8"/>
  <c r="AC27" i="8" s="1"/>
  <c r="AE5" i="16"/>
  <c r="AF3" i="16"/>
  <c r="AF4" i="16" s="1"/>
  <c r="AE2" i="16"/>
  <c r="AF20" i="8"/>
  <c r="AE22" i="8"/>
  <c r="AE19" i="8"/>
  <c r="AE35" i="8" s="1"/>
  <c r="AG72" i="10" s="1"/>
  <c r="AE21" i="8"/>
  <c r="AG4" i="10"/>
  <c r="AC44" i="8" l="1"/>
  <c r="D199" i="18"/>
  <c r="G199" i="18" s="1"/>
  <c r="H198" i="18"/>
  <c r="AB50" i="14"/>
  <c r="AD41" i="8"/>
  <c r="AC40" i="14"/>
  <c r="AC42" i="14" s="1"/>
  <c r="AC44" i="14" s="1"/>
  <c r="AC35" i="14"/>
  <c r="AD26" i="14"/>
  <c r="AD30" i="14" s="1"/>
  <c r="AD34" i="14" s="1"/>
  <c r="AF4" i="14"/>
  <c r="AF5" i="14" s="1"/>
  <c r="AF6" i="14" s="1"/>
  <c r="AG20" i="8"/>
  <c r="AF22" i="8"/>
  <c r="AF21" i="8"/>
  <c r="AF19" i="8"/>
  <c r="AF35" i="8" s="1"/>
  <c r="AD24" i="8"/>
  <c r="AD25" i="8"/>
  <c r="AD27" i="8" s="1"/>
  <c r="AD44" i="8" s="1"/>
  <c r="AE40" i="8"/>
  <c r="AG71" i="10" s="1"/>
  <c r="AE23" i="8"/>
  <c r="AE39" i="8"/>
  <c r="AE34" i="8"/>
  <c r="AF5" i="16"/>
  <c r="AG3" i="16"/>
  <c r="AG4" i="16" s="1"/>
  <c r="AF2" i="16"/>
  <c r="AE6" i="16"/>
  <c r="AE16" i="16" s="1"/>
  <c r="AE41" i="8" l="1"/>
  <c r="H199" i="18"/>
  <c r="D200" i="18"/>
  <c r="G200" i="18" s="1"/>
  <c r="AC51" i="14"/>
  <c r="AC53" i="14" s="1"/>
  <c r="AC50" i="14"/>
  <c r="AD40" i="14"/>
  <c r="AD42" i="14" s="1"/>
  <c r="AD44" i="14" s="1"/>
  <c r="AD35" i="14"/>
  <c r="AE26" i="14"/>
  <c r="AE30" i="14" s="1"/>
  <c r="AE34" i="14" s="1"/>
  <c r="AF40" i="8"/>
  <c r="AF23" i="8"/>
  <c r="AF34" i="8"/>
  <c r="AF39" i="8"/>
  <c r="AH20" i="8"/>
  <c r="AG22" i="8"/>
  <c r="AG19" i="8"/>
  <c r="AG35" i="8" s="1"/>
  <c r="AG21" i="8"/>
  <c r="AE24" i="8"/>
  <c r="AE25" i="8"/>
  <c r="AE27" i="8" s="1"/>
  <c r="AF6" i="16"/>
  <c r="AF16" i="16" s="1"/>
  <c r="AG4" i="14"/>
  <c r="AG5" i="14" s="1"/>
  <c r="AG6" i="14" s="1"/>
  <c r="AH3" i="16"/>
  <c r="AH4" i="16" s="1"/>
  <c r="AG2" i="16"/>
  <c r="AG5" i="16"/>
  <c r="AE44" i="8" l="1"/>
  <c r="D201" i="18"/>
  <c r="G201" i="18" s="1"/>
  <c r="H200" i="18"/>
  <c r="AD51" i="14"/>
  <c r="AD53" i="14" s="1"/>
  <c r="AD50" i="14"/>
  <c r="AF41" i="8"/>
  <c r="AE35" i="14"/>
  <c r="AE40" i="14"/>
  <c r="AE42" i="14" s="1"/>
  <c r="AE44" i="14" s="1"/>
  <c r="AE50" i="14" s="1"/>
  <c r="AG26" i="14"/>
  <c r="AG30" i="14" s="1"/>
  <c r="AG34" i="14" s="1"/>
  <c r="AF26" i="14"/>
  <c r="AF30" i="14" s="1"/>
  <c r="AF34" i="14" s="1"/>
  <c r="AI20" i="8"/>
  <c r="AH19" i="8"/>
  <c r="AH35" i="8" s="1"/>
  <c r="AH22" i="8"/>
  <c r="AH21" i="8"/>
  <c r="AG40" i="8"/>
  <c r="AG23" i="8"/>
  <c r="AG34" i="8"/>
  <c r="AG39" i="8"/>
  <c r="AG6" i="16"/>
  <c r="AG16" i="16" s="1"/>
  <c r="AF24" i="8"/>
  <c r="AF25" i="8"/>
  <c r="AF27" i="8" s="1"/>
  <c r="AH5" i="16"/>
  <c r="AI3" i="16"/>
  <c r="AI4" i="16" s="1"/>
  <c r="AH2" i="16"/>
  <c r="AE51" i="14" l="1"/>
  <c r="AE53" i="14" s="1"/>
  <c r="AF44" i="8"/>
  <c r="D202" i="18"/>
  <c r="G202" i="18" s="1"/>
  <c r="H201" i="18"/>
  <c r="AF40" i="14"/>
  <c r="AF42" i="14" s="1"/>
  <c r="AF44" i="14" s="1"/>
  <c r="AF35" i="14"/>
  <c r="AG35" i="14"/>
  <c r="AG40" i="14"/>
  <c r="AG42" i="14" s="1"/>
  <c r="AG44" i="14" s="1"/>
  <c r="AG41" i="8"/>
  <c r="AJ3" i="16"/>
  <c r="AJ4" i="16" s="1"/>
  <c r="AI2" i="16"/>
  <c r="AI5" i="16"/>
  <c r="AG24" i="8"/>
  <c r="AG25" i="8"/>
  <c r="AG27" i="8" s="1"/>
  <c r="AH40" i="8"/>
  <c r="AH23" i="8"/>
  <c r="AH39" i="8"/>
  <c r="AH34" i="8"/>
  <c r="AH6" i="16"/>
  <c r="AH16" i="16" s="1"/>
  <c r="AJ20" i="8"/>
  <c r="AI22" i="8"/>
  <c r="AI19" i="8"/>
  <c r="AI35" i="8" s="1"/>
  <c r="AI21" i="8"/>
  <c r="AG44" i="8" l="1"/>
  <c r="D203" i="18"/>
  <c r="G203" i="18" s="1"/>
  <c r="H202" i="18"/>
  <c r="AF50" i="14"/>
  <c r="AF51" i="14"/>
  <c r="AF53" i="14" s="1"/>
  <c r="AG50" i="14"/>
  <c r="AG51" i="14"/>
  <c r="AG53" i="14" s="1"/>
  <c r="AH41" i="8"/>
  <c r="AH24" i="8"/>
  <c r="AH25" i="8"/>
  <c r="AH27" i="8" s="1"/>
  <c r="AI6" i="16"/>
  <c r="AI16" i="16" s="1"/>
  <c r="AK20" i="8"/>
  <c r="AJ22" i="8"/>
  <c r="AJ21" i="8"/>
  <c r="AJ19" i="8"/>
  <c r="AJ35" i="8" s="1"/>
  <c r="AK3" i="16"/>
  <c r="AK4" i="16" s="1"/>
  <c r="AJ2" i="16"/>
  <c r="AJ5" i="16"/>
  <c r="AI40" i="8"/>
  <c r="AI23" i="8"/>
  <c r="AI39" i="8"/>
  <c r="AI34" i="8"/>
  <c r="AH44" i="8" l="1"/>
  <c r="H203" i="18"/>
  <c r="D204" i="18"/>
  <c r="G204" i="18" s="1"/>
  <c r="AI41" i="8"/>
  <c r="AL3" i="16"/>
  <c r="AL4" i="16" s="1"/>
  <c r="AK2" i="16"/>
  <c r="AK5" i="16"/>
  <c r="AL20" i="8"/>
  <c r="AK22" i="8"/>
  <c r="AK21" i="8"/>
  <c r="AK19" i="8"/>
  <c r="AK35" i="8" s="1"/>
  <c r="AJ6" i="16"/>
  <c r="AJ16" i="16" s="1"/>
  <c r="AI24" i="8"/>
  <c r="AI25" i="8"/>
  <c r="AI27" i="8" s="1"/>
  <c r="AI44" i="8" s="1"/>
  <c r="AJ40" i="8"/>
  <c r="AJ23" i="8"/>
  <c r="AJ39" i="8"/>
  <c r="AJ34" i="8"/>
  <c r="D205" i="18" l="1"/>
  <c r="G205" i="18" s="1"/>
  <c r="H204" i="18"/>
  <c r="AJ41" i="8"/>
  <c r="AK40" i="8"/>
  <c r="AK23" i="8"/>
  <c r="AK39" i="8"/>
  <c r="AK41" i="8" s="1"/>
  <c r="AK34" i="8"/>
  <c r="AK6" i="16"/>
  <c r="AK16" i="16" s="1"/>
  <c r="AJ24" i="8"/>
  <c r="AJ25" i="8"/>
  <c r="AJ27" i="8" s="1"/>
  <c r="AJ44" i="8" s="1"/>
  <c r="AM3" i="16"/>
  <c r="AM4" i="16" s="1"/>
  <c r="AL2" i="16"/>
  <c r="AL5" i="16"/>
  <c r="AM20" i="8"/>
  <c r="AL19" i="8"/>
  <c r="AL35" i="8" s="1"/>
  <c r="AL22" i="8"/>
  <c r="AL21" i="8"/>
  <c r="D206" i="18" l="1"/>
  <c r="G206" i="18" s="1"/>
  <c r="H205" i="18"/>
  <c r="AL6" i="16"/>
  <c r="AL16" i="16" s="1"/>
  <c r="AN3" i="16"/>
  <c r="AN4" i="16" s="1"/>
  <c r="AM5" i="16"/>
  <c r="AM2" i="16"/>
  <c r="AK24" i="8"/>
  <c r="AK25" i="8"/>
  <c r="AL40" i="8"/>
  <c r="AL23" i="8"/>
  <c r="AL34" i="8"/>
  <c r="AL39" i="8"/>
  <c r="AN20" i="8"/>
  <c r="AM19" i="8"/>
  <c r="AM35" i="8" s="1"/>
  <c r="AM21" i="8"/>
  <c r="AM22" i="8"/>
  <c r="D207" i="18" l="1"/>
  <c r="G207" i="18" s="1"/>
  <c r="H206" i="18"/>
  <c r="AK27" i="8"/>
  <c r="AK44" i="8" s="1"/>
  <c r="AL24" i="8"/>
  <c r="AL25" i="8"/>
  <c r="AO20" i="8"/>
  <c r="AN19" i="8"/>
  <c r="AN35" i="8" s="1"/>
  <c r="AN21" i="8"/>
  <c r="AN22" i="8"/>
  <c r="AM6" i="16"/>
  <c r="AM16" i="16" s="1"/>
  <c r="AO3" i="16"/>
  <c r="AO4" i="16" s="1"/>
  <c r="AN2" i="16"/>
  <c r="AN5" i="16"/>
  <c r="AM40" i="8"/>
  <c r="AM23" i="8"/>
  <c r="AM39" i="8"/>
  <c r="AM34" i="8"/>
  <c r="AL41" i="8"/>
  <c r="H207" i="18" l="1"/>
  <c r="D208" i="18"/>
  <c r="G208" i="18" s="1"/>
  <c r="AN6" i="16"/>
  <c r="AN16" i="16" s="1"/>
  <c r="AN40" i="8"/>
  <c r="AN23" i="8"/>
  <c r="AN34" i="8"/>
  <c r="AN39" i="8"/>
  <c r="AL27" i="8"/>
  <c r="AL44" i="8" s="1"/>
  <c r="AP3" i="16"/>
  <c r="AP4" i="16" s="1"/>
  <c r="AO2" i="16"/>
  <c r="AO5" i="16"/>
  <c r="AM41" i="8"/>
  <c r="AP20" i="8"/>
  <c r="AO21" i="8"/>
  <c r="AO19" i="8"/>
  <c r="AO35" i="8" s="1"/>
  <c r="AO22" i="8"/>
  <c r="AM24" i="8"/>
  <c r="AM25" i="8"/>
  <c r="AN41" i="8" l="1"/>
  <c r="D209" i="18"/>
  <c r="G209" i="18" s="1"/>
  <c r="H208" i="18"/>
  <c r="AN24" i="8"/>
  <c r="AN25" i="8"/>
  <c r="AM27" i="8"/>
  <c r="AM44" i="8" s="1"/>
  <c r="AQ20" i="8"/>
  <c r="AP21" i="8"/>
  <c r="AP22" i="8"/>
  <c r="AP19" i="8"/>
  <c r="AP35" i="8" s="1"/>
  <c r="AO6" i="16"/>
  <c r="AO16" i="16" s="1"/>
  <c r="AO40" i="8"/>
  <c r="AO23" i="8"/>
  <c r="AO39" i="8"/>
  <c r="AO34" i="8"/>
  <c r="AQ3" i="16"/>
  <c r="AQ4" i="16" s="1"/>
  <c r="AP5" i="16"/>
  <c r="AP2" i="16"/>
  <c r="AO41" i="8" l="1"/>
  <c r="D210" i="18"/>
  <c r="G210" i="18" s="1"/>
  <c r="H209" i="18"/>
  <c r="AR20" i="8"/>
  <c r="AQ22" i="8"/>
  <c r="AQ21" i="8"/>
  <c r="AQ19" i="8"/>
  <c r="AQ35" i="8" s="1"/>
  <c r="AR3" i="16"/>
  <c r="AR4" i="16" s="1"/>
  <c r="AQ5" i="16"/>
  <c r="AQ2" i="16"/>
  <c r="AO24" i="8"/>
  <c r="AO25" i="8"/>
  <c r="AP6" i="16"/>
  <c r="AP16" i="16" s="1"/>
  <c r="AP40" i="8"/>
  <c r="AP23" i="8"/>
  <c r="AP39" i="8"/>
  <c r="AP34" i="8"/>
  <c r="AN27" i="8"/>
  <c r="AN44" i="8" s="1"/>
  <c r="AP41" i="8" l="1"/>
  <c r="D211" i="18"/>
  <c r="G211" i="18" s="1"/>
  <c r="H210" i="18"/>
  <c r="AS3" i="16"/>
  <c r="AS4" i="16" s="1"/>
  <c r="AR2" i="16"/>
  <c r="AR5" i="16"/>
  <c r="AQ6" i="16"/>
  <c r="AQ16" i="16" s="1"/>
  <c r="AQ40" i="8"/>
  <c r="AQ23" i="8"/>
  <c r="AQ39" i="8"/>
  <c r="AQ34" i="8"/>
  <c r="AP24" i="8"/>
  <c r="AP25" i="8"/>
  <c r="AO27" i="8"/>
  <c r="AO44" i="8" s="1"/>
  <c r="AS20" i="8"/>
  <c r="AR19" i="8"/>
  <c r="AR35" i="8" s="1"/>
  <c r="AR22" i="8"/>
  <c r="AR21" i="8"/>
  <c r="H211" i="18" l="1"/>
  <c r="D212" i="18"/>
  <c r="G212" i="18" s="1"/>
  <c r="AQ41" i="8"/>
  <c r="AT20" i="8"/>
  <c r="AS21" i="8"/>
  <c r="AS19" i="8"/>
  <c r="AS35" i="8" s="1"/>
  <c r="AS22" i="8"/>
  <c r="AR6" i="16"/>
  <c r="AR16" i="16" s="1"/>
  <c r="AR40" i="8"/>
  <c r="AR23" i="8"/>
  <c r="AR34" i="8"/>
  <c r="AR39" i="8"/>
  <c r="AT3" i="16"/>
  <c r="AT4" i="16" s="1"/>
  <c r="AS2" i="16"/>
  <c r="AS5" i="16"/>
  <c r="AQ24" i="8"/>
  <c r="AQ25" i="8"/>
  <c r="AP27" i="8"/>
  <c r="AP44" i="8" s="1"/>
  <c r="D213" i="18" l="1"/>
  <c r="G213" i="18" s="1"/>
  <c r="H212" i="18"/>
  <c r="AR41" i="8"/>
  <c r="AQ27" i="8"/>
  <c r="AQ44" i="8" s="1"/>
  <c r="AS6" i="16"/>
  <c r="AS16" i="16" s="1"/>
  <c r="AR24" i="8"/>
  <c r="AR25" i="8"/>
  <c r="AU3" i="16"/>
  <c r="AU4" i="16" s="1"/>
  <c r="AT5" i="16"/>
  <c r="AT2" i="16"/>
  <c r="AS40" i="8"/>
  <c r="AS23" i="8"/>
  <c r="AS39" i="8"/>
  <c r="AS34" i="8"/>
  <c r="AU20" i="8"/>
  <c r="AT21" i="8"/>
  <c r="AT19" i="8"/>
  <c r="AT35" i="8" s="1"/>
  <c r="AT22" i="8"/>
  <c r="D214" i="18" l="1"/>
  <c r="G214" i="18" s="1"/>
  <c r="H213" i="18"/>
  <c r="AS41" i="8"/>
  <c r="AV20" i="8"/>
  <c r="AU22" i="8"/>
  <c r="AU21" i="8"/>
  <c r="AU19" i="8"/>
  <c r="AU35" i="8" s="1"/>
  <c r="AS24" i="8"/>
  <c r="AS25" i="8"/>
  <c r="AS27" i="8" s="1"/>
  <c r="AS44" i="8" s="1"/>
  <c r="AT6" i="16"/>
  <c r="AT16" i="16" s="1"/>
  <c r="AT40" i="8"/>
  <c r="AT23" i="8"/>
  <c r="AT39" i="8"/>
  <c r="AT34" i="8"/>
  <c r="AR27" i="8"/>
  <c r="AR44" i="8" s="1"/>
  <c r="AV3" i="16"/>
  <c r="AV4" i="16" s="1"/>
  <c r="AU5" i="16"/>
  <c r="AU2" i="16"/>
  <c r="D215" i="18" l="1"/>
  <c r="G215" i="18" s="1"/>
  <c r="H214" i="18"/>
  <c r="AT41" i="8"/>
  <c r="AU6" i="16"/>
  <c r="AU16" i="16" s="1"/>
  <c r="AU40" i="8"/>
  <c r="AU23" i="8"/>
  <c r="AU39" i="8"/>
  <c r="AU34" i="8"/>
  <c r="AW3" i="16"/>
  <c r="AW4" i="16" s="1"/>
  <c r="AV5" i="16"/>
  <c r="AV2" i="16"/>
  <c r="AT24" i="8"/>
  <c r="AT25" i="8"/>
  <c r="AT27" i="8" s="1"/>
  <c r="AW20" i="8"/>
  <c r="AV22" i="8"/>
  <c r="AV21" i="8"/>
  <c r="AV19" i="8"/>
  <c r="AV35" i="8" s="1"/>
  <c r="AU41" i="8" l="1"/>
  <c r="H215" i="18"/>
  <c r="G63" i="18"/>
  <c r="AT44" i="8"/>
  <c r="AX20" i="8"/>
  <c r="AW22" i="8"/>
  <c r="AW21" i="8"/>
  <c r="AW19" i="8"/>
  <c r="AW35" i="8" s="1"/>
  <c r="AV6" i="16"/>
  <c r="AV16" i="16" s="1"/>
  <c r="AU24" i="8"/>
  <c r="AU25" i="8"/>
  <c r="AU27" i="8" s="1"/>
  <c r="AU44" i="8" s="1"/>
  <c r="AX3" i="16"/>
  <c r="AX4" i="16" s="1"/>
  <c r="AW2" i="16"/>
  <c r="AW5" i="16"/>
  <c r="AV40" i="8"/>
  <c r="AV23" i="8"/>
  <c r="AV39" i="8"/>
  <c r="AV34" i="8"/>
  <c r="AV41" i="8" l="1"/>
  <c r="AW6" i="16"/>
  <c r="AW16" i="16" s="1"/>
  <c r="AV25" i="8"/>
  <c r="AV27" i="8" s="1"/>
  <c r="AV44" i="8" s="1"/>
  <c r="AV24" i="8"/>
  <c r="AW40" i="8"/>
  <c r="AW23" i="8"/>
  <c r="AW39" i="8"/>
  <c r="AW34" i="8"/>
  <c r="AY3" i="16"/>
  <c r="AY4" i="16" s="1"/>
  <c r="AX5" i="16"/>
  <c r="AX2" i="16"/>
  <c r="AY20" i="8"/>
  <c r="AX22" i="8"/>
  <c r="AX19" i="8"/>
  <c r="AX35" i="8" s="1"/>
  <c r="AX21" i="8"/>
  <c r="AW41" i="8" l="1"/>
  <c r="AZ20" i="8"/>
  <c r="AY22" i="8"/>
  <c r="AY19" i="8"/>
  <c r="AY35" i="8" s="1"/>
  <c r="AY21" i="8"/>
  <c r="AX40" i="8"/>
  <c r="AX23" i="8"/>
  <c r="AX34" i="8"/>
  <c r="AX39" i="8"/>
  <c r="AX6" i="16"/>
  <c r="AX16" i="16" s="1"/>
  <c r="AZ3" i="16"/>
  <c r="AZ4" i="16" s="1"/>
  <c r="AY2" i="16"/>
  <c r="AY5" i="16"/>
  <c r="AW25" i="8"/>
  <c r="AW27" i="8" s="1"/>
  <c r="AW24" i="8"/>
  <c r="AW44" i="8" l="1"/>
  <c r="AX41" i="8"/>
  <c r="AY6" i="16"/>
  <c r="AY16" i="16" s="1"/>
  <c r="BA3" i="16"/>
  <c r="BA4" i="16" s="1"/>
  <c r="AZ5" i="16"/>
  <c r="AZ2" i="16"/>
  <c r="AX24" i="8"/>
  <c r="AX25" i="8"/>
  <c r="AX27" i="8" s="1"/>
  <c r="AY40" i="8"/>
  <c r="AY39" i="8"/>
  <c r="AY23" i="8"/>
  <c r="AY34" i="8"/>
  <c r="BA20" i="8"/>
  <c r="AZ22" i="8"/>
  <c r="AZ19" i="8"/>
  <c r="AZ35" i="8" s="1"/>
  <c r="AZ21" i="8"/>
  <c r="AX44" i="8" l="1"/>
  <c r="AY41" i="8"/>
  <c r="BB20" i="8"/>
  <c r="BA22" i="8"/>
  <c r="BA19" i="8"/>
  <c r="BA35" i="8" s="1"/>
  <c r="BA21" i="8"/>
  <c r="AY24" i="8"/>
  <c r="AY25" i="8"/>
  <c r="AY27" i="8" s="1"/>
  <c r="AY44" i="8" s="1"/>
  <c r="AZ6" i="16"/>
  <c r="AZ16" i="16" s="1"/>
  <c r="BA5" i="16"/>
  <c r="BA2" i="16"/>
  <c r="AZ40" i="8"/>
  <c r="AZ23" i="8"/>
  <c r="AZ39" i="8"/>
  <c r="AZ34" i="8"/>
  <c r="AZ41" i="8" l="1"/>
  <c r="AZ24" i="8"/>
  <c r="AZ25" i="8"/>
  <c r="AZ27" i="8" s="1"/>
  <c r="BA40" i="8"/>
  <c r="BA23" i="8"/>
  <c r="BA39" i="8"/>
  <c r="BA34" i="8"/>
  <c r="BA6" i="16"/>
  <c r="BA16" i="16" s="1"/>
  <c r="BC20" i="8"/>
  <c r="BB22" i="8"/>
  <c r="BB21" i="8"/>
  <c r="BB19" i="8"/>
  <c r="BB35" i="8" s="1"/>
  <c r="BA41" i="8" l="1"/>
  <c r="AZ44" i="8"/>
  <c r="BB40" i="8"/>
  <c r="BB23" i="8"/>
  <c r="BB34" i="8"/>
  <c r="BB39" i="8"/>
  <c r="BB41" i="8" s="1"/>
  <c r="BD20" i="8"/>
  <c r="BC19" i="8"/>
  <c r="BC35" i="8" s="1"/>
  <c r="BC21" i="8"/>
  <c r="BC22" i="8"/>
  <c r="BA24" i="8"/>
  <c r="BA25" i="8"/>
  <c r="BA27" i="8" s="1"/>
  <c r="BA44" i="8" l="1"/>
  <c r="BC40" i="8"/>
  <c r="BC23" i="8"/>
  <c r="BC39" i="8"/>
  <c r="BC34" i="8"/>
  <c r="BE20" i="8"/>
  <c r="BD19" i="8"/>
  <c r="BD35" i="8" s="1"/>
  <c r="BD22" i="8"/>
  <c r="BD21" i="8"/>
  <c r="BB24" i="8"/>
  <c r="BB25" i="8"/>
  <c r="BB27" i="8" s="1"/>
  <c r="BB44" i="8" s="1"/>
  <c r="BC41" i="8" l="1"/>
  <c r="BD40" i="8"/>
  <c r="BD23" i="8"/>
  <c r="BD34" i="8"/>
  <c r="BD39" i="8"/>
  <c r="BD41" i="8" s="1"/>
  <c r="BF20" i="8"/>
  <c r="BE22" i="8"/>
  <c r="BE21" i="8"/>
  <c r="BE19" i="8"/>
  <c r="BE35" i="8" s="1"/>
  <c r="BC24" i="8"/>
  <c r="BC25" i="8"/>
  <c r="BC27" i="8" s="1"/>
  <c r="BC44" i="8" s="1"/>
  <c r="BE40" i="8" l="1"/>
  <c r="BE23" i="8"/>
  <c r="BE34" i="8"/>
  <c r="BE39" i="8"/>
  <c r="BG20" i="8"/>
  <c r="BF21" i="8"/>
  <c r="BF19" i="8"/>
  <c r="BF35" i="8" s="1"/>
  <c r="BF22" i="8"/>
  <c r="BD24" i="8"/>
  <c r="BD25" i="8"/>
  <c r="BD27" i="8" s="1"/>
  <c r="BD44" i="8" s="1"/>
  <c r="BE41" i="8" l="1"/>
  <c r="BF40" i="8"/>
  <c r="BF23" i="8"/>
  <c r="BF39" i="8"/>
  <c r="BF34" i="8"/>
  <c r="BH20" i="8"/>
  <c r="BG22" i="8"/>
  <c r="BG19" i="8"/>
  <c r="BG35" i="8" s="1"/>
  <c r="BG21" i="8"/>
  <c r="BE24" i="8"/>
  <c r="BE25" i="8"/>
  <c r="BE27" i="8" s="1"/>
  <c r="BF41" i="8" l="1"/>
  <c r="BE44" i="8"/>
  <c r="BG40" i="8"/>
  <c r="BG23" i="8"/>
  <c r="BG39" i="8"/>
  <c r="BG34" i="8"/>
  <c r="BI20" i="8"/>
  <c r="BH21" i="8"/>
  <c r="BH19" i="8"/>
  <c r="BH35" i="8" s="1"/>
  <c r="BH22" i="8"/>
  <c r="BF24" i="8"/>
  <c r="BF25" i="8"/>
  <c r="BF27" i="8" s="1"/>
  <c r="BF44" i="8" s="1"/>
  <c r="BG41" i="8" l="1"/>
  <c r="BH40" i="8"/>
  <c r="BH23" i="8"/>
  <c r="BH34" i="8"/>
  <c r="BH39" i="8"/>
  <c r="BH41" i="8" s="1"/>
  <c r="BJ20" i="8"/>
  <c r="BI21" i="8"/>
  <c r="BI19" i="8"/>
  <c r="BI35" i="8" s="1"/>
  <c r="BI22" i="8"/>
  <c r="BG24" i="8"/>
  <c r="BG25" i="8"/>
  <c r="BG27" i="8" s="1"/>
  <c r="BG44" i="8" l="1"/>
  <c r="BI40" i="8"/>
  <c r="BI23" i="8"/>
  <c r="BI39" i="8"/>
  <c r="BI34" i="8"/>
  <c r="BK20" i="8"/>
  <c r="BJ21" i="8"/>
  <c r="BJ19" i="8"/>
  <c r="BJ35" i="8" s="1"/>
  <c r="BJ22" i="8"/>
  <c r="BH24" i="8"/>
  <c r="BH25" i="8"/>
  <c r="BH27" i="8" s="1"/>
  <c r="BH44" i="8" s="1"/>
  <c r="BI41" i="8" l="1"/>
  <c r="BJ40" i="8"/>
  <c r="BJ23" i="8"/>
  <c r="BJ34" i="8"/>
  <c r="BJ39" i="8"/>
  <c r="BL20" i="8"/>
  <c r="BK22" i="8"/>
  <c r="BK21" i="8"/>
  <c r="BK19" i="8"/>
  <c r="BK35" i="8" s="1"/>
  <c r="BI24" i="8"/>
  <c r="BI25" i="8"/>
  <c r="BI27" i="8" s="1"/>
  <c r="BI44" i="8" s="1"/>
  <c r="BJ41" i="8" l="1"/>
  <c r="BK40" i="8"/>
  <c r="BK23" i="8"/>
  <c r="BK39" i="8"/>
  <c r="BK41" i="8" s="1"/>
  <c r="BK34" i="8"/>
  <c r="BM20" i="8"/>
  <c r="BL21" i="8"/>
  <c r="BL19" i="8"/>
  <c r="BL35" i="8" s="1"/>
  <c r="BL22" i="8"/>
  <c r="BJ24" i="8"/>
  <c r="BJ25" i="8"/>
  <c r="BJ27" i="8" s="1"/>
  <c r="BJ44" i="8" s="1"/>
  <c r="BL23" i="8" l="1"/>
  <c r="BL40" i="8"/>
  <c r="BL34" i="8"/>
  <c r="BL39" i="8"/>
  <c r="BL41" i="8" s="1"/>
  <c r="BN20" i="8"/>
  <c r="BM22" i="8"/>
  <c r="BM21" i="8"/>
  <c r="BM19" i="8"/>
  <c r="BM35" i="8" s="1"/>
  <c r="BK24" i="8"/>
  <c r="BK25" i="8"/>
  <c r="BK27" i="8" s="1"/>
  <c r="BK44" i="8" s="1"/>
  <c r="BM23" i="8" l="1"/>
  <c r="BM40" i="8"/>
  <c r="BM39" i="8"/>
  <c r="BM41" i="8" s="1"/>
  <c r="BM34" i="8"/>
  <c r="BO20" i="8"/>
  <c r="BN19" i="8"/>
  <c r="BN35" i="8" s="1"/>
  <c r="BN22" i="8"/>
  <c r="BN21" i="8"/>
  <c r="BL24" i="8"/>
  <c r="BL25" i="8"/>
  <c r="BL27" i="8" s="1"/>
  <c r="BL44" i="8" s="1"/>
  <c r="BN23" i="8" l="1"/>
  <c r="BN40" i="8"/>
  <c r="BN39" i="8"/>
  <c r="BN41" i="8" s="1"/>
  <c r="BN34" i="8"/>
  <c r="BP20" i="8"/>
  <c r="BO22" i="8"/>
  <c r="BO19" i="8"/>
  <c r="BO35" i="8" s="1"/>
  <c r="BO21" i="8"/>
  <c r="BM24" i="8"/>
  <c r="BM25" i="8"/>
  <c r="BM27" i="8" s="1"/>
  <c r="BM44" i="8" s="1"/>
  <c r="BO23" i="8" l="1"/>
  <c r="BO40" i="8"/>
  <c r="BO39" i="8"/>
  <c r="BO34" i="8"/>
  <c r="BQ20" i="8"/>
  <c r="BP22" i="8"/>
  <c r="BP21" i="8"/>
  <c r="BP19" i="8"/>
  <c r="BP35" i="8" s="1"/>
  <c r="BN24" i="8"/>
  <c r="BN25" i="8"/>
  <c r="BN27" i="8" s="1"/>
  <c r="BN44" i="8" s="1"/>
  <c r="BO41" i="8" l="1"/>
  <c r="BP40" i="8"/>
  <c r="BP23" i="8"/>
  <c r="BP39" i="8"/>
  <c r="BP34" i="8"/>
  <c r="BR20" i="8"/>
  <c r="BQ22" i="8"/>
  <c r="BQ21" i="8"/>
  <c r="BQ19" i="8"/>
  <c r="BQ35" i="8" s="1"/>
  <c r="BO24" i="8"/>
  <c r="BO25" i="8"/>
  <c r="BO27" i="8" s="1"/>
  <c r="BO44" i="8" s="1"/>
  <c r="BP41" i="8" l="1"/>
  <c r="BQ40" i="8"/>
  <c r="BQ23" i="8"/>
  <c r="BQ39" i="8"/>
  <c r="BQ41" i="8" s="1"/>
  <c r="BQ34" i="8"/>
  <c r="BS20" i="8"/>
  <c r="BR21" i="8"/>
  <c r="BR22" i="8"/>
  <c r="BR19" i="8"/>
  <c r="BR35" i="8" s="1"/>
  <c r="BP24" i="8"/>
  <c r="BP25" i="8"/>
  <c r="BP27" i="8" s="1"/>
  <c r="BP44" i="8" s="1"/>
  <c r="BR40" i="8" l="1"/>
  <c r="BR23" i="8"/>
  <c r="BR39" i="8"/>
  <c r="BR34" i="8"/>
  <c r="BT20" i="8"/>
  <c r="BS19" i="8"/>
  <c r="BS35" i="8" s="1"/>
  <c r="BS22" i="8"/>
  <c r="BS21" i="8"/>
  <c r="BQ24" i="8"/>
  <c r="BQ25" i="8"/>
  <c r="BQ27" i="8" s="1"/>
  <c r="BQ44" i="8" s="1"/>
  <c r="BR41" i="8" l="1"/>
  <c r="BS40" i="8"/>
  <c r="BS23" i="8"/>
  <c r="BS34" i="8"/>
  <c r="BS39" i="8"/>
  <c r="BU20" i="8"/>
  <c r="BT19" i="8"/>
  <c r="BT35" i="8" s="1"/>
  <c r="BT21" i="8"/>
  <c r="BT22" i="8"/>
  <c r="BR24" i="8"/>
  <c r="BR25" i="8"/>
  <c r="BR27" i="8" s="1"/>
  <c r="BR44" i="8" s="1"/>
  <c r="BS41" i="8" l="1"/>
  <c r="BV20" i="8"/>
  <c r="BU22" i="8"/>
  <c r="BU19" i="8"/>
  <c r="BU35" i="8" s="1"/>
  <c r="BU21" i="8"/>
  <c r="BT40" i="8"/>
  <c r="BT23" i="8"/>
  <c r="BT34" i="8"/>
  <c r="BT39" i="8"/>
  <c r="BT41" i="8" s="1"/>
  <c r="BS24" i="8"/>
  <c r="BS25" i="8"/>
  <c r="BS27" i="8" s="1"/>
  <c r="BS44" i="8" s="1"/>
  <c r="BT24" i="8" l="1"/>
  <c r="BT25" i="8"/>
  <c r="BT27" i="8" s="1"/>
  <c r="BT44" i="8" s="1"/>
  <c r="BU40" i="8"/>
  <c r="BU23" i="8"/>
  <c r="BU39" i="8"/>
  <c r="BU41" i="8" s="1"/>
  <c r="BU34" i="8"/>
  <c r="BW20" i="8"/>
  <c r="BV21" i="8"/>
  <c r="BV19" i="8"/>
  <c r="BV35" i="8" s="1"/>
  <c r="BV22" i="8"/>
  <c r="BX20" i="8" l="1"/>
  <c r="BW21" i="8"/>
  <c r="BW22" i="8"/>
  <c r="BW19" i="8"/>
  <c r="BW35" i="8" s="1"/>
  <c r="BV40" i="8"/>
  <c r="BV23" i="8"/>
  <c r="BV39" i="8"/>
  <c r="BV34" i="8"/>
  <c r="BU24" i="8"/>
  <c r="BU25" i="8"/>
  <c r="BU27" i="8" s="1"/>
  <c r="BU44" i="8" s="1"/>
  <c r="BV41" i="8" l="1"/>
  <c r="BV24" i="8"/>
  <c r="BV25" i="8"/>
  <c r="BV27" i="8" s="1"/>
  <c r="BW40" i="8"/>
  <c r="BW23" i="8"/>
  <c r="BW39" i="8"/>
  <c r="BW41" i="8" s="1"/>
  <c r="BW34" i="8"/>
  <c r="BY20" i="8"/>
  <c r="BX22" i="8"/>
  <c r="BX21" i="8"/>
  <c r="BX19" i="8"/>
  <c r="BX35" i="8" s="1"/>
  <c r="BV44" i="8" l="1"/>
  <c r="BX40" i="8"/>
  <c r="BX23" i="8"/>
  <c r="BX34" i="8"/>
  <c r="BX39" i="8"/>
  <c r="BZ20" i="8"/>
  <c r="BY21" i="8"/>
  <c r="BY19" i="8"/>
  <c r="BY35" i="8" s="1"/>
  <c r="BY22" i="8"/>
  <c r="BW24" i="8"/>
  <c r="BW25" i="8"/>
  <c r="BW27" i="8" s="1"/>
  <c r="BW44" i="8" s="1"/>
  <c r="BX41" i="8" l="1"/>
  <c r="BY40" i="8"/>
  <c r="BY23" i="8"/>
  <c r="BY39" i="8"/>
  <c r="BY41" i="8" s="1"/>
  <c r="BY34" i="8"/>
  <c r="CA20" i="8"/>
  <c r="BZ21" i="8"/>
  <c r="BZ19" i="8"/>
  <c r="BZ35" i="8" s="1"/>
  <c r="BZ22" i="8"/>
  <c r="BX24" i="8"/>
  <c r="BX25" i="8"/>
  <c r="BX27" i="8" s="1"/>
  <c r="BX44" i="8" s="1"/>
  <c r="BZ40" i="8" l="1"/>
  <c r="BZ23" i="8"/>
  <c r="BZ39" i="8"/>
  <c r="BZ41" i="8" s="1"/>
  <c r="BZ34" i="8"/>
  <c r="CB20" i="8"/>
  <c r="CA22" i="8"/>
  <c r="CA19" i="8"/>
  <c r="CA35" i="8" s="1"/>
  <c r="CA21" i="8"/>
  <c r="BY24" i="8"/>
  <c r="BY25" i="8"/>
  <c r="BY27" i="8" s="1"/>
  <c r="BY44" i="8" s="1"/>
  <c r="CA40" i="8" l="1"/>
  <c r="CA23" i="8"/>
  <c r="CA39" i="8"/>
  <c r="CA34" i="8"/>
  <c r="CC20" i="8"/>
  <c r="CB22" i="8"/>
  <c r="CB21" i="8"/>
  <c r="CB19" i="8"/>
  <c r="CB35" i="8" s="1"/>
  <c r="BZ24" i="8"/>
  <c r="BZ25" i="8"/>
  <c r="BZ27" i="8" s="1"/>
  <c r="BZ44" i="8" s="1"/>
  <c r="CA41" i="8" l="1"/>
  <c r="CB40" i="8"/>
  <c r="CB23" i="8"/>
  <c r="CB39" i="8"/>
  <c r="CB41" i="8" s="1"/>
  <c r="CB34" i="8"/>
  <c r="CD20" i="8"/>
  <c r="CC22" i="8"/>
  <c r="CC21" i="8"/>
  <c r="CC19" i="8"/>
  <c r="CC35" i="8" s="1"/>
  <c r="CA24" i="8"/>
  <c r="CA25" i="8"/>
  <c r="CA27" i="8" s="1"/>
  <c r="CA44" i="8" s="1"/>
  <c r="CC40" i="8" l="1"/>
  <c r="CC23" i="8"/>
  <c r="CC39" i="8"/>
  <c r="CC41" i="8" s="1"/>
  <c r="CC34" i="8"/>
  <c r="CE20" i="8"/>
  <c r="CD21" i="8"/>
  <c r="CD22" i="8"/>
  <c r="CD19" i="8"/>
  <c r="CD35" i="8" s="1"/>
  <c r="CB24" i="8"/>
  <c r="CB25" i="8"/>
  <c r="CB27" i="8" s="1"/>
  <c r="CB44" i="8" s="1"/>
  <c r="CD40" i="8" l="1"/>
  <c r="CD23" i="8"/>
  <c r="CD39" i="8"/>
  <c r="CD41" i="8" s="1"/>
  <c r="CD34" i="8"/>
  <c r="CF20" i="8"/>
  <c r="CE22" i="8"/>
  <c r="CE21" i="8"/>
  <c r="CE19" i="8"/>
  <c r="CE35" i="8" s="1"/>
  <c r="CC24" i="8"/>
  <c r="CC25" i="8"/>
  <c r="CC27" i="8" s="1"/>
  <c r="CC44" i="8" s="1"/>
  <c r="CE40" i="8" l="1"/>
  <c r="CE23" i="8"/>
  <c r="CE39" i="8"/>
  <c r="CE34" i="8"/>
  <c r="CG20" i="8"/>
  <c r="CF22" i="8"/>
  <c r="CF19" i="8"/>
  <c r="CF35" i="8" s="1"/>
  <c r="CF21" i="8"/>
  <c r="CD24" i="8"/>
  <c r="CD25" i="8"/>
  <c r="CD27" i="8" s="1"/>
  <c r="CD44" i="8" s="1"/>
  <c r="CE41" i="8" l="1"/>
  <c r="CF40" i="8"/>
  <c r="CF23" i="8"/>
  <c r="CF39" i="8"/>
  <c r="CF34" i="8"/>
  <c r="CH20" i="8"/>
  <c r="CG22" i="8"/>
  <c r="CG21" i="8"/>
  <c r="CG19" i="8"/>
  <c r="CG35" i="8" s="1"/>
  <c r="CE24" i="8"/>
  <c r="CE25" i="8"/>
  <c r="CE27" i="8" s="1"/>
  <c r="CE44" i="8" s="1"/>
  <c r="CF41" i="8" l="1"/>
  <c r="CI20" i="8"/>
  <c r="CH19" i="8"/>
  <c r="CH35" i="8" s="1"/>
  <c r="CH21" i="8"/>
  <c r="CH22" i="8"/>
  <c r="CG40" i="8"/>
  <c r="CG23" i="8"/>
  <c r="CG39" i="8"/>
  <c r="CG41" i="8" s="1"/>
  <c r="CG34" i="8"/>
  <c r="CF24" i="8"/>
  <c r="CF25" i="8"/>
  <c r="CF27" i="8" s="1"/>
  <c r="CF44" i="8" s="1"/>
  <c r="CG24" i="8" l="1"/>
  <c r="CG25" i="8"/>
  <c r="CG27" i="8" s="1"/>
  <c r="CG44" i="8" s="1"/>
  <c r="CH40" i="8"/>
  <c r="CH23" i="8"/>
  <c r="CH39" i="8"/>
  <c r="CH34" i="8"/>
  <c r="CJ20" i="8"/>
  <c r="CI19" i="8"/>
  <c r="CI35" i="8" s="1"/>
  <c r="CI22" i="8"/>
  <c r="CI21" i="8"/>
  <c r="CH41" i="8" l="1"/>
  <c r="CK20" i="8"/>
  <c r="CJ19" i="8"/>
  <c r="CJ35" i="8" s="1"/>
  <c r="CJ21" i="8"/>
  <c r="CJ22" i="8"/>
  <c r="CH24" i="8"/>
  <c r="CH25" i="8"/>
  <c r="CH27" i="8" s="1"/>
  <c r="CH44" i="8" s="1"/>
  <c r="CI40" i="8"/>
  <c r="CI39" i="8"/>
  <c r="CI34" i="8"/>
  <c r="CI23" i="8"/>
  <c r="CI41" i="8" l="1"/>
  <c r="CI24" i="8"/>
  <c r="CI25" i="8"/>
  <c r="CI27" i="8" s="1"/>
  <c r="CJ40" i="8"/>
  <c r="CJ23" i="8"/>
  <c r="CJ34" i="8"/>
  <c r="CJ39" i="8"/>
  <c r="CJ41" i="8" s="1"/>
  <c r="CL20" i="8"/>
  <c r="CK19" i="8"/>
  <c r="CK35" i="8" s="1"/>
  <c r="CK21" i="8"/>
  <c r="CK22" i="8"/>
  <c r="CI44" i="8" l="1"/>
  <c r="CM20" i="8"/>
  <c r="CL21" i="8"/>
  <c r="CL22" i="8"/>
  <c r="CL19" i="8"/>
  <c r="CL35" i="8" s="1"/>
  <c r="CK40" i="8"/>
  <c r="CK23" i="8"/>
  <c r="CK39" i="8"/>
  <c r="CK41" i="8" s="1"/>
  <c r="CK34" i="8"/>
  <c r="CJ24" i="8"/>
  <c r="CJ25" i="8"/>
  <c r="CJ27" i="8" s="1"/>
  <c r="CJ44" i="8" s="1"/>
  <c r="CK24" i="8" l="1"/>
  <c r="CK25" i="8"/>
  <c r="CK27" i="8" s="1"/>
  <c r="CK44" i="8" s="1"/>
  <c r="CL40" i="8"/>
  <c r="CL23" i="8"/>
  <c r="CL39" i="8"/>
  <c r="CL34" i="8"/>
  <c r="CN20" i="8"/>
  <c r="CM22" i="8"/>
  <c r="CM19" i="8"/>
  <c r="CM35" i="8" s="1"/>
  <c r="CM21" i="8"/>
  <c r="CL41" i="8" l="1"/>
  <c r="CO20" i="8"/>
  <c r="CN22" i="8"/>
  <c r="CN19" i="8"/>
  <c r="CN35" i="8" s="1"/>
  <c r="CN21" i="8"/>
  <c r="CL24" i="8"/>
  <c r="CL25" i="8"/>
  <c r="CL27" i="8" s="1"/>
  <c r="CL44" i="8" s="1"/>
  <c r="CM40" i="8"/>
  <c r="CM23" i="8"/>
  <c r="CM39" i="8"/>
  <c r="CM34" i="8"/>
  <c r="CM41" i="8" l="1"/>
  <c r="CN40" i="8"/>
  <c r="CN23" i="8"/>
  <c r="CN34" i="8"/>
  <c r="CN39" i="8"/>
  <c r="CN41" i="8" s="1"/>
  <c r="CM24" i="8"/>
  <c r="CM25" i="8"/>
  <c r="CM27" i="8" s="1"/>
  <c r="CM44" i="8" s="1"/>
  <c r="CP20" i="8"/>
  <c r="CO21" i="8"/>
  <c r="CO19" i="8"/>
  <c r="CO35" i="8" s="1"/>
  <c r="CO22" i="8"/>
  <c r="CO40" i="8" l="1"/>
  <c r="CO23" i="8"/>
  <c r="CO39" i="8"/>
  <c r="CO41" i="8" s="1"/>
  <c r="CO34" i="8"/>
  <c r="CQ20" i="8"/>
  <c r="CP21" i="8"/>
  <c r="CP22" i="8"/>
  <c r="CP19" i="8"/>
  <c r="CP35" i="8" s="1"/>
  <c r="CN24" i="8"/>
  <c r="CN25" i="8"/>
  <c r="CN27" i="8" s="1"/>
  <c r="CN44" i="8" s="1"/>
  <c r="CP40" i="8" l="1"/>
  <c r="CP23" i="8"/>
  <c r="CP39" i="8"/>
  <c r="CP34" i="8"/>
  <c r="CR20" i="8"/>
  <c r="CQ21" i="8"/>
  <c r="CQ19" i="8"/>
  <c r="CQ35" i="8" s="1"/>
  <c r="CQ22" i="8"/>
  <c r="CO24" i="8"/>
  <c r="CO25" i="8"/>
  <c r="CO27" i="8" s="1"/>
  <c r="CO44" i="8" s="1"/>
  <c r="CP41" i="8" l="1"/>
  <c r="CQ40" i="8"/>
  <c r="CQ23" i="8"/>
  <c r="CQ39" i="8"/>
  <c r="CQ34" i="8"/>
  <c r="CS20" i="8"/>
  <c r="CR21" i="8"/>
  <c r="CR19" i="8"/>
  <c r="CR35" i="8" s="1"/>
  <c r="CR22" i="8"/>
  <c r="CP24" i="8"/>
  <c r="CP25" i="8"/>
  <c r="CP27" i="8" s="1"/>
  <c r="CP44" i="8" s="1"/>
  <c r="CQ41" i="8" l="1"/>
  <c r="CR40" i="8"/>
  <c r="CR23" i="8"/>
  <c r="CR34" i="8"/>
  <c r="CR39" i="8"/>
  <c r="CR41" i="8" s="1"/>
  <c r="CT20" i="8"/>
  <c r="CS22" i="8"/>
  <c r="CS19" i="8"/>
  <c r="CS35" i="8" s="1"/>
  <c r="CS21" i="8"/>
  <c r="CQ24" i="8"/>
  <c r="CQ25" i="8"/>
  <c r="CQ27" i="8" s="1"/>
  <c r="CQ44" i="8" s="1"/>
  <c r="CS40" i="8" l="1"/>
  <c r="CS23" i="8"/>
  <c r="CS34" i="8"/>
  <c r="CS39" i="8"/>
  <c r="CU20" i="8"/>
  <c r="CT22" i="8"/>
  <c r="CT21" i="8"/>
  <c r="CT19" i="8"/>
  <c r="CT35" i="8" s="1"/>
  <c r="CR24" i="8"/>
  <c r="CR25" i="8"/>
  <c r="CR27" i="8" s="1"/>
  <c r="CR44" i="8" s="1"/>
  <c r="CS41" i="8" l="1"/>
  <c r="CT40" i="8"/>
  <c r="CT23" i="8"/>
  <c r="CT34" i="8"/>
  <c r="CT39" i="8"/>
  <c r="CT41" i="8" s="1"/>
  <c r="CV20" i="8"/>
  <c r="CU21" i="8"/>
  <c r="CU22" i="8"/>
  <c r="CU19" i="8"/>
  <c r="CU35" i="8" s="1"/>
  <c r="CS24" i="8"/>
  <c r="CS25" i="8"/>
  <c r="CS27" i="8" s="1"/>
  <c r="CS44" i="8" s="1"/>
  <c r="CU40" i="8" l="1"/>
  <c r="CU23" i="8"/>
  <c r="CU39" i="8"/>
  <c r="CU34" i="8"/>
  <c r="CW20" i="8"/>
  <c r="CV22" i="8"/>
  <c r="CV19" i="8"/>
  <c r="CV35" i="8" s="1"/>
  <c r="CV21" i="8"/>
  <c r="CT24" i="8"/>
  <c r="CT25" i="8"/>
  <c r="CT27" i="8" s="1"/>
  <c r="CT44" i="8" s="1"/>
  <c r="CU41" i="8" l="1"/>
  <c r="CV40" i="8"/>
  <c r="CV23" i="8"/>
  <c r="CV34" i="8"/>
  <c r="CV39" i="8"/>
  <c r="CV41" i="8" s="1"/>
  <c r="CX20" i="8"/>
  <c r="CW22" i="8"/>
  <c r="CW19" i="8"/>
  <c r="CW35" i="8" s="1"/>
  <c r="CW21" i="8"/>
  <c r="CU24" i="8"/>
  <c r="CU25" i="8"/>
  <c r="CU27" i="8" s="1"/>
  <c r="CU44" i="8" s="1"/>
  <c r="CW40" i="8" l="1"/>
  <c r="CW23" i="8"/>
  <c r="CW34" i="8"/>
  <c r="CW39" i="8"/>
  <c r="CW41" i="8" s="1"/>
  <c r="CY20" i="8"/>
  <c r="CX21" i="8"/>
  <c r="CX22" i="8"/>
  <c r="CX19" i="8"/>
  <c r="CX35" i="8" s="1"/>
  <c r="CV24" i="8"/>
  <c r="CV25" i="8"/>
  <c r="CV27" i="8" s="1"/>
  <c r="CV44" i="8" s="1"/>
  <c r="CX40" i="8" l="1"/>
  <c r="CX23" i="8"/>
  <c r="CX39" i="8"/>
  <c r="CX41" i="8" s="1"/>
  <c r="CX34" i="8"/>
  <c r="CZ20" i="8"/>
  <c r="CY19" i="8"/>
  <c r="CY35" i="8" s="1"/>
  <c r="CY21" i="8"/>
  <c r="CY22" i="8"/>
  <c r="CW24" i="8"/>
  <c r="CW25" i="8"/>
  <c r="CW27" i="8" s="1"/>
  <c r="CW44" i="8" s="1"/>
  <c r="CY40" i="8" l="1"/>
  <c r="CY23" i="8"/>
  <c r="CY34" i="8"/>
  <c r="CY39" i="8"/>
  <c r="CY41" i="8" s="1"/>
  <c r="DA20" i="8"/>
  <c r="CZ19" i="8"/>
  <c r="CZ35" i="8" s="1"/>
  <c r="CZ21" i="8"/>
  <c r="CZ22" i="8"/>
  <c r="CX24" i="8"/>
  <c r="CX25" i="8"/>
  <c r="CX27" i="8" s="1"/>
  <c r="CX44" i="8" s="1"/>
  <c r="CZ40" i="8" l="1"/>
  <c r="CZ23" i="8"/>
  <c r="CZ34" i="8"/>
  <c r="CZ39" i="8"/>
  <c r="DB20" i="8"/>
  <c r="DA21" i="8"/>
  <c r="DA22" i="8"/>
  <c r="DA19" i="8"/>
  <c r="DA35" i="8" s="1"/>
  <c r="CY24" i="8"/>
  <c r="CY25" i="8"/>
  <c r="CY27" i="8" s="1"/>
  <c r="CY44" i="8" s="1"/>
  <c r="CZ41" i="8" l="1"/>
  <c r="DA40" i="8"/>
  <c r="DA23" i="8"/>
  <c r="DA34" i="8"/>
  <c r="DA39" i="8"/>
  <c r="DA41" i="8" s="1"/>
  <c r="DC20" i="8"/>
  <c r="DB21" i="8"/>
  <c r="DB22" i="8"/>
  <c r="DB19" i="8"/>
  <c r="DB35" i="8" s="1"/>
  <c r="CZ24" i="8"/>
  <c r="CZ25" i="8"/>
  <c r="CZ27" i="8" s="1"/>
  <c r="CZ44" i="8" l="1"/>
  <c r="DB40" i="8"/>
  <c r="DB23" i="8"/>
  <c r="DB39" i="8"/>
  <c r="DB41" i="8" s="1"/>
  <c r="DB34" i="8"/>
  <c r="DD20" i="8"/>
  <c r="DC22" i="8"/>
  <c r="DC19" i="8"/>
  <c r="DC35" i="8" s="1"/>
  <c r="DC21" i="8"/>
  <c r="DA24" i="8"/>
  <c r="DA25" i="8"/>
  <c r="DA27" i="8" s="1"/>
  <c r="DA44" i="8" s="1"/>
  <c r="DC40" i="8" l="1"/>
  <c r="DC23" i="8"/>
  <c r="DC39" i="8"/>
  <c r="DC41" i="8" s="1"/>
  <c r="DC34" i="8"/>
  <c r="DE20" i="8"/>
  <c r="DD19" i="8"/>
  <c r="DD35" i="8" s="1"/>
  <c r="DD21" i="8"/>
  <c r="DD22" i="8"/>
  <c r="DB24" i="8"/>
  <c r="DB25" i="8"/>
  <c r="DB27" i="8" s="1"/>
  <c r="DB44" i="8" s="1"/>
  <c r="DD40" i="8" l="1"/>
  <c r="DD23" i="8"/>
  <c r="DD34" i="8"/>
  <c r="DD39" i="8"/>
  <c r="DF20" i="8"/>
  <c r="DE21" i="8"/>
  <c r="DE19" i="8"/>
  <c r="DE35" i="8" s="1"/>
  <c r="DE22" i="8"/>
  <c r="DC24" i="8"/>
  <c r="DC25" i="8"/>
  <c r="DC27" i="8" s="1"/>
  <c r="DC44" i="8" s="1"/>
  <c r="DD41" i="8" l="1"/>
  <c r="DE40" i="8"/>
  <c r="DE23" i="8"/>
  <c r="DE34" i="8"/>
  <c r="DE39" i="8"/>
  <c r="DE41" i="8" s="1"/>
  <c r="DG20" i="8"/>
  <c r="DF21" i="8"/>
  <c r="DF22" i="8"/>
  <c r="DF19" i="8"/>
  <c r="DF35" i="8" s="1"/>
  <c r="DD24" i="8"/>
  <c r="DD25" i="8"/>
  <c r="DD27" i="8" s="1"/>
  <c r="DD44" i="8" l="1"/>
  <c r="DF40" i="8"/>
  <c r="DF23" i="8"/>
  <c r="DF34" i="8"/>
  <c r="DF39" i="8"/>
  <c r="DH20" i="8"/>
  <c r="DG22" i="8"/>
  <c r="DG19" i="8"/>
  <c r="DG35" i="8" s="1"/>
  <c r="DG21" i="8"/>
  <c r="DE24" i="8"/>
  <c r="DE25" i="8"/>
  <c r="DE27" i="8" s="1"/>
  <c r="DE44" i="8" s="1"/>
  <c r="DF41" i="8" l="1"/>
  <c r="DG40" i="8"/>
  <c r="DG23" i="8"/>
  <c r="DG39" i="8"/>
  <c r="DG34" i="8"/>
  <c r="DI20" i="8"/>
  <c r="DH19" i="8"/>
  <c r="DH35" i="8" s="1"/>
  <c r="DH22" i="8"/>
  <c r="DH21" i="8"/>
  <c r="DF24" i="8"/>
  <c r="DF25" i="8"/>
  <c r="DF27" i="8" s="1"/>
  <c r="DF44" i="8" l="1"/>
  <c r="DG41" i="8"/>
  <c r="DJ20" i="8"/>
  <c r="DI22" i="8"/>
  <c r="DI19" i="8"/>
  <c r="DI35" i="8" s="1"/>
  <c r="DI21" i="8"/>
  <c r="DH40" i="8"/>
  <c r="DH23" i="8"/>
  <c r="DH34" i="8"/>
  <c r="DH39" i="8"/>
  <c r="DG24" i="8"/>
  <c r="DG25" i="8"/>
  <c r="DG27" i="8" s="1"/>
  <c r="DG44" i="8" l="1"/>
  <c r="DH41" i="8"/>
  <c r="DH24" i="8"/>
  <c r="DH25" i="8"/>
  <c r="DH27" i="8" s="1"/>
  <c r="DH44" i="8" s="1"/>
  <c r="DI40" i="8"/>
  <c r="DI23" i="8"/>
  <c r="DI39" i="8"/>
  <c r="DI34" i="8"/>
  <c r="DK20" i="8"/>
  <c r="DJ21" i="8"/>
  <c r="DJ19" i="8"/>
  <c r="DJ35" i="8" s="1"/>
  <c r="DJ22" i="8"/>
  <c r="DI41" i="8" l="1"/>
  <c r="DJ40" i="8"/>
  <c r="DJ23" i="8"/>
  <c r="DJ39" i="8"/>
  <c r="DJ34" i="8"/>
  <c r="DL20" i="8"/>
  <c r="DK22" i="8"/>
  <c r="DK21" i="8"/>
  <c r="DK19" i="8"/>
  <c r="DK35" i="8" s="1"/>
  <c r="DI24" i="8"/>
  <c r="DI25" i="8"/>
  <c r="DI27" i="8" s="1"/>
  <c r="DI44" i="8" l="1"/>
  <c r="DJ41" i="8"/>
  <c r="DK40" i="8"/>
  <c r="DK23" i="8"/>
  <c r="DK34" i="8"/>
  <c r="DK39" i="8"/>
  <c r="DK41" i="8" s="1"/>
  <c r="DM20" i="8"/>
  <c r="DL19" i="8"/>
  <c r="DL35" i="8" s="1"/>
  <c r="DL22" i="8"/>
  <c r="DL21" i="8"/>
  <c r="DJ24" i="8"/>
  <c r="DJ25" i="8"/>
  <c r="DJ27" i="8" s="1"/>
  <c r="DJ44" i="8" l="1"/>
  <c r="DL40" i="8"/>
  <c r="DL23" i="8"/>
  <c r="DL34" i="8"/>
  <c r="DL39" i="8"/>
  <c r="DN20" i="8"/>
  <c r="DM22" i="8"/>
  <c r="DM21" i="8"/>
  <c r="DM19" i="8"/>
  <c r="DM35" i="8" s="1"/>
  <c r="DK24" i="8"/>
  <c r="DK25" i="8"/>
  <c r="DK27" i="8" s="1"/>
  <c r="DK44" i="8" s="1"/>
  <c r="DL41" i="8" l="1"/>
  <c r="DM40" i="8"/>
  <c r="DM23" i="8"/>
  <c r="DM39" i="8"/>
  <c r="DM41" i="8" s="1"/>
  <c r="DM34" i="8"/>
  <c r="DO20" i="8"/>
  <c r="DN22" i="8"/>
  <c r="DN19" i="8"/>
  <c r="DN35" i="8" s="1"/>
  <c r="DN21" i="8"/>
  <c r="DL24" i="8"/>
  <c r="DL25" i="8"/>
  <c r="DL27" i="8" s="1"/>
  <c r="DL44" i="8" s="1"/>
  <c r="DN40" i="8" l="1"/>
  <c r="DN23" i="8"/>
  <c r="DN39" i="8"/>
  <c r="DN41" i="8" s="1"/>
  <c r="DN34" i="8"/>
  <c r="DP20" i="8"/>
  <c r="DO19" i="8"/>
  <c r="DO35" i="8" s="1"/>
  <c r="DO22" i="8"/>
  <c r="DO21" i="8"/>
  <c r="DM24" i="8"/>
  <c r="DM25" i="8"/>
  <c r="DM27" i="8" s="1"/>
  <c r="DM44" i="8" s="1"/>
  <c r="DO40" i="8" l="1"/>
  <c r="DO23" i="8"/>
  <c r="DO34" i="8"/>
  <c r="DO39" i="8"/>
  <c r="DO41" i="8" s="1"/>
  <c r="DQ20" i="8"/>
  <c r="DP19" i="8"/>
  <c r="DP35" i="8" s="1"/>
  <c r="DP22" i="8"/>
  <c r="DP21" i="8"/>
  <c r="DN24" i="8"/>
  <c r="DN25" i="8"/>
  <c r="DN27" i="8" s="1"/>
  <c r="DN44" i="8" s="1"/>
  <c r="DP40" i="8" l="1"/>
  <c r="DP23" i="8"/>
  <c r="DP34" i="8"/>
  <c r="DP39" i="8"/>
  <c r="DR20" i="8"/>
  <c r="DQ21" i="8"/>
  <c r="DQ19" i="8"/>
  <c r="DQ35" i="8" s="1"/>
  <c r="DQ22" i="8"/>
  <c r="DO24" i="8"/>
  <c r="DO25" i="8"/>
  <c r="DO27" i="8" s="1"/>
  <c r="DO44" i="8" s="1"/>
  <c r="DP41" i="8" l="1"/>
  <c r="DQ40" i="8"/>
  <c r="DQ23" i="8"/>
  <c r="DQ34" i="8"/>
  <c r="DQ39" i="8"/>
  <c r="DQ41" i="8" s="1"/>
  <c r="DS20" i="8"/>
  <c r="DR21" i="8"/>
  <c r="DR19" i="8"/>
  <c r="DR35" i="8" s="1"/>
  <c r="DR22" i="8"/>
  <c r="DP24" i="8"/>
  <c r="DP25" i="8"/>
  <c r="DP27" i="8" s="1"/>
  <c r="DP44" i="8" s="1"/>
  <c r="DR40" i="8" l="1"/>
  <c r="DR23" i="8"/>
  <c r="DR39" i="8"/>
  <c r="DR34" i="8"/>
  <c r="DT20" i="8"/>
  <c r="DS21" i="8"/>
  <c r="DS19" i="8"/>
  <c r="DS35" i="8" s="1"/>
  <c r="DS22" i="8"/>
  <c r="DQ24" i="8"/>
  <c r="DQ25" i="8"/>
  <c r="DQ27" i="8" s="1"/>
  <c r="DQ44" i="8" s="1"/>
  <c r="DR41" i="8" l="1"/>
  <c r="DS40" i="8"/>
  <c r="DS23" i="8"/>
  <c r="DS39" i="8"/>
  <c r="DS34" i="8"/>
  <c r="DU20" i="8"/>
  <c r="DT21" i="8"/>
  <c r="DT22" i="8"/>
  <c r="DT19" i="8"/>
  <c r="DT35" i="8" s="1"/>
  <c r="DR24" i="8"/>
  <c r="DR25" i="8"/>
  <c r="DR27" i="8" s="1"/>
  <c r="DR44" i="8" s="1"/>
  <c r="DS41" i="8" l="1"/>
  <c r="DT40" i="8"/>
  <c r="DT23" i="8"/>
  <c r="DT34" i="8"/>
  <c r="DT39" i="8"/>
  <c r="DT41" i="8" s="1"/>
  <c r="DV20" i="8"/>
  <c r="DU21" i="8"/>
  <c r="DU22" i="8"/>
  <c r="DU19" i="8"/>
  <c r="DU35" i="8" s="1"/>
  <c r="DS24" i="8"/>
  <c r="DS25" i="8"/>
  <c r="DS27" i="8" s="1"/>
  <c r="DS44" i="8" s="1"/>
  <c r="DU40" i="8" l="1"/>
  <c r="DU23" i="8"/>
  <c r="DU34" i="8"/>
  <c r="DU39" i="8"/>
  <c r="DU41" i="8" s="1"/>
  <c r="DW20" i="8"/>
  <c r="DV21" i="8"/>
  <c r="DV22" i="8"/>
  <c r="DV19" i="8"/>
  <c r="DV35" i="8" s="1"/>
  <c r="DT24" i="8"/>
  <c r="DT25" i="8"/>
  <c r="DT27" i="8" s="1"/>
  <c r="DT44" i="8" s="1"/>
  <c r="DV40" i="8" l="1"/>
  <c r="DV23" i="8"/>
  <c r="DV34" i="8"/>
  <c r="DV39" i="8"/>
  <c r="DV41" i="8" s="1"/>
  <c r="DX20" i="8"/>
  <c r="DW22" i="8"/>
  <c r="DW21" i="8"/>
  <c r="DW19" i="8"/>
  <c r="DW35" i="8" s="1"/>
  <c r="DU24" i="8"/>
  <c r="DU25" i="8"/>
  <c r="DU27" i="8" s="1"/>
  <c r="DU44" i="8" s="1"/>
  <c r="DW40" i="8" l="1"/>
  <c r="DW23" i="8"/>
  <c r="DW39" i="8"/>
  <c r="DW34" i="8"/>
  <c r="DY20" i="8"/>
  <c r="DX21" i="8"/>
  <c r="DX22" i="8"/>
  <c r="DX19" i="8"/>
  <c r="DX35" i="8" s="1"/>
  <c r="DV24" i="8"/>
  <c r="DV25" i="8"/>
  <c r="DV27" i="8" s="1"/>
  <c r="DV44" i="8" s="1"/>
  <c r="DW41" i="8" l="1"/>
  <c r="DX40" i="8"/>
  <c r="DX23" i="8"/>
  <c r="DX34" i="8"/>
  <c r="DX39" i="8"/>
  <c r="DZ20" i="8"/>
  <c r="DY22" i="8"/>
  <c r="DY19" i="8"/>
  <c r="DY35" i="8" s="1"/>
  <c r="DY21" i="8"/>
  <c r="DW24" i="8"/>
  <c r="DW25" i="8"/>
  <c r="DW27" i="8" s="1"/>
  <c r="DW44" i="8" s="1"/>
  <c r="DX41" i="8" l="1"/>
  <c r="DY40" i="8"/>
  <c r="DY23" i="8"/>
  <c r="DY34" i="8"/>
  <c r="DY39" i="8"/>
  <c r="DY41" i="8" s="1"/>
  <c r="EA20" i="8"/>
  <c r="DZ22" i="8"/>
  <c r="DZ21" i="8"/>
  <c r="DZ19" i="8"/>
  <c r="DZ35" i="8" s="1"/>
  <c r="DX24" i="8"/>
  <c r="DX25" i="8"/>
  <c r="DX27" i="8" s="1"/>
  <c r="DX44" i="8" l="1"/>
  <c r="DZ40" i="8"/>
  <c r="DZ23" i="8"/>
  <c r="DZ34" i="8"/>
  <c r="DZ39" i="8"/>
  <c r="DZ41" i="8" s="1"/>
  <c r="EB20" i="8"/>
  <c r="EA22" i="8"/>
  <c r="EA19" i="8"/>
  <c r="EA35" i="8" s="1"/>
  <c r="EA21" i="8"/>
  <c r="DY24" i="8"/>
  <c r="DY25" i="8"/>
  <c r="DY27" i="8" s="1"/>
  <c r="DY44" i="8" s="1"/>
  <c r="EA40" i="8" l="1"/>
  <c r="EA23" i="8"/>
  <c r="EA39" i="8"/>
  <c r="EA34" i="8"/>
  <c r="EC20" i="8"/>
  <c r="EB22" i="8"/>
  <c r="EB19" i="8"/>
  <c r="EB35" i="8" s="1"/>
  <c r="EB21" i="8"/>
  <c r="DZ24" i="8"/>
  <c r="DZ25" i="8"/>
  <c r="DZ27" i="8" s="1"/>
  <c r="DZ44" i="8" s="1"/>
  <c r="EA41" i="8" l="1"/>
  <c r="EB40" i="8"/>
  <c r="EB23" i="8"/>
  <c r="EB39" i="8"/>
  <c r="EB34" i="8"/>
  <c r="ED20" i="8"/>
  <c r="EC22" i="8"/>
  <c r="EC21" i="8"/>
  <c r="EC19" i="8"/>
  <c r="EC35" i="8" s="1"/>
  <c r="EA24" i="8"/>
  <c r="EA25" i="8"/>
  <c r="EA27" i="8" s="1"/>
  <c r="EA44" i="8" s="1"/>
  <c r="EB41" i="8" l="1"/>
  <c r="EC40" i="8"/>
  <c r="EC23" i="8"/>
  <c r="EC39" i="8"/>
  <c r="EC34" i="8"/>
  <c r="EE20" i="8"/>
  <c r="ED21" i="8"/>
  <c r="ED22" i="8"/>
  <c r="ED19" i="8"/>
  <c r="ED35" i="8" s="1"/>
  <c r="EB24" i="8"/>
  <c r="EB25" i="8"/>
  <c r="EB27" i="8" s="1"/>
  <c r="EB44" i="8" s="1"/>
  <c r="EC41" i="8" l="1"/>
  <c r="ED40" i="8"/>
  <c r="ED23" i="8"/>
  <c r="ED34" i="8"/>
  <c r="ED39" i="8"/>
  <c r="ED41" i="8" s="1"/>
  <c r="EF20" i="8"/>
  <c r="EE19" i="8"/>
  <c r="EE35" i="8" s="1"/>
  <c r="EE22" i="8"/>
  <c r="EE21" i="8"/>
  <c r="EC24" i="8"/>
  <c r="EC25" i="8"/>
  <c r="EC27" i="8" s="1"/>
  <c r="EC44" i="8" s="1"/>
  <c r="EE40" i="8" l="1"/>
  <c r="EE23" i="8"/>
  <c r="EE34" i="8"/>
  <c r="EE39" i="8"/>
  <c r="EE41" i="8" s="1"/>
  <c r="EG20" i="8"/>
  <c r="EF19" i="8"/>
  <c r="EF35" i="8" s="1"/>
  <c r="EF22" i="8"/>
  <c r="EF21" i="8"/>
  <c r="ED24" i="8"/>
  <c r="ED25" i="8"/>
  <c r="ED27" i="8" s="1"/>
  <c r="ED44" i="8" s="1"/>
  <c r="EF40" i="8" l="1"/>
  <c r="EF23" i="8"/>
  <c r="EF34" i="8"/>
  <c r="EF39" i="8"/>
  <c r="EF41" i="8" s="1"/>
  <c r="EH20" i="8"/>
  <c r="EG19" i="8"/>
  <c r="EG35" i="8" s="1"/>
  <c r="EG21" i="8"/>
  <c r="EG22" i="8"/>
  <c r="EE24" i="8"/>
  <c r="EE25" i="8"/>
  <c r="EE27" i="8" s="1"/>
  <c r="EE44" i="8" s="1"/>
  <c r="EG40" i="8" l="1"/>
  <c r="EG23" i="8"/>
  <c r="EG39" i="8"/>
  <c r="EG34" i="8"/>
  <c r="EI20" i="8"/>
  <c r="EH21" i="8"/>
  <c r="EH19" i="8"/>
  <c r="EH35" i="8" s="1"/>
  <c r="EH22" i="8"/>
  <c r="EF24" i="8"/>
  <c r="EF25" i="8"/>
  <c r="EF27" i="8" s="1"/>
  <c r="EF44" i="8" s="1"/>
  <c r="EG41" i="8" l="1"/>
  <c r="EH40" i="8"/>
  <c r="EH23" i="8"/>
  <c r="EH39" i="8"/>
  <c r="EH34" i="8"/>
  <c r="EJ20" i="8"/>
  <c r="EI21" i="8"/>
  <c r="EI19" i="8"/>
  <c r="EI35" i="8" s="1"/>
  <c r="EI22" i="8"/>
  <c r="EG24" i="8"/>
  <c r="EG25" i="8"/>
  <c r="EG27" i="8" s="1"/>
  <c r="EG44" i="8" s="1"/>
  <c r="EH41" i="8" l="1"/>
  <c r="EI40" i="8"/>
  <c r="EI23" i="8"/>
  <c r="EI39" i="8"/>
  <c r="EI34" i="8"/>
  <c r="EK20" i="8"/>
  <c r="EJ21" i="8"/>
  <c r="EJ22" i="8"/>
  <c r="EJ19" i="8"/>
  <c r="EJ35" i="8" s="1"/>
  <c r="EH24" i="8"/>
  <c r="EH25" i="8"/>
  <c r="EH27" i="8" s="1"/>
  <c r="EH44" i="8" l="1"/>
  <c r="EI41" i="8"/>
  <c r="EJ40" i="8"/>
  <c r="EJ23" i="8"/>
  <c r="EJ34" i="8"/>
  <c r="EJ39" i="8"/>
  <c r="EJ41" i="8" s="1"/>
  <c r="EL20" i="8"/>
  <c r="EK21" i="8"/>
  <c r="EK19" i="8"/>
  <c r="EK35" i="8" s="1"/>
  <c r="EK22" i="8"/>
  <c r="EI24" i="8"/>
  <c r="EI25" i="8"/>
  <c r="EI27" i="8" s="1"/>
  <c r="EI44" i="8" s="1"/>
  <c r="EK40" i="8" l="1"/>
  <c r="EK23" i="8"/>
  <c r="EK39" i="8"/>
  <c r="EK34" i="8"/>
  <c r="EM20" i="8"/>
  <c r="EL21" i="8"/>
  <c r="EL19" i="8"/>
  <c r="EL35" i="8" s="1"/>
  <c r="EL22" i="8"/>
  <c r="EJ24" i="8"/>
  <c r="EJ25" i="8"/>
  <c r="EJ27" i="8" s="1"/>
  <c r="EJ44" i="8" s="1"/>
  <c r="EL40" i="8" l="1"/>
  <c r="EL23" i="8"/>
  <c r="EL39" i="8"/>
  <c r="EL34" i="8"/>
  <c r="EN20" i="8"/>
  <c r="EM22" i="8"/>
  <c r="EM21" i="8"/>
  <c r="EM19" i="8"/>
  <c r="EM35" i="8" s="1"/>
  <c r="EK41" i="8"/>
  <c r="EK24" i="8"/>
  <c r="EK25" i="8"/>
  <c r="EK27" i="8" s="1"/>
  <c r="EL41" i="8" l="1"/>
  <c r="EK44" i="8"/>
  <c r="EM40" i="8"/>
  <c r="EM23" i="8"/>
  <c r="EM39" i="8"/>
  <c r="EM41" i="8" s="1"/>
  <c r="EM34" i="8"/>
  <c r="EO20" i="8"/>
  <c r="EN21" i="8"/>
  <c r="EN22" i="8"/>
  <c r="EN19" i="8"/>
  <c r="EN35" i="8" s="1"/>
  <c r="EL24" i="8"/>
  <c r="EL25" i="8"/>
  <c r="EL27" i="8" s="1"/>
  <c r="EL44" i="8" s="1"/>
  <c r="EP20" i="8" l="1"/>
  <c r="EO22" i="8"/>
  <c r="EO21" i="8"/>
  <c r="EO19" i="8"/>
  <c r="EO35" i="8" s="1"/>
  <c r="EN40" i="8"/>
  <c r="EN23" i="8"/>
  <c r="EN39" i="8"/>
  <c r="EN41" i="8" s="1"/>
  <c r="EN34" i="8"/>
  <c r="EM24" i="8"/>
  <c r="EM25" i="8"/>
  <c r="EM27" i="8" s="1"/>
  <c r="EM44" i="8" s="1"/>
  <c r="EN24" i="8" l="1"/>
  <c r="EN25" i="8"/>
  <c r="EN27" i="8" s="1"/>
  <c r="EN44" i="8" s="1"/>
  <c r="EO40" i="8"/>
  <c r="EO23" i="8"/>
  <c r="EO34" i="8"/>
  <c r="EO39" i="8"/>
  <c r="EO41" i="8" s="1"/>
  <c r="EQ20" i="8"/>
  <c r="EP21" i="8"/>
  <c r="EP19" i="8"/>
  <c r="EP35" i="8" s="1"/>
  <c r="EP22" i="8"/>
  <c r="EP40" i="8" l="1"/>
  <c r="EP23" i="8"/>
  <c r="EP34" i="8"/>
  <c r="EP39" i="8"/>
  <c r="EO24" i="8"/>
  <c r="EO25" i="8"/>
  <c r="EO27" i="8" s="1"/>
  <c r="EO44" i="8" s="1"/>
  <c r="ER20" i="8"/>
  <c r="EQ22" i="8"/>
  <c r="EQ21" i="8"/>
  <c r="EQ19" i="8"/>
  <c r="EQ35" i="8" s="1"/>
  <c r="EP41" i="8" l="1"/>
  <c r="EQ40" i="8"/>
  <c r="EQ23" i="8"/>
  <c r="EQ34" i="8"/>
  <c r="EQ39" i="8"/>
  <c r="EQ41" i="8" s="1"/>
  <c r="ES20" i="8"/>
  <c r="ER22" i="8"/>
  <c r="ER19" i="8"/>
  <c r="ER35" i="8" s="1"/>
  <c r="ER21" i="8"/>
  <c r="EP24" i="8"/>
  <c r="EP25" i="8"/>
  <c r="EP27" i="8" s="1"/>
  <c r="EP44" i="8" s="1"/>
  <c r="ER40" i="8" l="1"/>
  <c r="ER23" i="8"/>
  <c r="ER34" i="8"/>
  <c r="ER39" i="8"/>
  <c r="ER41" i="8" s="1"/>
  <c r="ET20" i="8"/>
  <c r="ES22" i="8"/>
  <c r="ES19" i="8"/>
  <c r="ES35" i="8" s="1"/>
  <c r="ES21" i="8"/>
  <c r="EQ24" i="8"/>
  <c r="EQ25" i="8"/>
  <c r="EQ27" i="8" s="1"/>
  <c r="EQ44" i="8" s="1"/>
  <c r="ES40" i="8" l="1"/>
  <c r="ES23" i="8"/>
  <c r="ES39" i="8"/>
  <c r="ES41" i="8" s="1"/>
  <c r="ES34" i="8"/>
  <c r="EU20" i="8"/>
  <c r="ET19" i="8"/>
  <c r="ET35" i="8" s="1"/>
  <c r="ET22" i="8"/>
  <c r="ET21" i="8"/>
  <c r="ER24" i="8"/>
  <c r="ER25" i="8"/>
  <c r="ER27" i="8" s="1"/>
  <c r="ER44" i="8" s="1"/>
  <c r="ET40" i="8" l="1"/>
  <c r="ET23" i="8"/>
  <c r="ET39" i="8"/>
  <c r="ET34" i="8"/>
  <c r="EV20" i="8"/>
  <c r="EU19" i="8"/>
  <c r="EU35" i="8" s="1"/>
  <c r="EU22" i="8"/>
  <c r="EU21" i="8"/>
  <c r="ES24" i="8"/>
  <c r="ES25" i="8"/>
  <c r="ES27" i="8" s="1"/>
  <c r="ES44" i="8" s="1"/>
  <c r="ET41" i="8" l="1"/>
  <c r="EU40" i="8"/>
  <c r="EU23" i="8"/>
  <c r="EU39" i="8"/>
  <c r="EU34" i="8"/>
  <c r="EW20" i="8"/>
  <c r="EV19" i="8"/>
  <c r="EV35" i="8" s="1"/>
  <c r="EV21" i="8"/>
  <c r="EV22" i="8"/>
  <c r="ET24" i="8"/>
  <c r="ET25" i="8"/>
  <c r="ET27" i="8" s="1"/>
  <c r="ET44" i="8" l="1"/>
  <c r="EU41" i="8"/>
  <c r="EV40" i="8"/>
  <c r="EV23" i="8"/>
  <c r="EV34" i="8"/>
  <c r="EV39" i="8"/>
  <c r="EV41" i="8" s="1"/>
  <c r="EX20" i="8"/>
  <c r="EW21" i="8"/>
  <c r="EW19" i="8"/>
  <c r="EW35" i="8" s="1"/>
  <c r="EW22" i="8"/>
  <c r="EU24" i="8"/>
  <c r="EU25" i="8"/>
  <c r="EU27" i="8" s="1"/>
  <c r="EU44" i="8" s="1"/>
  <c r="EW40" i="8" l="1"/>
  <c r="EW23" i="8"/>
  <c r="EW34" i="8"/>
  <c r="EW39" i="8"/>
  <c r="EW41" i="8" s="1"/>
  <c r="EY20" i="8"/>
  <c r="EX21" i="8"/>
  <c r="EX22" i="8"/>
  <c r="EX19" i="8"/>
  <c r="EX35" i="8" s="1"/>
  <c r="EV24" i="8"/>
  <c r="EV25" i="8"/>
  <c r="EV27" i="8" s="1"/>
  <c r="EV44" i="8" s="1"/>
  <c r="EX40" i="8" l="1"/>
  <c r="EX23" i="8"/>
  <c r="EX39" i="8"/>
  <c r="EX41" i="8" s="1"/>
  <c r="EX34" i="8"/>
  <c r="EZ20" i="8"/>
  <c r="EY22" i="8"/>
  <c r="EY21" i="8"/>
  <c r="EY19" i="8"/>
  <c r="EY35" i="8" s="1"/>
  <c r="EW24" i="8"/>
  <c r="EW25" i="8"/>
  <c r="EW27" i="8" s="1"/>
  <c r="EW44" i="8" s="1"/>
  <c r="EY40" i="8" l="1"/>
  <c r="EY23" i="8"/>
  <c r="EY39" i="8"/>
  <c r="EY34" i="8"/>
  <c r="FA20" i="8"/>
  <c r="EZ22" i="8"/>
  <c r="EZ19" i="8"/>
  <c r="EZ35" i="8" s="1"/>
  <c r="EZ21" i="8"/>
  <c r="EX24" i="8"/>
  <c r="EX25" i="8"/>
  <c r="EX27" i="8" s="1"/>
  <c r="EX44" i="8" s="1"/>
  <c r="EY41" i="8" l="1"/>
  <c r="EZ40" i="8"/>
  <c r="EZ23" i="8"/>
  <c r="EZ34" i="8"/>
  <c r="EZ39" i="8"/>
  <c r="EZ41" i="8" s="1"/>
  <c r="FB20" i="8"/>
  <c r="FA21" i="8"/>
  <c r="FA22" i="8"/>
  <c r="FA19" i="8"/>
  <c r="FA35" i="8" s="1"/>
  <c r="EY24" i="8"/>
  <c r="EY25" i="8"/>
  <c r="EY27" i="8" s="1"/>
  <c r="EY44" i="8" s="1"/>
  <c r="FA40" i="8" l="1"/>
  <c r="FA23" i="8"/>
  <c r="FA39" i="8"/>
  <c r="FA41" i="8" s="1"/>
  <c r="FA34" i="8"/>
  <c r="FC20" i="8"/>
  <c r="FB21" i="8"/>
  <c r="FB22" i="8"/>
  <c r="FB19" i="8"/>
  <c r="FB35" i="8" s="1"/>
  <c r="EZ24" i="8"/>
  <c r="EZ25" i="8"/>
  <c r="EZ27" i="8" s="1"/>
  <c r="EZ44" i="8" s="1"/>
  <c r="FB40" i="8" l="1"/>
  <c r="FB23" i="8"/>
  <c r="FB39" i="8"/>
  <c r="FB34" i="8"/>
  <c r="FD20" i="8"/>
  <c r="FC22" i="8"/>
  <c r="FC19" i="8"/>
  <c r="FC35" i="8" s="1"/>
  <c r="FC21" i="8"/>
  <c r="FA24" i="8"/>
  <c r="FA25" i="8"/>
  <c r="FA27" i="8" s="1"/>
  <c r="FA44" i="8" s="1"/>
  <c r="FB41" i="8" l="1"/>
  <c r="FC40" i="8"/>
  <c r="FC23" i="8"/>
  <c r="FC39" i="8"/>
  <c r="FC41" i="8" s="1"/>
  <c r="FC34" i="8"/>
  <c r="FE20" i="8"/>
  <c r="FD22" i="8"/>
  <c r="FD21" i="8"/>
  <c r="FD19" i="8"/>
  <c r="FD35" i="8" s="1"/>
  <c r="FB24" i="8"/>
  <c r="FB25" i="8"/>
  <c r="FB27" i="8" s="1"/>
  <c r="FB44" i="8" s="1"/>
  <c r="FD40" i="8" l="1"/>
  <c r="FD23" i="8"/>
  <c r="FD39" i="8"/>
  <c r="FD34" i="8"/>
  <c r="FF20" i="8"/>
  <c r="FE22" i="8"/>
  <c r="FE21" i="8"/>
  <c r="FE19" i="8"/>
  <c r="FE35" i="8" s="1"/>
  <c r="FC24" i="8"/>
  <c r="FC25" i="8"/>
  <c r="FC27" i="8" s="1"/>
  <c r="FC44" i="8" s="1"/>
  <c r="FD41" i="8" l="1"/>
  <c r="FE40" i="8"/>
  <c r="FE23" i="8"/>
  <c r="FE34" i="8"/>
  <c r="FE39" i="8"/>
  <c r="FG20" i="8"/>
  <c r="FF22" i="8"/>
  <c r="FF21" i="8"/>
  <c r="FF19" i="8"/>
  <c r="FF35" i="8" s="1"/>
  <c r="FD24" i="8"/>
  <c r="FD25" i="8"/>
  <c r="FD27" i="8" s="1"/>
  <c r="FD44" i="8" l="1"/>
  <c r="FE41" i="8"/>
  <c r="FF40" i="8"/>
  <c r="FF23" i="8"/>
  <c r="FF34" i="8"/>
  <c r="FF39" i="8"/>
  <c r="FF41" i="8" s="1"/>
  <c r="FH20" i="8"/>
  <c r="FG22" i="8"/>
  <c r="FG21" i="8"/>
  <c r="FG19" i="8"/>
  <c r="FG35" i="8" s="1"/>
  <c r="FE24" i="8"/>
  <c r="FE25" i="8"/>
  <c r="FE27" i="8" s="1"/>
  <c r="FE44" i="8" s="1"/>
  <c r="FG40" i="8" l="1"/>
  <c r="FG23" i="8"/>
  <c r="FG34" i="8"/>
  <c r="FG39" i="8"/>
  <c r="FI20" i="8"/>
  <c r="FH22" i="8"/>
  <c r="FH19" i="8"/>
  <c r="FH35" i="8" s="1"/>
  <c r="FH21" i="8"/>
  <c r="FF24" i="8"/>
  <c r="FF25" i="8"/>
  <c r="FF27" i="8" s="1"/>
  <c r="FF44" i="8" s="1"/>
  <c r="FG41" i="8" l="1"/>
  <c r="FH40" i="8"/>
  <c r="FH23" i="8"/>
  <c r="FH34" i="8"/>
  <c r="FH39" i="8"/>
  <c r="FH41" i="8" s="1"/>
  <c r="FJ20" i="8"/>
  <c r="FI22" i="8"/>
  <c r="FI21" i="8"/>
  <c r="FI19" i="8"/>
  <c r="FI35" i="8" s="1"/>
  <c r="FG24" i="8"/>
  <c r="FG25" i="8"/>
  <c r="FG27" i="8" s="1"/>
  <c r="FG44" i="8" s="1"/>
  <c r="FI40" i="8" l="1"/>
  <c r="FI23" i="8"/>
  <c r="FI34" i="8"/>
  <c r="FI39" i="8"/>
  <c r="FI41" i="8" s="1"/>
  <c r="FK20" i="8"/>
  <c r="FJ21" i="8"/>
  <c r="FJ22" i="8"/>
  <c r="FJ19" i="8"/>
  <c r="FJ35" i="8" s="1"/>
  <c r="FH24" i="8"/>
  <c r="FH25" i="8"/>
  <c r="FH27" i="8" s="1"/>
  <c r="FH44" i="8" s="1"/>
  <c r="FJ40" i="8" l="1"/>
  <c r="FJ23" i="8"/>
  <c r="FJ34" i="8"/>
  <c r="FJ39" i="8"/>
  <c r="FJ41" i="8" s="1"/>
  <c r="FL20" i="8"/>
  <c r="FK19" i="8"/>
  <c r="FK35" i="8" s="1"/>
  <c r="FK21" i="8"/>
  <c r="FK22" i="8"/>
  <c r="FI24" i="8"/>
  <c r="FI25" i="8"/>
  <c r="FI27" i="8" s="1"/>
  <c r="FI44" i="8" s="1"/>
  <c r="FK40" i="8" l="1"/>
  <c r="FK23" i="8"/>
  <c r="FK39" i="8"/>
  <c r="FK41" i="8" s="1"/>
  <c r="FK34" i="8"/>
  <c r="FM20" i="8"/>
  <c r="FL19" i="8"/>
  <c r="FL35" i="8" s="1"/>
  <c r="FL21" i="8"/>
  <c r="FL22" i="8"/>
  <c r="FJ24" i="8"/>
  <c r="FJ25" i="8"/>
  <c r="FJ27" i="8" s="1"/>
  <c r="FJ44" i="8" s="1"/>
  <c r="FN20" i="8" l="1"/>
  <c r="FM19" i="8"/>
  <c r="FM35" i="8" s="1"/>
  <c r="FM21" i="8"/>
  <c r="FM22" i="8"/>
  <c r="FL40" i="8"/>
  <c r="FL23" i="8"/>
  <c r="FL34" i="8"/>
  <c r="FL39" i="8"/>
  <c r="FL41" i="8" s="1"/>
  <c r="FK24" i="8"/>
  <c r="FK25" i="8"/>
  <c r="FK27" i="8" s="1"/>
  <c r="FK44" i="8" s="1"/>
  <c r="FM40" i="8" l="1"/>
  <c r="FM23" i="8"/>
  <c r="FM39" i="8"/>
  <c r="FM34" i="8"/>
  <c r="FL24" i="8"/>
  <c r="FL25" i="8"/>
  <c r="FL27" i="8" s="1"/>
  <c r="FL44" i="8" s="1"/>
  <c r="FO20" i="8"/>
  <c r="FN21" i="8"/>
  <c r="FN19" i="8"/>
  <c r="FN35" i="8" s="1"/>
  <c r="FN22" i="8"/>
  <c r="FM41" i="8" l="1"/>
  <c r="FP20" i="8"/>
  <c r="FO19" i="8"/>
  <c r="FO35" i="8" s="1"/>
  <c r="FO21" i="8"/>
  <c r="FO22" i="8"/>
  <c r="FN40" i="8"/>
  <c r="FN23" i="8"/>
  <c r="FN39" i="8"/>
  <c r="FN34" i="8"/>
  <c r="FM24" i="8"/>
  <c r="FM25" i="8"/>
  <c r="FM27" i="8" s="1"/>
  <c r="FM44" i="8" s="1"/>
  <c r="FN41" i="8" l="1"/>
  <c r="FO40" i="8"/>
  <c r="FO23" i="8"/>
  <c r="FO39" i="8"/>
  <c r="FO34" i="8"/>
  <c r="FN24" i="8"/>
  <c r="FN25" i="8"/>
  <c r="FN27" i="8" s="1"/>
  <c r="FN44" i="8" s="1"/>
  <c r="FQ20" i="8"/>
  <c r="FP19" i="8"/>
  <c r="FP35" i="8" s="1"/>
  <c r="FP22" i="8"/>
  <c r="FP21" i="8"/>
  <c r="FO41" i="8" l="1"/>
  <c r="FP40" i="8"/>
  <c r="FP23" i="8"/>
  <c r="FP34" i="8"/>
  <c r="FP39" i="8"/>
  <c r="FR20" i="8"/>
  <c r="FQ21" i="8"/>
  <c r="FQ19" i="8"/>
  <c r="FQ35" i="8" s="1"/>
  <c r="FQ22" i="8"/>
  <c r="FO24" i="8"/>
  <c r="FO25" i="8"/>
  <c r="FO27" i="8" s="1"/>
  <c r="FO44" i="8" l="1"/>
  <c r="FP41" i="8"/>
  <c r="FQ40" i="8"/>
  <c r="FQ23" i="8"/>
  <c r="FQ39" i="8"/>
  <c r="FQ41" i="8" s="1"/>
  <c r="FQ34" i="8"/>
  <c r="FS20" i="8"/>
  <c r="FR21" i="8"/>
  <c r="FR22" i="8"/>
  <c r="FR19" i="8"/>
  <c r="FR35" i="8" s="1"/>
  <c r="FP24" i="8"/>
  <c r="FP25" i="8"/>
  <c r="FP27" i="8" s="1"/>
  <c r="FP44" i="8" s="1"/>
  <c r="FR40" i="8" l="1"/>
  <c r="FR23" i="8"/>
  <c r="FR39" i="8"/>
  <c r="FR34" i="8"/>
  <c r="FT20" i="8"/>
  <c r="FS22" i="8"/>
  <c r="FS21" i="8"/>
  <c r="FS19" i="8"/>
  <c r="FS35" i="8" s="1"/>
  <c r="FQ24" i="8"/>
  <c r="FQ25" i="8"/>
  <c r="FQ27" i="8" s="1"/>
  <c r="FQ44" i="8" s="1"/>
  <c r="FR41" i="8" l="1"/>
  <c r="FS40" i="8"/>
  <c r="FS23" i="8"/>
  <c r="FS39" i="8"/>
  <c r="FS34" i="8"/>
  <c r="FU20" i="8"/>
  <c r="FT22" i="8"/>
  <c r="FT21" i="8"/>
  <c r="FT19" i="8"/>
  <c r="FT35" i="8" s="1"/>
  <c r="FR24" i="8"/>
  <c r="FR25" i="8"/>
  <c r="FR27" i="8" s="1"/>
  <c r="FR44" i="8" s="1"/>
  <c r="FS41" i="8" l="1"/>
  <c r="FT40" i="8"/>
  <c r="FT23" i="8"/>
  <c r="FT39" i="8"/>
  <c r="FT41" i="8" s="1"/>
  <c r="FT34" i="8"/>
  <c r="FV20" i="8"/>
  <c r="FU22" i="8"/>
  <c r="FU21" i="8"/>
  <c r="FU19" i="8"/>
  <c r="FU35" i="8" s="1"/>
  <c r="FS24" i="8"/>
  <c r="FS25" i="8"/>
  <c r="FS27" i="8" s="1"/>
  <c r="FS44" i="8" s="1"/>
  <c r="FW20" i="8" l="1"/>
  <c r="FV22" i="8"/>
  <c r="FV21" i="8"/>
  <c r="FV19" i="8"/>
  <c r="FV35" i="8" s="1"/>
  <c r="FU40" i="8"/>
  <c r="FU23" i="8"/>
  <c r="FU39" i="8"/>
  <c r="FU34" i="8"/>
  <c r="FT24" i="8"/>
  <c r="FT25" i="8"/>
  <c r="FT27" i="8" s="1"/>
  <c r="FT44" i="8" s="1"/>
  <c r="FU41" i="8" l="1"/>
  <c r="FU24" i="8"/>
  <c r="FU25" i="8"/>
  <c r="FU27" i="8" s="1"/>
  <c r="FU44" i="8" s="1"/>
  <c r="FV40" i="8"/>
  <c r="FV23" i="8"/>
  <c r="FV39" i="8"/>
  <c r="FV34" i="8"/>
  <c r="FX20" i="8"/>
  <c r="FW22" i="8"/>
  <c r="FW21" i="8"/>
  <c r="FW19" i="8"/>
  <c r="FW35" i="8" s="1"/>
  <c r="FV41" i="8" l="1"/>
  <c r="FW40" i="8"/>
  <c r="FW23" i="8"/>
  <c r="FW34" i="8"/>
  <c r="FW39" i="8"/>
  <c r="FY20" i="8"/>
  <c r="FX22" i="8"/>
  <c r="FX19" i="8"/>
  <c r="FX35" i="8" s="1"/>
  <c r="FX21" i="8"/>
  <c r="FV24" i="8"/>
  <c r="FV25" i="8"/>
  <c r="FV27" i="8" s="1"/>
  <c r="FV44" i="8" s="1"/>
  <c r="FW41" i="8" l="1"/>
  <c r="FX40" i="8"/>
  <c r="FX23" i="8"/>
  <c r="FX39" i="8"/>
  <c r="FX34" i="8"/>
  <c r="FZ20" i="8"/>
  <c r="FY22" i="8"/>
  <c r="FY19" i="8"/>
  <c r="FY35" i="8" s="1"/>
  <c r="FY21" i="8"/>
  <c r="FW24" i="8"/>
  <c r="FW25" i="8"/>
  <c r="FW27" i="8" s="1"/>
  <c r="FW44" i="8" s="1"/>
  <c r="FX41" i="8" l="1"/>
  <c r="FY40" i="8"/>
  <c r="FY23" i="8"/>
  <c r="FY34" i="8"/>
  <c r="FY39" i="8"/>
  <c r="GA20" i="8"/>
  <c r="FZ22" i="8"/>
  <c r="FZ21" i="8"/>
  <c r="FZ19" i="8"/>
  <c r="FZ35" i="8" s="1"/>
  <c r="FX24" i="8"/>
  <c r="FX25" i="8"/>
  <c r="FX27" i="8" s="1"/>
  <c r="FX44" i="8" s="1"/>
  <c r="FY41" i="8" l="1"/>
  <c r="FZ40" i="8"/>
  <c r="FZ23" i="8"/>
  <c r="FZ34" i="8"/>
  <c r="FZ39" i="8"/>
  <c r="GB20" i="8"/>
  <c r="GA19" i="8"/>
  <c r="GA35" i="8" s="1"/>
  <c r="GA22" i="8"/>
  <c r="GA21" i="8"/>
  <c r="FY24" i="8"/>
  <c r="FY25" i="8"/>
  <c r="FY27" i="8" s="1"/>
  <c r="FY44" i="8" s="1"/>
  <c r="FZ41" i="8" l="1"/>
  <c r="GA40" i="8"/>
  <c r="GA23" i="8"/>
  <c r="GA34" i="8"/>
  <c r="GA39" i="8"/>
  <c r="GA41" i="8" s="1"/>
  <c r="GC20" i="8"/>
  <c r="GB19" i="8"/>
  <c r="GB35" i="8" s="1"/>
  <c r="GB22" i="8"/>
  <c r="GB21" i="8"/>
  <c r="FZ24" i="8"/>
  <c r="FZ25" i="8"/>
  <c r="FZ27" i="8" s="1"/>
  <c r="FZ44" i="8" s="1"/>
  <c r="GB40" i="8" l="1"/>
  <c r="GB23" i="8"/>
  <c r="GB34" i="8"/>
  <c r="GB39" i="8"/>
  <c r="GD20" i="8"/>
  <c r="GC21" i="8"/>
  <c r="GC22" i="8"/>
  <c r="GC19" i="8"/>
  <c r="GC35" i="8" s="1"/>
  <c r="GA24" i="8"/>
  <c r="GA25" i="8"/>
  <c r="GA27" i="8" s="1"/>
  <c r="GA44" i="8" s="1"/>
  <c r="GB41" i="8" l="1"/>
  <c r="GC40" i="8"/>
  <c r="GC23" i="8"/>
  <c r="GC34" i="8"/>
  <c r="GC39" i="8"/>
  <c r="GC41" i="8" s="1"/>
  <c r="GE20" i="8"/>
  <c r="GD21" i="8"/>
  <c r="GD19" i="8"/>
  <c r="GD35" i="8" s="1"/>
  <c r="GD22" i="8"/>
  <c r="GB24" i="8"/>
  <c r="GB25" i="8"/>
  <c r="GB27" i="8" s="1"/>
  <c r="GB44" i="8" s="1"/>
  <c r="GD40" i="8" l="1"/>
  <c r="GD23" i="8"/>
  <c r="GD39" i="8"/>
  <c r="GD41" i="8" s="1"/>
  <c r="GD34" i="8"/>
  <c r="GF20" i="8"/>
  <c r="GE21" i="8"/>
  <c r="GE19" i="8"/>
  <c r="GE35" i="8" s="1"/>
  <c r="GE22" i="8"/>
  <c r="GC24" i="8"/>
  <c r="GC25" i="8"/>
  <c r="GC27" i="8" s="1"/>
  <c r="GC44" i="8" s="1"/>
  <c r="GE40" i="8" l="1"/>
  <c r="GE23" i="8"/>
  <c r="GE39" i="8"/>
  <c r="GE41" i="8" s="1"/>
  <c r="GE34" i="8"/>
  <c r="GG20" i="8"/>
  <c r="GF21" i="8"/>
  <c r="GF22" i="8"/>
  <c r="GF19" i="8"/>
  <c r="GF35" i="8" s="1"/>
  <c r="GD24" i="8"/>
  <c r="GD25" i="8"/>
  <c r="GD27" i="8" s="1"/>
  <c r="GD44" i="8" s="1"/>
  <c r="GF40" i="8" l="1"/>
  <c r="GF23" i="8"/>
  <c r="GF34" i="8"/>
  <c r="GF39" i="8"/>
  <c r="GH20" i="8"/>
  <c r="GG21" i="8"/>
  <c r="GG19" i="8"/>
  <c r="GG35" i="8" s="1"/>
  <c r="GG22" i="8"/>
  <c r="GE24" i="8"/>
  <c r="GE25" i="8"/>
  <c r="GE27" i="8" s="1"/>
  <c r="GE44" i="8" s="1"/>
  <c r="GF41" i="8" l="1"/>
  <c r="GG40" i="8"/>
  <c r="GG23" i="8"/>
  <c r="GG34" i="8"/>
  <c r="GG39" i="8"/>
  <c r="GI20" i="8"/>
  <c r="GH21" i="8"/>
  <c r="GH19" i="8"/>
  <c r="GH35" i="8" s="1"/>
  <c r="GH22" i="8"/>
  <c r="GF24" i="8"/>
  <c r="GF25" i="8"/>
  <c r="GF27" i="8" s="1"/>
  <c r="GF44" i="8" l="1"/>
  <c r="GG41" i="8"/>
  <c r="GH40" i="8"/>
  <c r="GH23" i="8"/>
  <c r="GH39" i="8"/>
  <c r="GH34" i="8"/>
  <c r="GJ20" i="8"/>
  <c r="GI22" i="8"/>
  <c r="GI21" i="8"/>
  <c r="GI19" i="8"/>
  <c r="GI35" i="8" s="1"/>
  <c r="GG25" i="8"/>
  <c r="GG27" i="8" s="1"/>
  <c r="GG44" i="8" s="1"/>
  <c r="GG24" i="8"/>
  <c r="GH41" i="8" l="1"/>
  <c r="GI40" i="8"/>
  <c r="GI23" i="8"/>
  <c r="GI39" i="8"/>
  <c r="GI34" i="8"/>
  <c r="GK20" i="8"/>
  <c r="GJ21" i="8"/>
  <c r="GJ19" i="8"/>
  <c r="GJ35" i="8" s="1"/>
  <c r="GJ22" i="8"/>
  <c r="GH25" i="8"/>
  <c r="GH27" i="8" s="1"/>
  <c r="GH44" i="8" s="1"/>
  <c r="GH24" i="8"/>
  <c r="GI41" i="8" l="1"/>
  <c r="GJ40" i="8"/>
  <c r="GJ23" i="8"/>
  <c r="GJ39" i="8"/>
  <c r="GJ41" i="8" s="1"/>
  <c r="GJ34" i="8"/>
  <c r="GL20" i="8"/>
  <c r="GK22" i="8"/>
  <c r="GK19" i="8"/>
  <c r="GK35" i="8" s="1"/>
  <c r="GK21" i="8"/>
  <c r="GI24" i="8"/>
  <c r="GI25" i="8"/>
  <c r="GI27" i="8" s="1"/>
  <c r="GI44" i="8" s="1"/>
  <c r="GK40" i="8" l="1"/>
  <c r="GK23" i="8"/>
  <c r="GK39" i="8"/>
  <c r="GK34" i="8"/>
  <c r="GM20" i="8"/>
  <c r="GL21" i="8"/>
  <c r="GL19" i="8"/>
  <c r="GL35" i="8" s="1"/>
  <c r="GL22" i="8"/>
  <c r="GJ24" i="8"/>
  <c r="GJ25" i="8"/>
  <c r="GJ27" i="8" s="1"/>
  <c r="GJ44" i="8" s="1"/>
  <c r="GK41" i="8" l="1"/>
  <c r="GL40" i="8"/>
  <c r="GL23" i="8"/>
  <c r="GL39" i="8"/>
  <c r="GL41" i="8" s="1"/>
  <c r="GL34" i="8"/>
  <c r="GN20" i="8"/>
  <c r="GM22" i="8"/>
  <c r="GM21" i="8"/>
  <c r="GM19" i="8"/>
  <c r="GM35" i="8" s="1"/>
  <c r="GK24" i="8"/>
  <c r="GK25" i="8"/>
  <c r="GK27" i="8" s="1"/>
  <c r="GK44" i="8" s="1"/>
  <c r="GM40" i="8" l="1"/>
  <c r="GM23" i="8"/>
  <c r="GM34" i="8"/>
  <c r="GM39" i="8"/>
  <c r="GM41" i="8" s="1"/>
  <c r="GO20" i="8"/>
  <c r="GN22" i="8"/>
  <c r="GN19" i="8"/>
  <c r="GN35" i="8" s="1"/>
  <c r="GN21" i="8"/>
  <c r="GL24" i="8"/>
  <c r="GL25" i="8"/>
  <c r="GL27" i="8" s="1"/>
  <c r="GL44" i="8" s="1"/>
  <c r="GN40" i="8" l="1"/>
  <c r="GN23" i="8"/>
  <c r="GN39" i="8"/>
  <c r="GN34" i="8"/>
  <c r="GP20" i="8"/>
  <c r="GO22" i="8"/>
  <c r="GO19" i="8"/>
  <c r="GO35" i="8" s="1"/>
  <c r="GO21" i="8"/>
  <c r="GM24" i="8"/>
  <c r="GM25" i="8"/>
  <c r="GM27" i="8" s="1"/>
  <c r="GM44" i="8" s="1"/>
  <c r="GN41" i="8" l="1"/>
  <c r="GO23" i="8"/>
  <c r="GO40" i="8"/>
  <c r="GO39" i="8"/>
  <c r="GO34" i="8"/>
  <c r="GQ20" i="8"/>
  <c r="GP22" i="8"/>
  <c r="GP21" i="8"/>
  <c r="GP19" i="8"/>
  <c r="GP35" i="8" s="1"/>
  <c r="GN24" i="8"/>
  <c r="GN25" i="8"/>
  <c r="GN27" i="8" s="1"/>
  <c r="GN44" i="8" s="1"/>
  <c r="GO41" i="8" l="1"/>
  <c r="GP23" i="8"/>
  <c r="GP40" i="8"/>
  <c r="GP39" i="8"/>
  <c r="GP34" i="8"/>
  <c r="GR20" i="8"/>
  <c r="GQ19" i="8"/>
  <c r="GQ35" i="8" s="1"/>
  <c r="GQ22" i="8"/>
  <c r="GQ21" i="8"/>
  <c r="GO24" i="8"/>
  <c r="GO25" i="8"/>
  <c r="GO27" i="8" s="1"/>
  <c r="GO44" i="8" s="1"/>
  <c r="GP41" i="8" l="1"/>
  <c r="GQ23" i="8"/>
  <c r="GQ40" i="8"/>
  <c r="GQ34" i="8"/>
  <c r="GQ39" i="8"/>
  <c r="GS20" i="8"/>
  <c r="GR19" i="8"/>
  <c r="GR35" i="8" s="1"/>
  <c r="GR22" i="8"/>
  <c r="GR21" i="8"/>
  <c r="GP24" i="8"/>
  <c r="GP25" i="8"/>
  <c r="GP27" i="8" s="1"/>
  <c r="GP44" i="8" s="1"/>
  <c r="GQ41" i="8" l="1"/>
  <c r="GR23" i="8"/>
  <c r="GR40" i="8"/>
  <c r="GR34" i="8"/>
  <c r="GR39" i="8"/>
  <c r="GR41" i="8" s="1"/>
  <c r="GT20" i="8"/>
  <c r="GS22" i="8"/>
  <c r="GS21" i="8"/>
  <c r="GS19" i="8"/>
  <c r="GS35" i="8" s="1"/>
  <c r="GQ24" i="8"/>
  <c r="GQ25" i="8"/>
  <c r="GQ27" i="8" s="1"/>
  <c r="GQ44" i="8" s="1"/>
  <c r="GS23" i="8" l="1"/>
  <c r="GS40" i="8"/>
  <c r="GS34" i="8"/>
  <c r="GS39" i="8"/>
  <c r="GS41" i="8" s="1"/>
  <c r="GU20" i="8"/>
  <c r="GT21" i="8"/>
  <c r="GT22" i="8"/>
  <c r="GT19" i="8"/>
  <c r="GT35" i="8" s="1"/>
  <c r="GR24" i="8"/>
  <c r="GR25" i="8"/>
  <c r="GR27" i="8" s="1"/>
  <c r="GR44" i="8" s="1"/>
  <c r="GT23" i="8" l="1"/>
  <c r="GT40" i="8"/>
  <c r="GT39" i="8"/>
  <c r="GT34" i="8"/>
  <c r="GV20" i="8"/>
  <c r="GU22" i="8"/>
  <c r="GU19" i="8"/>
  <c r="GU35" i="8" s="1"/>
  <c r="GU21" i="8"/>
  <c r="GS24" i="8"/>
  <c r="GS25" i="8"/>
  <c r="GS27" i="8" s="1"/>
  <c r="GS44" i="8" s="1"/>
  <c r="GT41" i="8" l="1"/>
  <c r="GU23" i="8"/>
  <c r="GU40" i="8"/>
  <c r="GU39" i="8"/>
  <c r="GU34" i="8"/>
  <c r="GW20" i="8"/>
  <c r="GV21" i="8"/>
  <c r="GV22" i="8"/>
  <c r="GV19" i="8"/>
  <c r="GV35" i="8" s="1"/>
  <c r="GT24" i="8"/>
  <c r="GT25" i="8"/>
  <c r="GT27" i="8" s="1"/>
  <c r="GT44" i="8" s="1"/>
  <c r="GU41" i="8" l="1"/>
  <c r="GV23" i="8"/>
  <c r="GV34" i="8"/>
  <c r="GV39" i="8"/>
  <c r="GV40" i="8"/>
  <c r="GX20" i="8"/>
  <c r="GW21" i="8"/>
  <c r="GW22" i="8"/>
  <c r="GW19" i="8"/>
  <c r="GW35" i="8" s="1"/>
  <c r="GU24" i="8"/>
  <c r="GU25" i="8"/>
  <c r="GU27" i="8" s="1"/>
  <c r="GU44" i="8" l="1"/>
  <c r="GW34" i="8"/>
  <c r="GW23" i="8"/>
  <c r="GW40" i="8"/>
  <c r="GW39" i="8"/>
  <c r="GW41" i="8" s="1"/>
  <c r="GY20" i="8"/>
  <c r="GX21" i="8"/>
  <c r="GX22" i="8"/>
  <c r="GX19" i="8"/>
  <c r="GX35" i="8" s="1"/>
  <c r="GV41" i="8"/>
  <c r="GV24" i="8"/>
  <c r="GV25" i="8"/>
  <c r="GV27" i="8" s="1"/>
  <c r="GX39" i="8" l="1"/>
  <c r="GX23" i="8"/>
  <c r="GX40" i="8"/>
  <c r="GX34" i="8"/>
  <c r="GV44" i="8"/>
  <c r="GZ20" i="8"/>
  <c r="GY19" i="8"/>
  <c r="GY35" i="8" s="1"/>
  <c r="GY21" i="8"/>
  <c r="GY22" i="8"/>
  <c r="GW24" i="8"/>
  <c r="GW25" i="8"/>
  <c r="GW27" i="8" s="1"/>
  <c r="GW44" i="8" s="1"/>
  <c r="GY39" i="8" l="1"/>
  <c r="GY34" i="8"/>
  <c r="GY40" i="8"/>
  <c r="GY23" i="8"/>
  <c r="GX24" i="8"/>
  <c r="GX25" i="8"/>
  <c r="GX27" i="8" s="1"/>
  <c r="HA20" i="8"/>
  <c r="GZ21" i="8"/>
  <c r="GZ22" i="8"/>
  <c r="GZ19" i="8"/>
  <c r="GZ35" i="8" s="1"/>
  <c r="GX41" i="8"/>
  <c r="GX44" i="8" s="1"/>
  <c r="GZ34" i="8" l="1"/>
  <c r="GZ39" i="8"/>
  <c r="GZ23" i="8"/>
  <c r="GZ40" i="8"/>
  <c r="HB20" i="8"/>
  <c r="HA19" i="8"/>
  <c r="HA35" i="8" s="1"/>
  <c r="HA21" i="8"/>
  <c r="HA22" i="8"/>
  <c r="GY25" i="8"/>
  <c r="GY27" i="8" s="1"/>
  <c r="GY24" i="8"/>
  <c r="GY41" i="8"/>
  <c r="HA39" i="8" l="1"/>
  <c r="HA23" i="8"/>
  <c r="HA34" i="8"/>
  <c r="HA40" i="8"/>
  <c r="GY44" i="8"/>
  <c r="HC20" i="8"/>
  <c r="HB22" i="8"/>
  <c r="HB19" i="8"/>
  <c r="HB35" i="8" s="1"/>
  <c r="HB21" i="8"/>
  <c r="GZ24" i="8"/>
  <c r="GZ25" i="8"/>
  <c r="GZ27" i="8" s="1"/>
  <c r="GZ41" i="8"/>
  <c r="HB34" i="8" l="1"/>
  <c r="HB40" i="8"/>
  <c r="HB23" i="8"/>
  <c r="HB39" i="8"/>
  <c r="HB41" i="8" s="1"/>
  <c r="GZ44" i="8"/>
  <c r="HD20" i="8"/>
  <c r="HC21" i="8"/>
  <c r="HC22" i="8"/>
  <c r="HC19" i="8"/>
  <c r="HC35" i="8" s="1"/>
  <c r="HA25" i="8"/>
  <c r="HA27" i="8" s="1"/>
  <c r="HA24" i="8"/>
  <c r="HA41" i="8"/>
  <c r="HA44" i="8" l="1"/>
  <c r="HC34" i="8"/>
  <c r="HC23" i="8"/>
  <c r="HC40" i="8"/>
  <c r="HC39" i="8"/>
  <c r="HE20" i="8"/>
  <c r="HD22" i="8"/>
  <c r="HD21" i="8"/>
  <c r="HD19" i="8"/>
  <c r="HD35" i="8" s="1"/>
  <c r="HB25" i="8"/>
  <c r="HB27" i="8" s="1"/>
  <c r="HB44" i="8" s="1"/>
  <c r="HB24" i="8"/>
  <c r="HC41" i="8" l="1"/>
  <c r="HD34" i="8"/>
  <c r="HD23" i="8"/>
  <c r="HD40" i="8"/>
  <c r="HD39" i="8"/>
  <c r="HF20" i="8"/>
  <c r="HE22" i="8"/>
  <c r="HE21" i="8"/>
  <c r="HE19" i="8"/>
  <c r="HE35" i="8" s="1"/>
  <c r="HC25" i="8"/>
  <c r="HC27" i="8" s="1"/>
  <c r="HC44" i="8" s="1"/>
  <c r="HC24" i="8"/>
  <c r="HD41" i="8" l="1"/>
  <c r="HE34" i="8"/>
  <c r="HE39" i="8"/>
  <c r="HE23" i="8"/>
  <c r="HE40" i="8"/>
  <c r="HG20" i="8"/>
  <c r="HF21" i="8"/>
  <c r="HF19" i="8"/>
  <c r="HF35" i="8" s="1"/>
  <c r="HF22" i="8"/>
  <c r="HD25" i="8"/>
  <c r="HD27" i="8" s="1"/>
  <c r="HD44" i="8" s="1"/>
  <c r="HD24" i="8"/>
  <c r="HF23" i="8" l="1"/>
  <c r="HF34" i="8"/>
  <c r="HF40" i="8"/>
  <c r="HF39" i="8"/>
  <c r="HF41" i="8" s="1"/>
  <c r="HH20" i="8"/>
  <c r="HG19" i="8"/>
  <c r="HG35" i="8" s="1"/>
  <c r="HG22" i="8"/>
  <c r="HG21" i="8"/>
  <c r="HE25" i="8"/>
  <c r="HE27" i="8" s="1"/>
  <c r="HE24" i="8"/>
  <c r="HE41" i="8"/>
  <c r="HE44" i="8" l="1"/>
  <c r="HG40" i="8"/>
  <c r="HG39" i="8"/>
  <c r="HG34" i="8"/>
  <c r="HG23" i="8"/>
  <c r="HI20" i="8"/>
  <c r="HH19" i="8"/>
  <c r="HH35" i="8" s="1"/>
  <c r="HH22" i="8"/>
  <c r="HH21" i="8"/>
  <c r="HF25" i="8"/>
  <c r="HF27" i="8" s="1"/>
  <c r="HF44" i="8" s="1"/>
  <c r="HF24" i="8"/>
  <c r="HG41" i="8" l="1"/>
  <c r="HH39" i="8"/>
  <c r="HH40" i="8"/>
  <c r="HH23" i="8"/>
  <c r="HH34" i="8"/>
  <c r="HJ20" i="8"/>
  <c r="HI22" i="8"/>
  <c r="HI19" i="8"/>
  <c r="HI35" i="8" s="1"/>
  <c r="HI21" i="8"/>
  <c r="HG24" i="8"/>
  <c r="HG25" i="8"/>
  <c r="HG27" i="8" s="1"/>
  <c r="HG44" i="8" s="1"/>
  <c r="HI40" i="8" l="1"/>
  <c r="HI39" i="8"/>
  <c r="HI41" i="8" s="1"/>
  <c r="HI34" i="8"/>
  <c r="HI23" i="8"/>
  <c r="HK20" i="8"/>
  <c r="HJ19" i="8"/>
  <c r="HJ35" i="8" s="1"/>
  <c r="HJ21" i="8"/>
  <c r="HJ22" i="8"/>
  <c r="HH24" i="8"/>
  <c r="HH25" i="8"/>
  <c r="HH27" i="8" s="1"/>
  <c r="HH41" i="8"/>
  <c r="HH44" i="8" l="1"/>
  <c r="HJ39" i="8"/>
  <c r="HJ34" i="8"/>
  <c r="HJ23" i="8"/>
  <c r="HJ40" i="8"/>
  <c r="HL20" i="8"/>
  <c r="HK22" i="8"/>
  <c r="HK19" i="8"/>
  <c r="HK35" i="8" s="1"/>
  <c r="HK21" i="8"/>
  <c r="HI24" i="8"/>
  <c r="HI25" i="8"/>
  <c r="HI27" i="8" s="1"/>
  <c r="HI44" i="8" s="1"/>
  <c r="HK40" i="8" l="1"/>
  <c r="HK39" i="8"/>
  <c r="HK41" i="8" s="1"/>
  <c r="HK34" i="8"/>
  <c r="HK23" i="8"/>
  <c r="HM20" i="8"/>
  <c r="HL21" i="8"/>
  <c r="HL19" i="8"/>
  <c r="HL35" i="8" s="1"/>
  <c r="HL22" i="8"/>
  <c r="HJ25" i="8"/>
  <c r="HJ27" i="8" s="1"/>
  <c r="HJ24" i="8"/>
  <c r="HJ41" i="8"/>
  <c r="HJ44" i="8" l="1"/>
  <c r="HL39" i="8"/>
  <c r="HL40" i="8"/>
  <c r="HL34" i="8"/>
  <c r="HL23" i="8"/>
  <c r="HN20" i="8"/>
  <c r="HM22" i="8"/>
  <c r="HM21" i="8"/>
  <c r="HM19" i="8"/>
  <c r="HM35" i="8" s="1"/>
  <c r="HK24" i="8"/>
  <c r="HK25" i="8"/>
  <c r="HK27" i="8" s="1"/>
  <c r="HK44" i="8" s="1"/>
  <c r="HM39" i="8" l="1"/>
  <c r="HM23" i="8"/>
  <c r="HM34" i="8"/>
  <c r="HM40" i="8"/>
  <c r="HO20" i="8"/>
  <c r="HN21" i="8"/>
  <c r="HN22" i="8"/>
  <c r="HN19" i="8"/>
  <c r="HN35" i="8" s="1"/>
  <c r="HL24" i="8"/>
  <c r="HL25" i="8"/>
  <c r="HL27" i="8" s="1"/>
  <c r="HL41" i="8"/>
  <c r="HL44" i="8" l="1"/>
  <c r="HN23" i="8"/>
  <c r="HN40" i="8"/>
  <c r="HN34" i="8"/>
  <c r="HN39" i="8"/>
  <c r="HN41" i="8" s="1"/>
  <c r="HM25" i="8"/>
  <c r="HM27" i="8" s="1"/>
  <c r="HM24" i="8"/>
  <c r="HP20" i="8"/>
  <c r="HO22" i="8"/>
  <c r="HO19" i="8"/>
  <c r="HO35" i="8" s="1"/>
  <c r="HO21" i="8"/>
  <c r="HM41" i="8"/>
  <c r="HM44" i="8" s="1"/>
  <c r="HO40" i="8" l="1"/>
  <c r="HO23" i="8"/>
  <c r="HO39" i="8"/>
  <c r="HO34" i="8"/>
  <c r="HQ20" i="8"/>
  <c r="HP21" i="8"/>
  <c r="HP19" i="8"/>
  <c r="HP35" i="8" s="1"/>
  <c r="HP22" i="8"/>
  <c r="HN24" i="8"/>
  <c r="HN25" i="8"/>
  <c r="HN27" i="8" s="1"/>
  <c r="HN44" i="8" s="1"/>
  <c r="HO41" i="8" l="1"/>
  <c r="HP40" i="8"/>
  <c r="HP34" i="8"/>
  <c r="HP23" i="8"/>
  <c r="HP39" i="8"/>
  <c r="HP41" i="8" s="1"/>
  <c r="HR20" i="8"/>
  <c r="HQ19" i="8"/>
  <c r="HQ35" i="8" s="1"/>
  <c r="HQ22" i="8"/>
  <c r="HQ21" i="8"/>
  <c r="HO24" i="8"/>
  <c r="HO25" i="8"/>
  <c r="HO27" i="8" s="1"/>
  <c r="HO44" i="8" s="1"/>
  <c r="HQ23" i="8" l="1"/>
  <c r="HQ40" i="8"/>
  <c r="HQ39" i="8"/>
  <c r="HQ41" i="8" s="1"/>
  <c r="HQ34" i="8"/>
  <c r="HS20" i="8"/>
  <c r="HR19" i="8"/>
  <c r="HR35" i="8" s="1"/>
  <c r="HR21" i="8"/>
  <c r="HR22" i="8"/>
  <c r="HP25" i="8"/>
  <c r="HP27" i="8" s="1"/>
  <c r="HP44" i="8" s="1"/>
  <c r="HP24" i="8"/>
  <c r="HR40" i="8" l="1"/>
  <c r="HR34" i="8"/>
  <c r="HR39" i="8"/>
  <c r="HR23" i="8"/>
  <c r="HT20" i="8"/>
  <c r="HS22" i="8"/>
  <c r="HS21" i="8"/>
  <c r="HS19" i="8"/>
  <c r="HS35" i="8" s="1"/>
  <c r="HQ24" i="8"/>
  <c r="HQ25" i="8"/>
  <c r="HQ27" i="8" s="1"/>
  <c r="HQ44" i="8" s="1"/>
  <c r="HR41" i="8" l="1"/>
  <c r="HS40" i="8"/>
  <c r="HS23" i="8"/>
  <c r="HS39" i="8"/>
  <c r="HS41" i="8" s="1"/>
  <c r="HS34" i="8"/>
  <c r="HR24" i="8"/>
  <c r="HR25" i="8"/>
  <c r="HR27" i="8" s="1"/>
  <c r="HU20" i="8"/>
  <c r="HT19" i="8"/>
  <c r="HT35" i="8" s="1"/>
  <c r="HT21" i="8"/>
  <c r="HT22" i="8"/>
  <c r="HR44" i="8"/>
  <c r="HT23" i="8" l="1"/>
  <c r="HT34" i="8"/>
  <c r="HT40" i="8"/>
  <c r="HT39" i="8"/>
  <c r="HV20" i="8"/>
  <c r="HU22" i="8"/>
  <c r="HU21" i="8"/>
  <c r="HU19" i="8"/>
  <c r="HU35" i="8" s="1"/>
  <c r="HS24" i="8"/>
  <c r="HS25" i="8"/>
  <c r="HS27" i="8" s="1"/>
  <c r="HS44" i="8" s="1"/>
  <c r="HT41" i="8" l="1"/>
  <c r="HU39" i="8"/>
  <c r="HU34" i="8"/>
  <c r="HU23" i="8"/>
  <c r="HU40" i="8"/>
  <c r="HW20" i="8"/>
  <c r="HV19" i="8"/>
  <c r="HV35" i="8" s="1"/>
  <c r="HV21" i="8"/>
  <c r="HV22" i="8"/>
  <c r="HT25" i="8"/>
  <c r="HT27" i="8" s="1"/>
  <c r="HT44" i="8" s="1"/>
  <c r="HT24" i="8"/>
  <c r="HV34" i="8" l="1"/>
  <c r="HV23" i="8"/>
  <c r="HV40" i="8"/>
  <c r="HV39" i="8"/>
  <c r="HX20" i="8"/>
  <c r="HW19" i="8"/>
  <c r="HW35" i="8" s="1"/>
  <c r="HW22" i="8"/>
  <c r="HW21" i="8"/>
  <c r="HU25" i="8"/>
  <c r="HU27" i="8" s="1"/>
  <c r="HU24" i="8"/>
  <c r="HU41" i="8"/>
  <c r="HV41" i="8" l="1"/>
  <c r="HW23" i="8"/>
  <c r="HW39" i="8"/>
  <c r="HW40" i="8"/>
  <c r="HW34" i="8"/>
  <c r="HU44" i="8"/>
  <c r="HY20" i="8"/>
  <c r="HX19" i="8"/>
  <c r="HX35" i="8" s="1"/>
  <c r="HX22" i="8"/>
  <c r="HX21" i="8"/>
  <c r="HV25" i="8"/>
  <c r="HV27" i="8" s="1"/>
  <c r="HV24" i="8"/>
  <c r="HV44" i="8" l="1"/>
  <c r="HX39" i="8"/>
  <c r="HX34" i="8"/>
  <c r="HX40" i="8"/>
  <c r="HX23" i="8"/>
  <c r="HZ20" i="8"/>
  <c r="HY19" i="8"/>
  <c r="HY35" i="8" s="1"/>
  <c r="HY22" i="8"/>
  <c r="HY21" i="8"/>
  <c r="HW41" i="8"/>
  <c r="HW25" i="8"/>
  <c r="HW27" i="8" s="1"/>
  <c r="HW24" i="8"/>
  <c r="HY34" i="8" l="1"/>
  <c r="HY23" i="8"/>
  <c r="HY40" i="8"/>
  <c r="HY39" i="8"/>
  <c r="HW44" i="8"/>
  <c r="IA20" i="8"/>
  <c r="HZ21" i="8"/>
  <c r="HZ22" i="8"/>
  <c r="HZ19" i="8"/>
  <c r="HZ35" i="8" s="1"/>
  <c r="HX25" i="8"/>
  <c r="HX27" i="8" s="1"/>
  <c r="HX24" i="8"/>
  <c r="HX41" i="8"/>
  <c r="HY41" i="8" l="1"/>
  <c r="IB20" i="8"/>
  <c r="IA21" i="8"/>
  <c r="IA22" i="8"/>
  <c r="IA19" i="8"/>
  <c r="IA35" i="8" s="1"/>
  <c r="HX44" i="8"/>
  <c r="HZ23" i="8"/>
  <c r="HZ40" i="8"/>
  <c r="HZ39" i="8"/>
  <c r="HZ34" i="8"/>
  <c r="HY24" i="8"/>
  <c r="HY25" i="8"/>
  <c r="HY27" i="8" s="1"/>
  <c r="HY44" i="8" s="1"/>
  <c r="HZ41" i="8" l="1"/>
  <c r="HZ24" i="8"/>
  <c r="HZ25" i="8"/>
  <c r="HZ27" i="8" s="1"/>
  <c r="HZ44" i="8" s="1"/>
  <c r="IA39" i="8"/>
  <c r="IA23" i="8"/>
  <c r="IA40" i="8"/>
  <c r="IA34" i="8"/>
  <c r="IC20" i="8"/>
  <c r="IB21" i="8"/>
  <c r="IB19" i="8"/>
  <c r="IB35" i="8" s="1"/>
  <c r="IB22" i="8"/>
  <c r="IB34" i="8" l="1"/>
  <c r="IB39" i="8"/>
  <c r="IB23" i="8"/>
  <c r="IB40" i="8"/>
  <c r="IC22" i="8"/>
  <c r="IC21" i="8"/>
  <c r="IC19" i="8"/>
  <c r="IC35" i="8" s="1"/>
  <c r="IA24" i="8"/>
  <c r="IA25" i="8"/>
  <c r="IA27" i="8" s="1"/>
  <c r="IA41" i="8"/>
  <c r="IA44" i="8" l="1"/>
  <c r="IC23" i="8"/>
  <c r="IC34" i="8"/>
  <c r="IC40" i="8"/>
  <c r="IC39" i="8"/>
  <c r="Y57" i="8"/>
  <c r="T55" i="8"/>
  <c r="U55" i="8"/>
  <c r="X57" i="8"/>
  <c r="Y55" i="8"/>
  <c r="X55" i="8"/>
  <c r="J55" i="8"/>
  <c r="H55" i="8"/>
  <c r="R55" i="8"/>
  <c r="P55" i="8"/>
  <c r="L55" i="8"/>
  <c r="IB24" i="8"/>
  <c r="IB25" i="8"/>
  <c r="IB27" i="8" s="1"/>
  <c r="IB41" i="8"/>
  <c r="IC41" i="8" l="1"/>
  <c r="IB44" i="8"/>
  <c r="V55" i="8" s="1"/>
  <c r="IC25" i="8"/>
  <c r="IC24" i="8"/>
  <c r="IC27" i="8" l="1"/>
  <c r="IC44" i="8" s="1"/>
  <c r="U60" i="8"/>
  <c r="O60" i="8"/>
  <c r="J60" i="8"/>
  <c r="X62" i="8"/>
  <c r="W28" i="14" s="1"/>
  <c r="W30" i="14" s="1"/>
  <c r="W34" i="14" s="1"/>
  <c r="N60" i="8"/>
  <c r="H60" i="8"/>
  <c r="W60" i="8"/>
  <c r="R60" i="8"/>
  <c r="G60" i="8"/>
  <c r="L60" i="8"/>
  <c r="S60" i="8"/>
  <c r="W62" i="8"/>
  <c r="V28" i="14" s="1"/>
  <c r="V30" i="14" s="1"/>
  <c r="V34" i="14" s="1"/>
  <c r="T60" i="8"/>
  <c r="Q60" i="8"/>
  <c r="K60" i="8"/>
  <c r="Y62" i="8"/>
  <c r="X28" i="14" s="1"/>
  <c r="X30" i="14" s="1"/>
  <c r="X34" i="14" s="1"/>
  <c r="W61" i="8"/>
  <c r="P60" i="8"/>
  <c r="X60" i="8"/>
  <c r="X61" i="8"/>
  <c r="V60" i="8"/>
  <c r="I60" i="8"/>
  <c r="Y61" i="8"/>
  <c r="Y60" i="8"/>
  <c r="M60" i="8"/>
  <c r="X86" i="14" l="1"/>
  <c r="X65" i="14"/>
  <c r="X108" i="14"/>
  <c r="W40" i="14"/>
  <c r="W42" i="14" s="1"/>
  <c r="W35" i="14"/>
  <c r="W65" i="14"/>
  <c r="W108" i="14"/>
  <c r="W86" i="14"/>
  <c r="V65" i="14"/>
  <c r="V108" i="14"/>
  <c r="V86" i="14"/>
  <c r="X35" i="14"/>
  <c r="X40" i="14"/>
  <c r="X42" i="14" s="1"/>
  <c r="V35" i="14"/>
  <c r="V40" i="14"/>
  <c r="V42" i="14" s="1"/>
  <c r="W55" i="8"/>
  <c r="E60" i="8"/>
  <c r="F60" i="8"/>
  <c r="F11" i="11" l="1"/>
  <c r="F3" i="11" l="1"/>
  <c r="G3" i="11" s="1"/>
  <c r="G11" i="11"/>
  <c r="C47" i="10" s="1"/>
  <c r="Q47" i="10" s="1"/>
  <c r="F7" i="12" l="1"/>
  <c r="F6" i="13"/>
  <c r="AA47" i="10"/>
  <c r="K47" i="10"/>
  <c r="K39" i="10" s="1"/>
  <c r="Z47" i="10"/>
  <c r="J47" i="10"/>
  <c r="J39" i="10" s="1"/>
  <c r="AE47" i="10"/>
  <c r="AB47" i="10"/>
  <c r="Y47" i="10"/>
  <c r="I47" i="10"/>
  <c r="I39" i="10" s="1"/>
  <c r="AD47" i="10"/>
  <c r="X47" i="10"/>
  <c r="H47" i="10"/>
  <c r="H39" i="10" s="1"/>
  <c r="L47" i="10"/>
  <c r="L39" i="10" s="1"/>
  <c r="W47" i="10"/>
  <c r="G47" i="10"/>
  <c r="G39" i="10" s="1"/>
  <c r="AG47" i="10"/>
  <c r="AC47" i="10"/>
  <c r="E47" i="10"/>
  <c r="E39" i="10" s="1"/>
  <c r="V47" i="10"/>
  <c r="F47" i="10"/>
  <c r="F39" i="10" s="1"/>
  <c r="O47" i="10"/>
  <c r="U47" i="10"/>
  <c r="T47" i="10"/>
  <c r="S47" i="10"/>
  <c r="R47" i="10"/>
  <c r="R39" i="10" s="1"/>
  <c r="AF47" i="10"/>
  <c r="P47" i="10"/>
  <c r="P39" i="10" s="1"/>
  <c r="N47" i="10"/>
  <c r="N39" i="10" s="1"/>
  <c r="M47" i="10"/>
  <c r="M39" i="10" s="1"/>
  <c r="C281" i="13" l="1"/>
  <c r="C17" i="14"/>
  <c r="C24" i="14" s="1"/>
  <c r="C71" i="14" s="1"/>
  <c r="G6" i="13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CE36" i="8"/>
  <c r="CF36" i="8"/>
  <c r="CG36" i="8"/>
  <c r="CH36" i="8"/>
  <c r="CI36" i="8"/>
  <c r="CJ36" i="8"/>
  <c r="CK36" i="8"/>
  <c r="CL36" i="8"/>
  <c r="CM36" i="8"/>
  <c r="CN36" i="8"/>
  <c r="CO36" i="8"/>
  <c r="CP36" i="8"/>
  <c r="CQ36" i="8"/>
  <c r="CR36" i="8"/>
  <c r="CS36" i="8"/>
  <c r="CT36" i="8"/>
  <c r="CU36" i="8"/>
  <c r="CV36" i="8"/>
  <c r="CW36" i="8"/>
  <c r="CX36" i="8"/>
  <c r="CY36" i="8"/>
  <c r="CZ36" i="8"/>
  <c r="DA36" i="8"/>
  <c r="DB36" i="8"/>
  <c r="DC36" i="8"/>
  <c r="DD36" i="8"/>
  <c r="DE36" i="8"/>
  <c r="DF36" i="8"/>
  <c r="DG36" i="8"/>
  <c r="DH36" i="8"/>
  <c r="DI36" i="8"/>
  <c r="DJ36" i="8"/>
  <c r="DK36" i="8"/>
  <c r="DL36" i="8"/>
  <c r="DM36" i="8"/>
  <c r="DN36" i="8"/>
  <c r="DO36" i="8"/>
  <c r="DP36" i="8"/>
  <c r="DQ36" i="8"/>
  <c r="DR36" i="8"/>
  <c r="DS36" i="8"/>
  <c r="DT36" i="8"/>
  <c r="DU36" i="8"/>
  <c r="DV36" i="8"/>
  <c r="DW36" i="8"/>
  <c r="DX36" i="8"/>
  <c r="DY36" i="8"/>
  <c r="DZ36" i="8"/>
  <c r="EA36" i="8"/>
  <c r="EB36" i="8"/>
  <c r="EC36" i="8"/>
  <c r="ED36" i="8"/>
  <c r="EE36" i="8"/>
  <c r="EF36" i="8"/>
  <c r="EG36" i="8"/>
  <c r="EH36" i="8"/>
  <c r="EI36" i="8"/>
  <c r="EJ36" i="8"/>
  <c r="EK36" i="8"/>
  <c r="EL36" i="8"/>
  <c r="EM36" i="8"/>
  <c r="EN36" i="8"/>
  <c r="EO36" i="8"/>
  <c r="EP36" i="8"/>
  <c r="EQ36" i="8"/>
  <c r="ER36" i="8"/>
  <c r="ES36" i="8"/>
  <c r="ET36" i="8"/>
  <c r="EU36" i="8"/>
  <c r="EV36" i="8"/>
  <c r="EW36" i="8"/>
  <c r="EX36" i="8"/>
  <c r="EY36" i="8"/>
  <c r="EZ36" i="8"/>
  <c r="FA36" i="8"/>
  <c r="FB36" i="8"/>
  <c r="FC36" i="8"/>
  <c r="FD36" i="8"/>
  <c r="FE36" i="8"/>
  <c r="FF36" i="8"/>
  <c r="FG36" i="8"/>
  <c r="FH36" i="8"/>
  <c r="FI36" i="8"/>
  <c r="FJ36" i="8"/>
  <c r="FK36" i="8"/>
  <c r="FL36" i="8"/>
  <c r="FM36" i="8"/>
  <c r="FN36" i="8"/>
  <c r="FO36" i="8"/>
  <c r="FP36" i="8"/>
  <c r="FQ36" i="8"/>
  <c r="FR36" i="8"/>
  <c r="FS36" i="8"/>
  <c r="FT36" i="8"/>
  <c r="FU36" i="8"/>
  <c r="FV36" i="8"/>
  <c r="FW36" i="8"/>
  <c r="FX36" i="8"/>
  <c r="FY36" i="8"/>
  <c r="FZ36" i="8"/>
  <c r="GA36" i="8"/>
  <c r="GB36" i="8"/>
  <c r="GC36" i="8"/>
  <c r="GD36" i="8"/>
  <c r="GE36" i="8"/>
  <c r="GF36" i="8"/>
  <c r="GG36" i="8"/>
  <c r="GH36" i="8"/>
  <c r="GI36" i="8"/>
  <c r="GJ36" i="8"/>
  <c r="GK36" i="8"/>
  <c r="GL36" i="8"/>
  <c r="GM36" i="8"/>
  <c r="GN36" i="8"/>
  <c r="GO36" i="8"/>
  <c r="GP36" i="8"/>
  <c r="GQ36" i="8"/>
  <c r="GR36" i="8"/>
  <c r="GS36" i="8"/>
  <c r="GT36" i="8"/>
  <c r="GU36" i="8"/>
  <c r="GV36" i="8"/>
  <c r="GW36" i="8"/>
  <c r="GX36" i="8"/>
  <c r="GY36" i="8"/>
  <c r="GZ36" i="8"/>
  <c r="HA36" i="8"/>
  <c r="HB36" i="8"/>
  <c r="HC36" i="8"/>
  <c r="HD36" i="8"/>
  <c r="HE36" i="8"/>
  <c r="HF36" i="8"/>
  <c r="HG36" i="8"/>
  <c r="HH36" i="8"/>
  <c r="HI36" i="8"/>
  <c r="HJ36" i="8"/>
  <c r="HK36" i="8"/>
  <c r="HL36" i="8"/>
  <c r="HM36" i="8"/>
  <c r="HN36" i="8"/>
  <c r="HO36" i="8"/>
  <c r="HP36" i="8"/>
  <c r="HQ36" i="8"/>
  <c r="HR36" i="8"/>
  <c r="HS36" i="8"/>
  <c r="HT36" i="8"/>
  <c r="HU36" i="8"/>
  <c r="HV36" i="8"/>
  <c r="HW36" i="8"/>
  <c r="HX36" i="8"/>
  <c r="HY36" i="8"/>
  <c r="HZ36" i="8"/>
  <c r="IA36" i="8"/>
  <c r="IB36" i="8"/>
  <c r="IC36" i="8"/>
  <c r="D17" i="14" l="1"/>
  <c r="H6" i="13"/>
  <c r="E55" i="8"/>
  <c r="F55" i="8"/>
  <c r="G55" i="8"/>
  <c r="I55" i="8"/>
  <c r="K55" i="8"/>
  <c r="M55" i="8"/>
  <c r="N55" i="8"/>
  <c r="O55" i="8"/>
  <c r="Q55" i="8"/>
  <c r="S55" i="8"/>
  <c r="X56" i="8"/>
  <c r="Y56" i="8"/>
  <c r="C56" i="8"/>
  <c r="E17" i="14" l="1"/>
  <c r="I6" i="13"/>
  <c r="C57" i="8"/>
  <c r="F17" i="14" l="1"/>
  <c r="J6" i="13"/>
  <c r="H7" i="12"/>
  <c r="H11" i="12" s="1"/>
  <c r="G30" i="11" s="1"/>
  <c r="C66" i="10" s="1"/>
  <c r="F11" i="12"/>
  <c r="R29" i="8"/>
  <c r="S29" i="8"/>
  <c r="T29" i="8"/>
  <c r="U29" i="8"/>
  <c r="V29" i="8"/>
  <c r="W29" i="8"/>
  <c r="G17" i="14" l="1"/>
  <c r="K6" i="13"/>
  <c r="E66" i="10"/>
  <c r="U66" i="10"/>
  <c r="W66" i="10"/>
  <c r="H66" i="10"/>
  <c r="I66" i="10"/>
  <c r="J66" i="10"/>
  <c r="K66" i="10"/>
  <c r="L66" i="10"/>
  <c r="M66" i="10"/>
  <c r="N66" i="10"/>
  <c r="O66" i="10"/>
  <c r="AF66" i="10"/>
  <c r="AG66" i="10"/>
  <c r="F66" i="10"/>
  <c r="V66" i="10"/>
  <c r="X66" i="10"/>
  <c r="Y66" i="10"/>
  <c r="Z66" i="10"/>
  <c r="AB66" i="10"/>
  <c r="AE66" i="10"/>
  <c r="Q66" i="10"/>
  <c r="T66" i="10"/>
  <c r="G66" i="10"/>
  <c r="AA66" i="10"/>
  <c r="AC66" i="10"/>
  <c r="AD66" i="10"/>
  <c r="P66" i="10"/>
  <c r="R66" i="10"/>
  <c r="S66" i="10"/>
  <c r="H17" i="14" l="1"/>
  <c r="L6" i="13"/>
  <c r="D66" i="10"/>
  <c r="D77" i="13" s="1"/>
  <c r="I17" i="14" l="1"/>
  <c r="M6" i="13"/>
  <c r="F77" i="13"/>
  <c r="G77" i="13" s="1"/>
  <c r="H77" i="13" s="1"/>
  <c r="I77" i="13" s="1"/>
  <c r="J77" i="13" s="1"/>
  <c r="K77" i="13" s="1"/>
  <c r="L77" i="13" s="1"/>
  <c r="M77" i="13" s="1"/>
  <c r="N77" i="13" s="1"/>
  <c r="O77" i="13" s="1"/>
  <c r="P77" i="13" s="1"/>
  <c r="Q77" i="13" s="1"/>
  <c r="R77" i="13" s="1"/>
  <c r="S77" i="13" s="1"/>
  <c r="T77" i="13" s="1"/>
  <c r="U77" i="13" s="1"/>
  <c r="V77" i="13" s="1"/>
  <c r="W77" i="13" s="1"/>
  <c r="X77" i="13" s="1"/>
  <c r="Y77" i="13" s="1"/>
  <c r="Z77" i="13" s="1"/>
  <c r="AA77" i="13" s="1"/>
  <c r="AB77" i="13" s="1"/>
  <c r="F110" i="13"/>
  <c r="G110" i="13"/>
  <c r="H110" i="13"/>
  <c r="I110" i="13"/>
  <c r="J110" i="13"/>
  <c r="K110" i="13"/>
  <c r="L110" i="13"/>
  <c r="M110" i="13"/>
  <c r="F144" i="13"/>
  <c r="G144" i="13" s="1"/>
  <c r="H144" i="13" s="1"/>
  <c r="I144" i="13" s="1"/>
  <c r="J144" i="13" s="1"/>
  <c r="K144" i="13" s="1"/>
  <c r="L144" i="13" s="1"/>
  <c r="D162" i="13"/>
  <c r="M144" i="13" l="1"/>
  <c r="N144" i="13" s="1"/>
  <c r="O144" i="13" s="1"/>
  <c r="P144" i="13" s="1"/>
  <c r="Q144" i="13" s="1"/>
  <c r="R144" i="13" s="1"/>
  <c r="S144" i="13" s="1"/>
  <c r="T144" i="13" s="1"/>
  <c r="J17" i="14"/>
  <c r="N6" i="13"/>
  <c r="F162" i="13"/>
  <c r="G162" i="13" s="1"/>
  <c r="H162" i="13" s="1"/>
  <c r="D200" i="13"/>
  <c r="F200" i="13" s="1"/>
  <c r="K17" i="14" l="1"/>
  <c r="O6" i="13"/>
  <c r="F233" i="13"/>
  <c r="I162" i="13"/>
  <c r="J162" i="13" s="1"/>
  <c r="L17" i="14" l="1"/>
  <c r="P6" i="13"/>
  <c r="F268" i="13"/>
  <c r="K162" i="13"/>
  <c r="G200" i="13" l="1"/>
  <c r="Q6" i="13"/>
  <c r="M17" i="14"/>
  <c r="L162" i="13"/>
  <c r="M162" i="13" s="1"/>
  <c r="N17" i="14" l="1"/>
  <c r="R6" i="13"/>
  <c r="N162" i="13"/>
  <c r="O162" i="13" s="1"/>
  <c r="O17" i="14" l="1"/>
  <c r="S6" i="13"/>
  <c r="P162" i="13"/>
  <c r="Q162" i="13" s="1"/>
  <c r="R162" i="13" s="1"/>
  <c r="P17" i="14" l="1"/>
  <c r="T6" i="13"/>
  <c r="Q17" i="14" s="1"/>
  <c r="N214" i="13"/>
  <c r="S162" i="13"/>
  <c r="O214" i="13" l="1"/>
  <c r="T162" i="13"/>
  <c r="P214" i="13" l="1"/>
  <c r="R90" i="14"/>
  <c r="S90" i="14"/>
  <c r="S99" i="14" s="1"/>
  <c r="S100" i="14" s="1"/>
  <c r="T90" i="14"/>
  <c r="T99" i="14" s="1"/>
  <c r="T100" i="14" s="1"/>
  <c r="U90" i="14"/>
  <c r="U99" i="14" s="1"/>
  <c r="U100" i="14" s="1"/>
  <c r="V90" i="14"/>
  <c r="V99" i="14" s="1"/>
  <c r="V100" i="14" s="1"/>
  <c r="R99" i="14"/>
  <c r="R100" i="14" s="1"/>
  <c r="R102" i="14"/>
  <c r="S102" i="14"/>
  <c r="T102" i="14"/>
  <c r="U102" i="14"/>
  <c r="V102" i="14"/>
  <c r="R103" i="14"/>
  <c r="S103" i="14"/>
  <c r="T103" i="14"/>
  <c r="U103" i="14"/>
  <c r="V103" i="14"/>
  <c r="R105" i="14"/>
  <c r="S105" i="14"/>
  <c r="T105" i="14"/>
  <c r="U105" i="14"/>
  <c r="V105" i="14"/>
  <c r="T56" i="8"/>
  <c r="U56" i="8"/>
  <c r="V56" i="8"/>
  <c r="W56" i="8"/>
  <c r="T57" i="8"/>
  <c r="U57" i="8"/>
  <c r="V57" i="8"/>
  <c r="W57" i="8"/>
  <c r="S61" i="8"/>
  <c r="T61" i="8"/>
  <c r="U61" i="8"/>
  <c r="V61" i="8"/>
  <c r="S62" i="8"/>
  <c r="R28" i="14" s="1"/>
  <c r="R30" i="14" s="1"/>
  <c r="R34" i="14" s="1"/>
  <c r="T62" i="8"/>
  <c r="S28" i="14" s="1"/>
  <c r="S30" i="14" s="1"/>
  <c r="S34" i="14" s="1"/>
  <c r="U62" i="8"/>
  <c r="T28" i="14" s="1"/>
  <c r="T30" i="14" s="1"/>
  <c r="T34" i="14" s="1"/>
  <c r="V62" i="8"/>
  <c r="U28" i="14" s="1"/>
  <c r="U30" i="14" s="1"/>
  <c r="U34" i="14" s="1"/>
  <c r="Q214" i="13" l="1"/>
  <c r="U35" i="14"/>
  <c r="U40" i="14"/>
  <c r="U42" i="14" s="1"/>
  <c r="T35" i="14"/>
  <c r="T40" i="14"/>
  <c r="T42" i="14" s="1"/>
  <c r="S35" i="14"/>
  <c r="S40" i="14"/>
  <c r="S42" i="14" s="1"/>
  <c r="T108" i="14"/>
  <c r="T86" i="14"/>
  <c r="T65" i="14"/>
  <c r="U65" i="14"/>
  <c r="U108" i="14"/>
  <c r="U86" i="14"/>
  <c r="S108" i="14"/>
  <c r="S86" i="14"/>
  <c r="S65" i="14"/>
  <c r="R35" i="14"/>
  <c r="R40" i="14"/>
  <c r="R42" i="14" s="1"/>
  <c r="R86" i="14"/>
  <c r="R65" i="14"/>
  <c r="R108" i="14"/>
  <c r="R214" i="13" l="1"/>
  <c r="S214" i="13" l="1"/>
  <c r="N233" i="13"/>
  <c r="D47" i="15" l="1"/>
  <c r="D48" i="15" s="1"/>
  <c r="D54" i="15" s="1"/>
  <c r="C48" i="15"/>
  <c r="C54" i="15" s="1"/>
  <c r="C56" i="15" l="1"/>
  <c r="C57" i="15" s="1"/>
  <c r="C55" i="15"/>
  <c r="E55" i="15" s="1"/>
  <c r="G55" i="15" s="1"/>
  <c r="I55" i="15" s="1"/>
  <c r="K55" i="15" s="1"/>
  <c r="M55" i="15" s="1"/>
  <c r="O55" i="15" s="1"/>
  <c r="Q55" i="15" s="1"/>
  <c r="D56" i="15"/>
  <c r="D55" i="15"/>
  <c r="F55" i="15" s="1"/>
  <c r="H55" i="15" s="1"/>
  <c r="J55" i="15" s="1"/>
  <c r="L55" i="15" s="1"/>
  <c r="N55" i="15" s="1"/>
  <c r="P55" i="15" s="1"/>
  <c r="O233" i="13"/>
  <c r="P233" i="13" l="1"/>
  <c r="Q233" i="13" l="1"/>
  <c r="R233" i="13" l="1"/>
  <c r="S233" i="13" l="1"/>
  <c r="T233" i="13" l="1"/>
  <c r="U236" i="13" l="1"/>
  <c r="R43" i="14" s="1"/>
  <c r="V236" i="13"/>
  <c r="S43" i="14" s="1"/>
  <c r="W236" i="13"/>
  <c r="T43" i="14" s="1"/>
  <c r="X236" i="13"/>
  <c r="U43" i="14" s="1"/>
  <c r="Y236" i="13"/>
  <c r="V43" i="14" s="1"/>
  <c r="Z236" i="13"/>
  <c r="W43" i="14" s="1"/>
  <c r="AA236" i="13"/>
  <c r="X43" i="14" s="1"/>
  <c r="AB236" i="13"/>
  <c r="Y43" i="14" s="1"/>
  <c r="U58" i="14" l="1"/>
  <c r="U59" i="14" s="1"/>
  <c r="U83" i="14" s="1"/>
  <c r="U44" i="14"/>
  <c r="S58" i="14"/>
  <c r="S59" i="14" s="1"/>
  <c r="S83" i="14" s="1"/>
  <c r="S44" i="14"/>
  <c r="V58" i="14"/>
  <c r="V59" i="14" s="1"/>
  <c r="V83" i="14" s="1"/>
  <c r="V44" i="14"/>
  <c r="T58" i="14"/>
  <c r="T59" i="14" s="1"/>
  <c r="T83" i="14" s="1"/>
  <c r="T44" i="14"/>
  <c r="R58" i="14"/>
  <c r="R59" i="14" s="1"/>
  <c r="R83" i="14" s="1"/>
  <c r="R44" i="14"/>
  <c r="X58" i="14"/>
  <c r="X59" i="14" s="1"/>
  <c r="X44" i="14"/>
  <c r="Y58" i="14"/>
  <c r="Y59" i="14" s="1"/>
  <c r="Y44" i="14"/>
  <c r="W58" i="14"/>
  <c r="W59" i="14" s="1"/>
  <c r="W44" i="14"/>
  <c r="W50" i="14" l="1"/>
  <c r="W51" i="14"/>
  <c r="W53" i="14" s="1"/>
  <c r="W83" i="14"/>
  <c r="Y51" i="14"/>
  <c r="Y53" i="14" s="1"/>
  <c r="Y50" i="14"/>
  <c r="Y83" i="14"/>
  <c r="X51" i="14"/>
  <c r="X53" i="14" s="1"/>
  <c r="X50" i="14"/>
  <c r="X83" i="14"/>
  <c r="R50" i="14"/>
  <c r="R51" i="14"/>
  <c r="R53" i="14" s="1"/>
  <c r="T51" i="14"/>
  <c r="T53" i="14" s="1"/>
  <c r="T50" i="14"/>
  <c r="V51" i="14"/>
  <c r="V53" i="14" s="1"/>
  <c r="V50" i="14"/>
  <c r="S51" i="14"/>
  <c r="S53" i="14" s="1"/>
  <c r="S50" i="14"/>
  <c r="U50" i="14"/>
  <c r="U51" i="14"/>
  <c r="U53" i="14" s="1"/>
  <c r="N111" i="13" l="1"/>
  <c r="O111" i="13"/>
  <c r="O113" i="13" s="1"/>
  <c r="P111" i="13"/>
  <c r="Q111" i="13"/>
  <c r="Q113" i="13" s="1"/>
  <c r="R111" i="13"/>
  <c r="S111" i="13"/>
  <c r="T111" i="13"/>
  <c r="N145" i="13"/>
  <c r="O145" i="13"/>
  <c r="P145" i="13"/>
  <c r="Q145" i="13"/>
  <c r="R145" i="13"/>
  <c r="S145" i="13"/>
  <c r="T145" i="13"/>
  <c r="N234" i="13"/>
  <c r="O234" i="13"/>
  <c r="P234" i="13"/>
  <c r="Q234" i="13"/>
  <c r="R234" i="13"/>
  <c r="S234" i="13"/>
  <c r="T234" i="13"/>
  <c r="N237" i="13"/>
  <c r="O237" i="13"/>
  <c r="P237" i="13"/>
  <c r="Q237" i="13"/>
  <c r="R237" i="13"/>
  <c r="S237" i="13"/>
  <c r="T237" i="13"/>
  <c r="T113" i="13" l="1"/>
  <c r="Q32" i="14" s="1"/>
  <c r="S113" i="13"/>
  <c r="P32" i="14" s="1"/>
  <c r="R113" i="13"/>
  <c r="O32" i="14" s="1"/>
  <c r="P113" i="13"/>
  <c r="M32" i="14" s="1"/>
  <c r="N113" i="13"/>
  <c r="K32" i="14" s="1"/>
  <c r="N32" i="14"/>
  <c r="L32" i="14"/>
  <c r="K41" i="14" l="1"/>
  <c r="K64" i="14" s="1"/>
  <c r="K81" i="14" s="1"/>
  <c r="K57" i="14"/>
  <c r="M57" i="14"/>
  <c r="M41" i="14"/>
  <c r="M64" i="14" s="1"/>
  <c r="M81" i="14" s="1"/>
  <c r="O41" i="14"/>
  <c r="O64" i="14" s="1"/>
  <c r="O81" i="14" s="1"/>
  <c r="O57" i="14"/>
  <c r="P57" i="14"/>
  <c r="P41" i="14"/>
  <c r="P64" i="14" s="1"/>
  <c r="P81" i="14" s="1"/>
  <c r="Q41" i="14"/>
  <c r="Q64" i="14" s="1"/>
  <c r="Q81" i="14" s="1"/>
  <c r="Q57" i="14"/>
  <c r="L41" i="14"/>
  <c r="L64" i="14" s="1"/>
  <c r="L81" i="14" s="1"/>
  <c r="L57" i="14"/>
  <c r="N57" i="14"/>
  <c r="N41" i="14"/>
  <c r="N64" i="14" s="1"/>
  <c r="N81" i="14" s="1"/>
  <c r="H183" i="15" l="1"/>
  <c r="R209" i="13" l="1"/>
  <c r="R212" i="13"/>
  <c r="P211" i="13"/>
  <c r="N118" i="13"/>
  <c r="T207" i="13"/>
  <c r="T209" i="13"/>
  <c r="T212" i="13"/>
  <c r="T213" i="13"/>
  <c r="T214" i="13"/>
  <c r="T231" i="13"/>
  <c r="S208" i="13"/>
  <c r="O213" i="13"/>
  <c r="N209" i="13"/>
  <c r="P118" i="13"/>
  <c r="Q118" i="13"/>
  <c r="O118" i="13"/>
  <c r="T118" i="13"/>
  <c r="R118" i="13"/>
  <c r="S118" i="13"/>
  <c r="R232" i="13"/>
  <c r="D8" i="10"/>
  <c r="O40" i="10"/>
  <c r="O39" i="10" s="1"/>
  <c r="D40" i="10" l="1"/>
  <c r="D51" i="13" l="1"/>
  <c r="F51" i="13" l="1"/>
  <c r="F84" i="13"/>
  <c r="G84" i="13"/>
  <c r="H84" i="13"/>
  <c r="I84" i="13"/>
  <c r="J84" i="13"/>
  <c r="K84" i="13"/>
  <c r="L84" i="13"/>
  <c r="M84" i="13"/>
  <c r="D151" i="13"/>
  <c r="E151" i="13" l="1"/>
  <c r="F151" i="13"/>
  <c r="D174" i="13"/>
  <c r="F118" i="13"/>
  <c r="G51" i="13"/>
  <c r="G230" i="13" l="1"/>
  <c r="G216" i="13"/>
  <c r="G221" i="13"/>
  <c r="G225" i="13"/>
  <c r="G229" i="13"/>
  <c r="G227" i="13"/>
  <c r="G224" i="13"/>
  <c r="G226" i="13"/>
  <c r="G228" i="13"/>
  <c r="G223" i="13"/>
  <c r="G222" i="13"/>
  <c r="G217" i="13"/>
  <c r="G218" i="13"/>
  <c r="G118" i="13"/>
  <c r="H51" i="13"/>
  <c r="G232" i="13"/>
  <c r="G208" i="13"/>
  <c r="G210" i="13"/>
  <c r="G212" i="13"/>
  <c r="G231" i="13"/>
  <c r="G233" i="13"/>
  <c r="F174" i="13"/>
  <c r="G209" i="13"/>
  <c r="G211" i="13"/>
  <c r="G213" i="13"/>
  <c r="G215" i="13"/>
  <c r="G151" i="13"/>
  <c r="G262" i="13" l="1"/>
  <c r="H194" i="13" s="1"/>
  <c r="G256" i="13"/>
  <c r="H188" i="13" s="1"/>
  <c r="H221" i="13"/>
  <c r="G253" i="13"/>
  <c r="H185" i="13" s="1"/>
  <c r="H218" i="13"/>
  <c r="H253" i="13" s="1"/>
  <c r="I185" i="13" s="1"/>
  <c r="G257" i="13"/>
  <c r="H189" i="13" s="1"/>
  <c r="H222" i="13"/>
  <c r="H257" i="13" s="1"/>
  <c r="I189" i="13" s="1"/>
  <c r="G263" i="13"/>
  <c r="H195" i="13" s="1"/>
  <c r="H228" i="13"/>
  <c r="H263" i="13" s="1"/>
  <c r="I195" i="13" s="1"/>
  <c r="I228" i="13" s="1"/>
  <c r="G261" i="13"/>
  <c r="H193" i="13" s="1"/>
  <c r="G251" i="13"/>
  <c r="H183" i="13" s="1"/>
  <c r="H216" i="13"/>
  <c r="H251" i="13" s="1"/>
  <c r="I183" i="13" s="1"/>
  <c r="G252" i="13"/>
  <c r="H184" i="13" s="1"/>
  <c r="H217" i="13"/>
  <c r="H252" i="13" s="1"/>
  <c r="I184" i="13" s="1"/>
  <c r="G258" i="13"/>
  <c r="H190" i="13" s="1"/>
  <c r="H223" i="13" s="1"/>
  <c r="H258" i="13" s="1"/>
  <c r="I190" i="13" s="1"/>
  <c r="G259" i="13"/>
  <c r="H191" i="13" s="1"/>
  <c r="H224" i="13" s="1"/>
  <c r="G264" i="13"/>
  <c r="H196" i="13" s="1"/>
  <c r="H229" i="13"/>
  <c r="H264" i="13" s="1"/>
  <c r="I196" i="13" s="1"/>
  <c r="I229" i="13" s="1"/>
  <c r="G260" i="13"/>
  <c r="H192" i="13" s="1"/>
  <c r="H225" i="13"/>
  <c r="H260" i="13" s="1"/>
  <c r="I192" i="13" s="1"/>
  <c r="G265" i="13"/>
  <c r="H197" i="13" s="1"/>
  <c r="H230" i="13" s="1"/>
  <c r="G247" i="13"/>
  <c r="H179" i="13" s="1"/>
  <c r="H212" i="13" s="1"/>
  <c r="G244" i="13"/>
  <c r="H176" i="13" s="1"/>
  <c r="F207" i="13"/>
  <c r="F242" i="13" s="1"/>
  <c r="G245" i="13"/>
  <c r="H177" i="13" s="1"/>
  <c r="G246" i="13"/>
  <c r="H178" i="13" s="1"/>
  <c r="H211" i="13" s="1"/>
  <c r="G243" i="13"/>
  <c r="H175" i="13" s="1"/>
  <c r="I51" i="13"/>
  <c r="H118" i="13"/>
  <c r="G248" i="13"/>
  <c r="H180" i="13" s="1"/>
  <c r="H213" i="13" s="1"/>
  <c r="H151" i="13"/>
  <c r="G268" i="13"/>
  <c r="G266" i="13"/>
  <c r="G267" i="13"/>
  <c r="I222" i="13" l="1"/>
  <c r="I257" i="13" s="1"/>
  <c r="J189" i="13" s="1"/>
  <c r="I223" i="13"/>
  <c r="I258" i="13" s="1"/>
  <c r="J190" i="13" s="1"/>
  <c r="J223" i="13" s="1"/>
  <c r="J258" i="13" s="1"/>
  <c r="K190" i="13" s="1"/>
  <c r="K223" i="13" s="1"/>
  <c r="I216" i="13"/>
  <c r="I251" i="13" s="1"/>
  <c r="J183" i="13" s="1"/>
  <c r="J216" i="13" s="1"/>
  <c r="H265" i="13"/>
  <c r="I197" i="13" s="1"/>
  <c r="I230" i="13"/>
  <c r="I265" i="13" s="1"/>
  <c r="J197" i="13" s="1"/>
  <c r="I264" i="13"/>
  <c r="J196" i="13" s="1"/>
  <c r="J229" i="13"/>
  <c r="I263" i="13"/>
  <c r="J195" i="13" s="1"/>
  <c r="H256" i="13"/>
  <c r="I188" i="13" s="1"/>
  <c r="I217" i="13"/>
  <c r="I225" i="13"/>
  <c r="I218" i="13"/>
  <c r="H259" i="13"/>
  <c r="I191" i="13" s="1"/>
  <c r="I224" i="13" s="1"/>
  <c r="H226" i="13"/>
  <c r="H227" i="13"/>
  <c r="H262" i="13" s="1"/>
  <c r="I194" i="13" s="1"/>
  <c r="H199" i="13"/>
  <c r="H232" i="13" s="1"/>
  <c r="H200" i="13"/>
  <c r="H233" i="13" s="1"/>
  <c r="H268" i="13" s="1"/>
  <c r="H198" i="13"/>
  <c r="H231" i="13" s="1"/>
  <c r="G174" i="13"/>
  <c r="G207" i="13" s="1"/>
  <c r="H267" i="13"/>
  <c r="I118" i="13"/>
  <c r="H215" i="13"/>
  <c r="J51" i="13"/>
  <c r="H210" i="13"/>
  <c r="H245" i="13" s="1"/>
  <c r="I177" i="13" s="1"/>
  <c r="I151" i="13"/>
  <c r="H208" i="13"/>
  <c r="H209" i="13"/>
  <c r="H244" i="13" s="1"/>
  <c r="I176" i="13" s="1"/>
  <c r="H247" i="13"/>
  <c r="I179" i="13" s="1"/>
  <c r="H246" i="13"/>
  <c r="I178" i="13" s="1"/>
  <c r="I211" i="13" s="1"/>
  <c r="H248" i="13"/>
  <c r="I180" i="13" s="1"/>
  <c r="J222" i="13" l="1"/>
  <c r="J257" i="13" s="1"/>
  <c r="K189" i="13" s="1"/>
  <c r="J230" i="13"/>
  <c r="J265" i="13" s="1"/>
  <c r="K197" i="13" s="1"/>
  <c r="K258" i="13"/>
  <c r="L190" i="13" s="1"/>
  <c r="L223" i="13"/>
  <c r="L258" i="13" s="1"/>
  <c r="M190" i="13" s="1"/>
  <c r="I260" i="13"/>
  <c r="J192" i="13" s="1"/>
  <c r="J225" i="13" s="1"/>
  <c r="J260" i="13" s="1"/>
  <c r="K192" i="13" s="1"/>
  <c r="K225" i="13" s="1"/>
  <c r="J251" i="13"/>
  <c r="K183" i="13" s="1"/>
  <c r="K216" i="13"/>
  <c r="K251" i="13" s="1"/>
  <c r="L183" i="13" s="1"/>
  <c r="I252" i="13"/>
  <c r="J184" i="13" s="1"/>
  <c r="J217" i="13"/>
  <c r="M223" i="13"/>
  <c r="D223" i="13" s="1"/>
  <c r="I253" i="13"/>
  <c r="J185" i="13" s="1"/>
  <c r="J218" i="13"/>
  <c r="J253" i="13" s="1"/>
  <c r="K185" i="13" s="1"/>
  <c r="J264" i="13"/>
  <c r="K196" i="13" s="1"/>
  <c r="K229" i="13" s="1"/>
  <c r="I227" i="13"/>
  <c r="I262" i="13" s="1"/>
  <c r="J194" i="13" s="1"/>
  <c r="J227" i="13" s="1"/>
  <c r="K230" i="13"/>
  <c r="K265" i="13" s="1"/>
  <c r="L197" i="13" s="1"/>
  <c r="H261" i="13"/>
  <c r="I193" i="13" s="1"/>
  <c r="J228" i="13"/>
  <c r="J263" i="13" s="1"/>
  <c r="K195" i="13" s="1"/>
  <c r="I221" i="13"/>
  <c r="I256" i="13" s="1"/>
  <c r="J188" i="13" s="1"/>
  <c r="I259" i="13"/>
  <c r="J191" i="13" s="1"/>
  <c r="J224" i="13"/>
  <c r="I200" i="13"/>
  <c r="I233" i="13" s="1"/>
  <c r="I199" i="13"/>
  <c r="I232" i="13" s="1"/>
  <c r="I212" i="13"/>
  <c r="I247" i="13" s="1"/>
  <c r="J179" i="13" s="1"/>
  <c r="I213" i="13"/>
  <c r="I248" i="13" s="1"/>
  <c r="J180" i="13" s="1"/>
  <c r="I215" i="13"/>
  <c r="I210" i="13"/>
  <c r="I245" i="13" s="1"/>
  <c r="J177" i="13" s="1"/>
  <c r="H266" i="13"/>
  <c r="J151" i="13"/>
  <c r="I209" i="13"/>
  <c r="H243" i="13"/>
  <c r="I175" i="13" s="1"/>
  <c r="J118" i="13"/>
  <c r="K51" i="13"/>
  <c r="G242" i="13"/>
  <c r="I246" i="13"/>
  <c r="J178" i="13" s="1"/>
  <c r="K222" i="13" l="1"/>
  <c r="K257" i="13"/>
  <c r="L189" i="13" s="1"/>
  <c r="K218" i="13"/>
  <c r="K253" i="13" s="1"/>
  <c r="L185" i="13" s="1"/>
  <c r="L216" i="13"/>
  <c r="J262" i="13"/>
  <c r="K194" i="13" s="1"/>
  <c r="K227" i="13"/>
  <c r="K262" i="13" s="1"/>
  <c r="L194" i="13" s="1"/>
  <c r="L227" i="13" s="1"/>
  <c r="J259" i="13"/>
  <c r="K191" i="13" s="1"/>
  <c r="L230" i="13"/>
  <c r="K264" i="13"/>
  <c r="L196" i="13" s="1"/>
  <c r="L229" i="13" s="1"/>
  <c r="L218" i="13"/>
  <c r="L253" i="13" s="1"/>
  <c r="M185" i="13" s="1"/>
  <c r="M218" i="13" s="1"/>
  <c r="M258" i="13"/>
  <c r="N190" i="13" s="1"/>
  <c r="N258" i="13" s="1"/>
  <c r="O190" i="13" s="1"/>
  <c r="O258" i="13" s="1"/>
  <c r="P190" i="13" s="1"/>
  <c r="P258" i="13" s="1"/>
  <c r="Q190" i="13" s="1"/>
  <c r="Q258" i="13" s="1"/>
  <c r="R190" i="13" s="1"/>
  <c r="R258" i="13" s="1"/>
  <c r="S190" i="13" s="1"/>
  <c r="S258" i="13" s="1"/>
  <c r="T190" i="13" s="1"/>
  <c r="T258" i="13" s="1"/>
  <c r="U190" i="13" s="1"/>
  <c r="U258" i="13" s="1"/>
  <c r="V190" i="13" s="1"/>
  <c r="V258" i="13" s="1"/>
  <c r="W190" i="13" s="1"/>
  <c r="W258" i="13" s="1"/>
  <c r="X190" i="13" s="1"/>
  <c r="X258" i="13" s="1"/>
  <c r="Y190" i="13" s="1"/>
  <c r="Y258" i="13" s="1"/>
  <c r="Z190" i="13" s="1"/>
  <c r="Z258" i="13" s="1"/>
  <c r="AA190" i="13" s="1"/>
  <c r="AA258" i="13" s="1"/>
  <c r="AB190" i="13" s="1"/>
  <c r="AB258" i="13" s="1"/>
  <c r="J252" i="13"/>
  <c r="K184" i="13" s="1"/>
  <c r="L251" i="13"/>
  <c r="M183" i="13" s="1"/>
  <c r="J221" i="13"/>
  <c r="J256" i="13" s="1"/>
  <c r="K188" i="13" s="1"/>
  <c r="K228" i="13"/>
  <c r="K263" i="13" s="1"/>
  <c r="L195" i="13" s="1"/>
  <c r="I226" i="13"/>
  <c r="K260" i="13"/>
  <c r="L192" i="13" s="1"/>
  <c r="I268" i="13"/>
  <c r="J200" i="13" s="1"/>
  <c r="J233" i="13" s="1"/>
  <c r="J268" i="13" s="1"/>
  <c r="I198" i="13"/>
  <c r="I231" i="13" s="1"/>
  <c r="I266" i="13" s="1"/>
  <c r="I267" i="13"/>
  <c r="K118" i="13"/>
  <c r="I208" i="13"/>
  <c r="I243" i="13" s="1"/>
  <c r="J175" i="13" s="1"/>
  <c r="L51" i="13"/>
  <c r="J212" i="13"/>
  <c r="I244" i="13"/>
  <c r="J176" i="13" s="1"/>
  <c r="J213" i="13"/>
  <c r="J248" i="13" s="1"/>
  <c r="K180" i="13" s="1"/>
  <c r="K151" i="13"/>
  <c r="L151" i="13" s="1"/>
  <c r="J209" i="13"/>
  <c r="J210" i="13"/>
  <c r="H174" i="13"/>
  <c r="J211" i="13"/>
  <c r="J246" i="13" s="1"/>
  <c r="K178" i="13" s="1"/>
  <c r="L222" i="13" l="1"/>
  <c r="L257" i="13" s="1"/>
  <c r="M189" i="13" s="1"/>
  <c r="M222" i="13" s="1"/>
  <c r="M257" i="13" s="1"/>
  <c r="N189" i="13" s="1"/>
  <c r="N257" i="13" s="1"/>
  <c r="O189" i="13" s="1"/>
  <c r="O257" i="13" s="1"/>
  <c r="P189" i="13" s="1"/>
  <c r="P257" i="13" s="1"/>
  <c r="Q189" i="13" s="1"/>
  <c r="Q257" i="13" s="1"/>
  <c r="R189" i="13" s="1"/>
  <c r="R257" i="13" s="1"/>
  <c r="S189" i="13" s="1"/>
  <c r="S257" i="13" s="1"/>
  <c r="T189" i="13" s="1"/>
  <c r="T257" i="13" s="1"/>
  <c r="U189" i="13" s="1"/>
  <c r="U257" i="13" s="1"/>
  <c r="V189" i="13" s="1"/>
  <c r="V257" i="13" s="1"/>
  <c r="W189" i="13" s="1"/>
  <c r="W257" i="13" s="1"/>
  <c r="X189" i="13" s="1"/>
  <c r="X257" i="13" s="1"/>
  <c r="Y189" i="13" s="1"/>
  <c r="Y257" i="13" s="1"/>
  <c r="Z189" i="13" s="1"/>
  <c r="Z257" i="13" s="1"/>
  <c r="AA189" i="13" s="1"/>
  <c r="AA257" i="13" s="1"/>
  <c r="AB189" i="13" s="1"/>
  <c r="AB257" i="13" s="1"/>
  <c r="L228" i="13"/>
  <c r="L263" i="13" s="1"/>
  <c r="M195" i="13" s="1"/>
  <c r="M253" i="13"/>
  <c r="N185" i="13" s="1"/>
  <c r="N253" i="13" s="1"/>
  <c r="O185" i="13" s="1"/>
  <c r="O253" i="13" s="1"/>
  <c r="P185" i="13" s="1"/>
  <c r="P253" i="13" s="1"/>
  <c r="Q185" i="13" s="1"/>
  <c r="Q253" i="13" s="1"/>
  <c r="R185" i="13" s="1"/>
  <c r="R253" i="13" s="1"/>
  <c r="S185" i="13" s="1"/>
  <c r="S253" i="13" s="1"/>
  <c r="T185" i="13" s="1"/>
  <c r="T253" i="13" s="1"/>
  <c r="U185" i="13" s="1"/>
  <c r="U253" i="13" s="1"/>
  <c r="V185" i="13" s="1"/>
  <c r="V253" i="13" s="1"/>
  <c r="W185" i="13" s="1"/>
  <c r="W253" i="13" s="1"/>
  <c r="X185" i="13" s="1"/>
  <c r="X253" i="13" s="1"/>
  <c r="Y185" i="13" s="1"/>
  <c r="Y253" i="13" s="1"/>
  <c r="Z185" i="13" s="1"/>
  <c r="Z253" i="13" s="1"/>
  <c r="AA185" i="13" s="1"/>
  <c r="AA253" i="13" s="1"/>
  <c r="AB185" i="13" s="1"/>
  <c r="AB253" i="13" s="1"/>
  <c r="D218" i="13"/>
  <c r="L264" i="13"/>
  <c r="M196" i="13" s="1"/>
  <c r="M229" i="13"/>
  <c r="M264" i="13" s="1"/>
  <c r="N196" i="13" s="1"/>
  <c r="N264" i="13" s="1"/>
  <c r="O196" i="13" s="1"/>
  <c r="O264" i="13" s="1"/>
  <c r="P196" i="13" s="1"/>
  <c r="P264" i="13" s="1"/>
  <c r="Q196" i="13" s="1"/>
  <c r="Q264" i="13" s="1"/>
  <c r="R196" i="13" s="1"/>
  <c r="R264" i="13" s="1"/>
  <c r="S196" i="13" s="1"/>
  <c r="S264" i="13" s="1"/>
  <c r="T196" i="13" s="1"/>
  <c r="T264" i="13" s="1"/>
  <c r="U196" i="13" s="1"/>
  <c r="U264" i="13" s="1"/>
  <c r="V196" i="13" s="1"/>
  <c r="V264" i="13" s="1"/>
  <c r="W196" i="13" s="1"/>
  <c r="W264" i="13" s="1"/>
  <c r="X196" i="13" s="1"/>
  <c r="X264" i="13" s="1"/>
  <c r="Y196" i="13" s="1"/>
  <c r="Y264" i="13" s="1"/>
  <c r="Z196" i="13" s="1"/>
  <c r="Z264" i="13" s="1"/>
  <c r="AA196" i="13" s="1"/>
  <c r="AA264" i="13" s="1"/>
  <c r="AB196" i="13" s="1"/>
  <c r="AB264" i="13" s="1"/>
  <c r="K224" i="13"/>
  <c r="L262" i="13"/>
  <c r="M194" i="13" s="1"/>
  <c r="M227" i="13" s="1"/>
  <c r="D227" i="13" s="1"/>
  <c r="L265" i="13"/>
  <c r="M197" i="13" s="1"/>
  <c r="M230" i="13" s="1"/>
  <c r="D230" i="13" s="1"/>
  <c r="K221" i="13"/>
  <c r="K256" i="13" s="1"/>
  <c r="L188" i="13" s="1"/>
  <c r="M216" i="13"/>
  <c r="D216" i="13" s="1"/>
  <c r="L225" i="13"/>
  <c r="K217" i="13"/>
  <c r="K252" i="13" s="1"/>
  <c r="L184" i="13" s="1"/>
  <c r="I261" i="13"/>
  <c r="J193" i="13" s="1"/>
  <c r="J226" i="13" s="1"/>
  <c r="J198" i="13"/>
  <c r="J231" i="13" s="1"/>
  <c r="J266" i="13" s="1"/>
  <c r="K200" i="13"/>
  <c r="K233" i="13" s="1"/>
  <c r="J199" i="13"/>
  <c r="J232" i="13" s="1"/>
  <c r="J267" i="13" s="1"/>
  <c r="J247" i="13"/>
  <c r="K179" i="13" s="1"/>
  <c r="M51" i="13"/>
  <c r="K211" i="13"/>
  <c r="J245" i="13"/>
  <c r="K177" i="13" s="1"/>
  <c r="J215" i="13"/>
  <c r="H207" i="13"/>
  <c r="H242" i="13" s="1"/>
  <c r="L118" i="13"/>
  <c r="M151" i="13"/>
  <c r="N151" i="13" s="1"/>
  <c r="K213" i="13"/>
  <c r="J244" i="13"/>
  <c r="K176" i="13" s="1"/>
  <c r="K209" i="13" s="1"/>
  <c r="J208" i="13"/>
  <c r="D229" i="13" l="1"/>
  <c r="J261" i="13"/>
  <c r="K193" i="13" s="1"/>
  <c r="K226" i="13"/>
  <c r="K261" i="13" s="1"/>
  <c r="L193" i="13" s="1"/>
  <c r="L217" i="13"/>
  <c r="L252" i="13" s="1"/>
  <c r="M184" i="13" s="1"/>
  <c r="L260" i="13"/>
  <c r="M192" i="13" s="1"/>
  <c r="M251" i="13"/>
  <c r="N183" i="13" s="1"/>
  <c r="N251" i="13" s="1"/>
  <c r="O183" i="13" s="1"/>
  <c r="O251" i="13" s="1"/>
  <c r="P183" i="13" s="1"/>
  <c r="P251" i="13" s="1"/>
  <c r="Q183" i="13" s="1"/>
  <c r="Q251" i="13" s="1"/>
  <c r="R183" i="13" s="1"/>
  <c r="R251" i="13" s="1"/>
  <c r="S183" i="13" s="1"/>
  <c r="S251" i="13" s="1"/>
  <c r="T183" i="13" s="1"/>
  <c r="T251" i="13" s="1"/>
  <c r="U183" i="13" s="1"/>
  <c r="U251" i="13" s="1"/>
  <c r="V183" i="13" s="1"/>
  <c r="V251" i="13" s="1"/>
  <c r="W183" i="13" s="1"/>
  <c r="W251" i="13" s="1"/>
  <c r="X183" i="13" s="1"/>
  <c r="X251" i="13" s="1"/>
  <c r="Y183" i="13" s="1"/>
  <c r="Y251" i="13" s="1"/>
  <c r="Z183" i="13" s="1"/>
  <c r="Z251" i="13" s="1"/>
  <c r="AA183" i="13" s="1"/>
  <c r="AA251" i="13" s="1"/>
  <c r="AB183" i="13" s="1"/>
  <c r="AB251" i="13" s="1"/>
  <c r="M265" i="13"/>
  <c r="N197" i="13" s="1"/>
  <c r="N265" i="13" s="1"/>
  <c r="O197" i="13" s="1"/>
  <c r="O265" i="13" s="1"/>
  <c r="P197" i="13" s="1"/>
  <c r="P265" i="13" s="1"/>
  <c r="Q197" i="13" s="1"/>
  <c r="Q265" i="13" s="1"/>
  <c r="R197" i="13" s="1"/>
  <c r="R265" i="13" s="1"/>
  <c r="S197" i="13" s="1"/>
  <c r="S265" i="13" s="1"/>
  <c r="T197" i="13" s="1"/>
  <c r="T265" i="13" s="1"/>
  <c r="U197" i="13" s="1"/>
  <c r="U265" i="13" s="1"/>
  <c r="V197" i="13" s="1"/>
  <c r="V265" i="13" s="1"/>
  <c r="W197" i="13" s="1"/>
  <c r="W265" i="13" s="1"/>
  <c r="X197" i="13" s="1"/>
  <c r="X265" i="13" s="1"/>
  <c r="Y197" i="13" s="1"/>
  <c r="Y265" i="13" s="1"/>
  <c r="Z197" i="13" s="1"/>
  <c r="Z265" i="13" s="1"/>
  <c r="AA197" i="13" s="1"/>
  <c r="AA265" i="13" s="1"/>
  <c r="AB197" i="13" s="1"/>
  <c r="AB265" i="13" s="1"/>
  <c r="L221" i="13"/>
  <c r="L256" i="13" s="1"/>
  <c r="M188" i="13" s="1"/>
  <c r="M221" i="13" s="1"/>
  <c r="M256" i="13" s="1"/>
  <c r="N188" i="13" s="1"/>
  <c r="N256" i="13" s="1"/>
  <c r="O188" i="13" s="1"/>
  <c r="O256" i="13" s="1"/>
  <c r="P188" i="13" s="1"/>
  <c r="P256" i="13" s="1"/>
  <c r="Q188" i="13" s="1"/>
  <c r="Q256" i="13" s="1"/>
  <c r="R188" i="13" s="1"/>
  <c r="R256" i="13" s="1"/>
  <c r="S188" i="13" s="1"/>
  <c r="S256" i="13" s="1"/>
  <c r="T188" i="13" s="1"/>
  <c r="T256" i="13" s="1"/>
  <c r="U188" i="13" s="1"/>
  <c r="U256" i="13" s="1"/>
  <c r="V188" i="13" s="1"/>
  <c r="V256" i="13" s="1"/>
  <c r="W188" i="13" s="1"/>
  <c r="W256" i="13" s="1"/>
  <c r="X188" i="13" s="1"/>
  <c r="X256" i="13" s="1"/>
  <c r="Y188" i="13" s="1"/>
  <c r="Y256" i="13" s="1"/>
  <c r="Z188" i="13" s="1"/>
  <c r="Z256" i="13" s="1"/>
  <c r="AA188" i="13" s="1"/>
  <c r="AA256" i="13" s="1"/>
  <c r="AB188" i="13" s="1"/>
  <c r="AB256" i="13" s="1"/>
  <c r="M262" i="13"/>
  <c r="N194" i="13" s="1"/>
  <c r="N262" i="13" s="1"/>
  <c r="O194" i="13" s="1"/>
  <c r="O262" i="13" s="1"/>
  <c r="P194" i="13" s="1"/>
  <c r="P262" i="13" s="1"/>
  <c r="Q194" i="13" s="1"/>
  <c r="Q262" i="13" s="1"/>
  <c r="R194" i="13" s="1"/>
  <c r="R262" i="13" s="1"/>
  <c r="S194" i="13" s="1"/>
  <c r="S262" i="13" s="1"/>
  <c r="T194" i="13" s="1"/>
  <c r="T262" i="13" s="1"/>
  <c r="U194" i="13" s="1"/>
  <c r="U262" i="13" s="1"/>
  <c r="V194" i="13" s="1"/>
  <c r="V262" i="13" s="1"/>
  <c r="W194" i="13" s="1"/>
  <c r="W262" i="13" s="1"/>
  <c r="X194" i="13" s="1"/>
  <c r="X262" i="13" s="1"/>
  <c r="Y194" i="13" s="1"/>
  <c r="Y262" i="13" s="1"/>
  <c r="Z194" i="13" s="1"/>
  <c r="Z262" i="13" s="1"/>
  <c r="AA194" i="13" s="1"/>
  <c r="AA262" i="13" s="1"/>
  <c r="AB194" i="13" s="1"/>
  <c r="AB262" i="13" s="1"/>
  <c r="K259" i="13"/>
  <c r="L191" i="13" s="1"/>
  <c r="L224" i="13" s="1"/>
  <c r="M228" i="13"/>
  <c r="M263" i="13" s="1"/>
  <c r="N195" i="13" s="1"/>
  <c r="N263" i="13" s="1"/>
  <c r="O195" i="13" s="1"/>
  <c r="O263" i="13" s="1"/>
  <c r="P195" i="13" s="1"/>
  <c r="P263" i="13" s="1"/>
  <c r="Q195" i="13" s="1"/>
  <c r="Q263" i="13" s="1"/>
  <c r="R195" i="13" s="1"/>
  <c r="R263" i="13" s="1"/>
  <c r="S195" i="13" s="1"/>
  <c r="S263" i="13" s="1"/>
  <c r="T195" i="13" s="1"/>
  <c r="T263" i="13" s="1"/>
  <c r="U195" i="13" s="1"/>
  <c r="U263" i="13" s="1"/>
  <c r="V195" i="13" s="1"/>
  <c r="V263" i="13" s="1"/>
  <c r="W195" i="13" s="1"/>
  <c r="W263" i="13" s="1"/>
  <c r="X195" i="13" s="1"/>
  <c r="X263" i="13" s="1"/>
  <c r="Y195" i="13" s="1"/>
  <c r="Y263" i="13" s="1"/>
  <c r="Z195" i="13" s="1"/>
  <c r="Z263" i="13" s="1"/>
  <c r="AA195" i="13" s="1"/>
  <c r="AA263" i="13" s="1"/>
  <c r="AB195" i="13" s="1"/>
  <c r="AB263" i="13" s="1"/>
  <c r="K199" i="13"/>
  <c r="K232" i="13"/>
  <c r="K267" i="13" s="1"/>
  <c r="K198" i="13"/>
  <c r="K231" i="13" s="1"/>
  <c r="K266" i="13" s="1"/>
  <c r="K268" i="13"/>
  <c r="O151" i="13"/>
  <c r="I174" i="13"/>
  <c r="K246" i="13"/>
  <c r="L178" i="13" s="1"/>
  <c r="L211" i="13" s="1"/>
  <c r="I207" i="13"/>
  <c r="K244" i="13"/>
  <c r="L176" i="13" s="1"/>
  <c r="K210" i="13"/>
  <c r="K245" i="13" s="1"/>
  <c r="L177" i="13" s="1"/>
  <c r="J243" i="13"/>
  <c r="K175" i="13" s="1"/>
  <c r="K208" i="13" s="1"/>
  <c r="M118" i="13"/>
  <c r="N51" i="13"/>
  <c r="K248" i="13"/>
  <c r="L180" i="13" s="1"/>
  <c r="L213" i="13" s="1"/>
  <c r="K212" i="13"/>
  <c r="M217" i="13" l="1"/>
  <c r="L259" i="13"/>
  <c r="M191" i="13" s="1"/>
  <c r="M224" i="13"/>
  <c r="M252" i="13"/>
  <c r="N184" i="13" s="1"/>
  <c r="N252" i="13" s="1"/>
  <c r="O184" i="13" s="1"/>
  <c r="O252" i="13" s="1"/>
  <c r="P184" i="13" s="1"/>
  <c r="P252" i="13" s="1"/>
  <c r="Q184" i="13" s="1"/>
  <c r="Q252" i="13" s="1"/>
  <c r="R184" i="13" s="1"/>
  <c r="R252" i="13" s="1"/>
  <c r="S184" i="13" s="1"/>
  <c r="S252" i="13" s="1"/>
  <c r="T184" i="13" s="1"/>
  <c r="T252" i="13" s="1"/>
  <c r="U184" i="13" s="1"/>
  <c r="U252" i="13" s="1"/>
  <c r="V184" i="13" s="1"/>
  <c r="V252" i="13" s="1"/>
  <c r="W184" i="13" s="1"/>
  <c r="W252" i="13" s="1"/>
  <c r="X184" i="13" s="1"/>
  <c r="X252" i="13" s="1"/>
  <c r="Y184" i="13" s="1"/>
  <c r="Y252" i="13" s="1"/>
  <c r="Z184" i="13" s="1"/>
  <c r="Z252" i="13" s="1"/>
  <c r="AA184" i="13" s="1"/>
  <c r="AA252" i="13" s="1"/>
  <c r="AB184" i="13" s="1"/>
  <c r="AB252" i="13" s="1"/>
  <c r="M225" i="13"/>
  <c r="D225" i="13" s="1"/>
  <c r="D228" i="13"/>
  <c r="D217" i="13"/>
  <c r="L226" i="13"/>
  <c r="L200" i="13"/>
  <c r="L233" i="13" s="1"/>
  <c r="L268" i="13" s="1"/>
  <c r="L198" i="13"/>
  <c r="L199" i="13"/>
  <c r="L232" i="13"/>
  <c r="L267" i="13" s="1"/>
  <c r="L231" i="13"/>
  <c r="L266" i="13" s="1"/>
  <c r="L248" i="13"/>
  <c r="M180" i="13" s="1"/>
  <c r="K215" i="13"/>
  <c r="P151" i="13"/>
  <c r="K247" i="13"/>
  <c r="L179" i="13" s="1"/>
  <c r="L212" i="13" s="1"/>
  <c r="O51" i="13"/>
  <c r="I242" i="13"/>
  <c r="L246" i="13"/>
  <c r="M178" i="13" s="1"/>
  <c r="M211" i="13" s="1"/>
  <c r="D211" i="13" s="1"/>
  <c r="K243" i="13"/>
  <c r="L175" i="13" s="1"/>
  <c r="L210" i="13"/>
  <c r="L209" i="13"/>
  <c r="L261" i="13" l="1"/>
  <c r="M193" i="13" s="1"/>
  <c r="M226" i="13" s="1"/>
  <c r="M260" i="13"/>
  <c r="N192" i="13" s="1"/>
  <c r="N260" i="13" s="1"/>
  <c r="O192" i="13" s="1"/>
  <c r="O260" i="13" s="1"/>
  <c r="P192" i="13" s="1"/>
  <c r="P260" i="13" s="1"/>
  <c r="Q192" i="13" s="1"/>
  <c r="Q260" i="13" s="1"/>
  <c r="R192" i="13" s="1"/>
  <c r="R260" i="13" s="1"/>
  <c r="S192" i="13" s="1"/>
  <c r="S260" i="13" s="1"/>
  <c r="T192" i="13" s="1"/>
  <c r="T260" i="13" s="1"/>
  <c r="U192" i="13" s="1"/>
  <c r="U260" i="13" s="1"/>
  <c r="V192" i="13" s="1"/>
  <c r="V260" i="13" s="1"/>
  <c r="W192" i="13" s="1"/>
  <c r="W260" i="13" s="1"/>
  <c r="X192" i="13" s="1"/>
  <c r="X260" i="13" s="1"/>
  <c r="Y192" i="13" s="1"/>
  <c r="Y260" i="13" s="1"/>
  <c r="Z192" i="13" s="1"/>
  <c r="Z260" i="13" s="1"/>
  <c r="AA192" i="13" s="1"/>
  <c r="AA260" i="13" s="1"/>
  <c r="AB192" i="13" s="1"/>
  <c r="AB260" i="13" s="1"/>
  <c r="M259" i="13"/>
  <c r="N191" i="13" s="1"/>
  <c r="N259" i="13" s="1"/>
  <c r="O191" i="13" s="1"/>
  <c r="O259" i="13" s="1"/>
  <c r="P191" i="13" s="1"/>
  <c r="P259" i="13" s="1"/>
  <c r="Q191" i="13" s="1"/>
  <c r="Q259" i="13" s="1"/>
  <c r="R191" i="13" s="1"/>
  <c r="R259" i="13" s="1"/>
  <c r="S191" i="13" s="1"/>
  <c r="S259" i="13" s="1"/>
  <c r="T191" i="13" s="1"/>
  <c r="T259" i="13" s="1"/>
  <c r="U191" i="13" s="1"/>
  <c r="U259" i="13" s="1"/>
  <c r="V191" i="13" s="1"/>
  <c r="V259" i="13" s="1"/>
  <c r="W191" i="13" s="1"/>
  <c r="W259" i="13" s="1"/>
  <c r="X191" i="13" s="1"/>
  <c r="X259" i="13" s="1"/>
  <c r="Y191" i="13" s="1"/>
  <c r="Y259" i="13" s="1"/>
  <c r="Z191" i="13" s="1"/>
  <c r="Z259" i="13" s="1"/>
  <c r="AA191" i="13" s="1"/>
  <c r="AA259" i="13" s="1"/>
  <c r="AB191" i="13" s="1"/>
  <c r="AB259" i="13" s="1"/>
  <c r="D224" i="13"/>
  <c r="M199" i="13"/>
  <c r="M232" i="13" s="1"/>
  <c r="D232" i="13" s="1"/>
  <c r="M198" i="13"/>
  <c r="M231" i="13" s="1"/>
  <c r="D231" i="13" s="1"/>
  <c r="M200" i="13"/>
  <c r="M233" i="13" s="1"/>
  <c r="D233" i="13" s="1"/>
  <c r="Q151" i="13"/>
  <c r="L247" i="13"/>
  <c r="M179" i="13" s="1"/>
  <c r="L208" i="13"/>
  <c r="M246" i="13"/>
  <c r="N178" i="13" s="1"/>
  <c r="N246" i="13" s="1"/>
  <c r="O178" i="13" s="1"/>
  <c r="O246" i="13" s="1"/>
  <c r="P178" i="13" s="1"/>
  <c r="P246" i="13" s="1"/>
  <c r="Q178" i="13" s="1"/>
  <c r="Q246" i="13" s="1"/>
  <c r="R178" i="13" s="1"/>
  <c r="R246" i="13" s="1"/>
  <c r="S178" i="13" s="1"/>
  <c r="S246" i="13" s="1"/>
  <c r="T178" i="13" s="1"/>
  <c r="T246" i="13" s="1"/>
  <c r="U178" i="13" s="1"/>
  <c r="U246" i="13" s="1"/>
  <c r="V178" i="13" s="1"/>
  <c r="V246" i="13" s="1"/>
  <c r="W178" i="13" s="1"/>
  <c r="W246" i="13" s="1"/>
  <c r="X178" i="13" s="1"/>
  <c r="X246" i="13" s="1"/>
  <c r="Y178" i="13" s="1"/>
  <c r="Y246" i="13" s="1"/>
  <c r="Z178" i="13" s="1"/>
  <c r="Z246" i="13" s="1"/>
  <c r="AA178" i="13" s="1"/>
  <c r="AA246" i="13" s="1"/>
  <c r="AB178" i="13" s="1"/>
  <c r="AB246" i="13" s="1"/>
  <c r="J174" i="13"/>
  <c r="P51" i="13"/>
  <c r="L215" i="13"/>
  <c r="M213" i="13"/>
  <c r="D213" i="13" s="1"/>
  <c r="L245" i="13"/>
  <c r="M177" i="13" s="1"/>
  <c r="L244" i="13"/>
  <c r="M176" i="13" s="1"/>
  <c r="M261" i="13" l="1"/>
  <c r="N193" i="13" s="1"/>
  <c r="N261" i="13" s="1"/>
  <c r="O193" i="13" s="1"/>
  <c r="O261" i="13" s="1"/>
  <c r="P193" i="13" s="1"/>
  <c r="P261" i="13" s="1"/>
  <c r="Q193" i="13" s="1"/>
  <c r="Q261" i="13" s="1"/>
  <c r="R193" i="13" s="1"/>
  <c r="R261" i="13" s="1"/>
  <c r="S193" i="13" s="1"/>
  <c r="S261" i="13" s="1"/>
  <c r="T193" i="13" s="1"/>
  <c r="T261" i="13" s="1"/>
  <c r="U193" i="13" s="1"/>
  <c r="U261" i="13" s="1"/>
  <c r="V193" i="13" s="1"/>
  <c r="V261" i="13" s="1"/>
  <c r="W193" i="13" s="1"/>
  <c r="W261" i="13" s="1"/>
  <c r="X193" i="13" s="1"/>
  <c r="X261" i="13" s="1"/>
  <c r="Y193" i="13" s="1"/>
  <c r="Y261" i="13" s="1"/>
  <c r="Z193" i="13" s="1"/>
  <c r="Z261" i="13" s="1"/>
  <c r="AA193" i="13" s="1"/>
  <c r="AA261" i="13" s="1"/>
  <c r="AB193" i="13" s="1"/>
  <c r="AB261" i="13" s="1"/>
  <c r="D226" i="13"/>
  <c r="M267" i="13"/>
  <c r="M268" i="13"/>
  <c r="N199" i="13"/>
  <c r="N267" i="13" s="1"/>
  <c r="Q51" i="13"/>
  <c r="J207" i="13"/>
  <c r="M266" i="13"/>
  <c r="M209" i="13"/>
  <c r="D209" i="13" s="1"/>
  <c r="M248" i="13"/>
  <c r="N180" i="13" s="1"/>
  <c r="N248" i="13" s="1"/>
  <c r="O180" i="13" s="1"/>
  <c r="O248" i="13" s="1"/>
  <c r="P180" i="13" s="1"/>
  <c r="P248" i="13" s="1"/>
  <c r="Q180" i="13" s="1"/>
  <c r="Q248" i="13" s="1"/>
  <c r="R180" i="13" s="1"/>
  <c r="R248" i="13" s="1"/>
  <c r="S180" i="13" s="1"/>
  <c r="S248" i="13" s="1"/>
  <c r="T180" i="13" s="1"/>
  <c r="T248" i="13" s="1"/>
  <c r="U180" i="13" s="1"/>
  <c r="U248" i="13" s="1"/>
  <c r="V180" i="13" s="1"/>
  <c r="V248" i="13" s="1"/>
  <c r="W180" i="13" s="1"/>
  <c r="W248" i="13" s="1"/>
  <c r="X180" i="13" s="1"/>
  <c r="X248" i="13" s="1"/>
  <c r="Y180" i="13" s="1"/>
  <c r="Y248" i="13" s="1"/>
  <c r="Z180" i="13" s="1"/>
  <c r="Z248" i="13" s="1"/>
  <c r="AA180" i="13" s="1"/>
  <c r="AA248" i="13" s="1"/>
  <c r="AB180" i="13" s="1"/>
  <c r="AB248" i="13" s="1"/>
  <c r="L243" i="13"/>
  <c r="M175" i="13" s="1"/>
  <c r="R151" i="13"/>
  <c r="M215" i="13"/>
  <c r="M210" i="13"/>
  <c r="D210" i="13" s="1"/>
  <c r="M212" i="13"/>
  <c r="D212" i="13" s="1"/>
  <c r="N198" i="13" l="1"/>
  <c r="N266" i="13" s="1"/>
  <c r="O199" i="13"/>
  <c r="O267" i="13" s="1"/>
  <c r="N200" i="13"/>
  <c r="N268" i="13" s="1"/>
  <c r="M245" i="13"/>
  <c r="N177" i="13" s="1"/>
  <c r="N245" i="13" s="1"/>
  <c r="O177" i="13" s="1"/>
  <c r="O245" i="13" s="1"/>
  <c r="P177" i="13" s="1"/>
  <c r="P245" i="13" s="1"/>
  <c r="Q177" i="13" s="1"/>
  <c r="Q245" i="13" s="1"/>
  <c r="R177" i="13" s="1"/>
  <c r="R245" i="13" s="1"/>
  <c r="S177" i="13" s="1"/>
  <c r="S245" i="13" s="1"/>
  <c r="T177" i="13" s="1"/>
  <c r="T245" i="13" s="1"/>
  <c r="U177" i="13" s="1"/>
  <c r="U245" i="13" s="1"/>
  <c r="V177" i="13" s="1"/>
  <c r="V245" i="13" s="1"/>
  <c r="W177" i="13" s="1"/>
  <c r="W245" i="13" s="1"/>
  <c r="X177" i="13" s="1"/>
  <c r="X245" i="13" s="1"/>
  <c r="Y177" i="13" s="1"/>
  <c r="Y245" i="13" s="1"/>
  <c r="Z177" i="13" s="1"/>
  <c r="Z245" i="13" s="1"/>
  <c r="AA177" i="13" s="1"/>
  <c r="AA245" i="13" s="1"/>
  <c r="AB177" i="13" s="1"/>
  <c r="AB245" i="13" s="1"/>
  <c r="M247" i="13"/>
  <c r="N179" i="13" s="1"/>
  <c r="N247" i="13" s="1"/>
  <c r="O179" i="13" s="1"/>
  <c r="O247" i="13" s="1"/>
  <c r="P179" i="13" s="1"/>
  <c r="P247" i="13" s="1"/>
  <c r="Q179" i="13" s="1"/>
  <c r="Q247" i="13" s="1"/>
  <c r="R179" i="13" s="1"/>
  <c r="R247" i="13" s="1"/>
  <c r="S179" i="13" s="1"/>
  <c r="S247" i="13" s="1"/>
  <c r="T179" i="13" s="1"/>
  <c r="T247" i="13" s="1"/>
  <c r="U179" i="13" s="1"/>
  <c r="U247" i="13" s="1"/>
  <c r="V179" i="13" s="1"/>
  <c r="V247" i="13" s="1"/>
  <c r="W179" i="13" s="1"/>
  <c r="W247" i="13" s="1"/>
  <c r="X179" i="13" s="1"/>
  <c r="X247" i="13" s="1"/>
  <c r="Y179" i="13" s="1"/>
  <c r="Y247" i="13" s="1"/>
  <c r="Z179" i="13" s="1"/>
  <c r="Z247" i="13" s="1"/>
  <c r="AA179" i="13" s="1"/>
  <c r="AA247" i="13" s="1"/>
  <c r="AB179" i="13" s="1"/>
  <c r="AB247" i="13" s="1"/>
  <c r="J242" i="13"/>
  <c r="M244" i="13"/>
  <c r="N176" i="13" s="1"/>
  <c r="N244" i="13" s="1"/>
  <c r="O176" i="13" s="1"/>
  <c r="O244" i="13" s="1"/>
  <c r="P176" i="13" s="1"/>
  <c r="P244" i="13" s="1"/>
  <c r="Q176" i="13" s="1"/>
  <c r="Q244" i="13" s="1"/>
  <c r="R176" i="13" s="1"/>
  <c r="R244" i="13" s="1"/>
  <c r="S176" i="13" s="1"/>
  <c r="S244" i="13" s="1"/>
  <c r="T176" i="13" s="1"/>
  <c r="T244" i="13" s="1"/>
  <c r="U176" i="13" s="1"/>
  <c r="U244" i="13" s="1"/>
  <c r="V176" i="13" s="1"/>
  <c r="V244" i="13" s="1"/>
  <c r="W176" i="13" s="1"/>
  <c r="W244" i="13" s="1"/>
  <c r="X176" i="13" s="1"/>
  <c r="X244" i="13" s="1"/>
  <c r="Y176" i="13" s="1"/>
  <c r="Y244" i="13" s="1"/>
  <c r="Z176" i="13" s="1"/>
  <c r="Z244" i="13" s="1"/>
  <c r="AA176" i="13" s="1"/>
  <c r="AA244" i="13" s="1"/>
  <c r="AB176" i="13" s="1"/>
  <c r="AB244" i="13" s="1"/>
  <c r="M208" i="13"/>
  <c r="D208" i="13" s="1"/>
  <c r="R51" i="13"/>
  <c r="S151" i="13"/>
  <c r="O200" i="13" l="1"/>
  <c r="O268" i="13" s="1"/>
  <c r="P199" i="13"/>
  <c r="P267" i="13" s="1"/>
  <c r="O198" i="13"/>
  <c r="O266" i="13" s="1"/>
  <c r="S51" i="13"/>
  <c r="K174" i="13"/>
  <c r="T151" i="13"/>
  <c r="M243" i="13"/>
  <c r="N175" i="13" s="1"/>
  <c r="N243" i="13" s="1"/>
  <c r="O175" i="13" s="1"/>
  <c r="O243" i="13" s="1"/>
  <c r="P175" i="13" s="1"/>
  <c r="P243" i="13" s="1"/>
  <c r="Q175" i="13" s="1"/>
  <c r="Q243" i="13" s="1"/>
  <c r="R175" i="13" s="1"/>
  <c r="R243" i="13" s="1"/>
  <c r="S175" i="13" s="1"/>
  <c r="S243" i="13" s="1"/>
  <c r="T175" i="13" s="1"/>
  <c r="T243" i="13" s="1"/>
  <c r="U175" i="13" s="1"/>
  <c r="U243" i="13" s="1"/>
  <c r="V175" i="13" s="1"/>
  <c r="V243" i="13" s="1"/>
  <c r="W175" i="13" s="1"/>
  <c r="W243" i="13" s="1"/>
  <c r="X175" i="13" s="1"/>
  <c r="X243" i="13" s="1"/>
  <c r="Y175" i="13" s="1"/>
  <c r="Y243" i="13" s="1"/>
  <c r="Z175" i="13" s="1"/>
  <c r="Z243" i="13" s="1"/>
  <c r="AA175" i="13" s="1"/>
  <c r="AA243" i="13" s="1"/>
  <c r="AB175" i="13" s="1"/>
  <c r="AB243" i="13" s="1"/>
  <c r="N215" i="13"/>
  <c r="P198" i="13" l="1"/>
  <c r="P266" i="13" s="1"/>
  <c r="Q199" i="13"/>
  <c r="Q267" i="13" s="1"/>
  <c r="P200" i="13"/>
  <c r="P268" i="13" s="1"/>
  <c r="N236" i="13"/>
  <c r="K43" i="14" s="1"/>
  <c r="K58" i="14" s="1"/>
  <c r="K59" i="14" s="1"/>
  <c r="K207" i="13"/>
  <c r="K242" i="13" s="1"/>
  <c r="T51" i="13"/>
  <c r="Q200" i="13" l="1"/>
  <c r="Q268" i="13" s="1"/>
  <c r="R199" i="13"/>
  <c r="R267" i="13" s="1"/>
  <c r="Q198" i="13"/>
  <c r="Q266" i="13" s="1"/>
  <c r="L174" i="13"/>
  <c r="L207" i="13" s="1"/>
  <c r="U51" i="13"/>
  <c r="V51" i="13" s="1"/>
  <c r="W51" i="13" s="1"/>
  <c r="X51" i="13" s="1"/>
  <c r="Y51" i="13" s="1"/>
  <c r="Z51" i="13" s="1"/>
  <c r="AA51" i="13" s="1"/>
  <c r="AB51" i="13" s="1"/>
  <c r="O215" i="13"/>
  <c r="K83" i="14"/>
  <c r="R198" i="13" l="1"/>
  <c r="R266" i="13" s="1"/>
  <c r="S199" i="13"/>
  <c r="S267" i="13" s="1"/>
  <c r="R200" i="13"/>
  <c r="R268" i="13" s="1"/>
  <c r="O236" i="13"/>
  <c r="L43" i="14" s="1"/>
  <c r="L58" i="14" s="1"/>
  <c r="L59" i="14" s="1"/>
  <c r="P215" i="13"/>
  <c r="L242" i="13"/>
  <c r="S200" i="13" l="1"/>
  <c r="S268" i="13" s="1"/>
  <c r="T199" i="13"/>
  <c r="T267" i="13" s="1"/>
  <c r="S198" i="13"/>
  <c r="S266" i="13" s="1"/>
  <c r="P236" i="13"/>
  <c r="M43" i="14" s="1"/>
  <c r="M58" i="14" s="1"/>
  <c r="M59" i="14" s="1"/>
  <c r="M174" i="13"/>
  <c r="L83" i="14"/>
  <c r="T198" i="13" l="1"/>
  <c r="T266" i="13" s="1"/>
  <c r="U199" i="13"/>
  <c r="U267" i="13" s="1"/>
  <c r="T200" i="13"/>
  <c r="T268" i="13" s="1"/>
  <c r="M207" i="13"/>
  <c r="Q215" i="13"/>
  <c r="M83" i="14"/>
  <c r="U200" i="13" l="1"/>
  <c r="U268" i="13" s="1"/>
  <c r="V199" i="13"/>
  <c r="V267" i="13" s="1"/>
  <c r="U198" i="13"/>
  <c r="U266" i="13" s="1"/>
  <c r="Q236" i="13"/>
  <c r="N43" i="14" s="1"/>
  <c r="N58" i="14" s="1"/>
  <c r="N59" i="14" s="1"/>
  <c r="D207" i="13"/>
  <c r="M242" i="13"/>
  <c r="V198" i="13" l="1"/>
  <c r="V266" i="13" s="1"/>
  <c r="W199" i="13"/>
  <c r="W267" i="13" s="1"/>
  <c r="V200" i="13"/>
  <c r="V268" i="13" s="1"/>
  <c r="N174" i="13"/>
  <c r="R215" i="13"/>
  <c r="N83" i="14"/>
  <c r="W200" i="13" l="1"/>
  <c r="W268" i="13" s="1"/>
  <c r="X199" i="13"/>
  <c r="X267" i="13" s="1"/>
  <c r="W198" i="13"/>
  <c r="W266" i="13" s="1"/>
  <c r="R236" i="13"/>
  <c r="O43" i="14" s="1"/>
  <c r="O58" i="14" s="1"/>
  <c r="O59" i="14" s="1"/>
  <c r="N242" i="13"/>
  <c r="X198" i="13" l="1"/>
  <c r="X266" i="13" s="1"/>
  <c r="Y199" i="13"/>
  <c r="Y267" i="13" s="1"/>
  <c r="X200" i="13"/>
  <c r="X268" i="13" s="1"/>
  <c r="O174" i="13"/>
  <c r="S215" i="13"/>
  <c r="O83" i="14"/>
  <c r="Y200" i="13" l="1"/>
  <c r="Y268" i="13" s="1"/>
  <c r="Z199" i="13"/>
  <c r="Z267" i="13" s="1"/>
  <c r="Y198" i="13"/>
  <c r="Y266" i="13" s="1"/>
  <c r="S236" i="13"/>
  <c r="P43" i="14" s="1"/>
  <c r="P58" i="14" s="1"/>
  <c r="P59" i="14" s="1"/>
  <c r="O242" i="13"/>
  <c r="Z198" i="13" l="1"/>
  <c r="Z266" i="13" s="1"/>
  <c r="AA199" i="13"/>
  <c r="AA267" i="13" s="1"/>
  <c r="Z200" i="13"/>
  <c r="Z268" i="13" s="1"/>
  <c r="P174" i="13"/>
  <c r="T215" i="13"/>
  <c r="P83" i="14"/>
  <c r="AA200" i="13" l="1"/>
  <c r="AA268" i="13" s="1"/>
  <c r="AB199" i="13"/>
  <c r="AB267" i="13" s="1"/>
  <c r="AA198" i="13"/>
  <c r="AA266" i="13" s="1"/>
  <c r="T236" i="13"/>
  <c r="Q43" i="14" s="1"/>
  <c r="Q58" i="14" s="1"/>
  <c r="Q59" i="14" s="1"/>
  <c r="D215" i="13"/>
  <c r="P242" i="13"/>
  <c r="AB198" i="13" l="1"/>
  <c r="AB266" i="13" s="1"/>
  <c r="AB200" i="13"/>
  <c r="AB268" i="13" s="1"/>
  <c r="Q174" i="13"/>
  <c r="Q83" i="14"/>
  <c r="Q242" i="13" l="1"/>
  <c r="R174" i="13" l="1"/>
  <c r="R242" i="13" l="1"/>
  <c r="S174" i="13" l="1"/>
  <c r="S242" i="13" l="1"/>
  <c r="T174" i="13" l="1"/>
  <c r="T242" i="13" l="1"/>
  <c r="U174" i="13" l="1"/>
  <c r="U242" i="13" l="1"/>
  <c r="V174" i="13" l="1"/>
  <c r="V242" i="13" l="1"/>
  <c r="W174" i="13" l="1"/>
  <c r="W242" i="13" l="1"/>
  <c r="X174" i="13" l="1"/>
  <c r="X242" i="13" l="1"/>
  <c r="Y174" i="13" l="1"/>
  <c r="Y242" i="13" l="1"/>
  <c r="Z174" i="13" l="1"/>
  <c r="Z242" i="13" l="1"/>
  <c r="AA174" i="13" l="1"/>
  <c r="AA242" i="13" l="1"/>
  <c r="AB174" i="13" l="1"/>
  <c r="AB242" i="13" l="1"/>
  <c r="D182" i="15"/>
  <c r="G181" i="15" s="1"/>
  <c r="D181" i="15" s="1"/>
  <c r="G180" i="15" l="1"/>
  <c r="H181" i="15"/>
  <c r="H182" i="15"/>
  <c r="D180" i="15" l="1"/>
  <c r="G179" i="15" s="1"/>
  <c r="H180" i="15"/>
  <c r="D179" i="15" l="1"/>
  <c r="G178" i="15" s="1"/>
  <c r="H179" i="15"/>
  <c r="D178" i="15" l="1"/>
  <c r="G177" i="15" s="1"/>
  <c r="D177" i="15" l="1"/>
  <c r="G176" i="15" s="1"/>
  <c r="H177" i="15"/>
  <c r="H178" i="15"/>
  <c r="D176" i="15" l="1"/>
  <c r="G175" i="15" s="1"/>
  <c r="H176" i="15"/>
  <c r="D175" i="15" l="1"/>
  <c r="G174" i="15" s="1"/>
  <c r="H175" i="15"/>
  <c r="D174" i="15" l="1"/>
  <c r="G173" i="15" s="1"/>
  <c r="H174" i="15"/>
  <c r="D173" i="15" l="1"/>
  <c r="G172" i="15" s="1"/>
  <c r="H173" i="15"/>
  <c r="D172" i="15" l="1"/>
  <c r="G171" i="15" s="1"/>
  <c r="H172" i="15"/>
  <c r="D171" i="15" l="1"/>
  <c r="G170" i="15" s="1"/>
  <c r="H171" i="15"/>
  <c r="D170" i="15" l="1"/>
  <c r="G169" i="15" s="1"/>
  <c r="D169" i="15" l="1"/>
  <c r="G168" i="15" s="1"/>
  <c r="H169" i="15"/>
  <c r="H170" i="15"/>
  <c r="D168" i="15" l="1"/>
  <c r="G167" i="15" s="1"/>
  <c r="H168" i="15"/>
  <c r="D167" i="15" l="1"/>
  <c r="G166" i="15" s="1"/>
  <c r="H167" i="15"/>
  <c r="D166" i="15" l="1"/>
  <c r="G165" i="15" s="1"/>
  <c r="H166" i="15"/>
  <c r="D165" i="15" l="1"/>
  <c r="G164" i="15" s="1"/>
  <c r="H165" i="15"/>
  <c r="D164" i="15" l="1"/>
  <c r="G163" i="15" s="1"/>
  <c r="H164" i="15"/>
  <c r="D163" i="15" l="1"/>
  <c r="G162" i="15" s="1"/>
  <c r="H163" i="15"/>
  <c r="D162" i="15" l="1"/>
  <c r="G161" i="15" s="1"/>
  <c r="D161" i="15" l="1"/>
  <c r="G160" i="15" s="1"/>
  <c r="H161" i="15"/>
  <c r="H162" i="15"/>
  <c r="D160" i="15" l="1"/>
  <c r="G159" i="15" s="1"/>
  <c r="H160" i="15"/>
  <c r="D159" i="15" l="1"/>
  <c r="G158" i="15" s="1"/>
  <c r="H159" i="15"/>
  <c r="D158" i="15" l="1"/>
  <c r="G157" i="15" s="1"/>
  <c r="H158" i="15"/>
  <c r="D157" i="15" l="1"/>
  <c r="G156" i="15" s="1"/>
  <c r="H157" i="15"/>
  <c r="D156" i="15" l="1"/>
  <c r="G155" i="15" s="1"/>
  <c r="H156" i="15"/>
  <c r="D155" i="15" l="1"/>
  <c r="G154" i="15" s="1"/>
  <c r="H155" i="15"/>
  <c r="D154" i="15" l="1"/>
  <c r="G153" i="15" s="1"/>
  <c r="D47" i="1" l="1"/>
  <c r="S67" i="15"/>
  <c r="D153" i="15"/>
  <c r="Q67" i="15" s="1"/>
  <c r="H154" i="15"/>
  <c r="Y62" i="15" l="1"/>
  <c r="C46" i="1" s="1"/>
  <c r="E46" i="1" s="1"/>
  <c r="E47" i="1" s="1"/>
  <c r="F47" i="1" s="1"/>
  <c r="D22" i="1" s="1"/>
  <c r="D10" i="1" s="1"/>
  <c r="Z67" i="15"/>
  <c r="H153" i="15"/>
  <c r="R67" i="15" s="1"/>
  <c r="Z64" i="15"/>
  <c r="Z65" i="15"/>
  <c r="Z66" i="15"/>
  <c r="Z68" i="15"/>
  <c r="A11" i="14" l="1"/>
  <c r="N8" i="1"/>
  <c r="A8" i="14" l="1"/>
  <c r="C11" i="14"/>
  <c r="C14" i="14" s="1"/>
  <c r="D11" i="14" l="1"/>
  <c r="D14" i="14" s="1"/>
  <c r="D70" i="14" l="1"/>
  <c r="E11" i="14"/>
  <c r="E14" i="14" s="1"/>
  <c r="C26" i="14"/>
  <c r="C70" i="14"/>
  <c r="C73" i="14" s="1"/>
  <c r="G33" i="13" l="1" a="1"/>
  <c r="G33" i="13" s="1"/>
  <c r="D21" i="14" s="1"/>
  <c r="D24" i="14" s="1"/>
  <c r="D71" i="14" s="1"/>
  <c r="D73" i="14" s="1"/>
  <c r="D87" i="14" s="1"/>
  <c r="C98" i="14"/>
  <c r="C87" i="14"/>
  <c r="C84" i="14"/>
  <c r="C104" i="14"/>
  <c r="C74" i="14"/>
  <c r="E70" i="14"/>
  <c r="F11" i="14"/>
  <c r="F14" i="14" s="1"/>
  <c r="H33" i="13" l="1" a="1"/>
  <c r="H33" i="13" s="1"/>
  <c r="E21" i="14" s="1"/>
  <c r="E24" i="14" s="1"/>
  <c r="E71" i="14" s="1"/>
  <c r="E73" i="14" s="1"/>
  <c r="E87" i="14" s="1"/>
  <c r="D98" i="14"/>
  <c r="D84" i="14"/>
  <c r="D104" i="14"/>
  <c r="D74" i="14"/>
  <c r="F70" i="14"/>
  <c r="G11" i="14"/>
  <c r="G14" i="14" s="1"/>
  <c r="D26" i="14"/>
  <c r="G70" i="14" l="1"/>
  <c r="H11" i="14"/>
  <c r="H14" i="14" s="1"/>
  <c r="I33" i="13" a="1"/>
  <c r="I33" i="13" s="1"/>
  <c r="F21" i="14" s="1"/>
  <c r="F24" i="14" s="1"/>
  <c r="F71" i="14" s="1"/>
  <c r="F73" i="14" s="1"/>
  <c r="F87" i="14" s="1"/>
  <c r="E74" i="14"/>
  <c r="E98" i="14"/>
  <c r="E84" i="14"/>
  <c r="E104" i="14"/>
  <c r="E26" i="14"/>
  <c r="F26" i="14" l="1"/>
  <c r="H70" i="14"/>
  <c r="I11" i="14"/>
  <c r="I14" i="14" s="1"/>
  <c r="J33" i="13" a="1"/>
  <c r="J33" i="13" s="1"/>
  <c r="G21" i="14" s="1"/>
  <c r="G24" i="14" s="1"/>
  <c r="G71" i="14" s="1"/>
  <c r="G73" i="14" s="1"/>
  <c r="G87" i="14" s="1"/>
  <c r="F104" i="14"/>
  <c r="F74" i="14"/>
  <c r="F98" i="14"/>
  <c r="F84" i="14"/>
  <c r="I70" i="14" l="1"/>
  <c r="J11" i="14"/>
  <c r="J14" i="14" s="1"/>
  <c r="G26" i="14"/>
  <c r="L33" i="13" a="1"/>
  <c r="L33" i="13" s="1"/>
  <c r="I21" i="14" s="1"/>
  <c r="I24" i="14" s="1"/>
  <c r="I71" i="14" s="1"/>
  <c r="I73" i="14" s="1"/>
  <c r="G104" i="14"/>
  <c r="G74" i="14"/>
  <c r="G98" i="14"/>
  <c r="G84" i="14"/>
  <c r="K33" i="13" a="1"/>
  <c r="K33" i="13" s="1"/>
  <c r="H21" i="14" s="1"/>
  <c r="H24" i="14" s="1"/>
  <c r="H71" i="14" s="1"/>
  <c r="H73" i="14" s="1"/>
  <c r="J70" i="14" l="1"/>
  <c r="K11" i="14"/>
  <c r="K14" i="14" s="1"/>
  <c r="I26" i="14"/>
  <c r="H26" i="14"/>
  <c r="H104" i="14"/>
  <c r="H74" i="14"/>
  <c r="H98" i="14"/>
  <c r="I87" i="14"/>
  <c r="H84" i="14"/>
  <c r="H87" i="14"/>
  <c r="I84" i="14"/>
  <c r="I104" i="14"/>
  <c r="I74" i="14"/>
  <c r="I98" i="14"/>
  <c r="L11" i="14" l="1"/>
  <c r="L14" i="14" s="1"/>
  <c r="K70" i="14"/>
  <c r="M33" i="13" a="1"/>
  <c r="M33" i="13" s="1"/>
  <c r="J21" i="14" s="1"/>
  <c r="J24" i="14" s="1"/>
  <c r="J71" i="14" s="1"/>
  <c r="J73" i="14" s="1"/>
  <c r="J26" i="14" l="1"/>
  <c r="N33" i="13" a="1"/>
  <c r="N33" i="13" s="1"/>
  <c r="K21" i="14" s="1"/>
  <c r="K24" i="14" s="1"/>
  <c r="K71" i="14" s="1"/>
  <c r="K73" i="14" s="1"/>
  <c r="K87" i="14" s="1"/>
  <c r="J104" i="14"/>
  <c r="J74" i="14"/>
  <c r="J98" i="14"/>
  <c r="J84" i="14"/>
  <c r="J87" i="14"/>
  <c r="L70" i="14"/>
  <c r="M11" i="14"/>
  <c r="M14" i="14" s="1"/>
  <c r="M70" i="14" l="1"/>
  <c r="N11" i="14"/>
  <c r="N14" i="14" s="1"/>
  <c r="O33" i="13" a="1"/>
  <c r="O33" i="13" s="1"/>
  <c r="L21" i="14" s="1"/>
  <c r="L24" i="14" s="1"/>
  <c r="L71" i="14" s="1"/>
  <c r="L73" i="14" s="1"/>
  <c r="L87" i="14" s="1"/>
  <c r="K26" i="14"/>
  <c r="K84" i="14"/>
  <c r="K104" i="14"/>
  <c r="K98" i="14"/>
  <c r="K74" i="14"/>
  <c r="L84" i="14" l="1"/>
  <c r="L74" i="14"/>
  <c r="L104" i="14"/>
  <c r="L98" i="14"/>
  <c r="L26" i="14"/>
  <c r="O11" i="14"/>
  <c r="O14" i="14" s="1"/>
  <c r="N70" i="14"/>
  <c r="P33" i="13" a="1"/>
  <c r="P33" i="13" s="1"/>
  <c r="M21" i="14" s="1"/>
  <c r="M24" i="14" s="1"/>
  <c r="M71" i="14" s="1"/>
  <c r="M73" i="14" s="1"/>
  <c r="M84" i="14" l="1"/>
  <c r="M74" i="14"/>
  <c r="M98" i="14"/>
  <c r="M104" i="14"/>
  <c r="Q33" i="13" a="1"/>
  <c r="Q33" i="13" s="1"/>
  <c r="N21" i="14" s="1"/>
  <c r="N24" i="14" s="1"/>
  <c r="N71" i="14" s="1"/>
  <c r="N73" i="14" s="1"/>
  <c r="M26" i="14"/>
  <c r="P11" i="14"/>
  <c r="P14" i="14" s="1"/>
  <c r="O70" i="14"/>
  <c r="M87" i="14"/>
  <c r="R33" i="13" l="1" a="1"/>
  <c r="R33" i="13" s="1"/>
  <c r="O21" i="14" s="1"/>
  <c r="O24" i="14" s="1"/>
  <c r="O71" i="14" s="1"/>
  <c r="O73" i="14" s="1"/>
  <c r="O87" i="14" s="1"/>
  <c r="P70" i="14"/>
  <c r="Q11" i="14"/>
  <c r="N26" i="14"/>
  <c r="N87" i="14"/>
  <c r="N84" i="14"/>
  <c r="N104" i="14"/>
  <c r="N74" i="14"/>
  <c r="N98" i="14"/>
  <c r="Q14" i="14" l="1"/>
  <c r="Q70" i="14" s="1"/>
  <c r="S33" i="13" a="1"/>
  <c r="S33" i="13" s="1"/>
  <c r="P21" i="14" s="1"/>
  <c r="P24" i="14" s="1"/>
  <c r="P71" i="14" s="1"/>
  <c r="P73" i="14" s="1"/>
  <c r="P87" i="14" s="1"/>
  <c r="O26" i="14"/>
  <c r="O84" i="14"/>
  <c r="O104" i="14"/>
  <c r="O98" i="14"/>
  <c r="O74" i="14"/>
  <c r="T33" i="13" l="1" a="1"/>
  <c r="T33" i="13" s="1"/>
  <c r="Q21" i="14" s="1"/>
  <c r="Q24" i="14" s="1"/>
  <c r="Q71" i="14" s="1"/>
  <c r="Q73" i="14" s="1"/>
  <c r="P26" i="14"/>
  <c r="P84" i="14"/>
  <c r="P104" i="14"/>
  <c r="P74" i="14"/>
  <c r="P98" i="14"/>
  <c r="Q26" i="14"/>
  <c r="Q87" i="14" l="1"/>
  <c r="Q104" i="14"/>
  <c r="Q98" i="14"/>
  <c r="Q74" i="14"/>
  <c r="Q84" i="14"/>
  <c r="Q29" i="8"/>
  <c r="Q34" i="8"/>
  <c r="Q35" i="8"/>
  <c r="S72" i="10" s="1"/>
  <c r="Q39" i="8"/>
  <c r="Q40" i="8"/>
  <c r="S71" i="10" s="1"/>
  <c r="Q41" i="8" l="1"/>
  <c r="Q44" i="8" s="1"/>
  <c r="D60" i="8" s="1"/>
  <c r="Q36" i="8"/>
  <c r="C2" i="17"/>
  <c r="G4" i="17"/>
  <c r="N125" i="13"/>
  <c r="N147" i="13" s="1"/>
  <c r="T125" i="13"/>
  <c r="T147" i="13" s="1"/>
  <c r="S125" i="13"/>
  <c r="S147" i="13" s="1"/>
  <c r="O125" i="13"/>
  <c r="O147" i="13" s="1"/>
  <c r="R125" i="13"/>
  <c r="R147" i="13" s="1"/>
  <c r="P125" i="13"/>
  <c r="P147" i="13" s="1"/>
  <c r="Q125" i="13"/>
  <c r="Q147" i="13" s="1"/>
  <c r="D15" i="10"/>
  <c r="Q39" i="10"/>
  <c r="D47" i="10" l="1"/>
  <c r="D58" i="13" l="1"/>
  <c r="F91" i="13" l="1"/>
  <c r="F58" i="13"/>
  <c r="G91" i="13"/>
  <c r="H91" i="13"/>
  <c r="I91" i="13"/>
  <c r="J91" i="13"/>
  <c r="K91" i="13"/>
  <c r="L91" i="13"/>
  <c r="M91" i="13"/>
  <c r="D158" i="13"/>
  <c r="F125" i="13" l="1"/>
  <c r="G58" i="13"/>
  <c r="F158" i="13"/>
  <c r="D181" i="13"/>
  <c r="F181" i="13" l="1"/>
  <c r="G158" i="13"/>
  <c r="H58" i="13"/>
  <c r="G125" i="13"/>
  <c r="H125" i="13" l="1"/>
  <c r="I58" i="13"/>
  <c r="H158" i="13"/>
  <c r="F214" i="13"/>
  <c r="F249" i="13" s="1"/>
  <c r="G181" i="13" l="1"/>
  <c r="I125" i="13"/>
  <c r="J58" i="13"/>
  <c r="G214" i="13"/>
  <c r="I158" i="13"/>
  <c r="K58" i="13" l="1"/>
  <c r="J125" i="13"/>
  <c r="J158" i="13"/>
  <c r="G249" i="13"/>
  <c r="L58" i="13" l="1"/>
  <c r="K125" i="13"/>
  <c r="H181" i="13"/>
  <c r="K158" i="13"/>
  <c r="H214" i="13" l="1"/>
  <c r="L158" i="13"/>
  <c r="M158" i="13" s="1"/>
  <c r="L125" i="13"/>
  <c r="M58" i="13"/>
  <c r="N158" i="13" l="1"/>
  <c r="O158" i="13" s="1"/>
  <c r="M125" i="13"/>
  <c r="H249" i="13"/>
  <c r="N58" i="13"/>
  <c r="I181" i="13" l="1"/>
  <c r="O58" i="13"/>
  <c r="P158" i="13"/>
  <c r="Q158" i="13" l="1"/>
  <c r="P58" i="13"/>
  <c r="I214" i="13"/>
  <c r="I249" i="13" l="1"/>
  <c r="Q58" i="13"/>
  <c r="R158" i="13"/>
  <c r="R58" i="13" l="1"/>
  <c r="J181" i="13"/>
  <c r="S158" i="13"/>
  <c r="T158" i="13" l="1"/>
  <c r="J214" i="13"/>
  <c r="J249" i="13" s="1"/>
  <c r="S58" i="13"/>
  <c r="K181" i="13" l="1"/>
  <c r="K214" i="13" s="1"/>
  <c r="T58" i="13"/>
  <c r="U58" i="13" l="1"/>
  <c r="V58" i="13" s="1"/>
  <c r="W58" i="13" s="1"/>
  <c r="X58" i="13" s="1"/>
  <c r="Y58" i="13" s="1"/>
  <c r="Z58" i="13" s="1"/>
  <c r="AA58" i="13" s="1"/>
  <c r="AB58" i="13" s="1"/>
  <c r="K249" i="13"/>
  <c r="L181" i="13" l="1"/>
  <c r="L214" i="13" l="1"/>
  <c r="L249" i="13" l="1"/>
  <c r="M181" i="13" l="1"/>
  <c r="M214" i="13" l="1"/>
  <c r="D214" i="13" l="1"/>
  <c r="M249" i="13"/>
  <c r="N181" i="13" l="1"/>
  <c r="N249" i="13" l="1"/>
  <c r="O181" i="13" l="1"/>
  <c r="O249" i="13" l="1"/>
  <c r="P181" i="13" l="1"/>
  <c r="P249" i="13" l="1"/>
  <c r="Q181" i="13" l="1"/>
  <c r="Q249" i="13" l="1"/>
  <c r="R181" i="13" l="1"/>
  <c r="R249" i="13" l="1"/>
  <c r="S181" i="13" l="1"/>
  <c r="S249" i="13" l="1"/>
  <c r="T181" i="13" l="1"/>
  <c r="T249" i="13" l="1"/>
  <c r="U181" i="13" l="1"/>
  <c r="U249" i="13" l="1"/>
  <c r="V181" i="13" l="1"/>
  <c r="V249" i="13" l="1"/>
  <c r="W181" i="13" l="1"/>
  <c r="W249" i="13" l="1"/>
  <c r="X181" i="13" l="1"/>
  <c r="X249" i="13" l="1"/>
  <c r="Y181" i="13" l="1"/>
  <c r="Y249" i="13" l="1"/>
  <c r="Z181" i="13" l="1"/>
  <c r="Z249" i="13" l="1"/>
  <c r="AA181" i="13" l="1"/>
  <c r="AA249" i="13" l="1"/>
  <c r="AB181" i="13" l="1"/>
  <c r="AB249" i="13" l="1"/>
  <c r="D221" i="13" l="1"/>
  <c r="D222" i="13"/>
  <c r="G219" i="13"/>
  <c r="G254" i="13" s="1"/>
  <c r="H186" i="13" s="1"/>
  <c r="G220" i="13"/>
  <c r="G255" i="13" l="1"/>
  <c r="H187" i="13" s="1"/>
  <c r="H219" i="13"/>
  <c r="H220" i="13"/>
  <c r="H255" i="13" s="1"/>
  <c r="I187" i="13" s="1"/>
  <c r="I220" i="13" l="1"/>
  <c r="H254" i="13"/>
  <c r="I186" i="13" l="1"/>
  <c r="I255" i="13"/>
  <c r="J187" i="13" s="1"/>
  <c r="J220" i="13" l="1"/>
  <c r="I219" i="13"/>
  <c r="I254" i="13" l="1"/>
  <c r="J255" i="13"/>
  <c r="K187" i="13" s="1"/>
  <c r="J186" i="13" l="1"/>
  <c r="K220" i="13"/>
  <c r="J219" i="13" l="1"/>
  <c r="K255" i="13"/>
  <c r="L187" i="13" s="1"/>
  <c r="J254" i="13" l="1"/>
  <c r="L220" i="13"/>
  <c r="K186" i="13" l="1"/>
  <c r="L255" i="13"/>
  <c r="M187" i="13" s="1"/>
  <c r="K219" i="13" l="1"/>
  <c r="M220" i="13"/>
  <c r="D220" i="13" s="1"/>
  <c r="M255" i="13" l="1"/>
  <c r="N187" i="13" s="1"/>
  <c r="N255" i="13" s="1"/>
  <c r="O187" i="13" s="1"/>
  <c r="O255" i="13" s="1"/>
  <c r="P187" i="13" s="1"/>
  <c r="P255" i="13" s="1"/>
  <c r="Q187" i="13" s="1"/>
  <c r="Q255" i="13" s="1"/>
  <c r="R187" i="13" s="1"/>
  <c r="R255" i="13" s="1"/>
  <c r="S187" i="13" s="1"/>
  <c r="S255" i="13" s="1"/>
  <c r="T187" i="13" s="1"/>
  <c r="T255" i="13" s="1"/>
  <c r="U187" i="13" s="1"/>
  <c r="U255" i="13" s="1"/>
  <c r="V187" i="13" s="1"/>
  <c r="V255" i="13" s="1"/>
  <c r="W187" i="13" s="1"/>
  <c r="W255" i="13" s="1"/>
  <c r="X187" i="13" s="1"/>
  <c r="X255" i="13" s="1"/>
  <c r="Y187" i="13" s="1"/>
  <c r="Y255" i="13" s="1"/>
  <c r="Z187" i="13" s="1"/>
  <c r="Z255" i="13" s="1"/>
  <c r="AA187" i="13" s="1"/>
  <c r="AA255" i="13" s="1"/>
  <c r="AB187" i="13" s="1"/>
  <c r="AB255" i="13" s="1"/>
  <c r="K254" i="13"/>
  <c r="L186" i="13" l="1"/>
  <c r="L219" i="13" l="1"/>
  <c r="L254" i="13" l="1"/>
  <c r="M186" i="13" l="1"/>
  <c r="M219" i="13" l="1"/>
  <c r="D219" i="13" l="1"/>
  <c r="M254" i="13"/>
  <c r="N186" i="13" l="1"/>
  <c r="N254" i="13" l="1"/>
  <c r="O186" i="13" l="1"/>
  <c r="O254" i="13" l="1"/>
  <c r="P186" i="13" l="1"/>
  <c r="P254" i="13" l="1"/>
  <c r="Q186" i="13" l="1"/>
  <c r="Q254" i="13" l="1"/>
  <c r="R186" i="13" l="1"/>
  <c r="R254" i="13" l="1"/>
  <c r="S186" i="13" l="1"/>
  <c r="S254" i="13" l="1"/>
  <c r="T186" i="13" l="1"/>
  <c r="T254" i="13" l="1"/>
  <c r="U186" i="13" l="1"/>
  <c r="U254" i="13" l="1"/>
  <c r="V186" i="13" l="1"/>
  <c r="V254" i="13" l="1"/>
  <c r="W186" i="13" l="1"/>
  <c r="W254" i="13" l="1"/>
  <c r="X186" i="13" l="1"/>
  <c r="X254" i="13" l="1"/>
  <c r="Y186" i="13" l="1"/>
  <c r="Y254" i="13" l="1"/>
  <c r="Z186" i="13" l="1"/>
  <c r="Z254" i="13" l="1"/>
  <c r="AA186" i="13" l="1"/>
  <c r="AA254" i="13" l="1"/>
  <c r="AB186" i="13" l="1"/>
  <c r="AB254" i="13" l="1"/>
  <c r="C27" i="14" l="1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C32" i="14"/>
  <c r="D32" i="14"/>
  <c r="E32" i="14"/>
  <c r="F32" i="14"/>
  <c r="G32" i="14"/>
  <c r="H32" i="14"/>
  <c r="I32" i="14"/>
  <c r="J32" i="14"/>
  <c r="A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C41" i="14"/>
  <c r="D41" i="14"/>
  <c r="E41" i="14"/>
  <c r="F41" i="14"/>
  <c r="G41" i="14"/>
  <c r="H41" i="14"/>
  <c r="I41" i="14"/>
  <c r="J41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C43" i="14"/>
  <c r="D43" i="14"/>
  <c r="E43" i="14"/>
  <c r="F43" i="14"/>
  <c r="G43" i="14"/>
  <c r="H43" i="14"/>
  <c r="I43" i="14"/>
  <c r="J43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C57" i="14"/>
  <c r="D57" i="14"/>
  <c r="E57" i="14"/>
  <c r="F57" i="14"/>
  <c r="G57" i="14"/>
  <c r="H57" i="14"/>
  <c r="I57" i="14"/>
  <c r="J57" i="14"/>
  <c r="C58" i="14"/>
  <c r="D58" i="14"/>
  <c r="E58" i="14"/>
  <c r="F58" i="14"/>
  <c r="G58" i="14"/>
  <c r="H58" i="14"/>
  <c r="I58" i="14"/>
  <c r="J58" i="14"/>
  <c r="C59" i="14"/>
  <c r="D59" i="14"/>
  <c r="E59" i="14"/>
  <c r="F59" i="14"/>
  <c r="G59" i="14"/>
  <c r="H59" i="14"/>
  <c r="I59" i="14"/>
  <c r="J59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C64" i="14"/>
  <c r="D64" i="14"/>
  <c r="E64" i="14"/>
  <c r="F64" i="14"/>
  <c r="G64" i="14"/>
  <c r="H64" i="14"/>
  <c r="I64" i="14"/>
  <c r="J64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C81" i="14"/>
  <c r="D81" i="14"/>
  <c r="E81" i="14"/>
  <c r="F81" i="14"/>
  <c r="G81" i="14"/>
  <c r="H81" i="14"/>
  <c r="I81" i="14"/>
  <c r="J81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C83" i="14"/>
  <c r="D83" i="14"/>
  <c r="E83" i="14"/>
  <c r="F83" i="14"/>
  <c r="G83" i="14"/>
  <c r="H83" i="14"/>
  <c r="I83" i="14"/>
  <c r="J83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AF89" i="14"/>
  <c r="AG89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C95" i="14"/>
  <c r="D95" i="14"/>
  <c r="E95" i="14"/>
  <c r="F95" i="14"/>
  <c r="G95" i="14"/>
  <c r="H95" i="14"/>
  <c r="I95" i="14"/>
  <c r="J95" i="14"/>
  <c r="K95" i="14"/>
  <c r="L95" i="14"/>
  <c r="M95" i="14"/>
  <c r="N95" i="14"/>
  <c r="O95" i="14"/>
  <c r="P95" i="14"/>
  <c r="Q95" i="14"/>
  <c r="C96" i="14"/>
  <c r="D96" i="14"/>
  <c r="E96" i="14"/>
  <c r="F96" i="14"/>
  <c r="G96" i="14"/>
  <c r="H96" i="14"/>
  <c r="I96" i="14"/>
  <c r="J96" i="14"/>
  <c r="K96" i="14"/>
  <c r="L96" i="14"/>
  <c r="M96" i="14"/>
  <c r="N96" i="14"/>
  <c r="O96" i="14"/>
  <c r="P96" i="14"/>
  <c r="Q96" i="14"/>
  <c r="C97" i="14"/>
  <c r="D97" i="14"/>
  <c r="E97" i="14"/>
  <c r="F97" i="14"/>
  <c r="G97" i="14"/>
  <c r="H97" i="14"/>
  <c r="I97" i="14"/>
  <c r="J97" i="14"/>
  <c r="K97" i="14"/>
  <c r="L97" i="14"/>
  <c r="M97" i="14"/>
  <c r="N97" i="14"/>
  <c r="O97" i="14"/>
  <c r="P97" i="14"/>
  <c r="Q97" i="14"/>
  <c r="C99" i="14"/>
  <c r="D99" i="14"/>
  <c r="E99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C100" i="14"/>
  <c r="D100" i="14"/>
  <c r="E100" i="14"/>
  <c r="F100" i="14"/>
  <c r="G100" i="14"/>
  <c r="H100" i="14"/>
  <c r="I100" i="14"/>
  <c r="J100" i="14"/>
  <c r="K100" i="14"/>
  <c r="L100" i="14"/>
  <c r="M100" i="14"/>
  <c r="N100" i="14"/>
  <c r="O100" i="14"/>
  <c r="P100" i="14"/>
  <c r="Q100" i="14"/>
  <c r="C102" i="14"/>
  <c r="D102" i="14"/>
  <c r="E102" i="14"/>
  <c r="F102" i="14"/>
  <c r="G102" i="14"/>
  <c r="H102" i="14"/>
  <c r="I102" i="14"/>
  <c r="J102" i="14"/>
  <c r="K102" i="14"/>
  <c r="L102" i="14"/>
  <c r="M102" i="14"/>
  <c r="N102" i="14"/>
  <c r="O102" i="14"/>
  <c r="P102" i="14"/>
  <c r="Q102" i="14"/>
  <c r="C103" i="14"/>
  <c r="D103" i="14"/>
  <c r="E103" i="14"/>
  <c r="F103" i="14"/>
  <c r="G103" i="14"/>
  <c r="H103" i="14"/>
  <c r="I103" i="14"/>
  <c r="J103" i="14"/>
  <c r="K103" i="14"/>
  <c r="L103" i="14"/>
  <c r="M103" i="14"/>
  <c r="N103" i="14"/>
  <c r="O103" i="14"/>
  <c r="P103" i="14"/>
  <c r="Q103" i="14"/>
  <c r="C105" i="14"/>
  <c r="D105" i="14"/>
  <c r="E105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C106" i="14"/>
  <c r="D106" i="14"/>
  <c r="E106" i="14"/>
  <c r="F106" i="14"/>
  <c r="G106" i="14"/>
  <c r="H106" i="14"/>
  <c r="I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AA106" i="14"/>
  <c r="AB106" i="14"/>
  <c r="AC106" i="14"/>
  <c r="AD106" i="14"/>
  <c r="AE106" i="14"/>
  <c r="AF106" i="14"/>
  <c r="AG106" i="14"/>
  <c r="C107" i="14"/>
  <c r="D107" i="14"/>
  <c r="E107" i="14"/>
  <c r="F107" i="14"/>
  <c r="G107" i="14"/>
  <c r="H107" i="14"/>
  <c r="I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V107" i="14"/>
  <c r="W107" i="14"/>
  <c r="X107" i="14"/>
  <c r="Y107" i="14"/>
  <c r="Z107" i="14"/>
  <c r="AA107" i="14"/>
  <c r="AB107" i="14"/>
  <c r="AC107" i="14"/>
  <c r="AD107" i="14"/>
  <c r="AE107" i="14"/>
  <c r="AF107" i="14"/>
  <c r="AG107" i="14"/>
  <c r="C108" i="14"/>
  <c r="D108" i="14"/>
  <c r="E108" i="14"/>
  <c r="F108" i="14"/>
  <c r="G108" i="14"/>
  <c r="H108" i="14"/>
  <c r="I108" i="14"/>
  <c r="J108" i="14"/>
  <c r="K108" i="14"/>
  <c r="L108" i="14"/>
  <c r="M108" i="14"/>
  <c r="N108" i="14"/>
  <c r="O108" i="14"/>
  <c r="P108" i="14"/>
  <c r="Q108" i="14"/>
  <c r="C109" i="14"/>
  <c r="D109" i="14"/>
  <c r="E109" i="14"/>
  <c r="F109" i="14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Z109" i="14"/>
  <c r="AA109" i="14"/>
  <c r="AB109" i="14"/>
  <c r="AC109" i="14"/>
  <c r="AD109" i="14"/>
  <c r="AE109" i="14"/>
  <c r="AF109" i="14"/>
  <c r="AG109" i="14"/>
  <c r="C110" i="14"/>
  <c r="D110" i="14"/>
  <c r="E110" i="14"/>
  <c r="F110" i="14"/>
  <c r="G110" i="14"/>
  <c r="H110" i="14"/>
  <c r="I110" i="14"/>
  <c r="J110" i="14"/>
  <c r="K110" i="14"/>
  <c r="L110" i="14"/>
  <c r="M110" i="14"/>
  <c r="N110" i="14"/>
  <c r="O110" i="14"/>
  <c r="P110" i="14"/>
  <c r="Q110" i="14"/>
  <c r="R110" i="14"/>
  <c r="S110" i="14"/>
  <c r="T110" i="14"/>
  <c r="U110" i="14"/>
  <c r="V110" i="14"/>
  <c r="W110" i="14"/>
  <c r="X110" i="14"/>
  <c r="Y110" i="14"/>
  <c r="Z110" i="14"/>
  <c r="AA110" i="14"/>
  <c r="AB110" i="14"/>
  <c r="AC110" i="14"/>
  <c r="AD110" i="14"/>
  <c r="AE110" i="14"/>
  <c r="AF110" i="14"/>
  <c r="AG110" i="14"/>
  <c r="C112" i="14"/>
  <c r="D112" i="14"/>
  <c r="E112" i="14"/>
  <c r="F112" i="14"/>
  <c r="G112" i="14"/>
  <c r="H112" i="14"/>
  <c r="I112" i="14"/>
  <c r="J112" i="14"/>
  <c r="K112" i="14"/>
  <c r="L112" i="14"/>
  <c r="M112" i="14"/>
  <c r="N112" i="14"/>
  <c r="O112" i="14"/>
  <c r="P112" i="14"/>
  <c r="Q112" i="14"/>
  <c r="R112" i="14"/>
  <c r="S112" i="14"/>
  <c r="T112" i="14"/>
  <c r="U112" i="14"/>
  <c r="V112" i="14"/>
  <c r="W112" i="14"/>
  <c r="X112" i="14"/>
  <c r="Y112" i="14"/>
  <c r="Z112" i="14"/>
  <c r="AA112" i="14"/>
  <c r="AB112" i="14"/>
  <c r="AC112" i="14"/>
  <c r="AD112" i="14"/>
  <c r="AE112" i="14"/>
  <c r="AF112" i="14"/>
  <c r="AG112" i="14"/>
  <c r="C17" i="1"/>
  <c r="C18" i="1"/>
  <c r="C19" i="1"/>
  <c r="C20" i="1"/>
  <c r="E20" i="1"/>
  <c r="N28" i="1"/>
  <c r="N29" i="1"/>
  <c r="N30" i="1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A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AG12" i="16"/>
  <c r="AH12" i="16"/>
  <c r="AI12" i="16"/>
  <c r="AJ12" i="16"/>
  <c r="AK12" i="16"/>
  <c r="AL12" i="16"/>
  <c r="AM12" i="16"/>
  <c r="AN12" i="16"/>
  <c r="AO12" i="16"/>
  <c r="AP12" i="16"/>
  <c r="AQ12" i="16"/>
  <c r="AR12" i="16"/>
  <c r="AS12" i="16"/>
  <c r="AT12" i="16"/>
  <c r="AU12" i="16"/>
  <c r="AV12" i="16"/>
  <c r="AW12" i="16"/>
  <c r="AX12" i="16"/>
  <c r="AY12" i="16"/>
  <c r="AZ12" i="16"/>
  <c r="BA12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K14" i="16"/>
  <c r="AL14" i="16"/>
  <c r="AM14" i="16"/>
  <c r="AN14" i="16"/>
  <c r="AO14" i="16"/>
  <c r="AP14" i="16"/>
  <c r="AQ14" i="16"/>
  <c r="AR14" i="16"/>
  <c r="AS14" i="16"/>
  <c r="AT14" i="16"/>
  <c r="AU14" i="16"/>
  <c r="AV14" i="16"/>
  <c r="AW14" i="16"/>
  <c r="AX14" i="16"/>
  <c r="AY14" i="16"/>
  <c r="AZ14" i="16"/>
  <c r="BA14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D20" i="16" a="1"/>
  <c r="D20" i="16"/>
  <c r="E20" i="16" a="1"/>
  <c r="E20" i="16"/>
  <c r="F20" i="16" a="1"/>
  <c r="F20" i="16"/>
  <c r="G20" i="16" a="1"/>
  <c r="G20" i="16"/>
  <c r="H20" i="16" a="1"/>
  <c r="H20" i="16"/>
  <c r="I20" i="16" a="1"/>
  <c r="I20" i="16"/>
  <c r="J20" i="16" a="1"/>
  <c r="J20" i="16"/>
  <c r="K20" i="16" a="1"/>
  <c r="K20" i="16"/>
  <c r="L20" i="16" a="1"/>
  <c r="L20" i="16"/>
  <c r="M20" i="16" a="1"/>
  <c r="M20" i="16"/>
  <c r="N20" i="16" a="1"/>
  <c r="N20" i="16"/>
  <c r="O20" i="16" a="1"/>
  <c r="O20" i="16"/>
  <c r="P20" i="16" a="1"/>
  <c r="P20" i="16"/>
  <c r="Q20" i="16" a="1"/>
  <c r="Q20" i="16"/>
  <c r="R20" i="16" a="1"/>
  <c r="R20" i="16"/>
  <c r="S20" i="16" a="1"/>
  <c r="S20" i="16"/>
  <c r="T20" i="16" a="1"/>
  <c r="T20" i="16"/>
  <c r="U20" i="16" a="1"/>
  <c r="U20" i="16"/>
  <c r="V20" i="16" a="1"/>
  <c r="V20" i="16"/>
  <c r="W20" i="16" a="1"/>
  <c r="W20" i="16"/>
  <c r="X20" i="16" a="1"/>
  <c r="X20" i="16"/>
  <c r="Y20" i="16" a="1"/>
  <c r="Y20" i="16"/>
  <c r="Z20" i="16" a="1"/>
  <c r="Z20" i="16"/>
  <c r="AA20" i="16" a="1"/>
  <c r="AA20" i="16"/>
  <c r="AB20" i="16" a="1"/>
  <c r="AB20" i="16"/>
  <c r="AC20" i="16" a="1"/>
  <c r="AC20" i="16"/>
  <c r="AD20" i="16" a="1"/>
  <c r="AD20" i="16"/>
  <c r="AE20" i="16" a="1"/>
  <c r="AE20" i="16"/>
  <c r="AF20" i="16" a="1"/>
  <c r="AF20" i="16"/>
  <c r="AG20" i="16" a="1"/>
  <c r="AG20" i="16"/>
  <c r="AH20" i="16" a="1"/>
  <c r="AH20" i="16"/>
  <c r="AI20" i="16" a="1"/>
  <c r="AI20" i="16"/>
  <c r="AJ20" i="16" a="1"/>
  <c r="AJ20" i="16"/>
  <c r="AK20" i="16" a="1"/>
  <c r="AK20" i="16"/>
  <c r="AL20" i="16" a="1"/>
  <c r="AL20" i="16"/>
  <c r="AM20" i="16" a="1"/>
  <c r="AM20" i="16"/>
  <c r="AN20" i="16" a="1"/>
  <c r="AN20" i="16"/>
  <c r="AO20" i="16" a="1"/>
  <c r="AO20" i="16"/>
  <c r="AP20" i="16" a="1"/>
  <c r="AP20" i="16"/>
  <c r="AQ20" i="16" a="1"/>
  <c r="AQ20" i="16"/>
  <c r="AR20" i="16" a="1"/>
  <c r="AR20" i="16"/>
  <c r="AS20" i="16" a="1"/>
  <c r="AS20" i="16"/>
  <c r="AT20" i="16" a="1"/>
  <c r="AT20" i="16"/>
  <c r="AU20" i="16" a="1"/>
  <c r="AU20" i="16"/>
  <c r="AV20" i="16" a="1"/>
  <c r="AV20" i="16"/>
  <c r="AW20" i="16" a="1"/>
  <c r="AW20" i="16"/>
  <c r="AX20" i="16" a="1"/>
  <c r="AX20" i="16"/>
  <c r="AY20" i="16" a="1"/>
  <c r="AY20" i="16"/>
  <c r="AZ20" i="16" a="1"/>
  <c r="AZ20" i="16"/>
  <c r="BA20" i="16" a="1"/>
  <c r="BA20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AR21" i="16"/>
  <c r="AS21" i="16"/>
  <c r="AT21" i="16"/>
  <c r="AU21" i="16"/>
  <c r="AV21" i="16"/>
  <c r="AW21" i="16"/>
  <c r="AX21" i="16"/>
  <c r="AY21" i="16"/>
  <c r="AZ21" i="16"/>
  <c r="BA21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C24" i="16"/>
  <c r="C25" i="16"/>
  <c r="C26" i="16"/>
  <c r="C27" i="16"/>
  <c r="E27" i="16"/>
  <c r="C28" i="16"/>
  <c r="E28" i="16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G31" i="11"/>
  <c r="H31" i="11"/>
  <c r="G32" i="11"/>
  <c r="G35" i="11"/>
  <c r="G38" i="11"/>
  <c r="G39" i="11"/>
  <c r="G40" i="11"/>
  <c r="D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D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D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F111" i="13"/>
  <c r="G111" i="13"/>
  <c r="H111" i="13"/>
  <c r="I111" i="13"/>
  <c r="J111" i="13"/>
  <c r="K111" i="13"/>
  <c r="L111" i="13"/>
  <c r="M111" i="13"/>
  <c r="F112" i="13"/>
  <c r="G112" i="13"/>
  <c r="H112" i="13"/>
  <c r="I112" i="13"/>
  <c r="J112" i="13"/>
  <c r="K112" i="13"/>
  <c r="L112" i="13"/>
  <c r="M112" i="13"/>
  <c r="F113" i="13"/>
  <c r="G113" i="13"/>
  <c r="H113" i="13"/>
  <c r="I113" i="13"/>
  <c r="J113" i="13"/>
  <c r="K113" i="13"/>
  <c r="L113" i="13"/>
  <c r="M113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F145" i="13"/>
  <c r="G145" i="13"/>
  <c r="H145" i="13"/>
  <c r="I145" i="13"/>
  <c r="J145" i="13"/>
  <c r="K145" i="13"/>
  <c r="L145" i="13"/>
  <c r="M145" i="13"/>
  <c r="F146" i="13"/>
  <c r="G146" i="13"/>
  <c r="H146" i="13"/>
  <c r="I146" i="13"/>
  <c r="J146" i="13"/>
  <c r="K146" i="13"/>
  <c r="L146" i="13"/>
  <c r="M146" i="13"/>
  <c r="F147" i="13"/>
  <c r="G147" i="13"/>
  <c r="H147" i="13"/>
  <c r="I147" i="13"/>
  <c r="J147" i="13"/>
  <c r="K147" i="13"/>
  <c r="L147" i="13"/>
  <c r="M147" i="13"/>
  <c r="D163" i="13"/>
  <c r="F163" i="13"/>
  <c r="G163" i="13"/>
  <c r="H163" i="13"/>
  <c r="I163" i="13"/>
  <c r="J163" i="13"/>
  <c r="K163" i="13"/>
  <c r="L163" i="13"/>
  <c r="M163" i="13"/>
  <c r="N163" i="13"/>
  <c r="O163" i="13"/>
  <c r="P163" i="13"/>
  <c r="Q163" i="13"/>
  <c r="R163" i="13"/>
  <c r="S163" i="13"/>
  <c r="T163" i="13"/>
  <c r="F164" i="13"/>
  <c r="G164" i="13"/>
  <c r="H164" i="13"/>
  <c r="I164" i="13"/>
  <c r="J164" i="13"/>
  <c r="K164" i="13"/>
  <c r="L164" i="13"/>
  <c r="M164" i="13"/>
  <c r="N164" i="13"/>
  <c r="O164" i="13"/>
  <c r="P164" i="13"/>
  <c r="Q164" i="13"/>
  <c r="R164" i="13"/>
  <c r="S164" i="13"/>
  <c r="T164" i="13"/>
  <c r="F165" i="13"/>
  <c r="G165" i="13"/>
  <c r="H165" i="13"/>
  <c r="I165" i="13"/>
  <c r="J165" i="13"/>
  <c r="K165" i="13"/>
  <c r="L165" i="13"/>
  <c r="M165" i="13"/>
  <c r="N165" i="13"/>
  <c r="O165" i="13"/>
  <c r="P165" i="13"/>
  <c r="Q165" i="13"/>
  <c r="R165" i="13"/>
  <c r="S165" i="13"/>
  <c r="T165" i="13"/>
  <c r="U165" i="13"/>
  <c r="V165" i="13"/>
  <c r="W165" i="13"/>
  <c r="X165" i="13"/>
  <c r="Y165" i="13"/>
  <c r="Z165" i="13"/>
  <c r="AA165" i="13"/>
  <c r="AB165" i="13"/>
  <c r="F167" i="13"/>
  <c r="G167" i="13"/>
  <c r="H167" i="13"/>
  <c r="I167" i="13"/>
  <c r="J167" i="13"/>
  <c r="K167" i="13"/>
  <c r="L167" i="13"/>
  <c r="M167" i="13"/>
  <c r="N167" i="13"/>
  <c r="O167" i="13"/>
  <c r="P167" i="13"/>
  <c r="Q167" i="13"/>
  <c r="R167" i="13"/>
  <c r="S167" i="13"/>
  <c r="T167" i="13"/>
  <c r="U167" i="13"/>
  <c r="V167" i="13"/>
  <c r="W167" i="13"/>
  <c r="X167" i="13"/>
  <c r="Y167" i="13"/>
  <c r="Z167" i="13"/>
  <c r="AA167" i="13"/>
  <c r="AB167" i="13"/>
  <c r="F168" i="13"/>
  <c r="G168" i="13"/>
  <c r="H168" i="13"/>
  <c r="I168" i="13"/>
  <c r="J168" i="13"/>
  <c r="K168" i="13"/>
  <c r="L168" i="13"/>
  <c r="M168" i="13"/>
  <c r="N168" i="13"/>
  <c r="O168" i="13"/>
  <c r="P168" i="13"/>
  <c r="Q168" i="13"/>
  <c r="R168" i="13"/>
  <c r="S168" i="13"/>
  <c r="T168" i="13"/>
  <c r="F169" i="13"/>
  <c r="G169" i="13"/>
  <c r="H169" i="13"/>
  <c r="I169" i="13"/>
  <c r="J169" i="13"/>
  <c r="K169" i="13"/>
  <c r="L169" i="13"/>
  <c r="M169" i="13"/>
  <c r="N169" i="13"/>
  <c r="O169" i="13"/>
  <c r="P169" i="13"/>
  <c r="Q169" i="13"/>
  <c r="R169" i="13"/>
  <c r="S169" i="13"/>
  <c r="T169" i="13"/>
  <c r="U169" i="13"/>
  <c r="V169" i="13"/>
  <c r="W169" i="13"/>
  <c r="X169" i="13"/>
  <c r="Y169" i="13"/>
  <c r="Z169" i="13"/>
  <c r="AA169" i="13"/>
  <c r="AB169" i="13"/>
  <c r="D201" i="13"/>
  <c r="F201" i="13"/>
  <c r="G201" i="13"/>
  <c r="H201" i="13"/>
  <c r="I201" i="13"/>
  <c r="J201" i="13"/>
  <c r="K201" i="13"/>
  <c r="L201" i="13"/>
  <c r="M201" i="13"/>
  <c r="N201" i="13"/>
  <c r="O201" i="13"/>
  <c r="P201" i="13"/>
  <c r="Q201" i="13"/>
  <c r="R201" i="13"/>
  <c r="S201" i="13"/>
  <c r="T201" i="13"/>
  <c r="U201" i="13"/>
  <c r="V201" i="13"/>
  <c r="W201" i="13"/>
  <c r="X201" i="13"/>
  <c r="Y201" i="13"/>
  <c r="Z201" i="13"/>
  <c r="AA201" i="13"/>
  <c r="AB201" i="13"/>
  <c r="D202" i="13"/>
  <c r="F202" i="13"/>
  <c r="G202" i="13"/>
  <c r="H202" i="13"/>
  <c r="I202" i="13"/>
  <c r="J202" i="13"/>
  <c r="K202" i="13"/>
  <c r="L202" i="13"/>
  <c r="M202" i="13"/>
  <c r="N202" i="13"/>
  <c r="O202" i="13"/>
  <c r="P202" i="13"/>
  <c r="Q202" i="13"/>
  <c r="R202" i="13"/>
  <c r="S202" i="13"/>
  <c r="T202" i="13"/>
  <c r="U202" i="13"/>
  <c r="V202" i="13"/>
  <c r="W202" i="13"/>
  <c r="X202" i="13"/>
  <c r="Y202" i="13"/>
  <c r="Z202" i="13"/>
  <c r="AA202" i="13"/>
  <c r="AB202" i="13"/>
  <c r="D203" i="13"/>
  <c r="F203" i="13"/>
  <c r="G203" i="13"/>
  <c r="H203" i="13"/>
  <c r="I203" i="13"/>
  <c r="J203" i="13"/>
  <c r="K203" i="13"/>
  <c r="L203" i="13"/>
  <c r="M203" i="13"/>
  <c r="N203" i="13"/>
  <c r="O203" i="13"/>
  <c r="P203" i="13"/>
  <c r="Q203" i="13"/>
  <c r="R203" i="13"/>
  <c r="S203" i="13"/>
  <c r="T203" i="13"/>
  <c r="U203" i="13"/>
  <c r="V203" i="13"/>
  <c r="W203" i="13"/>
  <c r="X203" i="13"/>
  <c r="Y203" i="13"/>
  <c r="Z203" i="13"/>
  <c r="AA203" i="13"/>
  <c r="AB203" i="13"/>
  <c r="D234" i="13"/>
  <c r="F234" i="13"/>
  <c r="G234" i="13"/>
  <c r="H234" i="13"/>
  <c r="I234" i="13"/>
  <c r="J234" i="13"/>
  <c r="K234" i="13"/>
  <c r="L234" i="13"/>
  <c r="M234" i="13"/>
  <c r="D235" i="13"/>
  <c r="F235" i="13"/>
  <c r="G235" i="13"/>
  <c r="H235" i="13"/>
  <c r="I235" i="13"/>
  <c r="J235" i="13"/>
  <c r="K235" i="13"/>
  <c r="L235" i="13"/>
  <c r="M235" i="13"/>
  <c r="D236" i="13"/>
  <c r="F236" i="13"/>
  <c r="G236" i="13"/>
  <c r="H236" i="13"/>
  <c r="I236" i="13"/>
  <c r="J236" i="13"/>
  <c r="K236" i="13"/>
  <c r="L236" i="13"/>
  <c r="M236" i="13"/>
  <c r="F237" i="13"/>
  <c r="G237" i="13"/>
  <c r="H237" i="13"/>
  <c r="I237" i="13"/>
  <c r="J237" i="13"/>
  <c r="K237" i="13"/>
  <c r="L237" i="13"/>
  <c r="M237" i="13"/>
  <c r="F269" i="13"/>
  <c r="G269" i="13"/>
  <c r="H269" i="13"/>
  <c r="I269" i="13"/>
  <c r="J269" i="13"/>
  <c r="K269" i="13"/>
  <c r="L269" i="13"/>
  <c r="M269" i="13"/>
  <c r="N269" i="13"/>
  <c r="O269" i="13"/>
  <c r="P269" i="13"/>
  <c r="Q269" i="13"/>
  <c r="R269" i="13"/>
  <c r="S269" i="13"/>
  <c r="T269" i="13"/>
  <c r="U269" i="13"/>
  <c r="V269" i="13"/>
  <c r="W269" i="13"/>
  <c r="X269" i="13"/>
  <c r="Y269" i="13"/>
  <c r="Z269" i="13"/>
  <c r="AA269" i="13"/>
  <c r="AB269" i="13"/>
  <c r="F270" i="13"/>
  <c r="G270" i="13"/>
  <c r="H270" i="13"/>
  <c r="I270" i="13"/>
  <c r="J270" i="13"/>
  <c r="K270" i="13"/>
  <c r="L270" i="13"/>
  <c r="M270" i="13"/>
  <c r="N270" i="13"/>
  <c r="O270" i="13"/>
  <c r="P270" i="13"/>
  <c r="Q270" i="13"/>
  <c r="R270" i="13"/>
  <c r="S270" i="13"/>
  <c r="T270" i="13"/>
  <c r="U270" i="13"/>
  <c r="V270" i="13"/>
  <c r="W270" i="13"/>
  <c r="X270" i="13"/>
  <c r="Y270" i="13"/>
  <c r="Z270" i="13"/>
  <c r="AA270" i="13"/>
  <c r="AB270" i="13"/>
  <c r="F271" i="13"/>
  <c r="G271" i="13"/>
  <c r="H271" i="13"/>
  <c r="I271" i="13"/>
  <c r="J271" i="13"/>
  <c r="K271" i="13"/>
  <c r="L271" i="13"/>
  <c r="M271" i="13"/>
  <c r="N271" i="13"/>
  <c r="O271" i="13"/>
  <c r="P271" i="13"/>
  <c r="Q271" i="13"/>
  <c r="R271" i="13"/>
  <c r="S271" i="13"/>
  <c r="T271" i="13"/>
  <c r="U271" i="13"/>
  <c r="V271" i="13"/>
  <c r="W271" i="13"/>
  <c r="X271" i="13"/>
  <c r="Y271" i="13"/>
  <c r="Z271" i="13"/>
  <c r="AA271" i="13"/>
  <c r="AB271" i="13"/>
  <c r="C280" i="13"/>
  <c r="C286" i="13"/>
  <c r="C287" i="13"/>
  <c r="C288" i="13"/>
  <c r="C3" i="17"/>
  <c r="C4" i="17"/>
  <c r="H4" i="17"/>
  <c r="C3" i="8"/>
  <c r="C4" i="8"/>
  <c r="C5" i="8"/>
  <c r="C14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A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A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AK47" i="8"/>
  <c r="AL47" i="8"/>
  <c r="AM47" i="8"/>
  <c r="AN47" i="8"/>
  <c r="AO47" i="8"/>
  <c r="AP47" i="8"/>
  <c r="AQ47" i="8"/>
  <c r="AR47" i="8"/>
  <c r="AS47" i="8"/>
  <c r="AT47" i="8"/>
  <c r="AU47" i="8"/>
  <c r="AV47" i="8"/>
  <c r="AW47" i="8"/>
  <c r="AX47" i="8"/>
  <c r="AY47" i="8"/>
  <c r="AZ47" i="8"/>
  <c r="BA47" i="8"/>
  <c r="BB47" i="8"/>
  <c r="BC47" i="8"/>
  <c r="BD47" i="8"/>
  <c r="BE47" i="8"/>
  <c r="BF47" i="8"/>
  <c r="BG47" i="8"/>
  <c r="BH47" i="8"/>
  <c r="BI47" i="8"/>
  <c r="BJ47" i="8"/>
  <c r="BK47" i="8"/>
  <c r="BL47" i="8"/>
  <c r="BM47" i="8"/>
  <c r="BN47" i="8"/>
  <c r="BO47" i="8"/>
  <c r="BP47" i="8"/>
  <c r="BQ47" i="8"/>
  <c r="BR47" i="8"/>
  <c r="BS47" i="8"/>
  <c r="BT47" i="8"/>
  <c r="BU47" i="8"/>
  <c r="BV47" i="8"/>
  <c r="BW47" i="8"/>
  <c r="BX47" i="8"/>
  <c r="BY47" i="8"/>
  <c r="BZ47" i="8"/>
  <c r="CA47" i="8"/>
  <c r="CB47" i="8"/>
  <c r="CC47" i="8"/>
  <c r="CD47" i="8"/>
  <c r="CE47" i="8"/>
  <c r="CF47" i="8"/>
  <c r="CG47" i="8"/>
  <c r="CH47" i="8"/>
  <c r="CI47" i="8"/>
  <c r="CJ47" i="8"/>
  <c r="CK47" i="8"/>
  <c r="CL47" i="8"/>
  <c r="CM47" i="8"/>
  <c r="CN47" i="8"/>
  <c r="CO47" i="8"/>
  <c r="CP47" i="8"/>
  <c r="CQ47" i="8"/>
  <c r="CR47" i="8"/>
  <c r="CS47" i="8"/>
  <c r="CT47" i="8"/>
  <c r="CU47" i="8"/>
  <c r="CV47" i="8"/>
  <c r="CW47" i="8"/>
  <c r="CX47" i="8"/>
  <c r="CY47" i="8"/>
  <c r="CZ47" i="8"/>
  <c r="DA47" i="8"/>
  <c r="DB47" i="8"/>
  <c r="DC47" i="8"/>
  <c r="DD47" i="8"/>
  <c r="DE47" i="8"/>
  <c r="DF47" i="8"/>
  <c r="DG47" i="8"/>
  <c r="DH47" i="8"/>
  <c r="DI47" i="8"/>
  <c r="DJ47" i="8"/>
  <c r="DK47" i="8"/>
  <c r="DL47" i="8"/>
  <c r="DM47" i="8"/>
  <c r="DN47" i="8"/>
  <c r="DO47" i="8"/>
  <c r="DP47" i="8"/>
  <c r="DQ47" i="8"/>
  <c r="DR47" i="8"/>
  <c r="DS47" i="8"/>
  <c r="DT47" i="8"/>
  <c r="DU47" i="8"/>
  <c r="DV47" i="8"/>
  <c r="DW47" i="8"/>
  <c r="DX47" i="8"/>
  <c r="DY47" i="8"/>
  <c r="DZ47" i="8"/>
  <c r="EA47" i="8"/>
  <c r="EB47" i="8"/>
  <c r="EC47" i="8"/>
  <c r="ED47" i="8"/>
  <c r="EE47" i="8"/>
  <c r="EF47" i="8"/>
  <c r="EG47" i="8"/>
  <c r="EH47" i="8"/>
  <c r="EI47" i="8"/>
  <c r="EJ47" i="8"/>
  <c r="EK47" i="8"/>
  <c r="EL47" i="8"/>
  <c r="EM47" i="8"/>
  <c r="EN47" i="8"/>
  <c r="EO47" i="8"/>
  <c r="EP47" i="8"/>
  <c r="EQ47" i="8"/>
  <c r="ER47" i="8"/>
  <c r="ES47" i="8"/>
  <c r="ET47" i="8"/>
  <c r="EU47" i="8"/>
  <c r="EV47" i="8"/>
  <c r="EW47" i="8"/>
  <c r="EX47" i="8"/>
  <c r="EY47" i="8"/>
  <c r="EZ47" i="8"/>
  <c r="FA47" i="8"/>
  <c r="FB47" i="8"/>
  <c r="FC47" i="8"/>
  <c r="FD47" i="8"/>
  <c r="FE47" i="8"/>
  <c r="FF47" i="8"/>
  <c r="FG47" i="8"/>
  <c r="FH47" i="8"/>
  <c r="FI47" i="8"/>
  <c r="FJ47" i="8"/>
  <c r="FK47" i="8"/>
  <c r="FL47" i="8"/>
  <c r="FM47" i="8"/>
  <c r="FN47" i="8"/>
  <c r="FO47" i="8"/>
  <c r="FP47" i="8"/>
  <c r="FQ47" i="8"/>
  <c r="FR47" i="8"/>
  <c r="FS47" i="8"/>
  <c r="FT47" i="8"/>
  <c r="FU47" i="8"/>
  <c r="FV47" i="8"/>
  <c r="FW47" i="8"/>
  <c r="FX47" i="8"/>
  <c r="FY47" i="8"/>
  <c r="FZ47" i="8"/>
  <c r="GA47" i="8"/>
  <c r="GB47" i="8"/>
  <c r="GC47" i="8"/>
  <c r="GD47" i="8"/>
  <c r="GE47" i="8"/>
  <c r="GF47" i="8"/>
  <c r="GG47" i="8"/>
  <c r="GH47" i="8"/>
  <c r="GI47" i="8"/>
  <c r="GJ47" i="8"/>
  <c r="GK47" i="8"/>
  <c r="GL47" i="8"/>
  <c r="GM47" i="8"/>
  <c r="GN47" i="8"/>
  <c r="GO47" i="8"/>
  <c r="GP47" i="8"/>
  <c r="GQ47" i="8"/>
  <c r="GR47" i="8"/>
  <c r="GS47" i="8"/>
  <c r="GT47" i="8"/>
  <c r="GU47" i="8"/>
  <c r="GV47" i="8"/>
  <c r="GW47" i="8"/>
  <c r="GX47" i="8"/>
  <c r="GY47" i="8"/>
  <c r="GZ47" i="8"/>
  <c r="HA47" i="8"/>
  <c r="HB47" i="8"/>
  <c r="HC47" i="8"/>
  <c r="HD47" i="8"/>
  <c r="HE47" i="8"/>
  <c r="HF47" i="8"/>
  <c r="HG47" i="8"/>
  <c r="HH47" i="8"/>
  <c r="HI47" i="8"/>
  <c r="HJ47" i="8"/>
  <c r="HK47" i="8"/>
  <c r="HL47" i="8"/>
  <c r="HM47" i="8"/>
  <c r="HN47" i="8"/>
  <c r="HO47" i="8"/>
  <c r="HP47" i="8"/>
  <c r="HQ47" i="8"/>
  <c r="HR47" i="8"/>
  <c r="HS47" i="8"/>
  <c r="HT47" i="8"/>
  <c r="HU47" i="8"/>
  <c r="HV47" i="8"/>
  <c r="HW47" i="8"/>
  <c r="HX47" i="8"/>
  <c r="HY47" i="8"/>
  <c r="HZ47" i="8"/>
  <c r="IA47" i="8"/>
  <c r="IB47" i="8"/>
  <c r="IC47" i="8"/>
  <c r="A48" i="8"/>
  <c r="Q48" i="8" a="1"/>
  <c r="Q48" i="8"/>
  <c r="R48" i="8" a="1"/>
  <c r="R48" i="8"/>
  <c r="S48" i="8" a="1"/>
  <c r="S48" i="8"/>
  <c r="T48" i="8" a="1"/>
  <c r="T48" i="8"/>
  <c r="U48" i="8" a="1"/>
  <c r="U48" i="8"/>
  <c r="V48" i="8" a="1"/>
  <c r="V48" i="8"/>
  <c r="W48" i="8" a="1"/>
  <c r="W48" i="8"/>
  <c r="X48" i="8" a="1"/>
  <c r="X48" i="8"/>
  <c r="Y48" i="8" a="1"/>
  <c r="Y48" i="8"/>
  <c r="Z48" i="8" a="1"/>
  <c r="Z48" i="8"/>
  <c r="AA48" i="8" a="1"/>
  <c r="AA48" i="8"/>
  <c r="AB48" i="8" a="1"/>
  <c r="AB48" i="8"/>
  <c r="AC48" i="8" a="1"/>
  <c r="AC48" i="8"/>
  <c r="AD48" i="8" a="1"/>
  <c r="AD48" i="8"/>
  <c r="AE48" i="8" a="1"/>
  <c r="AE48" i="8"/>
  <c r="AF48" i="8" a="1"/>
  <c r="AF48" i="8"/>
  <c r="AG48" i="8" a="1"/>
  <c r="AG48" i="8"/>
  <c r="AH48" i="8" a="1"/>
  <c r="AH48" i="8"/>
  <c r="AI48" i="8" a="1"/>
  <c r="AI48" i="8"/>
  <c r="AJ48" i="8" a="1"/>
  <c r="AJ48" i="8"/>
  <c r="AK48" i="8" a="1"/>
  <c r="AK48" i="8"/>
  <c r="AL48" i="8" a="1"/>
  <c r="AL48" i="8"/>
  <c r="AM48" i="8" a="1"/>
  <c r="AM48" i="8"/>
  <c r="AN48" i="8" a="1"/>
  <c r="AN48" i="8"/>
  <c r="AO48" i="8" a="1"/>
  <c r="AO48" i="8"/>
  <c r="AP48" i="8" a="1"/>
  <c r="AP48" i="8"/>
  <c r="AQ48" i="8" a="1"/>
  <c r="AQ48" i="8"/>
  <c r="AR48" i="8" a="1"/>
  <c r="AR48" i="8"/>
  <c r="AS48" i="8" a="1"/>
  <c r="AS48" i="8"/>
  <c r="AT48" i="8" a="1"/>
  <c r="AT48" i="8"/>
  <c r="AU48" i="8" a="1"/>
  <c r="AU48" i="8"/>
  <c r="AV48" i="8" a="1"/>
  <c r="AV48" i="8"/>
  <c r="AW48" i="8" a="1"/>
  <c r="AW48" i="8"/>
  <c r="AX48" i="8" a="1"/>
  <c r="AX48" i="8"/>
  <c r="AY48" i="8" a="1"/>
  <c r="AY48" i="8"/>
  <c r="AZ48" i="8" a="1"/>
  <c r="AZ48" i="8"/>
  <c r="BA48" i="8" a="1"/>
  <c r="BA48" i="8"/>
  <c r="BB48" i="8" a="1"/>
  <c r="BB48" i="8"/>
  <c r="BC48" i="8" a="1"/>
  <c r="BC48" i="8"/>
  <c r="BD48" i="8" a="1"/>
  <c r="BD48" i="8"/>
  <c r="BE48" i="8" a="1"/>
  <c r="BE48" i="8"/>
  <c r="BF48" i="8" a="1"/>
  <c r="BF48" i="8"/>
  <c r="BG48" i="8" a="1"/>
  <c r="BG48" i="8"/>
  <c r="BH48" i="8" a="1"/>
  <c r="BH48" i="8"/>
  <c r="BI48" i="8" a="1"/>
  <c r="BI48" i="8"/>
  <c r="BJ48" i="8" a="1"/>
  <c r="BJ48" i="8"/>
  <c r="BK48" i="8" a="1"/>
  <c r="BK48" i="8"/>
  <c r="BL48" i="8" a="1"/>
  <c r="BL48" i="8"/>
  <c r="BM48" i="8" a="1"/>
  <c r="BM48" i="8"/>
  <c r="BN48" i="8" a="1"/>
  <c r="BN48" i="8"/>
  <c r="BO48" i="8" a="1"/>
  <c r="BO48" i="8"/>
  <c r="BP48" i="8" a="1"/>
  <c r="BP48" i="8"/>
  <c r="BQ48" i="8" a="1"/>
  <c r="BQ48" i="8"/>
  <c r="BR48" i="8" a="1"/>
  <c r="BR48" i="8"/>
  <c r="BS48" i="8" a="1"/>
  <c r="BS48" i="8"/>
  <c r="BT48" i="8" a="1"/>
  <c r="BT48" i="8"/>
  <c r="BU48" i="8" a="1"/>
  <c r="BU48" i="8"/>
  <c r="BV48" i="8" a="1"/>
  <c r="BV48" i="8"/>
  <c r="BW48" i="8" a="1"/>
  <c r="BW48" i="8"/>
  <c r="BX48" i="8" a="1"/>
  <c r="BX48" i="8"/>
  <c r="BY48" i="8" a="1"/>
  <c r="BY48" i="8"/>
  <c r="BZ48" i="8" a="1"/>
  <c r="BZ48" i="8"/>
  <c r="CA48" i="8" a="1"/>
  <c r="CA48" i="8"/>
  <c r="CB48" i="8" a="1"/>
  <c r="CB48" i="8"/>
  <c r="CC48" i="8" a="1"/>
  <c r="CC48" i="8"/>
  <c r="CD48" i="8" a="1"/>
  <c r="CD48" i="8"/>
  <c r="CE48" i="8" a="1"/>
  <c r="CE48" i="8"/>
  <c r="CF48" i="8" a="1"/>
  <c r="CF48" i="8"/>
  <c r="CG48" i="8" a="1"/>
  <c r="CG48" i="8"/>
  <c r="CH48" i="8" a="1"/>
  <c r="CH48" i="8"/>
  <c r="CI48" i="8" a="1"/>
  <c r="CI48" i="8"/>
  <c r="CJ48" i="8" a="1"/>
  <c r="CJ48" i="8"/>
  <c r="CK48" i="8" a="1"/>
  <c r="CK48" i="8"/>
  <c r="CL48" i="8" a="1"/>
  <c r="CL48" i="8"/>
  <c r="CM48" i="8" a="1"/>
  <c r="CM48" i="8"/>
  <c r="CN48" i="8" a="1"/>
  <c r="CN48" i="8"/>
  <c r="CO48" i="8" a="1"/>
  <c r="CO48" i="8"/>
  <c r="CP48" i="8" a="1"/>
  <c r="CP48" i="8"/>
  <c r="CQ48" i="8" a="1"/>
  <c r="CQ48" i="8"/>
  <c r="CR48" i="8" a="1"/>
  <c r="CR48" i="8"/>
  <c r="CS48" i="8" a="1"/>
  <c r="CS48" i="8"/>
  <c r="CT48" i="8" a="1"/>
  <c r="CT48" i="8"/>
  <c r="CU48" i="8" a="1"/>
  <c r="CU48" i="8"/>
  <c r="CV48" i="8" a="1"/>
  <c r="CV48" i="8"/>
  <c r="CW48" i="8" a="1"/>
  <c r="CW48" i="8"/>
  <c r="CX48" i="8" a="1"/>
  <c r="CX48" i="8"/>
  <c r="CY48" i="8" a="1"/>
  <c r="CY48" i="8"/>
  <c r="CZ48" i="8" a="1"/>
  <c r="CZ48" i="8"/>
  <c r="DA48" i="8" a="1"/>
  <c r="DA48" i="8"/>
  <c r="DB48" i="8" a="1"/>
  <c r="DB48" i="8"/>
  <c r="DC48" i="8" a="1"/>
  <c r="DC48" i="8"/>
  <c r="DD48" i="8" a="1"/>
  <c r="DD48" i="8"/>
  <c r="DE48" i="8" a="1"/>
  <c r="DE48" i="8"/>
  <c r="DF48" i="8" a="1"/>
  <c r="DF48" i="8"/>
  <c r="DG48" i="8" a="1"/>
  <c r="DG48" i="8"/>
  <c r="DH48" i="8" a="1"/>
  <c r="DH48" i="8"/>
  <c r="DI48" i="8" a="1"/>
  <c r="DI48" i="8"/>
  <c r="DJ48" i="8" a="1"/>
  <c r="DJ48" i="8"/>
  <c r="DK48" i="8" a="1"/>
  <c r="DK48" i="8"/>
  <c r="DL48" i="8" a="1"/>
  <c r="DL48" i="8"/>
  <c r="DM48" i="8" a="1"/>
  <c r="DM48" i="8"/>
  <c r="DN48" i="8" a="1"/>
  <c r="DN48" i="8"/>
  <c r="DO48" i="8" a="1"/>
  <c r="DO48" i="8"/>
  <c r="DP48" i="8" a="1"/>
  <c r="DP48" i="8"/>
  <c r="DQ48" i="8" a="1"/>
  <c r="DQ48" i="8"/>
  <c r="DR48" i="8" a="1"/>
  <c r="DR48" i="8"/>
  <c r="DS48" i="8" a="1"/>
  <c r="DS48" i="8"/>
  <c r="DT48" i="8" a="1"/>
  <c r="DT48" i="8"/>
  <c r="DU48" i="8" a="1"/>
  <c r="DU48" i="8"/>
  <c r="DV48" i="8" a="1"/>
  <c r="DV48" i="8"/>
  <c r="DW48" i="8" a="1"/>
  <c r="DW48" i="8"/>
  <c r="DX48" i="8" a="1"/>
  <c r="DX48" i="8"/>
  <c r="DY48" i="8" a="1"/>
  <c r="DY48" i="8"/>
  <c r="DZ48" i="8" a="1"/>
  <c r="DZ48" i="8"/>
  <c r="EA48" i="8" a="1"/>
  <c r="EA48" i="8"/>
  <c r="EB48" i="8" a="1"/>
  <c r="EB48" i="8"/>
  <c r="EC48" i="8" a="1"/>
  <c r="EC48" i="8"/>
  <c r="ED48" i="8" a="1"/>
  <c r="ED48" i="8"/>
  <c r="EE48" i="8" a="1"/>
  <c r="EE48" i="8"/>
  <c r="EF48" i="8" a="1"/>
  <c r="EF48" i="8"/>
  <c r="EG48" i="8" a="1"/>
  <c r="EG48" i="8"/>
  <c r="EH48" i="8" a="1"/>
  <c r="EH48" i="8"/>
  <c r="EI48" i="8" a="1"/>
  <c r="EI48" i="8"/>
  <c r="EJ48" i="8" a="1"/>
  <c r="EJ48" i="8"/>
  <c r="EK48" i="8" a="1"/>
  <c r="EK48" i="8"/>
  <c r="EL48" i="8" a="1"/>
  <c r="EL48" i="8"/>
  <c r="EM48" i="8" a="1"/>
  <c r="EM48" i="8"/>
  <c r="EN48" i="8" a="1"/>
  <c r="EN48" i="8"/>
  <c r="EO48" i="8" a="1"/>
  <c r="EO48" i="8"/>
  <c r="EP48" i="8" a="1"/>
  <c r="EP48" i="8"/>
  <c r="EQ48" i="8" a="1"/>
  <c r="EQ48" i="8"/>
  <c r="ER48" i="8" a="1"/>
  <c r="ER48" i="8"/>
  <c r="ES48" i="8" a="1"/>
  <c r="ES48" i="8"/>
  <c r="ET48" i="8" a="1"/>
  <c r="ET48" i="8"/>
  <c r="EU48" i="8" a="1"/>
  <c r="EU48" i="8"/>
  <c r="EV48" i="8" a="1"/>
  <c r="EV48" i="8"/>
  <c r="EW48" i="8" a="1"/>
  <c r="EW48" i="8"/>
  <c r="EX48" i="8" a="1"/>
  <c r="EX48" i="8"/>
  <c r="EY48" i="8" a="1"/>
  <c r="EY48" i="8"/>
  <c r="EZ48" i="8" a="1"/>
  <c r="EZ48" i="8"/>
  <c r="FA48" i="8" a="1"/>
  <c r="FA48" i="8"/>
  <c r="FB48" i="8" a="1"/>
  <c r="FB48" i="8"/>
  <c r="FC48" i="8" a="1"/>
  <c r="FC48" i="8"/>
  <c r="FD48" i="8" a="1"/>
  <c r="FD48" i="8"/>
  <c r="FE48" i="8" a="1"/>
  <c r="FE48" i="8"/>
  <c r="FF48" i="8" a="1"/>
  <c r="FF48" i="8"/>
  <c r="FG48" i="8" a="1"/>
  <c r="FG48" i="8"/>
  <c r="FH48" i="8" a="1"/>
  <c r="FH48" i="8"/>
  <c r="FI48" i="8" a="1"/>
  <c r="FI48" i="8"/>
  <c r="FJ48" i="8" a="1"/>
  <c r="FJ48" i="8"/>
  <c r="FK48" i="8" a="1"/>
  <c r="FK48" i="8"/>
  <c r="FL48" i="8" a="1"/>
  <c r="FL48" i="8"/>
  <c r="FM48" i="8" a="1"/>
  <c r="FM48" i="8"/>
  <c r="FN48" i="8" a="1"/>
  <c r="FN48" i="8"/>
  <c r="FO48" i="8" a="1"/>
  <c r="FO48" i="8"/>
  <c r="FP48" i="8" a="1"/>
  <c r="FP48" i="8"/>
  <c r="FQ48" i="8" a="1"/>
  <c r="FQ48" i="8"/>
  <c r="FR48" i="8" a="1"/>
  <c r="FR48" i="8"/>
  <c r="FS48" i="8" a="1"/>
  <c r="FS48" i="8"/>
  <c r="FT48" i="8" a="1"/>
  <c r="FT48" i="8"/>
  <c r="FU48" i="8" a="1"/>
  <c r="FU48" i="8"/>
  <c r="FV48" i="8" a="1"/>
  <c r="FV48" i="8"/>
  <c r="FW48" i="8" a="1"/>
  <c r="FW48" i="8"/>
  <c r="FX48" i="8" a="1"/>
  <c r="FX48" i="8"/>
  <c r="FY48" i="8" a="1"/>
  <c r="FY48" i="8"/>
  <c r="FZ48" i="8" a="1"/>
  <c r="FZ48" i="8"/>
  <c r="GA48" i="8" a="1"/>
  <c r="GA48" i="8"/>
  <c r="GB48" i="8" a="1"/>
  <c r="GB48" i="8"/>
  <c r="GC48" i="8" a="1"/>
  <c r="GC48" i="8"/>
  <c r="GD48" i="8" a="1"/>
  <c r="GD48" i="8"/>
  <c r="GE48" i="8" a="1"/>
  <c r="GE48" i="8"/>
  <c r="GF48" i="8" a="1"/>
  <c r="GF48" i="8"/>
  <c r="GG48" i="8" a="1"/>
  <c r="GG48" i="8"/>
  <c r="GH48" i="8" a="1"/>
  <c r="GH48" i="8"/>
  <c r="GI48" i="8" a="1"/>
  <c r="GI48" i="8"/>
  <c r="GJ48" i="8" a="1"/>
  <c r="GJ48" i="8"/>
  <c r="GK48" i="8" a="1"/>
  <c r="GK48" i="8"/>
  <c r="GL48" i="8" a="1"/>
  <c r="GL48" i="8"/>
  <c r="GM48" i="8" a="1"/>
  <c r="GM48" i="8"/>
  <c r="GN48" i="8" a="1"/>
  <c r="GN48" i="8"/>
  <c r="GO48" i="8" a="1"/>
  <c r="GO48" i="8"/>
  <c r="GP48" i="8" a="1"/>
  <c r="GP48" i="8"/>
  <c r="GQ48" i="8" a="1"/>
  <c r="GQ48" i="8"/>
  <c r="GR48" i="8" a="1"/>
  <c r="GR48" i="8"/>
  <c r="GS48" i="8" a="1"/>
  <c r="GS48" i="8"/>
  <c r="GT48" i="8" a="1"/>
  <c r="GT48" i="8"/>
  <c r="GU48" i="8" a="1"/>
  <c r="GU48" i="8"/>
  <c r="GV48" i="8" a="1"/>
  <c r="GV48" i="8"/>
  <c r="GW48" i="8" a="1"/>
  <c r="GW48" i="8"/>
  <c r="GX48" i="8" a="1"/>
  <c r="GX48" i="8"/>
  <c r="GY48" i="8" a="1"/>
  <c r="GY48" i="8"/>
  <c r="GZ48" i="8" a="1"/>
  <c r="GZ48" i="8"/>
  <c r="HA48" i="8" a="1"/>
  <c r="HA48" i="8"/>
  <c r="HB48" i="8" a="1"/>
  <c r="HB48" i="8"/>
  <c r="HC48" i="8" a="1"/>
  <c r="HC48" i="8"/>
  <c r="HD48" i="8" a="1"/>
  <c r="HD48" i="8"/>
  <c r="HE48" i="8" a="1"/>
  <c r="HE48" i="8"/>
  <c r="HF48" i="8" a="1"/>
  <c r="HF48" i="8"/>
  <c r="HG48" i="8" a="1"/>
  <c r="HG48" i="8"/>
  <c r="HH48" i="8" a="1"/>
  <c r="HH48" i="8"/>
  <c r="HI48" i="8" a="1"/>
  <c r="HI48" i="8"/>
  <c r="HJ48" i="8" a="1"/>
  <c r="HJ48" i="8"/>
  <c r="HK48" i="8" a="1"/>
  <c r="HK48" i="8"/>
  <c r="HL48" i="8" a="1"/>
  <c r="HL48" i="8"/>
  <c r="HM48" i="8" a="1"/>
  <c r="HM48" i="8"/>
  <c r="HN48" i="8" a="1"/>
  <c r="HN48" i="8"/>
  <c r="HO48" i="8" a="1"/>
  <c r="HO48" i="8"/>
  <c r="HP48" i="8" a="1"/>
  <c r="HP48" i="8"/>
  <c r="HQ48" i="8" a="1"/>
  <c r="HQ48" i="8"/>
  <c r="HR48" i="8" a="1"/>
  <c r="HR48" i="8"/>
  <c r="HS48" i="8" a="1"/>
  <c r="HS48" i="8"/>
  <c r="HT48" i="8" a="1"/>
  <c r="HT48" i="8"/>
  <c r="HU48" i="8" a="1"/>
  <c r="HU48" i="8"/>
  <c r="HV48" i="8" a="1"/>
  <c r="HV48" i="8"/>
  <c r="HW48" i="8" a="1"/>
  <c r="HW48" i="8"/>
  <c r="HX48" i="8" a="1"/>
  <c r="HX48" i="8"/>
  <c r="HY48" i="8" a="1"/>
  <c r="HY48" i="8"/>
  <c r="HZ48" i="8" a="1"/>
  <c r="HZ48" i="8"/>
  <c r="IA48" i="8" a="1"/>
  <c r="IA48" i="8"/>
  <c r="IB48" i="8" a="1"/>
  <c r="IB48" i="8"/>
  <c r="IC48" i="8" a="1"/>
  <c r="IC48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AL49" i="8"/>
  <c r="AM49" i="8"/>
  <c r="AN49" i="8"/>
  <c r="AO49" i="8"/>
  <c r="AP49" i="8"/>
  <c r="AQ49" i="8"/>
  <c r="AR49" i="8"/>
  <c r="AS49" i="8"/>
  <c r="AT49" i="8"/>
  <c r="AU49" i="8"/>
  <c r="AV49" i="8"/>
  <c r="AW49" i="8"/>
  <c r="AX49" i="8"/>
  <c r="AY49" i="8"/>
  <c r="AZ49" i="8"/>
  <c r="BA49" i="8"/>
  <c r="BB49" i="8"/>
  <c r="BC49" i="8"/>
  <c r="BD49" i="8"/>
  <c r="BE49" i="8"/>
  <c r="BF49" i="8"/>
  <c r="BG49" i="8"/>
  <c r="BH49" i="8"/>
  <c r="BI49" i="8"/>
  <c r="BJ49" i="8"/>
  <c r="BK49" i="8"/>
  <c r="BL49" i="8"/>
  <c r="BM49" i="8"/>
  <c r="BN49" i="8"/>
  <c r="BO49" i="8"/>
  <c r="BP49" i="8"/>
  <c r="BQ49" i="8"/>
  <c r="BR49" i="8"/>
  <c r="BS49" i="8"/>
  <c r="BT49" i="8"/>
  <c r="BU49" i="8"/>
  <c r="BV49" i="8"/>
  <c r="BW49" i="8"/>
  <c r="BX49" i="8"/>
  <c r="BY49" i="8"/>
  <c r="BZ49" i="8"/>
  <c r="CA49" i="8"/>
  <c r="CB49" i="8"/>
  <c r="CC49" i="8"/>
  <c r="CD49" i="8"/>
  <c r="CE49" i="8"/>
  <c r="CF49" i="8"/>
  <c r="CG49" i="8"/>
  <c r="CH49" i="8"/>
  <c r="CI49" i="8"/>
  <c r="CJ49" i="8"/>
  <c r="CK49" i="8"/>
  <c r="CL49" i="8"/>
  <c r="CM49" i="8"/>
  <c r="CN49" i="8"/>
  <c r="CO49" i="8"/>
  <c r="CP49" i="8"/>
  <c r="CQ49" i="8"/>
  <c r="CR49" i="8"/>
  <c r="CS49" i="8"/>
  <c r="CT49" i="8"/>
  <c r="CU49" i="8"/>
  <c r="CV49" i="8"/>
  <c r="CW49" i="8"/>
  <c r="CX49" i="8"/>
  <c r="CY49" i="8"/>
  <c r="CZ49" i="8"/>
  <c r="DA49" i="8"/>
  <c r="DB49" i="8"/>
  <c r="DC49" i="8"/>
  <c r="DD49" i="8"/>
  <c r="DE49" i="8"/>
  <c r="DF49" i="8"/>
  <c r="DG49" i="8"/>
  <c r="DH49" i="8"/>
  <c r="DI49" i="8"/>
  <c r="DJ49" i="8"/>
  <c r="DK49" i="8"/>
  <c r="DL49" i="8"/>
  <c r="DM49" i="8"/>
  <c r="DN49" i="8"/>
  <c r="DO49" i="8"/>
  <c r="DP49" i="8"/>
  <c r="DQ49" i="8"/>
  <c r="DR49" i="8"/>
  <c r="DS49" i="8"/>
  <c r="DT49" i="8"/>
  <c r="DU49" i="8"/>
  <c r="DV49" i="8"/>
  <c r="DW49" i="8"/>
  <c r="DX49" i="8"/>
  <c r="DY49" i="8"/>
  <c r="DZ49" i="8"/>
  <c r="EA49" i="8"/>
  <c r="EB49" i="8"/>
  <c r="EC49" i="8"/>
  <c r="ED49" i="8"/>
  <c r="EE49" i="8"/>
  <c r="EF49" i="8"/>
  <c r="EG49" i="8"/>
  <c r="EH49" i="8"/>
  <c r="EI49" i="8"/>
  <c r="EJ49" i="8"/>
  <c r="EK49" i="8"/>
  <c r="EL49" i="8"/>
  <c r="EM49" i="8"/>
  <c r="EN49" i="8"/>
  <c r="EO49" i="8"/>
  <c r="EP49" i="8"/>
  <c r="EQ49" i="8"/>
  <c r="ER49" i="8"/>
  <c r="ES49" i="8"/>
  <c r="ET49" i="8"/>
  <c r="EU49" i="8"/>
  <c r="EV49" i="8"/>
  <c r="EW49" i="8"/>
  <c r="EX49" i="8"/>
  <c r="EY49" i="8"/>
  <c r="EZ49" i="8"/>
  <c r="FA49" i="8"/>
  <c r="FB49" i="8"/>
  <c r="FC49" i="8"/>
  <c r="FD49" i="8"/>
  <c r="FE49" i="8"/>
  <c r="FF49" i="8"/>
  <c r="FG49" i="8"/>
  <c r="FH49" i="8"/>
  <c r="FI49" i="8"/>
  <c r="FJ49" i="8"/>
  <c r="FK49" i="8"/>
  <c r="FL49" i="8"/>
  <c r="FM49" i="8"/>
  <c r="FN49" i="8"/>
  <c r="FO49" i="8"/>
  <c r="FP49" i="8"/>
  <c r="FQ49" i="8"/>
  <c r="FR49" i="8"/>
  <c r="FS49" i="8"/>
  <c r="FT49" i="8"/>
  <c r="FU49" i="8"/>
  <c r="FV49" i="8"/>
  <c r="FW49" i="8"/>
  <c r="FX49" i="8"/>
  <c r="FY49" i="8"/>
  <c r="FZ49" i="8"/>
  <c r="GA49" i="8"/>
  <c r="GB49" i="8"/>
  <c r="GC49" i="8"/>
  <c r="GD49" i="8"/>
  <c r="GE49" i="8"/>
  <c r="GF49" i="8"/>
  <c r="GG49" i="8"/>
  <c r="GH49" i="8"/>
  <c r="GI49" i="8"/>
  <c r="GJ49" i="8"/>
  <c r="GK49" i="8"/>
  <c r="GL49" i="8"/>
  <c r="GM49" i="8"/>
  <c r="GN49" i="8"/>
  <c r="GO49" i="8"/>
  <c r="GP49" i="8"/>
  <c r="GQ49" i="8"/>
  <c r="GR49" i="8"/>
  <c r="GS49" i="8"/>
  <c r="GT49" i="8"/>
  <c r="GU49" i="8"/>
  <c r="GV49" i="8"/>
  <c r="GW49" i="8"/>
  <c r="GX49" i="8"/>
  <c r="GY49" i="8"/>
  <c r="GZ49" i="8"/>
  <c r="HA49" i="8"/>
  <c r="HB49" i="8"/>
  <c r="HC49" i="8"/>
  <c r="HD49" i="8"/>
  <c r="HE49" i="8"/>
  <c r="HF49" i="8"/>
  <c r="HG49" i="8"/>
  <c r="HH49" i="8"/>
  <c r="HI49" i="8"/>
  <c r="HJ49" i="8"/>
  <c r="HK49" i="8"/>
  <c r="HL49" i="8"/>
  <c r="HM49" i="8"/>
  <c r="HN49" i="8"/>
  <c r="HO49" i="8"/>
  <c r="HP49" i="8"/>
  <c r="HQ49" i="8"/>
  <c r="HR49" i="8"/>
  <c r="HS49" i="8"/>
  <c r="HT49" i="8"/>
  <c r="HU49" i="8"/>
  <c r="HV49" i="8"/>
  <c r="HW49" i="8"/>
  <c r="HX49" i="8"/>
  <c r="HY49" i="8"/>
  <c r="HZ49" i="8"/>
  <c r="IA49" i="8"/>
  <c r="IB49" i="8"/>
  <c r="IC49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AL50" i="8"/>
  <c r="AM50" i="8"/>
  <c r="AN50" i="8"/>
  <c r="AO50" i="8"/>
  <c r="AP50" i="8"/>
  <c r="AQ50" i="8"/>
  <c r="AR50" i="8"/>
  <c r="AS50" i="8"/>
  <c r="AT50" i="8"/>
  <c r="AU50" i="8"/>
  <c r="AV50" i="8"/>
  <c r="AW50" i="8"/>
  <c r="AX50" i="8"/>
  <c r="AY50" i="8"/>
  <c r="AZ50" i="8"/>
  <c r="BA50" i="8"/>
  <c r="BB50" i="8"/>
  <c r="BC50" i="8"/>
  <c r="BD50" i="8"/>
  <c r="BE50" i="8"/>
  <c r="BF50" i="8"/>
  <c r="BG50" i="8"/>
  <c r="BH50" i="8"/>
  <c r="BI50" i="8"/>
  <c r="BJ50" i="8"/>
  <c r="BK50" i="8"/>
  <c r="BL50" i="8"/>
  <c r="BM50" i="8"/>
  <c r="BN50" i="8"/>
  <c r="BO50" i="8"/>
  <c r="BP50" i="8"/>
  <c r="BQ50" i="8"/>
  <c r="BR50" i="8"/>
  <c r="BS50" i="8"/>
  <c r="BT50" i="8"/>
  <c r="BU50" i="8"/>
  <c r="BV50" i="8"/>
  <c r="BW50" i="8"/>
  <c r="BX50" i="8"/>
  <c r="BY50" i="8"/>
  <c r="BZ50" i="8"/>
  <c r="CA50" i="8"/>
  <c r="CB50" i="8"/>
  <c r="CC50" i="8"/>
  <c r="CD50" i="8"/>
  <c r="CE50" i="8"/>
  <c r="CF50" i="8"/>
  <c r="CG50" i="8"/>
  <c r="CH50" i="8"/>
  <c r="CI50" i="8"/>
  <c r="CJ50" i="8"/>
  <c r="CK50" i="8"/>
  <c r="CL50" i="8"/>
  <c r="CM50" i="8"/>
  <c r="CN50" i="8"/>
  <c r="CO50" i="8"/>
  <c r="CP50" i="8"/>
  <c r="CQ50" i="8"/>
  <c r="CR50" i="8"/>
  <c r="CS50" i="8"/>
  <c r="CT50" i="8"/>
  <c r="CU50" i="8"/>
  <c r="CV50" i="8"/>
  <c r="CW50" i="8"/>
  <c r="CX50" i="8"/>
  <c r="CY50" i="8"/>
  <c r="CZ50" i="8"/>
  <c r="DA50" i="8"/>
  <c r="DB50" i="8"/>
  <c r="DC50" i="8"/>
  <c r="DD50" i="8"/>
  <c r="DE50" i="8"/>
  <c r="DF50" i="8"/>
  <c r="DG50" i="8"/>
  <c r="DH50" i="8"/>
  <c r="DI50" i="8"/>
  <c r="DJ50" i="8"/>
  <c r="DK50" i="8"/>
  <c r="DL50" i="8"/>
  <c r="DM50" i="8"/>
  <c r="DN50" i="8"/>
  <c r="DO50" i="8"/>
  <c r="DP50" i="8"/>
  <c r="DQ50" i="8"/>
  <c r="DR50" i="8"/>
  <c r="DS50" i="8"/>
  <c r="DT50" i="8"/>
  <c r="DU50" i="8"/>
  <c r="DV50" i="8"/>
  <c r="DW50" i="8"/>
  <c r="DX50" i="8"/>
  <c r="DY50" i="8"/>
  <c r="DZ50" i="8"/>
  <c r="EA50" i="8"/>
  <c r="EB50" i="8"/>
  <c r="EC50" i="8"/>
  <c r="ED50" i="8"/>
  <c r="EE50" i="8"/>
  <c r="EF50" i="8"/>
  <c r="EG50" i="8"/>
  <c r="EH50" i="8"/>
  <c r="EI50" i="8"/>
  <c r="EJ50" i="8"/>
  <c r="EK50" i="8"/>
  <c r="EL50" i="8"/>
  <c r="EM50" i="8"/>
  <c r="EN50" i="8"/>
  <c r="EO50" i="8"/>
  <c r="EP50" i="8"/>
  <c r="EQ50" i="8"/>
  <c r="ER50" i="8"/>
  <c r="ES50" i="8"/>
  <c r="ET50" i="8"/>
  <c r="EU50" i="8"/>
  <c r="EV50" i="8"/>
  <c r="EW50" i="8"/>
  <c r="EX50" i="8"/>
  <c r="EY50" i="8"/>
  <c r="EZ50" i="8"/>
  <c r="FA50" i="8"/>
  <c r="FB50" i="8"/>
  <c r="FC50" i="8"/>
  <c r="FD50" i="8"/>
  <c r="FE50" i="8"/>
  <c r="FF50" i="8"/>
  <c r="FG50" i="8"/>
  <c r="FH50" i="8"/>
  <c r="FI50" i="8"/>
  <c r="FJ50" i="8"/>
  <c r="FK50" i="8"/>
  <c r="FL50" i="8"/>
  <c r="FM50" i="8"/>
  <c r="FN50" i="8"/>
  <c r="FO50" i="8"/>
  <c r="FP50" i="8"/>
  <c r="FQ50" i="8"/>
  <c r="FR50" i="8"/>
  <c r="FS50" i="8"/>
  <c r="FT50" i="8"/>
  <c r="FU50" i="8"/>
  <c r="FV50" i="8"/>
  <c r="FW50" i="8"/>
  <c r="FX50" i="8"/>
  <c r="FY50" i="8"/>
  <c r="FZ50" i="8"/>
  <c r="GA50" i="8"/>
  <c r="GB50" i="8"/>
  <c r="GC50" i="8"/>
  <c r="GD50" i="8"/>
  <c r="GE50" i="8"/>
  <c r="GF50" i="8"/>
  <c r="GG50" i="8"/>
  <c r="GH50" i="8"/>
  <c r="GI50" i="8"/>
  <c r="GJ50" i="8"/>
  <c r="GK50" i="8"/>
  <c r="GL50" i="8"/>
  <c r="GM50" i="8"/>
  <c r="GN50" i="8"/>
  <c r="GO50" i="8"/>
  <c r="GP50" i="8"/>
  <c r="GQ50" i="8"/>
  <c r="GR50" i="8"/>
  <c r="GS50" i="8"/>
  <c r="GT50" i="8"/>
  <c r="GU50" i="8"/>
  <c r="GV50" i="8"/>
  <c r="GW50" i="8"/>
  <c r="GX50" i="8"/>
  <c r="GY50" i="8"/>
  <c r="GZ50" i="8"/>
  <c r="HA50" i="8"/>
  <c r="HB50" i="8"/>
  <c r="HC50" i="8"/>
  <c r="HD50" i="8"/>
  <c r="HE50" i="8"/>
  <c r="HF50" i="8"/>
  <c r="HG50" i="8"/>
  <c r="HH50" i="8"/>
  <c r="HI50" i="8"/>
  <c r="HJ50" i="8"/>
  <c r="HK50" i="8"/>
  <c r="HL50" i="8"/>
  <c r="HM50" i="8"/>
  <c r="HN50" i="8"/>
  <c r="HO50" i="8"/>
  <c r="HP50" i="8"/>
  <c r="HQ50" i="8"/>
  <c r="HR50" i="8"/>
  <c r="HS50" i="8"/>
  <c r="HT50" i="8"/>
  <c r="HU50" i="8"/>
  <c r="HV50" i="8"/>
  <c r="HW50" i="8"/>
  <c r="HX50" i="8"/>
  <c r="HY50" i="8"/>
  <c r="HZ50" i="8"/>
  <c r="IA50" i="8"/>
  <c r="IB50" i="8"/>
  <c r="IC50" i="8"/>
  <c r="C55" i="8"/>
  <c r="D55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C60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Nilesh Gaidhane</author>
  </authors>
  <commentList>
    <comment ref="C6" authorId="0" shapeId="0" xr:uid="{A265F97E-D151-4B15-AD4E-2D3EA438E660}">
      <text>
        <r>
          <rPr>
            <b/>
            <sz val="9"/>
            <color indexed="81"/>
            <rFont val="Tahoma"/>
            <family val="2"/>
          </rPr>
          <t>Nilesh Gaidhane:</t>
        </r>
        <r>
          <rPr>
            <sz val="9"/>
            <color indexed="81"/>
            <rFont val="Tahoma"/>
            <family val="2"/>
          </rPr>
          <t xml:space="preserve">
As per discussion with Craftsman Automation Limited</t>
        </r>
      </text>
    </comment>
    <comment ref="C20" authorId="0" shapeId="0" xr:uid="{2360110A-6690-405A-89AB-61E0DBCD7C6C}">
      <text>
        <r>
          <rPr>
            <b/>
            <sz val="9"/>
            <color indexed="81"/>
            <rFont val="Tahoma"/>
            <family val="2"/>
          </rPr>
          <t>Nilesh Gaidhane:</t>
        </r>
        <r>
          <rPr>
            <sz val="9"/>
            <color indexed="81"/>
            <rFont val="Tahoma"/>
            <family val="2"/>
          </rPr>
          <t xml:space="preserve">
The total power requirement of the ASRS</t>
        </r>
      </text>
    </comment>
    <comment ref="C22" authorId="0" shapeId="0" xr:uid="{6C6AC7A2-332A-431A-92EC-7F2EC0A3B81B}">
      <text>
        <r>
          <rPr>
            <b/>
            <sz val="9"/>
            <color indexed="81"/>
            <rFont val="Tahoma"/>
            <family val="2"/>
          </rPr>
          <t>Nilesh Gaidhane:</t>
        </r>
        <r>
          <rPr>
            <sz val="9"/>
            <color indexed="81"/>
            <rFont val="Tahoma"/>
            <family val="2"/>
          </rPr>
          <t xml:space="preserve">
Assumed at 33 kV load</t>
        </r>
      </text>
    </comment>
    <comment ref="C24" authorId="0" shapeId="0" xr:uid="{93DB4C1C-A221-4EA2-BA43-E273789BFC2F}">
      <text>
        <r>
          <rPr>
            <b/>
            <sz val="9"/>
            <color indexed="81"/>
            <rFont val="Tahoma"/>
            <family val="2"/>
          </rPr>
          <t>Nilesh Gaidhane:</t>
        </r>
        <r>
          <rPr>
            <sz val="9"/>
            <color indexed="81"/>
            <rFont val="Tahoma"/>
            <family val="2"/>
          </rPr>
          <t xml:space="preserve">
Net average of TOD slot wise energy charges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<sst xmlns="http://schemas.openxmlformats.org/spreadsheetml/2006/main" count="912" uniqueCount="536">
  <si>
    <t>years</t>
  </si>
  <si>
    <t>Cost</t>
  </si>
  <si>
    <t>Total</t>
  </si>
  <si>
    <t>UOM</t>
  </si>
  <si>
    <t>%</t>
  </si>
  <si>
    <t>Month</t>
  </si>
  <si>
    <t>Revenue</t>
  </si>
  <si>
    <t>Expenses</t>
  </si>
  <si>
    <t>Depreciation</t>
  </si>
  <si>
    <t>Free Cash flow</t>
  </si>
  <si>
    <t>IRR</t>
  </si>
  <si>
    <t>Project Execution timeline</t>
  </si>
  <si>
    <t>Start Date</t>
  </si>
  <si>
    <t>End Date</t>
  </si>
  <si>
    <t># of months</t>
  </si>
  <si>
    <t>Days</t>
  </si>
  <si>
    <t>NPV</t>
  </si>
  <si>
    <t>Cost of Capital</t>
  </si>
  <si>
    <t>Start Month</t>
  </si>
  <si>
    <t>End Month</t>
  </si>
  <si>
    <t>Year</t>
  </si>
  <si>
    <t>months</t>
  </si>
  <si>
    <t>Tax Rate</t>
  </si>
  <si>
    <t>Contingency</t>
  </si>
  <si>
    <t>days</t>
  </si>
  <si>
    <t>Company</t>
  </si>
  <si>
    <t>WACC</t>
  </si>
  <si>
    <t>PEL</t>
  </si>
  <si>
    <t>PEPPL</t>
  </si>
  <si>
    <t>PSPTL</t>
  </si>
  <si>
    <t>PEGEPL</t>
  </si>
  <si>
    <t>PEIPL</t>
  </si>
  <si>
    <t>PPGPL</t>
  </si>
  <si>
    <t>PPZPL</t>
  </si>
  <si>
    <t>Company Name</t>
  </si>
  <si>
    <t>Financial Assumptions</t>
  </si>
  <si>
    <t>IDC</t>
  </si>
  <si>
    <t>Debt</t>
  </si>
  <si>
    <t>Equity</t>
  </si>
  <si>
    <t>Remarks</t>
  </si>
  <si>
    <t>Disbursement</t>
  </si>
  <si>
    <t>Repayment</t>
  </si>
  <si>
    <t>Value</t>
  </si>
  <si>
    <t>Interest Rate</t>
  </si>
  <si>
    <t>Interest</t>
  </si>
  <si>
    <t>Closing Balance</t>
  </si>
  <si>
    <t>Quarter</t>
  </si>
  <si>
    <t>GST</t>
  </si>
  <si>
    <t>Total cost</t>
  </si>
  <si>
    <t>kVA</t>
  </si>
  <si>
    <t>Electricity Duty</t>
  </si>
  <si>
    <t>Manpower</t>
  </si>
  <si>
    <t>Sub Total</t>
  </si>
  <si>
    <t>PBIDT</t>
  </si>
  <si>
    <t>FY 2026</t>
  </si>
  <si>
    <t>FY 2027</t>
  </si>
  <si>
    <t>FY 2028</t>
  </si>
  <si>
    <t>FY 2029</t>
  </si>
  <si>
    <t>FY 2030</t>
  </si>
  <si>
    <t>FY 2031</t>
  </si>
  <si>
    <t>PBDT</t>
  </si>
  <si>
    <t>Rs.</t>
  </si>
  <si>
    <t>PBT</t>
  </si>
  <si>
    <t>Provision of Tax</t>
  </si>
  <si>
    <t>PAT</t>
  </si>
  <si>
    <t>IT Depreciation</t>
  </si>
  <si>
    <t>sq. ft.</t>
  </si>
  <si>
    <t>Rate</t>
  </si>
  <si>
    <t>Miscellaneous Expenses</t>
  </si>
  <si>
    <t>Opening Balance</t>
  </si>
  <si>
    <t>Working Capital</t>
  </si>
  <si>
    <t>Working Capital Margin</t>
  </si>
  <si>
    <t>Total months</t>
  </si>
  <si>
    <t>Fixed Assets</t>
  </si>
  <si>
    <t>Gross Block</t>
  </si>
  <si>
    <t>Count</t>
  </si>
  <si>
    <t>Sr. No.</t>
  </si>
  <si>
    <t>Parameters</t>
  </si>
  <si>
    <t>Changes</t>
  </si>
  <si>
    <t>Change in IRR</t>
  </si>
  <si>
    <t>Base</t>
  </si>
  <si>
    <t>Payback period</t>
  </si>
  <si>
    <t>Land</t>
  </si>
  <si>
    <t>Security Deposit</t>
  </si>
  <si>
    <t>IT Cost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</si>
  <si>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</si>
  <si>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</si>
  <si>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</si>
  <si>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</si>
  <si>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</si>
  <si>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</si>
  <si>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</si>
  <si>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</si>
  <si>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</si>
  <si>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</si>
  <si>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</si>
  <si>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</si>
  <si>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Q4</t>
  </si>
  <si>
    <t>Q1</t>
  </si>
  <si>
    <t>Q2</t>
  </si>
  <si>
    <t>Q3</t>
  </si>
  <si>
    <t>ASRS</t>
  </si>
  <si>
    <t>Dock levellers</t>
  </si>
  <si>
    <t>Quantity</t>
  </si>
  <si>
    <t>Pre - operating expenses</t>
  </si>
  <si>
    <t>Finance cost</t>
  </si>
  <si>
    <t xml:space="preserve">   Racking system</t>
  </si>
  <si>
    <t xml:space="preserve">   Cladding for high bay</t>
  </si>
  <si>
    <t xml:space="preserve">   Double deep Stacker crane</t>
  </si>
  <si>
    <t xml:space="preserve">   Bottom Rail with aisle accessories</t>
  </si>
  <si>
    <t xml:space="preserve">   Conveyor system</t>
  </si>
  <si>
    <t xml:space="preserve">   Critical spares</t>
  </si>
  <si>
    <t xml:space="preserve">   Metal pallets</t>
  </si>
  <si>
    <t xml:space="preserve">   Discount</t>
  </si>
  <si>
    <t>CAPEX</t>
  </si>
  <si>
    <t>Operational and maintenance</t>
  </si>
  <si>
    <t xml:space="preserve">O&amp;M </t>
  </si>
  <si>
    <t>Escalation</t>
  </si>
  <si>
    <t>Position</t>
  </si>
  <si>
    <t>Monthly cost</t>
  </si>
  <si>
    <t>Site Engineer</t>
  </si>
  <si>
    <t>Number</t>
  </si>
  <si>
    <t>Monthly total</t>
  </si>
  <si>
    <t>Travelling expense</t>
  </si>
  <si>
    <t>Admin expenses during implementation</t>
  </si>
  <si>
    <t>Consultant charges</t>
  </si>
  <si>
    <t>Project insurance</t>
  </si>
  <si>
    <t>No. of months</t>
  </si>
  <si>
    <t xml:space="preserve">Total </t>
  </si>
  <si>
    <t>Project Financing</t>
  </si>
  <si>
    <t>Project Details</t>
  </si>
  <si>
    <t>Total project cost</t>
  </si>
  <si>
    <t>Total period of loan</t>
  </si>
  <si>
    <t>Total quarter</t>
  </si>
  <si>
    <t>Crore</t>
  </si>
  <si>
    <t>month</t>
  </si>
  <si>
    <t>quarter</t>
  </si>
  <si>
    <t>Qtr</t>
  </si>
  <si>
    <t>Type</t>
  </si>
  <si>
    <t>Equity funding</t>
  </si>
  <si>
    <t>Debt funding</t>
  </si>
  <si>
    <t>CAPEX requirement</t>
  </si>
  <si>
    <t>Repayments</t>
  </si>
  <si>
    <t>Type of payment</t>
  </si>
  <si>
    <t>Loan</t>
  </si>
  <si>
    <t>Total loan repayment months</t>
  </si>
  <si>
    <t>Fundings</t>
  </si>
  <si>
    <t>Annual</t>
  </si>
  <si>
    <t>FY</t>
  </si>
  <si>
    <t>FY 2032</t>
  </si>
  <si>
    <t>FY 2033</t>
  </si>
  <si>
    <t>FY 2034</t>
  </si>
  <si>
    <t>FY 2035</t>
  </si>
  <si>
    <t>FY 2036</t>
  </si>
  <si>
    <t>FY 2037</t>
  </si>
  <si>
    <t>FY 2038</t>
  </si>
  <si>
    <t>FY 2039</t>
  </si>
  <si>
    <t>FY 2040</t>
  </si>
  <si>
    <t>FY 2041</t>
  </si>
  <si>
    <t>FY 2042</t>
  </si>
  <si>
    <t>FY 2043</t>
  </si>
  <si>
    <t>FY 2044</t>
  </si>
  <si>
    <t>FY 2045</t>
  </si>
  <si>
    <t>FY 2046</t>
  </si>
  <si>
    <t>FY 2047</t>
  </si>
  <si>
    <t>Power</t>
  </si>
  <si>
    <t>Electricity</t>
  </si>
  <si>
    <t>Year count</t>
  </si>
  <si>
    <t>Site Incharge</t>
  </si>
  <si>
    <t>Operators</t>
  </si>
  <si>
    <t>Forklift operators</t>
  </si>
  <si>
    <t>Admin</t>
  </si>
  <si>
    <t># of employees</t>
  </si>
  <si>
    <t>Salary/month</t>
  </si>
  <si>
    <t>Required Power</t>
  </si>
  <si>
    <t>Demand Charges</t>
  </si>
  <si>
    <t>Electricity Tariff</t>
  </si>
  <si>
    <t>Rs/kVA/month</t>
  </si>
  <si>
    <t>Rs./unit</t>
  </si>
  <si>
    <t>TOD tariff</t>
  </si>
  <si>
    <t>Water</t>
  </si>
  <si>
    <t>Requirement</t>
  </si>
  <si>
    <t>Rs/KLD</t>
  </si>
  <si>
    <t>KLD/day</t>
  </si>
  <si>
    <t>Total Cost</t>
  </si>
  <si>
    <t>Years</t>
  </si>
  <si>
    <t>Accumulated Depreciation</t>
  </si>
  <si>
    <t>Cummulative Depreciation</t>
  </si>
  <si>
    <t>Annually</t>
  </si>
  <si>
    <t>%age</t>
  </si>
  <si>
    <t>Accumated IT depreciation</t>
  </si>
  <si>
    <t>Operational Years</t>
  </si>
  <si>
    <t>Start month</t>
  </si>
  <si>
    <t>End month</t>
  </si>
  <si>
    <t>End of Project</t>
  </si>
  <si>
    <t># of pallet positions</t>
  </si>
  <si>
    <t>Total space available</t>
  </si>
  <si>
    <t>Rent/month</t>
  </si>
  <si>
    <t>Rs./sq.ft/month</t>
  </si>
  <si>
    <t>Total rent /month</t>
  </si>
  <si>
    <t>Rs./month</t>
  </si>
  <si>
    <t>3 months</t>
  </si>
  <si>
    <t>Total annual cost excl. SD</t>
  </si>
  <si>
    <t>Security Deposit (SD)</t>
  </si>
  <si>
    <t>Rs./year</t>
  </si>
  <si>
    <t>y.o.y. escalation</t>
  </si>
  <si>
    <t>Annual rent</t>
  </si>
  <si>
    <t>SD</t>
  </si>
  <si>
    <t>pallets</t>
  </si>
  <si>
    <t>Total (rs.Cr.)</t>
  </si>
  <si>
    <t>Operational year</t>
  </si>
  <si>
    <t>escalation</t>
  </si>
  <si>
    <t>Tax</t>
  </si>
  <si>
    <t>TAXable Income</t>
  </si>
  <si>
    <t>Add: depreciation</t>
  </si>
  <si>
    <t>Subtotal</t>
  </si>
  <si>
    <t>Free Cash flow to equity</t>
  </si>
  <si>
    <t>Balance Sheet</t>
  </si>
  <si>
    <t xml:space="preserve">   Gross Fixed Assets</t>
  </si>
  <si>
    <t xml:space="preserve">   Closing Balance</t>
  </si>
  <si>
    <t>Cash Balance</t>
  </si>
  <si>
    <t>Cash from Operations</t>
  </si>
  <si>
    <t>Carry forward of Losses</t>
  </si>
  <si>
    <t>Deferred Tax Asset on Cash flow</t>
  </si>
  <si>
    <t>Book Depreciation</t>
  </si>
  <si>
    <t>Deferred Tax Liability/Asset</t>
  </si>
  <si>
    <t>IT Depreciation SLM</t>
  </si>
  <si>
    <t>Depreciations</t>
  </si>
  <si>
    <t>Book Deprecaition SLM</t>
  </si>
  <si>
    <t>Schedule of Unabsorbed Depreciation</t>
  </si>
  <si>
    <t>Usage of setting off tax of current year</t>
  </si>
  <si>
    <t>Taxable Profit</t>
  </si>
  <si>
    <t>Movement of Deferred Tax</t>
  </si>
  <si>
    <t>Change in working capital</t>
  </si>
  <si>
    <t>Add: Operational Cash Flows</t>
  </si>
  <si>
    <t>Add: Financial Cash Flows</t>
  </si>
  <si>
    <t>Repayment of Loans</t>
  </si>
  <si>
    <t xml:space="preserve">Increase in Working Capital </t>
  </si>
  <si>
    <t>Debt Infusion (if any)</t>
  </si>
  <si>
    <t>Total Addition</t>
  </si>
  <si>
    <t>Closing Cash Balance</t>
  </si>
  <si>
    <t xml:space="preserve">   Less: Acc. Depreciation</t>
  </si>
  <si>
    <t>Working Capital  (other than cash balance)</t>
  </si>
  <si>
    <t>Reserves / PAT</t>
  </si>
  <si>
    <t>Working Capital Loan</t>
  </si>
  <si>
    <t>Deffered Tax Liabilities</t>
  </si>
  <si>
    <t>Deferred Tax</t>
  </si>
  <si>
    <t>PBT - For Income Tax</t>
  </si>
  <si>
    <t>Loans</t>
  </si>
  <si>
    <t>Total Source of Funds</t>
  </si>
  <si>
    <t>Total Usage of Funds</t>
  </si>
  <si>
    <t>Check</t>
  </si>
  <si>
    <t xml:space="preserve">   Opening Balance</t>
  </si>
  <si>
    <t xml:space="preserve">   Less: Repayment</t>
  </si>
  <si>
    <t xml:space="preserve"> Less: Security Deposit from Consumer</t>
  </si>
  <si>
    <t>Add: Operational WC</t>
  </si>
  <si>
    <t>PAT + Deferred Tax</t>
  </si>
  <si>
    <t>Inflows</t>
  </si>
  <si>
    <t>FCF</t>
  </si>
  <si>
    <t>Net Cashflow</t>
  </si>
  <si>
    <t>Project Life</t>
  </si>
  <si>
    <t>Project Assumption</t>
  </si>
  <si>
    <t>Total number of pallet position</t>
  </si>
  <si>
    <t>Security Deposit from consumer</t>
  </si>
  <si>
    <t>#</t>
  </si>
  <si>
    <t>Returns</t>
  </si>
  <si>
    <t>Cost per pallet per day</t>
  </si>
  <si>
    <t>Rs./pallet/day</t>
  </si>
  <si>
    <t>Storage duration of each pallet</t>
  </si>
  <si>
    <t>Year (in Rs. Cr.)</t>
  </si>
  <si>
    <t>Cost per pallet per year (Rs.)</t>
  </si>
  <si>
    <t>Average (Rs.)</t>
  </si>
  <si>
    <t>cost per pallet (Rs./pallet/day)</t>
  </si>
  <si>
    <t>every ___  years</t>
  </si>
  <si>
    <t>Repayment of Security Deposit</t>
  </si>
  <si>
    <t>SD deposit</t>
  </si>
  <si>
    <t>Rent renewal period</t>
  </si>
  <si>
    <t>Charges to the customer</t>
  </si>
  <si>
    <t>Payback</t>
  </si>
  <si>
    <t xml:space="preserve">Payback </t>
  </si>
  <si>
    <t>Pallets availabity</t>
  </si>
  <si>
    <t>Warehouse cost to company</t>
  </si>
  <si>
    <t>Manpower Requirement</t>
  </si>
  <si>
    <t>Total number of employees</t>
  </si>
  <si>
    <t xml:space="preserve">   Security</t>
  </si>
  <si>
    <t xml:space="preserve">   Site incharge</t>
  </si>
  <si>
    <t xml:space="preserve">   Managers</t>
  </si>
  <si>
    <t xml:space="preserve">   Operators</t>
  </si>
  <si>
    <t>Monthly salary</t>
  </si>
  <si>
    <t>Total annual cost</t>
  </si>
  <si>
    <t>Rentals</t>
  </si>
  <si>
    <t>IT assets</t>
  </si>
  <si>
    <t xml:space="preserve">   Printer</t>
  </si>
  <si>
    <t xml:space="preserve">   Laptops</t>
  </si>
  <si>
    <t xml:space="preserve">   Wifi</t>
  </si>
  <si>
    <t>Cost per month</t>
  </si>
  <si>
    <t>Machineries</t>
  </si>
  <si>
    <t>Rental Electrical Forklifts charges</t>
  </si>
  <si>
    <t>Dock Levellers</t>
  </si>
  <si>
    <t>Installation</t>
  </si>
  <si>
    <t>One time payment</t>
  </si>
  <si>
    <t>BOPT</t>
  </si>
  <si>
    <t>crore</t>
  </si>
  <si>
    <t>times</t>
  </si>
  <si>
    <t>Annual inventory turnover</t>
  </si>
  <si>
    <t>Maximum storage capacity</t>
  </si>
  <si>
    <t>times per year</t>
  </si>
  <si>
    <t>Project</t>
  </si>
  <si>
    <t>Project life</t>
  </si>
  <si>
    <t>Number of pallet position</t>
  </si>
  <si>
    <t>Rent per pallet per day</t>
  </si>
  <si>
    <t>Term of rent agreement</t>
  </si>
  <si>
    <t>Inventory Turnover</t>
  </si>
  <si>
    <t>End of Project Execution</t>
  </si>
  <si>
    <t>Start of Project Execution</t>
  </si>
  <si>
    <t>Land lease rental</t>
  </si>
  <si>
    <t>Total land required</t>
  </si>
  <si>
    <t>Total land area</t>
  </si>
  <si>
    <t>Rate per sq. ft.</t>
  </si>
  <si>
    <t>Rs./sq.ft. /month</t>
  </si>
  <si>
    <t>Security deposit on land</t>
  </si>
  <si>
    <t>a</t>
  </si>
  <si>
    <t>b</t>
  </si>
  <si>
    <t>c</t>
  </si>
  <si>
    <t>d</t>
  </si>
  <si>
    <t>e</t>
  </si>
  <si>
    <t>Term of land rental</t>
  </si>
  <si>
    <t>Yr 1</t>
  </si>
  <si>
    <t>Yr 2</t>
  </si>
  <si>
    <t>Yr 3</t>
  </si>
  <si>
    <t>Yr 4</t>
  </si>
  <si>
    <t>Yr 5</t>
  </si>
  <si>
    <t>Yr 6</t>
  </si>
  <si>
    <t>Yr 7</t>
  </si>
  <si>
    <t>Rs./day/pallet</t>
  </si>
  <si>
    <t>Rs./sq. ft./month</t>
  </si>
  <si>
    <t>B</t>
  </si>
  <si>
    <t xml:space="preserve">Financial </t>
  </si>
  <si>
    <t>Rs. Crore</t>
  </si>
  <si>
    <t>A</t>
  </si>
  <si>
    <t>Assumption List</t>
  </si>
  <si>
    <t>Material will be outbound within this days</t>
  </si>
  <si>
    <t>Based on current planning</t>
  </si>
  <si>
    <t>Land lease rentals</t>
  </si>
  <si>
    <t>Depreciation term</t>
  </si>
  <si>
    <t>As per the diagram</t>
  </si>
  <si>
    <t>Outflows</t>
  </si>
  <si>
    <t>Cummulative CF</t>
  </si>
  <si>
    <t>Change in payback</t>
  </si>
  <si>
    <t>Change in D:E</t>
  </si>
  <si>
    <t>Change in rental cost</t>
  </si>
  <si>
    <t>Change in storage duration</t>
  </si>
  <si>
    <t>0:1</t>
  </si>
  <si>
    <t>3:1</t>
  </si>
  <si>
    <t>- 9.51%</t>
  </si>
  <si>
    <t>+4.17 years</t>
  </si>
  <si>
    <t>Rs./Pallet/day</t>
  </si>
  <si>
    <t>+/- 0.10</t>
  </si>
  <si>
    <t>+/- 6.30%</t>
  </si>
  <si>
    <t>-/+ 0.26 years</t>
  </si>
  <si>
    <t>+ 1 day</t>
  </si>
  <si>
    <t>+2.12 years</t>
  </si>
  <si>
    <t>Change in project execution timeline</t>
  </si>
  <si>
    <t>+ 1 month</t>
  </si>
  <si>
    <t>- 0.37%</t>
  </si>
  <si>
    <t>0.00 years</t>
  </si>
  <si>
    <t>Change in project life</t>
  </si>
  <si>
    <t>-/+ 1.50%</t>
  </si>
  <si>
    <t>-/+ 5 years</t>
  </si>
  <si>
    <t>+/- 0.04 years</t>
  </si>
  <si>
    <t>Expense Parameter</t>
  </si>
  <si>
    <t>Annual Cost (Rs. Cr.)</t>
  </si>
  <si>
    <t>Lease Rent</t>
  </si>
  <si>
    <t>Total Lease Cost</t>
  </si>
  <si>
    <t>IT Costs</t>
  </si>
  <si>
    <t>Machinery &amp; Equipment</t>
  </si>
  <si>
    <t>Total Operational Cost</t>
  </si>
  <si>
    <t>Transport Cost</t>
  </si>
  <si>
    <t>Total number of daily trips</t>
  </si>
  <si>
    <t>Total annual days</t>
  </si>
  <si>
    <t>Transportation cost</t>
  </si>
  <si>
    <t>Monthly contract rate</t>
  </si>
  <si>
    <t>Annual cost</t>
  </si>
  <si>
    <t>Transporatation</t>
  </si>
  <si>
    <t>Rs./trip</t>
  </si>
  <si>
    <t>Cost per trip (incl. GST)</t>
  </si>
  <si>
    <t># of trips per day</t>
  </si>
  <si>
    <t>Warehousing cost</t>
  </si>
  <si>
    <t>Rent renewal/Term of agreement</t>
  </si>
  <si>
    <t>Rental period</t>
  </si>
  <si>
    <t>Rent period</t>
  </si>
  <si>
    <t>year</t>
  </si>
  <si>
    <t>Transportation Cost</t>
  </si>
  <si>
    <t>Monthly contract cost</t>
  </si>
  <si>
    <t>Total annual cost (incl GST)</t>
  </si>
  <si>
    <t>every year</t>
  </si>
  <si>
    <t>Cummulative Payback</t>
  </si>
  <si>
    <t>Radiant Warehouse (Rs. Cr.)</t>
  </si>
  <si>
    <t>Kothur Warehouse (Rs. Cr.)</t>
  </si>
  <si>
    <t>Add: Operational cost</t>
  </si>
  <si>
    <t>Lease cost</t>
  </si>
  <si>
    <t>Markup from market cost</t>
  </si>
  <si>
    <t>Change in markup</t>
  </si>
  <si>
    <t>+/- 1%</t>
  </si>
  <si>
    <t>-/+ 1.91%</t>
  </si>
  <si>
    <t>+ 1.41 / - 0.99 years</t>
  </si>
  <si>
    <t>In reference to Radiant and Kothur warehouse rentals</t>
  </si>
  <si>
    <t>As per the land lease rental of HSTL &lt;&gt; PEPPL Gas yard and Kothur lease rental</t>
  </si>
  <si>
    <t>ROCE - Pre Tax</t>
  </si>
  <si>
    <t>ROCE - Post- Tax</t>
  </si>
  <si>
    <t>ROCE-Post Tax</t>
  </si>
  <si>
    <t>Kottur</t>
  </si>
  <si>
    <t>Rediant</t>
  </si>
  <si>
    <t>Pallots</t>
  </si>
  <si>
    <t>Cost per pallet</t>
  </si>
  <si>
    <t>Sqft</t>
  </si>
  <si>
    <t xml:space="preserve">Utilisation </t>
  </si>
  <si>
    <t>Warehouse</t>
  </si>
  <si>
    <t>Rent per month</t>
  </si>
  <si>
    <t>Area (Sqft)</t>
  </si>
  <si>
    <t>Rate/Sqft</t>
  </si>
  <si>
    <t>Storage Capacity (Pallets)</t>
  </si>
  <si>
    <t>Rate/Pallet</t>
  </si>
  <si>
    <t>Rate per pallet per day</t>
  </si>
  <si>
    <t>Markup @ 15%</t>
  </si>
  <si>
    <t>Gajwel charges per pallet per day</t>
  </si>
  <si>
    <t>Storages Charges cost per pallet</t>
  </si>
  <si>
    <t>No of pallets capacity</t>
  </si>
  <si>
    <t>Occupancy</t>
  </si>
  <si>
    <t>Revenue to Gajwel per annum</t>
  </si>
  <si>
    <t>6696*49.93*365</t>
  </si>
  <si>
    <t>Rs in Crs</t>
  </si>
  <si>
    <t>Weighted Average</t>
  </si>
  <si>
    <t>Transportation Cost to be factored (factory to Kottur)</t>
  </si>
  <si>
    <t>Radiant</t>
  </si>
  <si>
    <t>Opening</t>
  </si>
  <si>
    <t>Closing</t>
  </si>
  <si>
    <t>Kothur</t>
  </si>
  <si>
    <t>Utilisation</t>
  </si>
  <si>
    <t>Average</t>
  </si>
  <si>
    <t>Change in inventory</t>
  </si>
  <si>
    <t>Operational Charges</t>
  </si>
  <si>
    <t>Total Operational charges per pallet</t>
  </si>
  <si>
    <t>Transportation Cost to be factored (factory to Radiant)</t>
  </si>
  <si>
    <t>Total Storage potential</t>
  </si>
  <si>
    <t>Radiant + Kothur</t>
  </si>
  <si>
    <t>Total average closing</t>
  </si>
  <si>
    <t>Present Value</t>
  </si>
  <si>
    <t>Add: SD for land lease</t>
  </si>
  <si>
    <t>ROCE</t>
  </si>
  <si>
    <t>Sept</t>
  </si>
  <si>
    <t>IT Depreciation WDV</t>
  </si>
  <si>
    <t xml:space="preserve">Opening </t>
  </si>
  <si>
    <t>Accumulated IT Depreciation</t>
  </si>
  <si>
    <t>Less: IT Depreciation WDV</t>
  </si>
  <si>
    <t>Storage Utilisation</t>
  </si>
  <si>
    <t>Discount factor</t>
  </si>
  <si>
    <t>Discounted Cash flow</t>
  </si>
  <si>
    <t>Cummulative DCF</t>
  </si>
  <si>
    <t>Land lease</t>
  </si>
  <si>
    <t>Depreciation of ASRS</t>
  </si>
  <si>
    <t>Depreciation of HSTL building</t>
  </si>
  <si>
    <t>Operational cost</t>
  </si>
  <si>
    <t>Machinaries</t>
  </si>
  <si>
    <t>Insurance</t>
  </si>
  <si>
    <t>Depreciaton</t>
  </si>
  <si>
    <t>Lease area</t>
  </si>
  <si>
    <t>Per sq. ft. cost</t>
  </si>
  <si>
    <t>Expense</t>
  </si>
  <si>
    <t>EBIT</t>
  </si>
  <si>
    <t>DCF @ 20%</t>
  </si>
  <si>
    <t>Date</t>
  </si>
  <si>
    <t>Inward</t>
  </si>
  <si>
    <t>Outward</t>
  </si>
  <si>
    <t>Change</t>
  </si>
  <si>
    <t>Start</t>
  </si>
  <si>
    <t>End</t>
  </si>
  <si>
    <t>Change average</t>
  </si>
  <si>
    <t>Rental Cost</t>
  </si>
  <si>
    <t>Operational Cost</t>
  </si>
  <si>
    <t>Average daily rental per pallet</t>
  </si>
  <si>
    <t>Pallets</t>
  </si>
  <si>
    <t>Moratorium period</t>
  </si>
  <si>
    <t>DATE</t>
  </si>
  <si>
    <t>O/P stock</t>
  </si>
  <si>
    <t>Receipt</t>
  </si>
  <si>
    <t>Dispatches</t>
  </si>
  <si>
    <t>Closing stock</t>
  </si>
  <si>
    <t>TOTAL</t>
  </si>
  <si>
    <t>Total max pallet</t>
  </si>
  <si>
    <t>Net</t>
  </si>
  <si>
    <t>Average cost per pallet per day</t>
  </si>
  <si>
    <t>Average Inventory</t>
  </si>
  <si>
    <t>Average Inventory Level</t>
  </si>
  <si>
    <t>AIL</t>
  </si>
  <si>
    <t>Average Inventory Level (AIL)</t>
  </si>
  <si>
    <t>For payback Cummulative DCF</t>
  </si>
  <si>
    <t>Received</t>
  </si>
  <si>
    <t>Civil Cost</t>
  </si>
  <si>
    <t>Earthworks and soiling</t>
  </si>
  <si>
    <t>PCC works</t>
  </si>
  <si>
    <t>RCC works</t>
  </si>
  <si>
    <t>Shuttering</t>
  </si>
  <si>
    <t>TMT bards Fe 500</t>
  </si>
  <si>
    <t>Masonary works</t>
  </si>
  <si>
    <t>Plastering</t>
  </si>
  <si>
    <t>VDF Flooring</t>
  </si>
  <si>
    <t>J BOLTS installation</t>
  </si>
  <si>
    <t>Baseplate Grouting</t>
  </si>
  <si>
    <t>Miscellenous</t>
  </si>
  <si>
    <t>Road</t>
  </si>
  <si>
    <t>Electrical</t>
  </si>
  <si>
    <t>CDA</t>
  </si>
  <si>
    <t>FHS and FAS for the ASRS</t>
  </si>
  <si>
    <t>Finance Cost</t>
  </si>
  <si>
    <t>Total space required to store 8928 pallets</t>
  </si>
  <si>
    <t>Sq. ft</t>
  </si>
  <si>
    <t>Lease rental of the land</t>
  </si>
  <si>
    <t>Rs./sq.ft.</t>
  </si>
  <si>
    <t>Total cost per year</t>
  </si>
  <si>
    <t>Rs. Cr.</t>
  </si>
  <si>
    <t>a.</t>
  </si>
  <si>
    <t>Per year cost</t>
  </si>
  <si>
    <t>IT infrastructure</t>
  </si>
  <si>
    <t>c.</t>
  </si>
  <si>
    <t>d.</t>
  </si>
  <si>
    <t>Transporatation cost</t>
  </si>
  <si>
    <t>Assumption</t>
  </si>
  <si>
    <t>Distance from plant</t>
  </si>
  <si>
    <t>20 kms</t>
  </si>
  <si>
    <t>Per trip cost</t>
  </si>
  <si>
    <t>Total trips per day</t>
  </si>
  <si>
    <t>Total savings in cost</t>
  </si>
  <si>
    <t>Opportunity Cost</t>
  </si>
  <si>
    <t>Rental Cost + CAPEX</t>
  </si>
  <si>
    <t>Rental Cost+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</si>
</sst>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0.0%"/>
    <numFmt numFmtId="167" formatCode="_ * #,##0.0000_ ;_ * \-#,##0.0000_ ;_ * &quot;-&quot;??_ ;_ @_ "/>
    <numFmt numFmtId="168" formatCode="0.000%"/>
    <numFmt numFmtId="169" formatCode="0.000"/>
    <numFmt numFmtId="170" formatCode="_-* #,##0_ð_._-;\-* #,##0_ð_._-;_-* &quot;-&quot;??_ð_.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rgb="FF00000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3">
    <xf numFmtId="0" fontId="0" fillId="0" borderId="0" xfId="0"/>
    <xf numFmtId="43" fontId="0" fillId="0" borderId="0" xfId="1" applyFont="1"/>
    <xf numFmtId="165" fontId="0" fillId="0" borderId="0" xfId="1" applyNumberFormat="1" applyFont="1"/>
    <xf numFmtId="43" fontId="0" fillId="0" borderId="0" xfId="0" applyNumberFormat="1"/>
    <xf numFmtId="10" fontId="0" fillId="0" borderId="0" xfId="0" applyNumberFormat="1"/>
    <xf numFmtId="9" fontId="0" fillId="0" borderId="0" xfId="2" applyFont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43" fontId="2" fillId="0" borderId="3" xfId="0" applyNumberFormat="1" applyFont="1" applyBorder="1"/>
    <xf numFmtId="43" fontId="2" fillId="0" borderId="4" xfId="0" applyNumberFormat="1" applyFont="1" applyBorder="1"/>
    <xf numFmtId="0" fontId="0" fillId="0" borderId="3" xfId="0" applyBorder="1"/>
    <xf numFmtId="0" fontId="0" fillId="0" borderId="2" xfId="0" applyBorder="1"/>
    <xf numFmtId="43" fontId="2" fillId="0" borderId="3" xfId="1" applyFont="1" applyBorder="1"/>
    <xf numFmtId="43" fontId="2" fillId="0" borderId="4" xfId="1" applyFont="1" applyBorder="1"/>
    <xf numFmtId="0" fontId="2" fillId="0" borderId="4" xfId="0" applyFon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2" borderId="4" xfId="0" applyFill="1" applyBorder="1"/>
    <xf numFmtId="0" fontId="0" fillId="0" borderId="10" xfId="0" applyBorder="1"/>
    <xf numFmtId="0" fontId="0" fillId="0" borderId="6" xfId="0" applyBorder="1"/>
    <xf numFmtId="9" fontId="0" fillId="0" borderId="0" xfId="0" applyNumberFormat="1"/>
    <xf numFmtId="43" fontId="0" fillId="0" borderId="0" xfId="1" applyFont="1" applyBorder="1"/>
    <xf numFmtId="0" fontId="0" fillId="0" borderId="9" xfId="0" applyBorder="1"/>
    <xf numFmtId="0" fontId="6" fillId="0" borderId="0" xfId="0" applyFont="1"/>
    <xf numFmtId="0" fontId="4" fillId="3" borderId="2" xfId="0" applyFont="1" applyFill="1" applyBorder="1"/>
    <xf numFmtId="43" fontId="3" fillId="4" borderId="3" xfId="0" applyNumberFormat="1" applyFont="1" applyFill="1" applyBorder="1"/>
    <xf numFmtId="43" fontId="0" fillId="0" borderId="7" xfId="0" applyNumberFormat="1" applyBorder="1"/>
    <xf numFmtId="0" fontId="5" fillId="2" borderId="6" xfId="0" applyFont="1" applyFill="1" applyBorder="1"/>
    <xf numFmtId="15" fontId="5" fillId="2" borderId="9" xfId="0" applyNumberFormat="1" applyFont="1" applyFill="1" applyBorder="1"/>
    <xf numFmtId="0" fontId="2" fillId="0" borderId="7" xfId="0" applyFont="1" applyBorder="1"/>
    <xf numFmtId="0" fontId="2" fillId="0" borderId="8" xfId="0" applyFont="1" applyBorder="1"/>
    <xf numFmtId="166" fontId="0" fillId="0" borderId="0" xfId="0" applyNumberFormat="1"/>
    <xf numFmtId="0" fontId="2" fillId="0" borderId="5" xfId="0" applyFont="1" applyBorder="1"/>
    <xf numFmtId="0" fontId="7" fillId="2" borderId="12" xfId="0" applyFont="1" applyFill="1" applyBorder="1" applyAlignment="1">
      <alignment horizontal="left"/>
    </xf>
    <xf numFmtId="10" fontId="0" fillId="0" borderId="6" xfId="0" applyNumberFormat="1" applyBorder="1"/>
    <xf numFmtId="165" fontId="0" fillId="0" borderId="0" xfId="0" applyNumberFormat="1"/>
    <xf numFmtId="165" fontId="0" fillId="0" borderId="0" xfId="1" applyNumberFormat="1" applyFont="1" applyBorder="1"/>
    <xf numFmtId="15" fontId="0" fillId="0" borderId="0" xfId="0" applyNumberFormat="1"/>
    <xf numFmtId="0" fontId="0" fillId="0" borderId="11" xfId="0" applyBorder="1"/>
    <xf numFmtId="165" fontId="0" fillId="2" borderId="12" xfId="1" applyNumberFormat="1" applyFont="1" applyFill="1" applyBorder="1"/>
    <xf numFmtId="0" fontId="2" fillId="0" borderId="10" xfId="0" applyFont="1" applyBorder="1"/>
    <xf numFmtId="0" fontId="2" fillId="0" borderId="11" xfId="0" applyFont="1" applyBorder="1"/>
    <xf numFmtId="15" fontId="2" fillId="0" borderId="0" xfId="0" applyNumberFormat="1" applyFont="1"/>
    <xf numFmtId="43" fontId="0" fillId="2" borderId="0" xfId="0" applyNumberFormat="1" applyFill="1"/>
    <xf numFmtId="43" fontId="0" fillId="0" borderId="3" xfId="0" applyNumberFormat="1" applyBorder="1"/>
    <xf numFmtId="0" fontId="2" fillId="0" borderId="6" xfId="0" applyFont="1" applyBorder="1"/>
    <xf numFmtId="0" fontId="0" fillId="0" borderId="4" xfId="0" applyBorder="1"/>
    <xf numFmtId="165" fontId="2" fillId="0" borderId="3" xfId="0" applyNumberFormat="1" applyFont="1" applyBorder="1"/>
    <xf numFmtId="43" fontId="0" fillId="0" borderId="6" xfId="0" applyNumberFormat="1" applyBorder="1"/>
    <xf numFmtId="10" fontId="0" fillId="0" borderId="0" xfId="2" applyNumberFormat="1" applyFont="1"/>
    <xf numFmtId="43" fontId="3" fillId="4" borderId="4" xfId="0" applyNumberFormat="1" applyFont="1" applyFill="1" applyBorder="1"/>
    <xf numFmtId="0" fontId="2" fillId="0" borderId="3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165" fontId="2" fillId="0" borderId="0" xfId="1" applyNumberFormat="1" applyFont="1"/>
    <xf numFmtId="0" fontId="2" fillId="5" borderId="0" xfId="0" applyFont="1" applyFill="1"/>
    <xf numFmtId="0" fontId="14" fillId="4" borderId="0" xfId="0" applyFont="1" applyFill="1"/>
    <xf numFmtId="17" fontId="2" fillId="0" borderId="11" xfId="0" applyNumberFormat="1" applyFont="1" applyBorder="1"/>
    <xf numFmtId="0" fontId="2" fillId="0" borderId="9" xfId="0" applyFont="1" applyBorder="1"/>
    <xf numFmtId="9" fontId="13" fillId="0" borderId="0" xfId="0" applyNumberFormat="1" applyFont="1"/>
    <xf numFmtId="43" fontId="13" fillId="0" borderId="0" xfId="0" applyNumberFormat="1" applyFont="1"/>
    <xf numFmtId="43" fontId="2" fillId="0" borderId="2" xfId="0" applyNumberFormat="1" applyFont="1" applyBorder="1"/>
    <xf numFmtId="3" fontId="0" fillId="0" borderId="0" xfId="0" applyNumberFormat="1"/>
    <xf numFmtId="43" fontId="0" fillId="0" borderId="6" xfId="1" applyFont="1" applyBorder="1"/>
    <xf numFmtId="0" fontId="0" fillId="0" borderId="0" xfId="0" applyAlignment="1">
      <alignment horizontal="center"/>
    </xf>
    <xf numFmtId="17" fontId="2" fillId="0" borderId="0" xfId="0" applyNumberFormat="1" applyFont="1"/>
    <xf numFmtId="43" fontId="0" fillId="0" borderId="0" xfId="1" applyFont="1" applyFill="1" applyBorder="1"/>
    <xf numFmtId="43" fontId="2" fillId="0" borderId="0" xfId="0" applyNumberFormat="1" applyFont="1"/>
    <xf numFmtId="0" fontId="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43" fontId="2" fillId="0" borderId="0" xfId="1" applyFont="1" applyFill="1" applyBorder="1"/>
    <xf numFmtId="17" fontId="3" fillId="3" borderId="0" xfId="0" applyNumberFormat="1" applyFont="1" applyFill="1"/>
    <xf numFmtId="0" fontId="15" fillId="3" borderId="0" xfId="0" applyFont="1" applyFill="1"/>
    <xf numFmtId="17" fontId="16" fillId="3" borderId="0" xfId="0" applyNumberFormat="1" applyFont="1" applyFill="1"/>
    <xf numFmtId="167" fontId="0" fillId="0" borderId="0" xfId="0" applyNumberFormat="1"/>
    <xf numFmtId="15" fontId="5" fillId="0" borderId="0" xfId="0" applyNumberFormat="1" applyFont="1"/>
    <xf numFmtId="43" fontId="2" fillId="0" borderId="0" xfId="1" applyFont="1"/>
    <xf numFmtId="9" fontId="0" fillId="0" borderId="3" xfId="0" applyNumberFormat="1" applyBorder="1"/>
    <xf numFmtId="43" fontId="0" fillId="0" borderId="0" xfId="1" applyFont="1" applyFill="1"/>
    <xf numFmtId="165" fontId="0" fillId="0" borderId="0" xfId="1" applyNumberFormat="1" applyFont="1" applyFill="1"/>
    <xf numFmtId="2" fontId="0" fillId="0" borderId="0" xfId="0" applyNumberFormat="1"/>
    <xf numFmtId="43" fontId="2" fillId="0" borderId="3" xfId="1" applyFont="1" applyFill="1" applyBorder="1"/>
    <xf numFmtId="165" fontId="3" fillId="3" borderId="3" xfId="0" applyNumberFormat="1" applyFont="1" applyFill="1" applyBorder="1"/>
    <xf numFmtId="165" fontId="3" fillId="3" borderId="4" xfId="0" applyNumberFormat="1" applyFont="1" applyFill="1" applyBorder="1"/>
    <xf numFmtId="43" fontId="1" fillId="0" borderId="0" xfId="1" applyFont="1" applyBorder="1"/>
    <xf numFmtId="9" fontId="0" fillId="0" borderId="0" xfId="1" applyNumberFormat="1" applyFont="1"/>
    <xf numFmtId="0" fontId="4" fillId="3" borderId="0" xfId="0" applyFont="1" applyFill="1"/>
    <xf numFmtId="43" fontId="3" fillId="3" borderId="3" xfId="0" applyNumberFormat="1" applyFont="1" applyFill="1" applyBorder="1"/>
    <xf numFmtId="43" fontId="4" fillId="4" borderId="3" xfId="0" applyNumberFormat="1" applyFont="1" applyFill="1" applyBorder="1"/>
    <xf numFmtId="43" fontId="4" fillId="4" borderId="4" xfId="0" applyNumberFormat="1" applyFont="1" applyFill="1" applyBorder="1"/>
    <xf numFmtId="0" fontId="14" fillId="3" borderId="0" xfId="0" applyFont="1" applyFill="1"/>
    <xf numFmtId="0" fontId="17" fillId="0" borderId="0" xfId="0" applyFont="1"/>
    <xf numFmtId="0" fontId="18" fillId="0" borderId="0" xfId="0" applyFont="1"/>
    <xf numFmtId="0" fontId="5" fillId="0" borderId="0" xfId="0" applyFont="1"/>
    <xf numFmtId="0" fontId="19" fillId="0" borderId="0" xfId="0" applyFont="1"/>
    <xf numFmtId="0" fontId="20" fillId="0" borderId="0" xfId="0" applyFont="1"/>
    <xf numFmtId="0" fontId="8" fillId="0" borderId="0" xfId="0" applyFont="1"/>
    <xf numFmtId="0" fontId="9" fillId="0" borderId="2" xfId="0" applyFont="1" applyBorder="1"/>
    <xf numFmtId="0" fontId="16" fillId="3" borderId="0" xfId="0" applyFont="1" applyFill="1"/>
    <xf numFmtId="0" fontId="12" fillId="0" borderId="9" xfId="0" applyFont="1" applyBorder="1"/>
    <xf numFmtId="4" fontId="0" fillId="0" borderId="0" xfId="0" applyNumberFormat="1"/>
    <xf numFmtId="0" fontId="21" fillId="0" borderId="0" xfId="0" applyFont="1"/>
    <xf numFmtId="15" fontId="5" fillId="0" borderId="12" xfId="0" applyNumberFormat="1" applyFont="1" applyBorder="1"/>
    <xf numFmtId="15" fontId="5" fillId="0" borderId="9" xfId="0" applyNumberFormat="1" applyFont="1" applyBorder="1"/>
    <xf numFmtId="15" fontId="5" fillId="0" borderId="4" xfId="0" applyNumberFormat="1" applyFont="1" applyBorder="1"/>
    <xf numFmtId="0" fontId="6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43" fontId="0" fillId="0" borderId="0" xfId="1" applyFont="1" applyAlignment="1">
      <alignment horizontal="center"/>
    </xf>
    <xf numFmtId="0" fontId="0" fillId="0" borderId="5" xfId="0" applyBorder="1" applyAlignment="1">
      <alignment horizontal="center"/>
    </xf>
    <xf numFmtId="0" fontId="6" fillId="0" borderId="8" xfId="0" applyFont="1" applyBorder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left" indent="2"/>
    </xf>
    <xf numFmtId="0" fontId="0" fillId="0" borderId="6" xfId="0" quotePrefix="1" applyBorder="1"/>
    <xf numFmtId="0" fontId="0" fillId="0" borderId="1" xfId="0" applyBorder="1" applyAlignment="1">
      <alignment horizontal="left" vertical="center" wrapText="1" indent="5"/>
    </xf>
    <xf numFmtId="0" fontId="2" fillId="0" borderId="1" xfId="0" applyFont="1" applyBorder="1" applyAlignment="1">
      <alignment horizontal="left" vertical="center" wrapText="1" indent="5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12" xfId="0" applyBorder="1"/>
    <xf numFmtId="0" fontId="5" fillId="0" borderId="0" xfId="0" applyFont="1" applyAlignment="1">
      <alignment horizontal="left" indent="2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2" fillId="0" borderId="7" xfId="0" applyFont="1" applyBorder="1" applyAlignment="1">
      <alignment horizontal="center"/>
    </xf>
    <xf numFmtId="165" fontId="2" fillId="0" borderId="3" xfId="1" applyNumberFormat="1" applyFont="1" applyBorder="1"/>
    <xf numFmtId="165" fontId="2" fillId="0" borderId="0" xfId="0" applyNumberFormat="1" applyFont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0" xfId="0" applyNumberFormat="1" applyAlignment="1">
      <alignment horizontal="right"/>
    </xf>
    <xf numFmtId="43" fontId="0" fillId="0" borderId="0" xfId="1" applyFont="1" applyBorder="1" applyAlignment="1">
      <alignment horizontal="right"/>
    </xf>
    <xf numFmtId="43" fontId="0" fillId="0" borderId="0" xfId="0" applyNumberFormat="1" applyAlignment="1">
      <alignment horizontal="right"/>
    </xf>
    <xf numFmtId="165" fontId="0" fillId="2" borderId="6" xfId="1" applyNumberFormat="1" applyFont="1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43" fontId="2" fillId="0" borderId="4" xfId="1" applyFont="1" applyBorder="1" applyAlignment="1">
      <alignment horizontal="center"/>
    </xf>
    <xf numFmtId="10" fontId="0" fillId="0" borderId="8" xfId="0" applyNumberFormat="1" applyBorder="1" applyAlignment="1">
      <alignment horizontal="right"/>
    </xf>
    <xf numFmtId="9" fontId="0" fillId="2" borderId="6" xfId="1" applyNumberFormat="1" applyFont="1" applyFill="1" applyBorder="1" applyAlignment="1">
      <alignment horizontal="right"/>
    </xf>
    <xf numFmtId="0" fontId="25" fillId="8" borderId="13" xfId="0" applyFont="1" applyFill="1" applyBorder="1" applyAlignment="1">
      <alignment vertical="center" wrapText="1"/>
    </xf>
    <xf numFmtId="0" fontId="25" fillId="8" borderId="12" xfId="0" applyFont="1" applyFill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25" fillId="0" borderId="12" xfId="0" applyFont="1" applyBorder="1" applyAlignment="1">
      <alignment vertical="center" wrapText="1"/>
    </xf>
    <xf numFmtId="0" fontId="26" fillId="0" borderId="5" xfId="0" applyFont="1" applyBorder="1" applyAlignment="1">
      <alignment horizontal="left" vertical="center" wrapText="1" indent="1"/>
    </xf>
    <xf numFmtId="43" fontId="26" fillId="0" borderId="6" xfId="0" applyNumberFormat="1" applyFont="1" applyBorder="1" applyAlignment="1">
      <alignment horizontal="left" vertical="center" wrapText="1" indent="5"/>
    </xf>
    <xf numFmtId="43" fontId="27" fillId="0" borderId="6" xfId="0" applyNumberFormat="1" applyFont="1" applyBorder="1" applyAlignment="1">
      <alignment horizontal="left" vertical="center" wrapText="1" indent="5"/>
    </xf>
    <xf numFmtId="0" fontId="28" fillId="0" borderId="2" xfId="0" applyFont="1" applyBorder="1" applyAlignment="1">
      <alignment vertical="center" wrapText="1"/>
    </xf>
    <xf numFmtId="43" fontId="28" fillId="0" borderId="4" xfId="0" applyNumberFormat="1" applyFont="1" applyBorder="1" applyAlignment="1">
      <alignment horizontal="left" vertical="center" wrapText="1" indent="5"/>
    </xf>
    <xf numFmtId="43" fontId="26" fillId="0" borderId="6" xfId="1" applyFont="1" applyBorder="1" applyAlignment="1">
      <alignment horizontal="left" vertical="center" wrapText="1" indent="5"/>
    </xf>
    <xf numFmtId="0" fontId="29" fillId="0" borderId="5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43" fontId="27" fillId="0" borderId="4" xfId="0" applyNumberFormat="1" applyFont="1" applyBorder="1" applyAlignment="1">
      <alignment horizontal="left" vertical="center" wrapText="1" indent="5"/>
    </xf>
    <xf numFmtId="0" fontId="25" fillId="8" borderId="10" xfId="0" applyFont="1" applyFill="1" applyBorder="1" applyAlignment="1">
      <alignment vertical="center" wrapText="1"/>
    </xf>
    <xf numFmtId="0" fontId="25" fillId="0" borderId="13" xfId="0" applyFont="1" applyBorder="1" applyAlignment="1">
      <alignment vertical="center" wrapText="1"/>
    </xf>
    <xf numFmtId="43" fontId="26" fillId="0" borderId="14" xfId="0" applyNumberFormat="1" applyFont="1" applyBorder="1" applyAlignment="1">
      <alignment horizontal="left" vertical="center" wrapText="1" indent="5"/>
    </xf>
    <xf numFmtId="43" fontId="26" fillId="0" borderId="14" xfId="1" applyFont="1" applyBorder="1" applyAlignment="1">
      <alignment horizontal="left" vertical="center" wrapText="1" indent="5"/>
    </xf>
    <xf numFmtId="43" fontId="27" fillId="0" borderId="1" xfId="0" applyNumberFormat="1" applyFont="1" applyBorder="1" applyAlignment="1">
      <alignment horizontal="left" vertical="center" wrapText="1" indent="5"/>
    </xf>
    <xf numFmtId="43" fontId="27" fillId="0" borderId="14" xfId="0" applyNumberFormat="1" applyFont="1" applyBorder="1" applyAlignment="1">
      <alignment horizontal="left" vertical="center" wrapText="1" indent="5"/>
    </xf>
    <xf numFmtId="43" fontId="28" fillId="0" borderId="1" xfId="0" applyNumberFormat="1" applyFont="1" applyBorder="1" applyAlignment="1">
      <alignment horizontal="left" vertical="center" wrapText="1" indent="5"/>
    </xf>
    <xf numFmtId="9" fontId="2" fillId="2" borderId="4" xfId="2" applyFont="1" applyFill="1" applyBorder="1" applyAlignment="1">
      <alignment horizontal="right"/>
    </xf>
    <xf numFmtId="0" fontId="2" fillId="0" borderId="12" xfId="0" applyFont="1" applyBorder="1"/>
    <xf numFmtId="0" fontId="0" fillId="0" borderId="0" xfId="0" quotePrefix="1"/>
    <xf numFmtId="0" fontId="0" fillId="0" borderId="10" xfId="0" applyBorder="1" applyAlignment="1">
      <alignment horizontal="center"/>
    </xf>
    <xf numFmtId="20" fontId="0" fillId="0" borderId="11" xfId="0" quotePrefix="1" applyNumberFormat="1" applyBorder="1" applyAlignment="1">
      <alignment horizontal="center"/>
    </xf>
    <xf numFmtId="20" fontId="0" fillId="0" borderId="11" xfId="0" quotePrefix="1" applyNumberFormat="1" applyBorder="1"/>
    <xf numFmtId="20" fontId="0" fillId="0" borderId="11" xfId="1" quotePrefix="1" applyNumberFormat="1" applyFont="1" applyBorder="1"/>
    <xf numFmtId="0" fontId="0" fillId="0" borderId="11" xfId="0" quotePrefix="1" applyBorder="1"/>
    <xf numFmtId="0" fontId="0" fillId="0" borderId="12" xfId="0" quotePrefix="1" applyBorder="1"/>
    <xf numFmtId="0" fontId="0" fillId="0" borderId="7" xfId="0" applyBorder="1" applyAlignment="1">
      <alignment horizontal="center"/>
    </xf>
    <xf numFmtId="0" fontId="0" fillId="0" borderId="8" xfId="0" quotePrefix="1" applyBorder="1"/>
    <xf numFmtId="0" fontId="0" fillId="0" borderId="9" xfId="0" quotePrefix="1" applyBorder="1"/>
    <xf numFmtId="9" fontId="0" fillId="0" borderId="8" xfId="0" applyNumberFormat="1" applyBorder="1" applyAlignment="1">
      <alignment horizontal="center"/>
    </xf>
    <xf numFmtId="0" fontId="0" fillId="0" borderId="6" xfId="0" applyBorder="1" applyAlignment="1">
      <alignment wrapText="1"/>
    </xf>
    <xf numFmtId="0" fontId="16" fillId="3" borderId="15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0" fillId="0" borderId="19" xfId="0" applyNumberFormat="1" applyBorder="1"/>
    <xf numFmtId="0" fontId="0" fillId="0" borderId="19" xfId="0" applyBorder="1"/>
    <xf numFmtId="0" fontId="2" fillId="0" borderId="20" xfId="0" applyFont="1" applyBorder="1"/>
    <xf numFmtId="43" fontId="2" fillId="0" borderId="21" xfId="0" applyNumberFormat="1" applyFont="1" applyBorder="1"/>
    <xf numFmtId="43" fontId="2" fillId="0" borderId="22" xfId="0" applyNumberFormat="1" applyFont="1" applyBorder="1"/>
    <xf numFmtId="43" fontId="0" fillId="0" borderId="19" xfId="1" applyFont="1" applyBorder="1"/>
    <xf numFmtId="9" fontId="0" fillId="0" borderId="0" xfId="1" applyNumberFormat="1" applyFont="1" applyBorder="1"/>
    <xf numFmtId="9" fontId="0" fillId="0" borderId="19" xfId="1" applyNumberFormat="1" applyFont="1" applyBorder="1"/>
    <xf numFmtId="0" fontId="3" fillId="4" borderId="23" xfId="0" applyFont="1" applyFill="1" applyBorder="1"/>
    <xf numFmtId="43" fontId="3" fillId="4" borderId="24" xfId="0" applyNumberFormat="1" applyFont="1" applyFill="1" applyBorder="1"/>
    <xf numFmtId="0" fontId="16" fillId="3" borderId="18" xfId="0" applyFont="1" applyFill="1" applyBorder="1"/>
    <xf numFmtId="0" fontId="3" fillId="3" borderId="23" xfId="0" applyFont="1" applyFill="1" applyBorder="1"/>
    <xf numFmtId="43" fontId="3" fillId="3" borderId="24" xfId="0" applyNumberFormat="1" applyFont="1" applyFill="1" applyBorder="1"/>
    <xf numFmtId="0" fontId="4" fillId="4" borderId="25" xfId="0" applyFont="1" applyFill="1" applyBorder="1"/>
    <xf numFmtId="43" fontId="4" fillId="4" borderId="24" xfId="0" applyNumberFormat="1" applyFont="1" applyFill="1" applyBorder="1"/>
    <xf numFmtId="0" fontId="0" fillId="0" borderId="26" xfId="0" applyBorder="1"/>
    <xf numFmtId="0" fontId="2" fillId="0" borderId="23" xfId="0" applyFont="1" applyBorder="1"/>
    <xf numFmtId="43" fontId="2" fillId="0" borderId="24" xfId="0" applyNumberFormat="1" applyFont="1" applyBorder="1"/>
    <xf numFmtId="0" fontId="4" fillId="4" borderId="23" xfId="0" applyFont="1" applyFill="1" applyBorder="1"/>
    <xf numFmtId="0" fontId="4" fillId="4" borderId="20" xfId="0" applyFont="1" applyFill="1" applyBorder="1"/>
    <xf numFmtId="43" fontId="4" fillId="4" borderId="21" xfId="0" applyNumberFormat="1" applyFont="1" applyFill="1" applyBorder="1"/>
    <xf numFmtId="43" fontId="4" fillId="4" borderId="22" xfId="0" applyNumberFormat="1" applyFont="1" applyFill="1" applyBorder="1"/>
    <xf numFmtId="165" fontId="0" fillId="0" borderId="19" xfId="0" applyNumberFormat="1" applyBorder="1"/>
    <xf numFmtId="0" fontId="2" fillId="0" borderId="21" xfId="0" applyFont="1" applyBorder="1"/>
    <xf numFmtId="9" fontId="2" fillId="0" borderId="21" xfId="0" applyNumberFormat="1" applyFont="1" applyBorder="1"/>
    <xf numFmtId="165" fontId="2" fillId="0" borderId="22" xfId="1" applyNumberFormat="1" applyFont="1" applyBorder="1"/>
    <xf numFmtId="164" fontId="0" fillId="0" borderId="0" xfId="0" applyNumberFormat="1"/>
    <xf numFmtId="164" fontId="0" fillId="0" borderId="6" xfId="0" applyNumberFormat="1" applyBorder="1"/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165" fontId="0" fillId="0" borderId="6" xfId="0" applyNumberFormat="1" applyBorder="1"/>
    <xf numFmtId="165" fontId="6" fillId="0" borderId="9" xfId="0" applyNumberFormat="1" applyFont="1" applyBorder="1"/>
    <xf numFmtId="9" fontId="6" fillId="0" borderId="8" xfId="0" applyNumberFormat="1" applyFont="1" applyBorder="1"/>
    <xf numFmtId="0" fontId="0" fillId="10" borderId="2" xfId="0" applyFill="1" applyBorder="1"/>
    <xf numFmtId="0" fontId="0" fillId="10" borderId="3" xfId="0" applyFill="1" applyBorder="1"/>
    <xf numFmtId="0" fontId="6" fillId="10" borderId="3" xfId="0" applyFont="1" applyFill="1" applyBorder="1"/>
    <xf numFmtId="43" fontId="6" fillId="10" borderId="4" xfId="1" applyFont="1" applyFill="1" applyBorder="1"/>
    <xf numFmtId="1" fontId="0" fillId="0" borderId="0" xfId="0" applyNumberFormat="1"/>
    <xf numFmtId="1" fontId="0" fillId="0" borderId="0" xfId="1" applyNumberFormat="1" applyFont="1"/>
    <xf numFmtId="164" fontId="2" fillId="0" borderId="6" xfId="0" applyNumberFormat="1" applyFont="1" applyBorder="1"/>
    <xf numFmtId="0" fontId="5" fillId="0" borderId="5" xfId="0" applyFont="1" applyBorder="1"/>
    <xf numFmtId="9" fontId="2" fillId="2" borderId="4" xfId="2" applyFont="1" applyFill="1" applyBorder="1"/>
    <xf numFmtId="164" fontId="2" fillId="0" borderId="0" xfId="0" applyNumberFormat="1" applyFont="1"/>
    <xf numFmtId="43" fontId="2" fillId="0" borderId="0" xfId="1" applyFont="1" applyBorder="1"/>
    <xf numFmtId="15" fontId="5" fillId="2" borderId="0" xfId="0" applyNumberFormat="1" applyFont="1" applyFill="1"/>
    <xf numFmtId="43" fontId="5" fillId="2" borderId="0" xfId="1" applyFont="1" applyFill="1" applyBorder="1"/>
    <xf numFmtId="168" fontId="0" fillId="0" borderId="0" xfId="2" applyNumberFormat="1" applyFont="1" applyFill="1" applyBorder="1"/>
    <xf numFmtId="9" fontId="0" fillId="0" borderId="6" xfId="2" applyFont="1" applyFill="1" applyBorder="1" applyAlignment="1">
      <alignment horizontal="right"/>
    </xf>
    <xf numFmtId="164" fontId="2" fillId="0" borderId="3" xfId="0" applyNumberFormat="1" applyFont="1" applyBorder="1"/>
    <xf numFmtId="164" fontId="2" fillId="0" borderId="4" xfId="0" applyNumberFormat="1" applyFont="1" applyBorder="1"/>
    <xf numFmtId="0" fontId="9" fillId="2" borderId="1" xfId="0" applyFont="1" applyFill="1" applyBorder="1"/>
    <xf numFmtId="9" fontId="2" fillId="0" borderId="3" xfId="0" applyNumberFormat="1" applyFont="1" applyBorder="1"/>
    <xf numFmtId="9" fontId="0" fillId="2" borderId="6" xfId="0" applyNumberFormat="1" applyFill="1" applyBorder="1"/>
    <xf numFmtId="9" fontId="0" fillId="2" borderId="9" xfId="0" applyNumberFormat="1" applyFill="1" applyBorder="1"/>
    <xf numFmtId="165" fontId="0" fillId="0" borderId="0" xfId="0" applyNumberFormat="1" applyAlignment="1">
      <alignment horizontal="center"/>
    </xf>
    <xf numFmtId="43" fontId="0" fillId="0" borderId="0" xfId="1" applyFont="1" applyBorder="1" applyAlignment="1">
      <alignment horizontal="center"/>
    </xf>
    <xf numFmtId="15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/>
    <xf numFmtId="14" fontId="31" fillId="11" borderId="27" xfId="0" applyNumberFormat="1" applyFont="1" applyFill="1" applyBorder="1" applyAlignment="1">
      <alignment horizontal="center" vertical="center"/>
    </xf>
    <xf numFmtId="0" fontId="6" fillId="0" borderId="27" xfId="0" applyFont="1" applyBorder="1"/>
    <xf numFmtId="0" fontId="31" fillId="11" borderId="27" xfId="0" applyFont="1" applyFill="1" applyBorder="1" applyAlignment="1">
      <alignment horizontal="center" vertical="center"/>
    </xf>
    <xf numFmtId="0" fontId="6" fillId="0" borderId="27" xfId="0" applyFont="1" applyBorder="1" applyAlignment="1">
      <alignment vertical="center" wrapText="1"/>
    </xf>
    <xf numFmtId="165" fontId="6" fillId="0" borderId="27" xfId="0" applyNumberFormat="1" applyFont="1" applyBorder="1"/>
    <xf numFmtId="14" fontId="31" fillId="0" borderId="27" xfId="0" applyNumberFormat="1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14" fontId="6" fillId="0" borderId="27" xfId="0" applyNumberFormat="1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43" fontId="31" fillId="11" borderId="27" xfId="1" applyFont="1" applyFill="1" applyBorder="1" applyAlignment="1">
      <alignment horizontal="center" vertical="center"/>
    </xf>
    <xf numFmtId="0" fontId="32" fillId="12" borderId="27" xfId="0" applyFont="1" applyFill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12" borderId="28" xfId="0" applyFont="1" applyFill="1" applyBorder="1" applyAlignment="1">
      <alignment horizontal="center" vertical="center"/>
    </xf>
    <xf numFmtId="14" fontId="33" fillId="0" borderId="27" xfId="0" applyNumberFormat="1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1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/>
    <xf numFmtId="9" fontId="2" fillId="0" borderId="0" xfId="2" applyFont="1" applyFill="1" applyBorder="1"/>
    <xf numFmtId="165" fontId="2" fillId="0" borderId="0" xfId="1" applyNumberFormat="1" applyFont="1" applyFill="1" applyBorder="1"/>
    <xf numFmtId="0" fontId="4" fillId="9" borderId="13" xfId="0" applyFont="1" applyFill="1" applyBorder="1" applyAlignment="1">
      <alignment horizontal="center" vertical="center"/>
    </xf>
    <xf numFmtId="0" fontId="6" fillId="0" borderId="5" xfId="0" applyFont="1" applyBorder="1"/>
    <xf numFmtId="9" fontId="0" fillId="0" borderId="0" xfId="2" applyFont="1" applyFill="1"/>
    <xf numFmtId="43" fontId="13" fillId="0" borderId="0" xfId="1" applyFont="1"/>
    <xf numFmtId="43" fontId="0" fillId="0" borderId="3" xfId="1" applyFont="1" applyBorder="1"/>
    <xf numFmtId="0" fontId="4" fillId="9" borderId="10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"/>
    </xf>
    <xf numFmtId="165" fontId="0" fillId="0" borderId="3" xfId="1" applyNumberFormat="1" applyFont="1" applyBorder="1"/>
    <xf numFmtId="0" fontId="2" fillId="0" borderId="28" xfId="0" applyFont="1" applyBorder="1" applyAlignment="1">
      <alignment vertical="center" wrapText="1"/>
    </xf>
    <xf numFmtId="0" fontId="32" fillId="12" borderId="28" xfId="0" applyFont="1" applyFill="1" applyBorder="1" applyAlignment="1">
      <alignment horizontal="center" vertical="center" wrapText="1"/>
    </xf>
    <xf numFmtId="169" fontId="0" fillId="0" borderId="0" xfId="0" applyNumberFormat="1"/>
    <xf numFmtId="10" fontId="13" fillId="0" borderId="0" xfId="1" applyNumberFormat="1" applyFont="1"/>
    <xf numFmtId="0" fontId="35" fillId="11" borderId="9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17" fontId="35" fillId="11" borderId="9" xfId="0" applyNumberFormat="1" applyFont="1" applyFill="1" applyBorder="1" applyAlignment="1">
      <alignment horizontal="center" vertical="center" wrapText="1"/>
    </xf>
    <xf numFmtId="2" fontId="35" fillId="11" borderId="9" xfId="0" applyNumberFormat="1" applyFont="1" applyFill="1" applyBorder="1" applyAlignment="1">
      <alignment horizontal="right" vertical="center" wrapText="1"/>
    </xf>
    <xf numFmtId="10" fontId="0" fillId="0" borderId="8" xfId="2" applyNumberFormat="1" applyFont="1" applyBorder="1"/>
    <xf numFmtId="0" fontId="13" fillId="0" borderId="0" xfId="0" applyFont="1" applyAlignment="1">
      <alignment horizontal="left" indent="1"/>
    </xf>
    <xf numFmtId="0" fontId="3" fillId="3" borderId="27" xfId="0" applyFont="1" applyFill="1" applyBorder="1"/>
    <xf numFmtId="0" fontId="2" fillId="5" borderId="27" xfId="0" applyFont="1" applyFill="1" applyBorder="1"/>
    <xf numFmtId="165" fontId="2" fillId="5" borderId="27" xfId="1" applyNumberFormat="1" applyFont="1" applyFill="1" applyBorder="1"/>
    <xf numFmtId="43" fontId="2" fillId="5" borderId="27" xfId="0" applyNumberFormat="1" applyFont="1" applyFill="1" applyBorder="1"/>
    <xf numFmtId="0" fontId="13" fillId="0" borderId="27" xfId="0" applyFont="1" applyBorder="1"/>
    <xf numFmtId="165" fontId="0" fillId="0" borderId="27" xfId="1" applyNumberFormat="1" applyFont="1" applyBorder="1"/>
    <xf numFmtId="43" fontId="0" fillId="0" borderId="27" xfId="0" applyNumberFormat="1" applyBorder="1"/>
    <xf numFmtId="0" fontId="13" fillId="0" borderId="27" xfId="0" applyFont="1" applyBorder="1" applyAlignment="1">
      <alignment horizontal="left" indent="1"/>
    </xf>
    <xf numFmtId="165" fontId="0" fillId="0" borderId="27" xfId="0" applyNumberFormat="1" applyBorder="1"/>
    <xf numFmtId="9" fontId="2" fillId="5" borderId="27" xfId="0" applyNumberFormat="1" applyFont="1" applyFill="1" applyBorder="1"/>
    <xf numFmtId="0" fontId="0" fillId="5" borderId="27" xfId="0" applyFill="1" applyBorder="1"/>
    <xf numFmtId="0" fontId="0" fillId="0" borderId="0" xfId="0" applyAlignment="1">
      <alignment horizontal="left" indent="1"/>
    </xf>
    <xf numFmtId="170" fontId="2" fillId="5" borderId="27" xfId="1" applyNumberFormat="1" applyFont="1" applyFill="1" applyBorder="1"/>
    <xf numFmtId="10" fontId="0" fillId="0" borderId="11" xfId="0" applyNumberFormat="1" applyBorder="1"/>
    <xf numFmtId="165" fontId="2" fillId="5" borderId="27" xfId="0" applyNumberFormat="1" applyFont="1" applyFill="1" applyBorder="1"/>
    <xf numFmtId="43" fontId="2" fillId="6" borderId="4" xfId="1" applyFont="1" applyFill="1" applyBorder="1" applyAlignment="1">
      <alignment horizontal="right"/>
    </xf>
    <xf numFmtId="0" fontId="2" fillId="6" borderId="2" xfId="0" applyFont="1" applyFill="1" applyBorder="1"/>
    <xf numFmtId="0" fontId="2" fillId="6" borderId="3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35" fillId="11" borderId="31" xfId="0" applyNumberFormat="1" applyFont="1" applyFill="1" applyBorder="1" applyAlignment="1">
      <alignment horizontal="right" vertical="center" wrapText="1"/>
    </xf>
    <xf numFmtId="2" fontId="35" fillId="11" borderId="29" xfId="0" applyNumberFormat="1" applyFont="1" applyFill="1" applyBorder="1" applyAlignment="1">
      <alignment horizontal="right" vertical="center" wrapText="1"/>
    </xf>
    <xf numFmtId="17" fontId="35" fillId="11" borderId="32" xfId="0" applyNumberFormat="1" applyFont="1" applyFill="1" applyBorder="1" applyAlignment="1">
      <alignment horizontal="center" vertical="center" wrapText="1"/>
    </xf>
    <xf numFmtId="17" fontId="35" fillId="11" borderId="30" xfId="0" applyNumberFormat="1" applyFont="1" applyFill="1" applyBorder="1" applyAlignment="1">
      <alignment horizontal="center" vertical="center" wrapText="1"/>
    </xf>
    <xf numFmtId="2" fontId="35" fillId="11" borderId="12" xfId="0" applyNumberFormat="1" applyFont="1" applyFill="1" applyBorder="1" applyAlignment="1">
      <alignment horizontal="right" vertical="center" wrapText="1"/>
    </xf>
    <xf numFmtId="17" fontId="35" fillId="11" borderId="13" xfId="0" applyNumberFormat="1" applyFont="1" applyFill="1" applyBorder="1" applyAlignment="1">
      <alignment horizontal="center" vertical="center" wrapText="1"/>
    </xf>
    <xf numFmtId="2" fontId="35" fillId="11" borderId="6" xfId="0" applyNumberFormat="1" applyFont="1" applyFill="1" applyBorder="1" applyAlignment="1">
      <alignment horizontal="right" vertical="center" wrapText="1"/>
    </xf>
    <xf numFmtId="17" fontId="35" fillId="11" borderId="1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</cellXfs>
  <cellStyles count="5">
    <cellStyle name="Comma" xfId="1" builtinId="3"/>
    <cellStyle name="Comma 3" xfId="4" xr:uid="{592DB657-3F93-4966-9575-6B6366E86CBC}"/>
    <cellStyle name="Normal" xfId="0" builtinId="0"/>
    <cellStyle name="Percent" xfId="2" builtinId="5"/>
    <cellStyle name="Percent 2" xfId="3" xr:uid="{392110DB-1C05-4D5C-97F1-E0E8058D6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21</xdr:col>
      <xdr:colOff>304800</xdr:colOff>
      <xdr:row>27</xdr:row>
      <xdr:rowOff>131445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98E11B-6812-4D18-2195-EE4ADC803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4880" y="739140"/>
          <a:ext cx="7620000" cy="433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310475</xdr:colOff>
      <xdr:row>151</xdr:row>
      <xdr:rowOff>49136</xdr:rowOff>
    </xdr:from>
    <xdr:to>
      <xdr:col>21</xdr:col>
      <xdr:colOff>43793</xdr:colOff>
      <xdr:row>170</xdr:row>
      <xdr:rowOff>78827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52C75B-CDFC-7A9C-5906-ABCC025D4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7647" y="29942308"/>
          <a:ext cx="8343043" cy="38572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rishnabnv.PEL\AppData\Local\Microsoft\Windows\INetCache\Content.Outlook\CVUO3V7E\Premier%20Group%20WACC%20and%20Intercorporate%20Loans.xlsx" TargetMode="External"/><Relationship Id="rId1" Type="http://schemas.openxmlformats.org/officeDocument/2006/relationships/externalLinkPath" Target="file:///C:\Users\krishnabnv.PEL\AppData\Local\Microsoft\Windows\INetCache\Content.Outlook\CVUO3V7E\Premier%20Group%20WACC%20and%20Intercorporate%20Lo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up"/>
      <sheetName val="PEL"/>
      <sheetName val="PEPPL"/>
      <sheetName val="PSPT"/>
      <sheetName val="PEIPL"/>
      <sheetName val="PEGEPL"/>
      <sheetName val="Gajwel"/>
      <sheetName val="Zaheerabad"/>
    </sheetNames>
    <sheetDataSet>
      <sheetData sheetId="0">
        <row r="6">
          <cell r="E6">
            <v>0.2</v>
          </cell>
          <cell r="F6">
            <v>0.13314816430859411</v>
          </cell>
          <cell r="G6">
            <v>0.2</v>
          </cell>
          <cell r="H6">
            <v>0.13103112913022891</v>
          </cell>
          <cell r="I6">
            <v>9.0338275022126407E-2</v>
          </cell>
          <cell r="J6">
            <v>0.2</v>
          </cell>
          <cell r="K6">
            <v>0.2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8392-9A2F-4C37-9E24-DBC0A1080A70}">
  <dimension ref="B1:XFD92"/>
  <sheetViews>
    <sheetView showGridLines="0" tabSelected="1" zoomScale="80" zoomScaleNormal="80" workbookViewId="0">
      <selection activeCell="G26" sqref="G26"/>
    </sheetView>
  </sheetViews>
  <sheetFormatPr defaultRowHeight="14.4" x14ac:dyDescent="0.3"/>
  <cols>
    <col min="2" max="2" width="48.44140625" bestFit="1" customWidth="1"/>
    <col min="3" max="3" width="27.44140625" customWidth="1"/>
    <col min="4" max="4" width="14.88671875" bestFit="1" customWidth="1"/>
    <col min="5" max="5" width="16.33203125" bestFit="1" customWidth="1"/>
    <col min="6" max="6" width="14.21875" bestFit="1" customWidth="1"/>
    <col min="7" max="7" width="12.109375" customWidth="1"/>
    <col min="8" max="8" width="12.33203125" bestFit="1" customWidth="1"/>
    <col min="9" max="9" width="14.109375" bestFit="1" customWidth="1"/>
    <col min="10" max="12" width="11.5546875" bestFit="1" customWidth="1"/>
    <col min="13" max="13" width="31.21875" bestFit="1" customWidth="1"/>
    <col min="14" max="14" width="11.5546875" bestFit="1" customWidth="1"/>
    <col min="15" max="15" width="15.109375" style="69" bestFit="1" customWidth="1"/>
    <col min="16" max="16" width="67.77734375" customWidth="1"/>
    <col min="17" max="22" width="11.5546875" bestFit="1" customWidth="1"/>
  </cols>
  <sheetData>
    <row r="1" spans="2:16" ht="15" thickBot="1" x14ac:dyDescent="0.35">
      <c r="O1"/>
    </row>
    <row r="2" spans="2:16" ht="15" thickBot="1" x14ac:dyDescent="0.35">
      <c r="B2" s="303" t="s">
        <v>261</v>
      </c>
      <c r="C2" s="304"/>
      <c r="D2" s="305"/>
      <c r="F2" s="306" t="s">
        <v>11</v>
      </c>
      <c r="G2" s="307"/>
      <c r="I2" s="306" t="s">
        <v>35</v>
      </c>
      <c r="J2" s="307"/>
      <c r="O2"/>
    </row>
    <row r="3" spans="2:16" ht="15" thickBot="1" x14ac:dyDescent="0.35">
      <c r="B3" s="20" t="s">
        <v>262</v>
      </c>
      <c r="C3" s="40" t="s">
        <v>264</v>
      </c>
      <c r="D3" s="41">
        <v>8928</v>
      </c>
      <c r="F3" s="20" t="s">
        <v>12</v>
      </c>
      <c r="G3" s="107">
        <v>45566</v>
      </c>
      <c r="I3" s="16" t="s">
        <v>34</v>
      </c>
      <c r="J3" s="35" t="s">
        <v>32</v>
      </c>
      <c r="L3" s="300" t="s">
        <v>340</v>
      </c>
      <c r="M3" s="301"/>
      <c r="N3" s="301"/>
      <c r="O3" s="301"/>
      <c r="P3" s="302"/>
    </row>
    <row r="4" spans="2:16" ht="15" thickBot="1" x14ac:dyDescent="0.35">
      <c r="B4" s="12" t="s">
        <v>260</v>
      </c>
      <c r="C4" s="11"/>
      <c r="D4" s="19">
        <v>15</v>
      </c>
      <c r="E4" s="3"/>
      <c r="F4" s="16" t="s">
        <v>14</v>
      </c>
      <c r="G4" s="29">
        <v>14</v>
      </c>
      <c r="I4" s="34" t="s">
        <v>17</v>
      </c>
      <c r="J4" s="36">
        <f>J6*9.5%*(1-J5)+J7*20%</f>
        <v>7.1090400000200005E-2</v>
      </c>
      <c r="L4" s="7" t="s">
        <v>76</v>
      </c>
      <c r="M4" s="8" t="s">
        <v>77</v>
      </c>
      <c r="N4" s="8" t="s">
        <v>42</v>
      </c>
      <c r="O4" s="8" t="s">
        <v>3</v>
      </c>
      <c r="P4" s="15" t="s">
        <v>39</v>
      </c>
    </row>
    <row r="5" spans="2:16" ht="15" thickBot="1" x14ac:dyDescent="0.35">
      <c r="E5" s="3"/>
      <c r="F5" s="28" t="s">
        <v>13</v>
      </c>
      <c r="G5" s="108">
        <f>EOMONTH(G3,G4-1)</f>
        <v>45991</v>
      </c>
      <c r="I5" s="16" t="s">
        <v>22</v>
      </c>
      <c r="J5" s="36">
        <f>22%*(1+4%)*(1+10%)</f>
        <v>0.25168000000000001</v>
      </c>
      <c r="L5" s="7" t="s">
        <v>339</v>
      </c>
      <c r="M5" s="8" t="s">
        <v>307</v>
      </c>
      <c r="N5" s="8"/>
      <c r="O5" s="8"/>
      <c r="P5" s="15"/>
    </row>
    <row r="6" spans="2:16" ht="15" thickBot="1" x14ac:dyDescent="0.35">
      <c r="B6" s="303" t="s">
        <v>277</v>
      </c>
      <c r="C6" s="304"/>
      <c r="D6" s="305"/>
      <c r="F6" s="12" t="s">
        <v>194</v>
      </c>
      <c r="G6" s="109">
        <f>EOMONTH(G5,D4*12)+1</f>
        <v>51471</v>
      </c>
      <c r="I6" s="16" t="s">
        <v>37</v>
      </c>
      <c r="J6" s="233">
        <v>1</v>
      </c>
      <c r="L6" s="125">
        <v>1</v>
      </c>
      <c r="M6" t="s">
        <v>308</v>
      </c>
      <c r="N6" s="69">
        <f>D4</f>
        <v>15</v>
      </c>
      <c r="O6" s="69" t="s">
        <v>0</v>
      </c>
      <c r="P6" s="21"/>
    </row>
    <row r="7" spans="2:16" ht="15" thickBot="1" x14ac:dyDescent="0.35">
      <c r="B7" s="16" t="s">
        <v>263</v>
      </c>
      <c r="C7" t="s">
        <v>21</v>
      </c>
      <c r="D7" s="135">
        <v>3</v>
      </c>
      <c r="I7" s="17" t="s">
        <v>38</v>
      </c>
      <c r="J7" s="234">
        <f>MAX(1-J6,0.0000000001%)</f>
        <v>9.9999999999999998E-13</v>
      </c>
      <c r="L7" s="125">
        <v>2</v>
      </c>
      <c r="M7" t="s">
        <v>309</v>
      </c>
      <c r="N7" s="235">
        <f>D3</f>
        <v>8928</v>
      </c>
      <c r="O7" s="69" t="s">
        <v>264</v>
      </c>
      <c r="P7" s="21" t="s">
        <v>342</v>
      </c>
    </row>
    <row r="8" spans="2:16" ht="15" thickBot="1" x14ac:dyDescent="0.35">
      <c r="B8" s="16" t="s">
        <v>455</v>
      </c>
      <c r="C8" t="s">
        <v>4</v>
      </c>
      <c r="D8" s="228">
        <f>'Warehouse Inventory '!I18</f>
        <v>0.83990912041544952</v>
      </c>
      <c r="L8" s="125">
        <v>3</v>
      </c>
      <c r="M8" t="s">
        <v>310</v>
      </c>
      <c r="N8" s="236">
        <f>D10</f>
        <v>67.827522702223931</v>
      </c>
      <c r="O8" s="69" t="s">
        <v>334</v>
      </c>
      <c r="P8" s="21" t="s">
        <v>406</v>
      </c>
    </row>
    <row r="9" spans="2:16" ht="15" thickBot="1" x14ac:dyDescent="0.35">
      <c r="B9" s="7" t="s">
        <v>401</v>
      </c>
      <c r="C9" s="8"/>
      <c r="D9" s="161">
        <v>0.15</v>
      </c>
      <c r="E9" s="3"/>
      <c r="L9" s="125">
        <v>4</v>
      </c>
      <c r="M9" t="s">
        <v>311</v>
      </c>
      <c r="N9" s="69">
        <f>D12</f>
        <v>7</v>
      </c>
      <c r="O9" s="69" t="s">
        <v>0</v>
      </c>
      <c r="P9" s="21"/>
    </row>
    <row r="10" spans="2:16" ht="15" thickBot="1" x14ac:dyDescent="0.35">
      <c r="B10" s="298" t="s">
        <v>310</v>
      </c>
      <c r="C10" s="299" t="s">
        <v>267</v>
      </c>
      <c r="D10" s="297">
        <f>D22*(1+D9)</f>
        <v>67.827522702223931</v>
      </c>
      <c r="E10" s="79"/>
      <c r="F10" s="79"/>
      <c r="L10" s="125">
        <v>5</v>
      </c>
      <c r="M10" t="s">
        <v>268</v>
      </c>
      <c r="N10" s="235">
        <f>D8</f>
        <v>0.83990912041544952</v>
      </c>
      <c r="O10" s="69" t="s">
        <v>24</v>
      </c>
      <c r="P10" s="21" t="s">
        <v>341</v>
      </c>
    </row>
    <row r="11" spans="2:16" x14ac:dyDescent="0.3">
      <c r="B11" s="16" t="s">
        <v>117</v>
      </c>
      <c r="C11" t="s">
        <v>395</v>
      </c>
      <c r="D11" s="140">
        <v>0.05</v>
      </c>
      <c r="F11" s="51"/>
      <c r="L11" s="125">
        <v>6</v>
      </c>
      <c r="M11" t="s">
        <v>312</v>
      </c>
      <c r="N11" s="235">
        <f>D13</f>
        <v>0</v>
      </c>
      <c r="O11" s="69" t="s">
        <v>303</v>
      </c>
      <c r="P11" s="21"/>
    </row>
    <row r="12" spans="2:16" x14ac:dyDescent="0.3">
      <c r="B12" s="16" t="s">
        <v>388</v>
      </c>
      <c r="C12" t="s">
        <v>273</v>
      </c>
      <c r="D12" s="136">
        <v>7</v>
      </c>
      <c r="L12" s="125">
        <v>7</v>
      </c>
      <c r="M12" t="s">
        <v>314</v>
      </c>
      <c r="N12" s="237">
        <f>G3</f>
        <v>45566</v>
      </c>
      <c r="P12" s="21"/>
    </row>
    <row r="13" spans="2:16" ht="15" thickBot="1" x14ac:dyDescent="0.35">
      <c r="B13" s="17"/>
      <c r="C13" s="18"/>
      <c r="D13" s="137"/>
      <c r="L13" s="125">
        <v>8</v>
      </c>
      <c r="M13" t="s">
        <v>313</v>
      </c>
      <c r="N13" s="237">
        <f>G5</f>
        <v>45991</v>
      </c>
      <c r="P13" s="21"/>
    </row>
    <row r="14" spans="2:16" ht="15" thickBot="1" x14ac:dyDescent="0.35">
      <c r="B14" s="17"/>
      <c r="C14" s="18"/>
      <c r="D14" s="104"/>
      <c r="I14" s="5"/>
      <c r="L14" s="125">
        <v>9</v>
      </c>
      <c r="M14" t="s">
        <v>82</v>
      </c>
      <c r="N14" s="69"/>
      <c r="P14" s="174" t="s">
        <v>407</v>
      </c>
    </row>
    <row r="15" spans="2:16" ht="15" thickBot="1" x14ac:dyDescent="0.35">
      <c r="D15" s="54"/>
      <c r="I15" s="5"/>
      <c r="L15" s="126" t="s">
        <v>321</v>
      </c>
      <c r="M15" s="124" t="s">
        <v>316</v>
      </c>
      <c r="N15" s="238">
        <f>'Project Expenses'!F36</f>
        <v>248395.9988</v>
      </c>
      <c r="O15" s="69" t="s">
        <v>66</v>
      </c>
      <c r="P15" s="21" t="s">
        <v>345</v>
      </c>
    </row>
    <row r="16" spans="2:16" ht="15" thickBot="1" x14ac:dyDescent="0.35">
      <c r="B16" s="303" t="s">
        <v>265</v>
      </c>
      <c r="C16" s="304"/>
      <c r="D16" s="305"/>
      <c r="L16" s="126" t="s">
        <v>322</v>
      </c>
      <c r="M16" s="124" t="s">
        <v>315</v>
      </c>
      <c r="N16" s="69">
        <f>'Project Expenses'!F37</f>
        <v>16</v>
      </c>
      <c r="O16" s="69" t="s">
        <v>335</v>
      </c>
      <c r="P16" s="21"/>
    </row>
    <row r="17" spans="2:16" x14ac:dyDescent="0.3">
      <c r="B17" s="16" t="s">
        <v>10</v>
      </c>
      <c r="C17" s="132">
        <f ca="1">IRR!C24</f>
        <v>0.13098165392875671</v>
      </c>
      <c r="D17" s="130" t="s">
        <v>4</v>
      </c>
      <c r="L17" s="126" t="s">
        <v>323</v>
      </c>
      <c r="M17" s="124" t="s">
        <v>320</v>
      </c>
      <c r="N17" s="69">
        <v>3</v>
      </c>
      <c r="O17" s="69" t="s">
        <v>21</v>
      </c>
      <c r="P17" s="21"/>
    </row>
    <row r="18" spans="2:16" x14ac:dyDescent="0.3">
      <c r="B18" s="16" t="s">
        <v>16</v>
      </c>
      <c r="C18" s="133">
        <f ca="1">IRR!C25</f>
        <v>66.396621073214163</v>
      </c>
      <c r="D18" s="130" t="s">
        <v>302</v>
      </c>
      <c r="L18" s="126" t="s">
        <v>324</v>
      </c>
      <c r="M18" s="124" t="s">
        <v>326</v>
      </c>
      <c r="N18" s="69">
        <v>7</v>
      </c>
      <c r="O18" s="69" t="s">
        <v>0</v>
      </c>
      <c r="P18" s="21"/>
    </row>
    <row r="19" spans="2:16" x14ac:dyDescent="0.3">
      <c r="B19" s="16" t="s">
        <v>81</v>
      </c>
      <c r="C19" s="134">
        <f ca="1">IRR!C26</f>
        <v>5.1618634580311369</v>
      </c>
      <c r="D19" s="130" t="s">
        <v>0</v>
      </c>
      <c r="L19" s="126" t="s">
        <v>325</v>
      </c>
      <c r="M19" s="124" t="s">
        <v>117</v>
      </c>
      <c r="N19" s="69"/>
      <c r="P19" s="21"/>
    </row>
    <row r="20" spans="2:16" ht="15" thickBot="1" x14ac:dyDescent="0.35">
      <c r="B20" s="17" t="s">
        <v>410</v>
      </c>
      <c r="C20" s="139">
        <f ca="1">IRR!C28</f>
        <v>0.35581103162436062</v>
      </c>
      <c r="D20" s="131" t="s">
        <v>4</v>
      </c>
      <c r="E20" s="1">
        <f ca="1">1/C20</f>
        <v>2.8104805953732406</v>
      </c>
      <c r="L20" s="34"/>
      <c r="M20" s="116" t="s">
        <v>327</v>
      </c>
      <c r="N20" s="239">
        <v>0</v>
      </c>
      <c r="O20" s="69" t="s">
        <v>4</v>
      </c>
      <c r="P20" s="21"/>
    </row>
    <row r="21" spans="2:16" ht="15" thickBot="1" x14ac:dyDescent="0.35">
      <c r="L21" s="34"/>
      <c r="M21" s="116" t="s">
        <v>328</v>
      </c>
      <c r="N21" s="239">
        <v>0</v>
      </c>
      <c r="O21" s="69" t="s">
        <v>4</v>
      </c>
      <c r="P21" s="21"/>
    </row>
    <row r="22" spans="2:16" ht="15" thickBot="1" x14ac:dyDescent="0.35">
      <c r="B22" s="12" t="s">
        <v>387</v>
      </c>
      <c r="C22" s="11" t="str">
        <f>C10</f>
        <v>Rs./pallet/day</v>
      </c>
      <c r="D22" s="138">
        <f>F47</f>
        <v>58.980454523672982</v>
      </c>
      <c r="L22" s="34"/>
      <c r="M22" s="116" t="s">
        <v>329</v>
      </c>
      <c r="N22" s="239">
        <v>0.05</v>
      </c>
      <c r="O22" s="69" t="s">
        <v>4</v>
      </c>
      <c r="P22" s="21"/>
    </row>
    <row r="23" spans="2:16" x14ac:dyDescent="0.3">
      <c r="L23" s="34"/>
      <c r="M23" s="116" t="s">
        <v>330</v>
      </c>
      <c r="N23" s="239">
        <v>0.05</v>
      </c>
      <c r="O23" s="69" t="s">
        <v>4</v>
      </c>
      <c r="P23" s="21"/>
    </row>
    <row r="24" spans="2:16" ht="15" thickBot="1" x14ac:dyDescent="0.35">
      <c r="L24" s="34"/>
      <c r="M24" s="116" t="s">
        <v>331</v>
      </c>
      <c r="N24" s="239">
        <v>0.05</v>
      </c>
      <c r="O24" s="69" t="s">
        <v>4</v>
      </c>
      <c r="P24" s="21"/>
    </row>
    <row r="25" spans="2:16" ht="43.2" x14ac:dyDescent="0.3">
      <c r="B25" s="207" t="s">
        <v>417</v>
      </c>
      <c r="C25" s="208"/>
      <c r="D25" s="208" t="s">
        <v>419</v>
      </c>
      <c r="E25" s="208" t="s">
        <v>420</v>
      </c>
      <c r="F25" s="209" t="s">
        <v>418</v>
      </c>
      <c r="G25" s="209" t="s">
        <v>421</v>
      </c>
      <c r="H25" s="208" t="s">
        <v>422</v>
      </c>
      <c r="I25" s="210" t="s">
        <v>423</v>
      </c>
      <c r="L25" s="34"/>
      <c r="M25" s="116" t="s">
        <v>332</v>
      </c>
      <c r="N25" s="239">
        <v>0.05</v>
      </c>
      <c r="O25" s="69" t="s">
        <v>4</v>
      </c>
      <c r="P25" s="21"/>
    </row>
    <row r="26" spans="2:16" ht="15" thickBot="1" x14ac:dyDescent="0.35">
      <c r="B26" s="16" t="s">
        <v>437</v>
      </c>
      <c r="D26" s="38">
        <f>'Kothur Reference'!C2</f>
        <v>261597.18</v>
      </c>
      <c r="E26">
        <f>'Kothur Reference'!C6</f>
        <v>23</v>
      </c>
      <c r="F26" s="38">
        <f>'Kothur Reference'!C7</f>
        <v>7099747.4651999995</v>
      </c>
      <c r="G26" s="38">
        <f>'Kothur Reference'!C3</f>
        <v>9354.8387096774186</v>
      </c>
      <c r="H26" s="38">
        <f>F26/G26</f>
        <v>758.93852214206902</v>
      </c>
      <c r="I26" s="206">
        <f>H26/30</f>
        <v>25.297950738068966</v>
      </c>
      <c r="L26" s="34"/>
      <c r="M26" s="116" t="s">
        <v>333</v>
      </c>
      <c r="N26" s="239">
        <v>0.05</v>
      </c>
      <c r="O26" s="69" t="s">
        <v>4</v>
      </c>
      <c r="P26" s="21"/>
    </row>
    <row r="27" spans="2:16" ht="15" thickBot="1" x14ac:dyDescent="0.35">
      <c r="B27" s="16" t="s">
        <v>434</v>
      </c>
      <c r="D27" s="38">
        <f>'Radiant Reference'!C2</f>
        <v>71858</v>
      </c>
      <c r="E27">
        <f>'Radiant Reference'!C6</f>
        <v>22</v>
      </c>
      <c r="F27" s="38">
        <f>'Radiant Reference'!C7</f>
        <v>1865433.68</v>
      </c>
      <c r="G27" s="2">
        <f>'Radiant Reference'!C3</f>
        <v>2902.9032258064517</v>
      </c>
      <c r="H27" s="38">
        <f>F27/G27</f>
        <v>642.60966862984776</v>
      </c>
      <c r="I27" s="206">
        <f>H27/30</f>
        <v>21.420322287661591</v>
      </c>
      <c r="L27" s="111" t="s">
        <v>336</v>
      </c>
      <c r="M27" s="8" t="s">
        <v>337</v>
      </c>
      <c r="N27" s="53"/>
      <c r="O27" s="53"/>
      <c r="P27" s="48"/>
    </row>
    <row r="28" spans="2:16" x14ac:dyDescent="0.3">
      <c r="B28" s="16" t="s">
        <v>432</v>
      </c>
      <c r="D28" s="37">
        <f>SUM(D26:D27)</f>
        <v>333455.18</v>
      </c>
      <c r="E28" s="23">
        <f>F28/D28</f>
        <v>26.885715631108202</v>
      </c>
      <c r="F28" s="37">
        <f>SUM(F26:F27)</f>
        <v>8965181.1451999992</v>
      </c>
      <c r="G28" s="37">
        <f>SUM(G26:G27)</f>
        <v>12257.741935483871</v>
      </c>
      <c r="H28" s="23">
        <f>F28/G28</f>
        <v>731.38928787915461</v>
      </c>
      <c r="I28" s="206">
        <f>H28/30</f>
        <v>24.379642929305152</v>
      </c>
      <c r="L28" s="125">
        <v>1</v>
      </c>
      <c r="M28" t="s">
        <v>131</v>
      </c>
      <c r="N28" s="236">
        <f ca="1">'Project Cost Details'!G35/10^7</f>
        <v>54.166044222211717</v>
      </c>
      <c r="O28" s="69" t="s">
        <v>338</v>
      </c>
      <c r="P28" s="21"/>
    </row>
    <row r="29" spans="2:16" x14ac:dyDescent="0.3">
      <c r="B29" s="16" t="s">
        <v>433</v>
      </c>
      <c r="F29" s="38">
        <f>'Kothur Reference'!C42/12</f>
        <v>5162500</v>
      </c>
      <c r="H29" s="205">
        <f>F29/G26</f>
        <v>551.85344827586209</v>
      </c>
      <c r="I29" s="206">
        <f>F29/G26/30</f>
        <v>18.395114942528735</v>
      </c>
      <c r="L29" s="126" t="s">
        <v>321</v>
      </c>
      <c r="M29" s="124" t="s">
        <v>37</v>
      </c>
      <c r="N29" s="112">
        <f ca="1">'Project Cost Details'!G38/10^7</f>
        <v>54.166044222211717</v>
      </c>
      <c r="O29" s="69" t="s">
        <v>338</v>
      </c>
      <c r="P29" s="21"/>
    </row>
    <row r="30" spans="2:16" x14ac:dyDescent="0.3">
      <c r="B30" s="16" t="s">
        <v>443</v>
      </c>
      <c r="F30" s="38">
        <f>'Radiant Reference'!C42/12</f>
        <v>171100</v>
      </c>
      <c r="H30" s="205">
        <f>F30/G27</f>
        <v>58.940993443715968</v>
      </c>
      <c r="I30" s="206">
        <f>F30/G27/30</f>
        <v>1.9646997814571989</v>
      </c>
      <c r="L30" s="126" t="s">
        <v>322</v>
      </c>
      <c r="M30" s="124" t="s">
        <v>38</v>
      </c>
      <c r="N30" s="236">
        <f ca="1">'Project Cost Details'!G39/10^7</f>
        <v>5.4166044222211715E-11</v>
      </c>
      <c r="O30" s="69" t="s">
        <v>338</v>
      </c>
      <c r="P30" s="21"/>
    </row>
    <row r="31" spans="2:16" x14ac:dyDescent="0.3">
      <c r="B31" s="34" t="s">
        <v>426</v>
      </c>
      <c r="C31" s="6"/>
      <c r="D31" s="6"/>
      <c r="E31" s="6"/>
      <c r="F31" s="6"/>
      <c r="G31" s="6"/>
      <c r="H31" s="223">
        <f>H28+H29+H30</f>
        <v>1342.1837295987327</v>
      </c>
      <c r="I31" s="220">
        <f>I28+I29+I30</f>
        <v>44.739457653291083</v>
      </c>
      <c r="L31" s="125">
        <v>2</v>
      </c>
      <c r="M31" t="s">
        <v>26</v>
      </c>
      <c r="N31" s="74">
        <f>J4</f>
        <v>7.1090400000200005E-2</v>
      </c>
      <c r="O31" s="69" t="s">
        <v>4</v>
      </c>
      <c r="P31" s="21"/>
    </row>
    <row r="32" spans="2:16" x14ac:dyDescent="0.3">
      <c r="B32" s="221" t="s">
        <v>441</v>
      </c>
      <c r="C32" s="6"/>
      <c r="I32" s="21"/>
      <c r="L32" s="125">
        <v>3</v>
      </c>
      <c r="M32" t="s">
        <v>22</v>
      </c>
      <c r="N32" s="74">
        <f>J5</f>
        <v>0.25168000000000001</v>
      </c>
      <c r="O32" s="69" t="s">
        <v>4</v>
      </c>
      <c r="P32" s="21"/>
    </row>
    <row r="33" spans="2:16 16384:16384" ht="15" thickBot="1" x14ac:dyDescent="0.35">
      <c r="B33" s="16" t="s">
        <v>51</v>
      </c>
      <c r="C33" s="6"/>
      <c r="D33" s="37">
        <f>D36</f>
        <v>333455.18</v>
      </c>
      <c r="E33" s="23">
        <f>F33/D33</f>
        <v>2.2101920863847431</v>
      </c>
      <c r="F33" s="37">
        <f>(('Radiant Reference'!E19)+'Kothur Reference'!E19)/12</f>
        <v>737000</v>
      </c>
      <c r="G33" s="37">
        <f>G28</f>
        <v>12257.741935483871</v>
      </c>
      <c r="H33" s="205">
        <f>F33/G33</f>
        <v>60.12526645438038</v>
      </c>
      <c r="I33" s="206">
        <f>H33/30</f>
        <v>2.004175548479346</v>
      </c>
      <c r="L33" s="127">
        <v>4</v>
      </c>
      <c r="M33" s="114" t="s">
        <v>344</v>
      </c>
      <c r="N33" s="115">
        <f>'Project Expenses'!C51</f>
        <v>7.5</v>
      </c>
      <c r="O33" s="115" t="s">
        <v>0</v>
      </c>
      <c r="P33" s="24"/>
    </row>
    <row r="34" spans="2:16 16384:16384" x14ac:dyDescent="0.3">
      <c r="B34" s="16" t="s">
        <v>291</v>
      </c>
      <c r="C34" s="6"/>
      <c r="D34" s="37">
        <f t="shared" ref="D34:D35" si="0">D33</f>
        <v>333455.18</v>
      </c>
      <c r="E34" s="23">
        <f t="shared" ref="E34:E35" si="1">F34/D34</f>
        <v>8.8967478827789298E-2</v>
      </c>
      <c r="F34" s="37">
        <f>('Radiant Reference'!E26+'Kothur Reference'!E26)/12</f>
        <v>29666.666666666668</v>
      </c>
      <c r="G34" s="37">
        <f>G33</f>
        <v>12257.741935483871</v>
      </c>
      <c r="H34" s="205">
        <f>F34/G34</f>
        <v>2.4202391290998886</v>
      </c>
      <c r="I34" s="206">
        <f>H34/30</f>
        <v>8.0674637636662952E-2</v>
      </c>
      <c r="L34" s="110"/>
      <c r="M34" s="25"/>
      <c r="N34" s="110"/>
      <c r="O34" s="110"/>
      <c r="P34" s="25"/>
    </row>
    <row r="35" spans="2:16 16384:16384" x14ac:dyDescent="0.3">
      <c r="B35" s="16" t="s">
        <v>296</v>
      </c>
      <c r="C35" s="6"/>
      <c r="D35" s="37">
        <f t="shared" si="0"/>
        <v>333455.18</v>
      </c>
      <c r="E35" s="23">
        <f t="shared" si="1"/>
        <v>4.3433798209402532</v>
      </c>
      <c r="F35" s="37">
        <f>('Radiant Reference'!E32+'Kothur Reference'!E32)/12</f>
        <v>1448322.5</v>
      </c>
      <c r="G35" s="37">
        <f>G34</f>
        <v>12257.741935483871</v>
      </c>
      <c r="H35" s="205">
        <f>F35/G35</f>
        <v>118.15573436143056</v>
      </c>
      <c r="I35" s="206">
        <f>H35/30</f>
        <v>3.9385244787143519</v>
      </c>
      <c r="L35" s="25"/>
      <c r="M35" s="25"/>
      <c r="N35" s="110"/>
      <c r="O35" s="110"/>
      <c r="P35" s="25"/>
    </row>
    <row r="36" spans="2:16 16384:16384" x14ac:dyDescent="0.3">
      <c r="B36" s="34" t="s">
        <v>442</v>
      </c>
      <c r="C36" s="6"/>
      <c r="D36" s="129">
        <f>D28</f>
        <v>333455.18</v>
      </c>
      <c r="E36" s="224">
        <f>F36/D36</f>
        <v>6.6425393861527855</v>
      </c>
      <c r="F36" s="129">
        <f>SUM(F33:F35)</f>
        <v>2214989.1666666665</v>
      </c>
      <c r="G36" s="129">
        <f>G28</f>
        <v>12257.741935483871</v>
      </c>
      <c r="H36" s="223">
        <f>F36/G36</f>
        <v>180.70123994491081</v>
      </c>
      <c r="I36" s="206">
        <f>H36/30</f>
        <v>6.0233746648303601</v>
      </c>
      <c r="N36" s="69"/>
      <c r="P36" s="25"/>
    </row>
    <row r="37" spans="2:16 16384:16384" ht="15" thickBot="1" x14ac:dyDescent="0.35">
      <c r="B37" s="16" t="s">
        <v>424</v>
      </c>
      <c r="F37" s="22">
        <f>D9</f>
        <v>0.15</v>
      </c>
      <c r="H37" s="205">
        <f>(H31+H36)*15%</f>
        <v>228.43274543154652</v>
      </c>
      <c r="I37" s="206">
        <f>(I31+I36)*F37</f>
        <v>7.6144248477182153</v>
      </c>
      <c r="N37" s="69"/>
    </row>
    <row r="38" spans="2:16 16384:16384" ht="15" thickBot="1" x14ac:dyDescent="0.35">
      <c r="B38" s="7" t="s">
        <v>425</v>
      </c>
      <c r="C38" s="8"/>
      <c r="D38" s="8"/>
      <c r="E38" s="8"/>
      <c r="F38" s="8"/>
      <c r="G38" s="8"/>
      <c r="H38" s="229">
        <f>H31+H37+H36</f>
        <v>1751.31771497519</v>
      </c>
      <c r="I38" s="230">
        <f>I31+I37+I36</f>
        <v>58.377257165839652</v>
      </c>
    </row>
    <row r="39" spans="2:16 16384:16384" x14ac:dyDescent="0.3">
      <c r="B39" s="16" t="s">
        <v>427</v>
      </c>
      <c r="I39" s="211">
        <f>D3</f>
        <v>8928</v>
      </c>
      <c r="P39">
        <f>5000*7</f>
        <v>35000</v>
      </c>
    </row>
    <row r="40" spans="2:16 16384:16384" s="25" customFormat="1" ht="15" thickBot="1" x14ac:dyDescent="0.35">
      <c r="B40" s="17" t="s">
        <v>428</v>
      </c>
      <c r="C40" s="18"/>
      <c r="D40" s="18"/>
      <c r="E40" s="114"/>
      <c r="F40" s="114"/>
      <c r="G40" s="114"/>
      <c r="H40" s="213">
        <f>'Warehouse Inventory '!I18</f>
        <v>0.83990912041544952</v>
      </c>
      <c r="I40" s="212">
        <f>I39*H40</f>
        <v>7498.7086270691334</v>
      </c>
      <c r="L40"/>
      <c r="M40"/>
      <c r="N40"/>
      <c r="O40" s="69"/>
      <c r="P40"/>
    </row>
    <row r="41" spans="2:16 16384:16384" s="25" customFormat="1" ht="15" thickBot="1" x14ac:dyDescent="0.35">
      <c r="B41" s="214" t="s">
        <v>429</v>
      </c>
      <c r="C41" s="215"/>
      <c r="D41" s="215" t="s">
        <v>430</v>
      </c>
      <c r="E41" s="216"/>
      <c r="F41" s="216"/>
      <c r="G41" s="216"/>
      <c r="H41" s="216" t="s">
        <v>431</v>
      </c>
      <c r="I41" s="217">
        <f>(I38*I40*365)/10^7</f>
        <v>15.978022530595204</v>
      </c>
      <c r="L41"/>
      <c r="M41"/>
      <c r="N41"/>
      <c r="O41" s="69"/>
      <c r="P41"/>
    </row>
    <row r="42" spans="2:16 16384:16384" s="25" customFormat="1" ht="15" thickBot="1" x14ac:dyDescent="0.35">
      <c r="L42"/>
      <c r="M42"/>
      <c r="N42"/>
      <c r="O42" s="69"/>
      <c r="P42"/>
    </row>
    <row r="43" spans="2:16 16384:16384" ht="15" thickBot="1" x14ac:dyDescent="0.35">
      <c r="B43" s="25"/>
      <c r="C43" s="25"/>
      <c r="D43" s="25"/>
      <c r="XFD43" s="13"/>
    </row>
    <row r="44" spans="2:16 16384:16384" ht="43.2" x14ac:dyDescent="0.3">
      <c r="B44" s="207" t="s">
        <v>417</v>
      </c>
      <c r="C44" s="267" t="s">
        <v>480</v>
      </c>
      <c r="D44" s="207" t="s">
        <v>489</v>
      </c>
      <c r="E44" s="207" t="s">
        <v>184</v>
      </c>
      <c r="F44" s="267" t="s">
        <v>491</v>
      </c>
      <c r="G44" s="207"/>
      <c r="H44" s="207"/>
      <c r="I44" s="262"/>
    </row>
    <row r="45" spans="2:16 16384:16384" x14ac:dyDescent="0.3">
      <c r="B45" s="263" t="s">
        <v>437</v>
      </c>
      <c r="C45" s="3">
        <f>'Kothur Reference'!X63</f>
        <v>67.409817180307698</v>
      </c>
      <c r="D45" s="38">
        <f>'Kothur Reference'!C3</f>
        <v>9354.8387096774186</v>
      </c>
      <c r="E45" s="3">
        <f>C45*D45*365</f>
        <v>230171908.01727644</v>
      </c>
      <c r="I45" s="21"/>
    </row>
    <row r="46" spans="2:16 16384:16384" ht="15" thickBot="1" x14ac:dyDescent="0.35">
      <c r="B46" s="263" t="s">
        <v>434</v>
      </c>
      <c r="C46" s="3">
        <f>'Radiant Reference'!Y62</f>
        <v>31.816156596969286</v>
      </c>
      <c r="D46" s="38">
        <f>'Radiant Reference'!C3</f>
        <v>2902.9032258064517</v>
      </c>
      <c r="E46" s="3">
        <f>C46*D46*365</f>
        <v>33711116.620608456</v>
      </c>
      <c r="I46" s="21"/>
    </row>
    <row r="47" spans="2:16 16384:16384" ht="15" thickBot="1" x14ac:dyDescent="0.35">
      <c r="B47" s="7" t="s">
        <v>490</v>
      </c>
      <c r="C47" s="46"/>
      <c r="D47" s="271">
        <f>D45+D46</f>
        <v>12257.741935483871</v>
      </c>
      <c r="E47" s="46">
        <f>SUM(E45:E46)</f>
        <v>263883024.63788489</v>
      </c>
      <c r="F47" s="266">
        <f>E47/D47/365</f>
        <v>58.980454523672982</v>
      </c>
      <c r="G47" s="11"/>
      <c r="H47" s="11"/>
      <c r="I47" s="48"/>
    </row>
    <row r="49" spans="2:5" x14ac:dyDescent="0.3">
      <c r="E49" s="3"/>
    </row>
    <row r="63" spans="2:5" ht="15" thickBot="1" x14ac:dyDescent="0.35"/>
    <row r="64" spans="2:5" ht="43.8" thickBot="1" x14ac:dyDescent="0.35">
      <c r="B64" s="154" t="s">
        <v>370</v>
      </c>
      <c r="C64" s="141" t="s">
        <v>397</v>
      </c>
      <c r="D64" s="142" t="s">
        <v>398</v>
      </c>
    </row>
    <row r="65" spans="2:15" x14ac:dyDescent="0.3">
      <c r="B65" s="143" t="s">
        <v>400</v>
      </c>
      <c r="C65" s="155"/>
      <c r="D65" s="144"/>
    </row>
    <row r="66" spans="2:15" x14ac:dyDescent="0.3">
      <c r="B66" s="145" t="s">
        <v>372</v>
      </c>
      <c r="C66" s="156">
        <f>'Radiant Reference'!C46</f>
        <v>2.2385204160000001</v>
      </c>
      <c r="D66" s="146">
        <f>'Kothur Reference'!C46</f>
        <v>8.5196969582399991</v>
      </c>
    </row>
    <row r="67" spans="2:15" ht="15" thickBot="1" x14ac:dyDescent="0.35">
      <c r="B67" s="145" t="s">
        <v>83</v>
      </c>
      <c r="C67" s="157">
        <f>'Radiant Reference'!C8/10^7</f>
        <v>0.55963010400000002</v>
      </c>
      <c r="D67" s="150">
        <f>'Kothur Reference'!C47</f>
        <v>2.1299242395599998</v>
      </c>
    </row>
    <row r="68" spans="2:15" ht="15" thickBot="1" x14ac:dyDescent="0.35">
      <c r="B68" s="152" t="s">
        <v>373</v>
      </c>
      <c r="C68" s="158">
        <f>C66+C67</f>
        <v>2.7981505200000001</v>
      </c>
      <c r="D68" s="153">
        <f>'Kothur Reference'!C48</f>
        <v>10.649621197799998</v>
      </c>
    </row>
    <row r="69" spans="2:15" x14ac:dyDescent="0.3">
      <c r="B69" s="151" t="s">
        <v>399</v>
      </c>
      <c r="C69" s="159"/>
      <c r="D69" s="147"/>
    </row>
    <row r="70" spans="2:15" x14ac:dyDescent="0.3">
      <c r="B70" s="145" t="s">
        <v>166</v>
      </c>
      <c r="C70" s="159">
        <f>'Radiant Reference'!C49</f>
        <v>3.4391999999999999E-2</v>
      </c>
      <c r="D70" s="147">
        <f>'Kothur Reference'!C49</f>
        <v>3.4391999999999999E-2</v>
      </c>
    </row>
    <row r="71" spans="2:15" x14ac:dyDescent="0.3">
      <c r="B71" s="145" t="s">
        <v>51</v>
      </c>
      <c r="C71" s="159">
        <f>'Radiant Reference'!C50</f>
        <v>0.26519999999999999</v>
      </c>
      <c r="D71" s="147">
        <f>'Kothur Reference'!C50</f>
        <v>0.61919999999999997</v>
      </c>
    </row>
    <row r="72" spans="2:15" x14ac:dyDescent="0.3">
      <c r="B72" s="145" t="s">
        <v>374</v>
      </c>
      <c r="C72" s="159">
        <f>'Radiant Reference'!C51</f>
        <v>1.78E-2</v>
      </c>
      <c r="D72" s="147">
        <f>'Kothur Reference'!C51</f>
        <v>1.78E-2</v>
      </c>
    </row>
    <row r="73" spans="2:15" x14ac:dyDescent="0.3">
      <c r="B73" s="145" t="s">
        <v>375</v>
      </c>
      <c r="C73" s="159">
        <f>'Radiant Reference'!C52</f>
        <v>0.54930238399999998</v>
      </c>
      <c r="D73" s="147">
        <f>'Kothur Reference'!C52</f>
        <v>1.6225583439999998</v>
      </c>
    </row>
    <row r="74" spans="2:15" ht="15" thickBot="1" x14ac:dyDescent="0.35">
      <c r="B74" s="145" t="s">
        <v>377</v>
      </c>
      <c r="C74" s="159">
        <f>'Radiant Reference'!C53</f>
        <v>0.20532</v>
      </c>
      <c r="D74" s="147">
        <f>'Kothur Reference'!C53</f>
        <v>6.1950000000000003</v>
      </c>
    </row>
    <row r="75" spans="2:15" ht="16.2" thickBot="1" x14ac:dyDescent="0.35">
      <c r="B75" s="148" t="s">
        <v>184</v>
      </c>
      <c r="C75" s="160">
        <f>SUM(C68:C74)</f>
        <v>3.8701649039999997</v>
      </c>
      <c r="D75" s="149">
        <f>SUM(D68:D74)</f>
        <v>19.138571541799998</v>
      </c>
    </row>
    <row r="80" spans="2:15" x14ac:dyDescent="0.3">
      <c r="L80" s="1"/>
      <c r="M80" s="1"/>
      <c r="N80" s="1"/>
      <c r="O80" s="112"/>
    </row>
    <row r="81" spans="2:20" x14ac:dyDescent="0.3">
      <c r="P81" s="1"/>
    </row>
    <row r="85" spans="2:20" hidden="1" x14ac:dyDescent="0.3"/>
    <row r="87" spans="2:20" x14ac:dyDescent="0.3">
      <c r="E87" s="1"/>
      <c r="F87" s="1"/>
      <c r="G87" s="1"/>
      <c r="H87" s="1"/>
      <c r="I87" s="1"/>
      <c r="J87" s="1"/>
      <c r="K87" s="1"/>
      <c r="Q87" s="1"/>
      <c r="R87" s="1"/>
      <c r="S87" s="1"/>
      <c r="T87" s="1"/>
    </row>
    <row r="88" spans="2:20" x14ac:dyDescent="0.3">
      <c r="G88" s="3"/>
    </row>
    <row r="89" spans="2:20" x14ac:dyDescent="0.3">
      <c r="D89" s="71"/>
      <c r="E89" s="5"/>
      <c r="G89" s="3"/>
    </row>
    <row r="90" spans="2:20" x14ac:dyDescent="0.3">
      <c r="B90" s="6"/>
      <c r="C90" s="6"/>
      <c r="D90" s="260"/>
      <c r="E90" s="5"/>
    </row>
    <row r="91" spans="2:20" x14ac:dyDescent="0.3">
      <c r="B91" s="6"/>
      <c r="C91" s="6"/>
      <c r="D91" s="75"/>
    </row>
    <row r="92" spans="2:20" x14ac:dyDescent="0.3">
      <c r="B92" s="6"/>
      <c r="C92" s="6"/>
      <c r="D92" s="261"/>
    </row>
  </sheetData>
  <mergeCells count="6">
    <mergeCell ref="L3:P3"/>
    <mergeCell ref="B2:D2"/>
    <mergeCell ref="F2:G2"/>
    <mergeCell ref="I2:J2"/>
    <mergeCell ref="B16:D16"/>
    <mergeCell ref="B6:D6"/>
  </mergeCells>
  <dataValidations disablePrompts="1" count="1">
    <dataValidation type="list" allowBlank="1" showInputMessage="1" showErrorMessage="1" sqref="J3" xr:uid="{67BAC196-0C73-4E59-BD73-AC80386FB0E2}">
      <formula1>"PEL,PEPPL,PSPTL,PEGEPL,PEIPL,PPGPL,PPZPL"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8DDE-A7EA-4DB6-A33A-BF3F6748055A}">
  <sheetPr>
    <tabColor rgb="FF92D050"/>
  </sheetPr>
  <dimension ref="A2:BA39"/>
  <sheetViews>
    <sheetView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8" sqref="C28"/>
    </sheetView>
  </sheetViews>
  <sheetFormatPr defaultRowHeight="14.4" x14ac:dyDescent="0.3"/>
  <cols>
    <col min="1" max="1" width="13.21875" customWidth="1"/>
    <col min="2" max="2" width="27.33203125" bestFit="1" customWidth="1"/>
    <col min="3" max="3" width="10" bestFit="1" customWidth="1"/>
    <col min="4" max="4" width="9.6640625" customWidth="1"/>
    <col min="5" max="5" width="9.44140625" customWidth="1"/>
    <col min="6" max="6" width="9" customWidth="1"/>
    <col min="7" max="7" width="9.21875" customWidth="1"/>
    <col min="8" max="8" width="9.6640625" customWidth="1"/>
    <col min="9" max="9" width="9.109375" customWidth="1"/>
    <col min="10" max="10" width="9.88671875" customWidth="1"/>
    <col min="11" max="11" width="9" customWidth="1"/>
    <col min="12" max="12" width="8.44140625" customWidth="1"/>
    <col min="13" max="13" width="9.33203125" customWidth="1"/>
    <col min="14" max="15" width="9.21875" customWidth="1"/>
    <col min="16" max="16" width="9.6640625" customWidth="1"/>
    <col min="17" max="32" width="11.5546875" bestFit="1" customWidth="1"/>
  </cols>
  <sheetData>
    <row r="2" spans="1:53" x14ac:dyDescent="0.3">
      <c r="B2" s="6" t="s">
        <v>138</v>
      </c>
      <c r="C2" s="6" t="str">
        <f>IF(C4&lt;=Inputs!$G$5,"Cons","Beyond Cons")</f>
        <v>Cons</v>
      </c>
      <c r="D2" s="6" t="str">
        <f>IF(D4&lt;=Inputs!$G$5,"Cons","Beyond Cons")</f>
        <v>Cons</v>
      </c>
      <c r="E2" s="6" t="str">
        <f>IF(E4&lt;=Inputs!$G$5,"Cons","Beyond Cons")</f>
        <v>Cons</v>
      </c>
      <c r="F2" s="6" t="str">
        <f>IF(F4&lt;=Inputs!$G$5,"Cons","Beyond Cons")</f>
        <v>Cons</v>
      </c>
      <c r="G2" s="6" t="str">
        <f>IF(G4&lt;=Inputs!$G$5,"Cons","Beyond Cons")</f>
        <v>Cons</v>
      </c>
      <c r="H2" s="6" t="str">
        <f>IF(H4&lt;=Inputs!$G$5,"Cons","Beyond Cons")</f>
        <v>Cons</v>
      </c>
      <c r="I2" s="6" t="str">
        <f>IF(I4&lt;=Inputs!$G$5,"Cons","Beyond Cons")</f>
        <v>Cons</v>
      </c>
      <c r="J2" s="6" t="str">
        <f>IF(J4&lt;=Inputs!$G$5,"Cons","Beyond Cons")</f>
        <v>Cons</v>
      </c>
      <c r="K2" s="6" t="str">
        <f>IF(K4&lt;=Inputs!$G$5,"Cons","Beyond Cons")</f>
        <v>Cons</v>
      </c>
      <c r="L2" s="6" t="str">
        <f>IF(L4&lt;=Inputs!$G$5,"Cons","Beyond Cons")</f>
        <v>Cons</v>
      </c>
      <c r="M2" s="6" t="str">
        <f>IF(M4&lt;=Inputs!$G$5,"Cons","Beyond Cons")</f>
        <v>Cons</v>
      </c>
      <c r="N2" s="6" t="str">
        <f>IF(N4&lt;=Inputs!$G$5,"Cons","Beyond Cons")</f>
        <v>Cons</v>
      </c>
      <c r="O2" s="6" t="str">
        <f>IF(O4&lt;=Inputs!$G$5,"Cons","Beyond Cons")</f>
        <v>Cons</v>
      </c>
      <c r="P2" s="6" t="str">
        <f>IF(P4&lt;=Inputs!$G$5,"Cons","Beyond Cons")</f>
        <v>Cons</v>
      </c>
      <c r="Q2" s="6" t="str">
        <f>IF(Q4&lt;=Inputs!$G$5,"Cons","Beyond Cons")</f>
        <v>Beyond Cons</v>
      </c>
      <c r="R2" s="6" t="str">
        <f>IF(R4&lt;=Inputs!$G$5,"Cons","Beyond Cons")</f>
        <v>Beyond Cons</v>
      </c>
      <c r="S2" s="6" t="str">
        <f>IF(S4&lt;=Inputs!$G$5,"Cons","Beyond Cons")</f>
        <v>Beyond Cons</v>
      </c>
      <c r="T2" s="6" t="str">
        <f>IF(T4&lt;=Inputs!$G$5,"Cons","Beyond Cons")</f>
        <v>Beyond Cons</v>
      </c>
      <c r="U2" s="6" t="str">
        <f>IF(U4&lt;=Inputs!$G$5,"Cons","Beyond Cons")</f>
        <v>Beyond Cons</v>
      </c>
      <c r="V2" s="6" t="str">
        <f>IF(V4&lt;=Inputs!$G$5,"Cons","Beyond Cons")</f>
        <v>Beyond Cons</v>
      </c>
      <c r="W2" s="6" t="str">
        <f>IF(W4&lt;=Inputs!$G$5,"Cons","Beyond Cons")</f>
        <v>Beyond Cons</v>
      </c>
      <c r="X2" s="6" t="str">
        <f>IF(X4&lt;=Inputs!$G$5,"Cons","Beyond Cons")</f>
        <v>Beyond Cons</v>
      </c>
      <c r="Y2" s="6" t="str">
        <f>IF(Y4&lt;=Inputs!$G$5,"Cons","Beyond Cons")</f>
        <v>Beyond Cons</v>
      </c>
      <c r="Z2" s="6" t="str">
        <f>IF(Z4&lt;=Inputs!$G$5,"Cons","Beyond Cons")</f>
        <v>Beyond Cons</v>
      </c>
      <c r="AA2" s="6" t="str">
        <f>IF(AA4&lt;=Inputs!$G$5,"Cons","Beyond Cons")</f>
        <v>Beyond Cons</v>
      </c>
      <c r="AB2" s="6" t="str">
        <f>IF(AB4&lt;=Inputs!$G$5,"Cons","Beyond Cons")</f>
        <v>Beyond Cons</v>
      </c>
      <c r="AC2" s="6" t="str">
        <f>IF(AC4&lt;=Inputs!$G$5,"Cons","Beyond Cons")</f>
        <v>Beyond Cons</v>
      </c>
      <c r="AD2" s="6" t="str">
        <f>IF(AD4&lt;=Inputs!$G$5,"Cons","Beyond Cons")</f>
        <v>Beyond Cons</v>
      </c>
      <c r="AE2" s="6" t="str">
        <f>IF(AE4&lt;=Inputs!$G$5,"Cons","Beyond Cons")</f>
        <v>Beyond Cons</v>
      </c>
      <c r="AF2" s="6" t="str">
        <f>IF(AF4&lt;=Inputs!$G$5,"Cons","Beyond Cons")</f>
        <v>Beyond Cons</v>
      </c>
      <c r="AG2" s="6" t="str">
        <f>IF(AG4&lt;=Inputs!$G$5,"Cons","Beyond Cons")</f>
        <v>Beyond Cons</v>
      </c>
      <c r="AH2" s="6" t="str">
        <f>IF(AH4&lt;=Inputs!$G$5,"Cons","Beyond Cons")</f>
        <v>Beyond Cons</v>
      </c>
      <c r="AI2" s="6" t="str">
        <f>IF(AI4&lt;=Inputs!$G$5,"Cons","Beyond Cons")</f>
        <v>Beyond Cons</v>
      </c>
      <c r="AJ2" s="6" t="str">
        <f>IF(AJ4&lt;=Inputs!$G$5,"Cons","Beyond Cons")</f>
        <v>Beyond Cons</v>
      </c>
      <c r="AK2" s="6" t="str">
        <f>IF(AK4&lt;=Inputs!$G$5,"Cons","Beyond Cons")</f>
        <v>Beyond Cons</v>
      </c>
      <c r="AL2" s="6" t="str">
        <f>IF(AL4&lt;=Inputs!$G$5,"Cons","Beyond Cons")</f>
        <v>Beyond Cons</v>
      </c>
      <c r="AM2" s="6" t="str">
        <f>IF(AM4&lt;=Inputs!$G$5,"Cons","Beyond Cons")</f>
        <v>Beyond Cons</v>
      </c>
      <c r="AN2" s="6" t="str">
        <f>IF(AN4&lt;=Inputs!$G$5,"Cons","Beyond Cons")</f>
        <v>Beyond Cons</v>
      </c>
      <c r="AO2" s="6" t="str">
        <f>IF(AO4&lt;=Inputs!$G$5,"Cons","Beyond Cons")</f>
        <v>Beyond Cons</v>
      </c>
      <c r="AP2" s="6" t="str">
        <f>IF(AP4&lt;=Inputs!$G$5,"Cons","Beyond Cons")</f>
        <v>Beyond Cons</v>
      </c>
      <c r="AQ2" s="6" t="str">
        <f>IF(AQ4&lt;=Inputs!$G$5,"Cons","Beyond Cons")</f>
        <v>Beyond Cons</v>
      </c>
      <c r="AR2" s="6" t="str">
        <f>IF(AR4&lt;=Inputs!$G$5,"Cons","Beyond Cons")</f>
        <v>Beyond Cons</v>
      </c>
      <c r="AS2" s="6" t="str">
        <f>IF(AS4&lt;=Inputs!$G$5,"Cons","Beyond Cons")</f>
        <v>Beyond Cons</v>
      </c>
      <c r="AT2" s="6" t="str">
        <f>IF(AT4&lt;=Inputs!$G$5,"Cons","Beyond Cons")</f>
        <v>Beyond Cons</v>
      </c>
      <c r="AU2" s="6" t="str">
        <f>IF(AU4&lt;=Inputs!$G$5,"Cons","Beyond Cons")</f>
        <v>Beyond Cons</v>
      </c>
      <c r="AV2" s="6" t="str">
        <f>IF(AV4&lt;=Inputs!$G$5,"Cons","Beyond Cons")</f>
        <v>Beyond Cons</v>
      </c>
      <c r="AW2" s="6" t="str">
        <f>IF(AW4&lt;=Inputs!$G$5,"Cons","Beyond Cons")</f>
        <v>Beyond Cons</v>
      </c>
      <c r="AX2" s="6" t="str">
        <f>IF(AX4&lt;=Inputs!$G$5,"Cons","Beyond Cons")</f>
        <v>Beyond Cons</v>
      </c>
      <c r="AY2" s="6" t="str">
        <f>IF(AY4&lt;=Inputs!$G$5,"Cons","Beyond Cons")</f>
        <v>Beyond Cons</v>
      </c>
      <c r="AZ2" s="6" t="str">
        <f>IF(AZ4&lt;=Inputs!$G$5,"Cons","Beyond Cons")</f>
        <v>Beyond Cons</v>
      </c>
      <c r="BA2" s="6" t="str">
        <f>IF(BA4&lt;=Inputs!$G$5,"Cons","Beyond Cons")</f>
        <v>Beyond Cons</v>
      </c>
    </row>
    <row r="3" spans="1:53" x14ac:dyDescent="0.3">
      <c r="B3" s="6" t="s">
        <v>18</v>
      </c>
      <c r="C3" s="44">
        <f>Inputs!G3</f>
        <v>45566</v>
      </c>
      <c r="D3" s="44">
        <f>IFERROR(IF(C4+1&lt;Inputs!$G$6,C4+1,"-"),"-")</f>
        <v>45597</v>
      </c>
      <c r="E3" s="44">
        <f>IFERROR(IF(D4+1&lt;Inputs!$G$6,D4+1,"-"),"-")</f>
        <v>45627</v>
      </c>
      <c r="F3" s="44">
        <f>IFERROR(IF(E4+1&lt;Inputs!$G$6,E4+1,"-"),"-")</f>
        <v>45658</v>
      </c>
      <c r="G3" s="44">
        <f>IFERROR(IF(F4+1&lt;Inputs!$G$6,F4+1,"-"),"-")</f>
        <v>45689</v>
      </c>
      <c r="H3" s="44">
        <f>IFERROR(IF(G4+1&lt;Inputs!$G$6,G4+1,"-"),"-")</f>
        <v>45717</v>
      </c>
      <c r="I3" s="44">
        <f>IFERROR(IF(H4+1&lt;Inputs!$G$6,H4+1,"-"),"-")</f>
        <v>45748</v>
      </c>
      <c r="J3" s="44">
        <f>IFERROR(IF(I4+1&lt;Inputs!$G$6,I4+1,"-"),"-")</f>
        <v>45778</v>
      </c>
      <c r="K3" s="44">
        <f>IFERROR(IF(J4+1&lt;Inputs!$G$6,J4+1,"-"),"-")</f>
        <v>45809</v>
      </c>
      <c r="L3" s="44">
        <f>IFERROR(IF(K4+1&lt;Inputs!$G$6,K4+1,"-"),"-")</f>
        <v>45839</v>
      </c>
      <c r="M3" s="44">
        <f>IFERROR(IF(L4+1&lt;Inputs!$G$6,L4+1,"-"),"-")</f>
        <v>45870</v>
      </c>
      <c r="N3" s="44">
        <f>IFERROR(IF(M4+1&lt;Inputs!$G$6,M4+1,"-"),"-")</f>
        <v>45901</v>
      </c>
      <c r="O3" s="44">
        <f>IFERROR(IF(N4+1&lt;Inputs!$G$6,N4+1,"-"),"-")</f>
        <v>45931</v>
      </c>
      <c r="P3" s="44">
        <f>IFERROR(IF(O4+1&lt;Inputs!$G$6,O4+1,"-"),"-")</f>
        <v>45962</v>
      </c>
      <c r="Q3" s="44">
        <f>IFERROR(IF(P4+1&lt;Inputs!$G$6,P4+1,"-"),"-")</f>
        <v>45992</v>
      </c>
      <c r="R3" s="44">
        <f>IFERROR(IF(Q4+1&lt;Inputs!$G$6,Q4+1,"-"),"-")</f>
        <v>46357</v>
      </c>
      <c r="S3" s="44">
        <f>IFERROR(IF(R4+1&lt;Inputs!$G$6,R4+1,"-"),"-")</f>
        <v>46722</v>
      </c>
      <c r="T3" s="44">
        <f>IFERROR(IF(S4+1&lt;Inputs!$G$6,S4+1,"-"),"-")</f>
        <v>47088</v>
      </c>
      <c r="U3" s="44">
        <f>IFERROR(IF(T4+1&lt;Inputs!$G$6,T4+1,"-"),"-")</f>
        <v>47453</v>
      </c>
      <c r="V3" s="44">
        <f>IFERROR(IF(U4+1&lt;Inputs!$G$6,U4+1,"-"),"-")</f>
        <v>47818</v>
      </c>
      <c r="W3" s="44">
        <f>IFERROR(IF(V4+1&lt;Inputs!$G$6,V4+1,"-"),"-")</f>
        <v>48183</v>
      </c>
      <c r="X3" s="44">
        <f>IFERROR(IF(W4+1&lt;Inputs!$G$6,W4+1,"-"),"-")</f>
        <v>48549</v>
      </c>
      <c r="Y3" s="44">
        <f>IFERROR(IF(X4+1&lt;Inputs!$G$6,X4+1,"-"),"-")</f>
        <v>48914</v>
      </c>
      <c r="Z3" s="44">
        <f>IFERROR(IF(Y4+1&lt;Inputs!$G$6,Y4+1,"-"),"-")</f>
        <v>49279</v>
      </c>
      <c r="AA3" s="44">
        <f>IFERROR(IF(Z4+1&lt;Inputs!$G$6,Z4+1,"-"),"-")</f>
        <v>49644</v>
      </c>
      <c r="AB3" s="44">
        <f>IFERROR(IF(AA4+1&lt;Inputs!$G$6,AA4+1,"-"),"-")</f>
        <v>50010</v>
      </c>
      <c r="AC3" s="44">
        <f>IFERROR(IF(AB4+1&lt;Inputs!$G$6,AB4+1,"-"),"-")</f>
        <v>50375</v>
      </c>
      <c r="AD3" s="44">
        <f>IFERROR(IF(AC4+1&lt;Inputs!$G$6,AC4+1,"-"),"-")</f>
        <v>50740</v>
      </c>
      <c r="AE3" s="44">
        <f>IFERROR(IF(AD4+1&lt;Inputs!$G$6,AD4+1,"-"),"-")</f>
        <v>51105</v>
      </c>
      <c r="AF3" s="44" t="str">
        <f>IFERROR(IF(AE4+1&lt;Inputs!$G$6,AE4+1,"-"),"-")</f>
        <v>-</v>
      </c>
      <c r="AG3" s="44" t="str">
        <f>IFERROR(IF(AF4+1&lt;Inputs!$G$6,AF4+1,"-"),"-")</f>
        <v>-</v>
      </c>
      <c r="AH3" s="44" t="str">
        <f>IFERROR(IF(AG4+1&lt;Inputs!$G$6,AG4+1,"-"),"-")</f>
        <v>-</v>
      </c>
      <c r="AI3" s="44" t="str">
        <f>IFERROR(IF(AH4+1&lt;Inputs!$G$6,AH4+1,"-"),"-")</f>
        <v>-</v>
      </c>
      <c r="AJ3" s="44" t="str">
        <f>IFERROR(IF(AI4+1&lt;Inputs!$G$6,AI4+1,"-"),"-")</f>
        <v>-</v>
      </c>
      <c r="AK3" s="44" t="str">
        <f>IFERROR(IF(AJ4+1&lt;Inputs!$G$6,AJ4+1,"-"),"-")</f>
        <v>-</v>
      </c>
      <c r="AL3" s="44" t="str">
        <f>IFERROR(IF(AK4+1&lt;Inputs!$G$6,AK4+1,"-"),"-")</f>
        <v>-</v>
      </c>
      <c r="AM3" s="44" t="str">
        <f>IFERROR(IF(AL4+1&lt;Inputs!$G$6,AL4+1,"-"),"-")</f>
        <v>-</v>
      </c>
      <c r="AN3" s="44" t="str">
        <f>IFERROR(IF(AM4+1&lt;Inputs!$G$6,AM4+1,"-"),"-")</f>
        <v>-</v>
      </c>
      <c r="AO3" s="44" t="str">
        <f>IFERROR(IF(AN4+1&lt;Inputs!$G$6,AN4+1,"-"),"-")</f>
        <v>-</v>
      </c>
      <c r="AP3" s="44" t="str">
        <f>IFERROR(IF(AO4+1&lt;Inputs!$G$6,AO4+1,"-"),"-")</f>
        <v>-</v>
      </c>
      <c r="AQ3" s="44" t="str">
        <f>IFERROR(IF(AP4+1&lt;Inputs!$G$6,AP4+1,"-"),"-")</f>
        <v>-</v>
      </c>
      <c r="AR3" s="44" t="str">
        <f>IFERROR(IF(AQ4+1&lt;Inputs!$G$6,AQ4+1,"-"),"-")</f>
        <v>-</v>
      </c>
      <c r="AS3" s="44" t="str">
        <f>IFERROR(IF(AR4+1&lt;Inputs!$G$6,AR4+1,"-"),"-")</f>
        <v>-</v>
      </c>
      <c r="AT3" s="44" t="str">
        <f>IFERROR(IF(AS4+1&lt;Inputs!$G$6,AS4+1,"-"),"-")</f>
        <v>-</v>
      </c>
      <c r="AU3" s="44" t="str">
        <f>IFERROR(IF(AT4+1&lt;Inputs!$G$6,AT4+1,"-"),"-")</f>
        <v>-</v>
      </c>
      <c r="AV3" s="44" t="str">
        <f>IFERROR(IF(AU4+1&lt;Inputs!$G$6,AU4+1,"-"),"-")</f>
        <v>-</v>
      </c>
      <c r="AW3" s="44" t="str">
        <f>IFERROR(IF(AV4+1&lt;Inputs!$G$6,AV4+1,"-"),"-")</f>
        <v>-</v>
      </c>
      <c r="AX3" s="44" t="str">
        <f>IFERROR(IF(AW4+1&lt;Inputs!$G$6,AW4+1,"-"),"-")</f>
        <v>-</v>
      </c>
      <c r="AY3" s="44" t="str">
        <f>IFERROR(IF(AX4+1&lt;Inputs!$G$6,AX4+1,"-"),"-")</f>
        <v>-</v>
      </c>
      <c r="AZ3" s="44" t="str">
        <f>IFERROR(IF(AY4+1&lt;Inputs!$G$6,AY4+1,"-"),"-")</f>
        <v>-</v>
      </c>
      <c r="BA3" s="44" t="str">
        <f>IFERROR(IF(AZ4+1&lt;Inputs!$G$6,AZ4+1,"-"),"-")</f>
        <v>-</v>
      </c>
    </row>
    <row r="4" spans="1:53" x14ac:dyDescent="0.3">
      <c r="B4" s="6" t="s">
        <v>19</v>
      </c>
      <c r="C4" s="44">
        <f>EOMONTH(C3,0.5)</f>
        <v>45596</v>
      </c>
      <c r="D4" s="44">
        <f>IFERROR(IF(EOMONTH(D3,0.5)&lt;=Inputs!$G$5,EOMONTH(D3,0.5),EOMONTH(D3,11)),"-")</f>
        <v>45626</v>
      </c>
      <c r="E4" s="44">
        <f>IFERROR(IF(EOMONTH(E3,0.5)&lt;=Inputs!$G$5,EOMONTH(E3,0.5),EOMONTH(E3,11)),"-")</f>
        <v>45657</v>
      </c>
      <c r="F4" s="44">
        <f>IFERROR(IF(EOMONTH(F3,0.5)&lt;=Inputs!$G$5,EOMONTH(F3,0.5),EOMONTH(F3,11)),"-")</f>
        <v>45688</v>
      </c>
      <c r="G4" s="44">
        <f>IFERROR(IF(EOMONTH(G3,0.5)&lt;=Inputs!$G$5,EOMONTH(G3,0.5),EOMONTH(G3,11)),"-")</f>
        <v>45716</v>
      </c>
      <c r="H4" s="44">
        <f>IFERROR(IF(EOMONTH(H3,0.5)&lt;=Inputs!$G$5,EOMONTH(H3,0.5),EOMONTH(H3,11)),"-")</f>
        <v>45747</v>
      </c>
      <c r="I4" s="44">
        <f>IFERROR(IF(EOMONTH(I3,0.5)&lt;=Inputs!$G$5,EOMONTH(I3,0.5),EOMONTH(I3,11)),"-")</f>
        <v>45777</v>
      </c>
      <c r="J4" s="44">
        <f>IFERROR(IF(EOMONTH(J3,0.5)&lt;=Inputs!$G$5,EOMONTH(J3,0.5),EOMONTH(J3,11)),"-")</f>
        <v>45808</v>
      </c>
      <c r="K4" s="44">
        <f>IFERROR(IF(EOMONTH(K3,0.5)&lt;=Inputs!$G$5,EOMONTH(K3,0.5),EOMONTH(K3,11)),"-")</f>
        <v>45838</v>
      </c>
      <c r="L4" s="44">
        <f>IFERROR(IF(EOMONTH(L3,0.5)&lt;=Inputs!$G$5,EOMONTH(L3,0.5),EOMONTH(L3,11)),"-")</f>
        <v>45869</v>
      </c>
      <c r="M4" s="44">
        <f>IFERROR(IF(EOMONTH(M3,0.5)&lt;=Inputs!$G$5,EOMONTH(M3,0.5),EOMONTH(M3,11)),"-")</f>
        <v>45900</v>
      </c>
      <c r="N4" s="44">
        <f>IFERROR(IF(EOMONTH(N3,0.5)&lt;=Inputs!$G$5,EOMONTH(N3,0.5),EOMONTH(N3,11)),"-")</f>
        <v>45930</v>
      </c>
      <c r="O4" s="44">
        <f>IFERROR(IF(EOMONTH(O3,0.5)&lt;=Inputs!$G$5,EOMONTH(O3,0.5),EOMONTH(O3,11)),"-")</f>
        <v>45961</v>
      </c>
      <c r="P4" s="44">
        <f>IFERROR(IF(EOMONTH(P3,0.5)&lt;=Inputs!$G$5,EOMONTH(P3,0.5),EOMONTH(P3,11)),"-")</f>
        <v>45991</v>
      </c>
      <c r="Q4" s="44">
        <f>IFERROR(IF(EOMONTH(Q3,0.5)&lt;=Inputs!$G$5,EOMONTH(Q3,0.5),EOMONTH(Q3,11)),"-")</f>
        <v>46356</v>
      </c>
      <c r="R4" s="44">
        <f>IFERROR(IF(EOMONTH(R3,0.5)&lt;=Inputs!$G$5,EOMONTH(R3,0.5),EOMONTH(R3,11)),"-")</f>
        <v>46721</v>
      </c>
      <c r="S4" s="44">
        <f>IFERROR(IF(EOMONTH(S3,0.5)&lt;=Inputs!$G$5,EOMONTH(S3,0.5),EOMONTH(S3,11)),"-")</f>
        <v>47087</v>
      </c>
      <c r="T4" s="44">
        <f>IFERROR(IF(EOMONTH(T3,0.5)&lt;=Inputs!$G$5,EOMONTH(T3,0.5),EOMONTH(T3,11)),"-")</f>
        <v>47452</v>
      </c>
      <c r="U4" s="44">
        <f>IFERROR(IF(EOMONTH(U3,0.5)&lt;=Inputs!$G$5,EOMONTH(U3,0.5),EOMONTH(U3,11)),"-")</f>
        <v>47817</v>
      </c>
      <c r="V4" s="44">
        <f>IFERROR(IF(EOMONTH(V3,0.5)&lt;=Inputs!$G$5,EOMONTH(V3,0.5),EOMONTH(V3,11)),"-")</f>
        <v>48182</v>
      </c>
      <c r="W4" s="44">
        <f>IFERROR(IF(EOMONTH(W3,0.5)&lt;=Inputs!$G$5,EOMONTH(W3,0.5),EOMONTH(W3,11)),"-")</f>
        <v>48548</v>
      </c>
      <c r="X4" s="44">
        <f>IFERROR(IF(EOMONTH(X3,0.5)&lt;=Inputs!$G$5,EOMONTH(X3,0.5),EOMONTH(X3,11)),"-")</f>
        <v>48913</v>
      </c>
      <c r="Y4" s="44">
        <f>IFERROR(IF(EOMONTH(Y3,0.5)&lt;=Inputs!$G$5,EOMONTH(Y3,0.5),EOMONTH(Y3,11)),"-")</f>
        <v>49278</v>
      </c>
      <c r="Z4" s="44">
        <f>IFERROR(IF(EOMONTH(Z3,0.5)&lt;=Inputs!$G$5,EOMONTH(Z3,0.5),EOMONTH(Z3,11)),"-")</f>
        <v>49643</v>
      </c>
      <c r="AA4" s="44">
        <f>IFERROR(IF(EOMONTH(AA3,0.5)&lt;=Inputs!$G$5,EOMONTH(AA3,0.5),EOMONTH(AA3,11)),"-")</f>
        <v>50009</v>
      </c>
      <c r="AB4" s="44">
        <f>IFERROR(IF(EOMONTH(AB3,0.5)&lt;=Inputs!$G$5,EOMONTH(AB3,0.5),EOMONTH(AB3,11)),"-")</f>
        <v>50374</v>
      </c>
      <c r="AC4" s="44">
        <f>IFERROR(IF(EOMONTH(AC3,0.5)&lt;=Inputs!$G$5,EOMONTH(AC3,0.5),EOMONTH(AC3,11)),"-")</f>
        <v>50739</v>
      </c>
      <c r="AD4" s="44">
        <f>IFERROR(IF(EOMONTH(AD3,0.5)&lt;=Inputs!$G$5,EOMONTH(AD3,0.5),EOMONTH(AD3,11)),"-")</f>
        <v>51104</v>
      </c>
      <c r="AE4" s="44">
        <f>IFERROR(IF(EOMONTH(AE3,0.5)&lt;=Inputs!$G$5,EOMONTH(AE3,0.5),EOMONTH(AE3,11)),"-")</f>
        <v>51470</v>
      </c>
      <c r="AF4" s="44" t="str">
        <f>IFERROR(IF(EOMONTH(AF3,0.5)&lt;=Inputs!$G$5,EOMONTH(AF3,0.5),EOMONTH(AF3,11)),"-")</f>
        <v>-</v>
      </c>
      <c r="AG4" s="44" t="str">
        <f>IFERROR(IF(EOMONTH(AG3,0.5)&lt;=Inputs!$G$5,EOMONTH(AG3,0.5),EOMONTH(AG3,11)),"-")</f>
        <v>-</v>
      </c>
      <c r="AH4" s="44" t="str">
        <f>IFERROR(IF(EOMONTH(AH3,0.5)&lt;=Inputs!$G$5,EOMONTH(AH3,0.5),EOMONTH(AH3,11)),"-")</f>
        <v>-</v>
      </c>
      <c r="AI4" s="44" t="str">
        <f>IFERROR(IF(EOMONTH(AI3,0.5)&lt;=Inputs!$G$5,EOMONTH(AI3,0.5),EOMONTH(AI3,11)),"-")</f>
        <v>-</v>
      </c>
      <c r="AJ4" s="44" t="str">
        <f>IFERROR(IF(EOMONTH(AJ3,0.5)&lt;=Inputs!$G$5,EOMONTH(AJ3,0.5),EOMONTH(AJ3,11)),"-")</f>
        <v>-</v>
      </c>
      <c r="AK4" s="44" t="str">
        <f>IFERROR(IF(EOMONTH(AK3,0.5)&lt;=Inputs!$G$5,EOMONTH(AK3,0.5),EOMONTH(AK3,11)),"-")</f>
        <v>-</v>
      </c>
      <c r="AL4" s="44" t="str">
        <f>IFERROR(IF(EOMONTH(AL3,0.5)&lt;=Inputs!$G$5,EOMONTH(AL3,0.5),EOMONTH(AL3,11)),"-")</f>
        <v>-</v>
      </c>
      <c r="AM4" s="44" t="str">
        <f>IFERROR(IF(EOMONTH(AM3,0.5)&lt;=Inputs!$G$5,EOMONTH(AM3,0.5),EOMONTH(AM3,11)),"-")</f>
        <v>-</v>
      </c>
      <c r="AN4" s="44" t="str">
        <f>IFERROR(IF(EOMONTH(AN3,0.5)&lt;=Inputs!$G$5,EOMONTH(AN3,0.5),EOMONTH(AN3,11)),"-")</f>
        <v>-</v>
      </c>
      <c r="AO4" s="44" t="str">
        <f>IFERROR(IF(EOMONTH(AO3,0.5)&lt;=Inputs!$G$5,EOMONTH(AO3,0.5),EOMONTH(AO3,11)),"-")</f>
        <v>-</v>
      </c>
      <c r="AP4" s="44" t="str">
        <f>IFERROR(IF(EOMONTH(AP3,0.5)&lt;=Inputs!$G$5,EOMONTH(AP3,0.5),EOMONTH(AP3,11)),"-")</f>
        <v>-</v>
      </c>
      <c r="AQ4" s="44" t="str">
        <f>IFERROR(IF(EOMONTH(AQ3,0.5)&lt;=Inputs!$G$5,EOMONTH(AQ3,0.5),EOMONTH(AQ3,11)),"-")</f>
        <v>-</v>
      </c>
      <c r="AR4" s="44" t="str">
        <f>IFERROR(IF(EOMONTH(AR3,0.5)&lt;=Inputs!$G$5,EOMONTH(AR3,0.5),EOMONTH(AR3,11)),"-")</f>
        <v>-</v>
      </c>
      <c r="AS4" s="44" t="str">
        <f>IFERROR(IF(EOMONTH(AS3,0.5)&lt;=Inputs!$G$5,EOMONTH(AS3,0.5),EOMONTH(AS3,11)),"-")</f>
        <v>-</v>
      </c>
      <c r="AT4" s="44" t="str">
        <f>IFERROR(IF(EOMONTH(AT3,0.5)&lt;=Inputs!$G$5,EOMONTH(AT3,0.5),EOMONTH(AT3,11)),"-")</f>
        <v>-</v>
      </c>
      <c r="AU4" s="44" t="str">
        <f>IFERROR(IF(EOMONTH(AU3,0.5)&lt;=Inputs!$G$5,EOMONTH(AU3,0.5),EOMONTH(AU3,11)),"-")</f>
        <v>-</v>
      </c>
      <c r="AV4" s="44" t="str">
        <f>IFERROR(IF(EOMONTH(AV3,0.5)&lt;=Inputs!$G$5,EOMONTH(AV3,0.5),EOMONTH(AV3,11)),"-")</f>
        <v>-</v>
      </c>
      <c r="AW4" s="44" t="str">
        <f>IFERROR(IF(EOMONTH(AW3,0.5)&lt;=Inputs!$G$5,EOMONTH(AW3,0.5),EOMONTH(AW3,11)),"-")</f>
        <v>-</v>
      </c>
      <c r="AX4" s="44" t="str">
        <f>IFERROR(IF(EOMONTH(AX3,0.5)&lt;=Inputs!$G$5,EOMONTH(AX3,0.5),EOMONTH(AX3,11)),"-")</f>
        <v>-</v>
      </c>
      <c r="AY4" s="44" t="str">
        <f>IFERROR(IF(EOMONTH(AY3,0.5)&lt;=Inputs!$G$5,EOMONTH(AY3,0.5),EOMONTH(AY3,11)),"-")</f>
        <v>-</v>
      </c>
      <c r="AZ4" s="44" t="str">
        <f>IFERROR(IF(EOMONTH(AZ3,0.5)&lt;=Inputs!$G$5,EOMONTH(AZ3,0.5),EOMONTH(AZ3,11)),"-")</f>
        <v>-</v>
      </c>
      <c r="BA4" s="44" t="str">
        <f>IFERROR(IF(EOMONTH(BA3,0.5)&lt;=Inputs!$G$5,EOMONTH(BA3,0.5),EOMONTH(BA3,11)),"-")</f>
        <v>-</v>
      </c>
    </row>
    <row r="5" spans="1:53" x14ac:dyDescent="0.3">
      <c r="B5" s="6" t="s">
        <v>15</v>
      </c>
      <c r="C5" s="81">
        <f>_xlfn.DAYS(C4,C3)+1</f>
        <v>31</v>
      </c>
      <c r="D5" s="6">
        <f>IFERROR(_xlfn.DAYS(D4,D3)+1,0)</f>
        <v>30</v>
      </c>
      <c r="E5" s="6">
        <f t="shared" ref="E5:AF5" si="0">IFERROR(_xlfn.DAYS(E4,E3)+1,0)</f>
        <v>31</v>
      </c>
      <c r="F5" s="6">
        <f t="shared" si="0"/>
        <v>31</v>
      </c>
      <c r="G5" s="6">
        <f t="shared" si="0"/>
        <v>28</v>
      </c>
      <c r="H5" s="6">
        <f t="shared" si="0"/>
        <v>31</v>
      </c>
      <c r="I5" s="6">
        <f t="shared" si="0"/>
        <v>30</v>
      </c>
      <c r="J5" s="6">
        <f t="shared" si="0"/>
        <v>31</v>
      </c>
      <c r="K5" s="6">
        <f t="shared" si="0"/>
        <v>30</v>
      </c>
      <c r="L5" s="6">
        <f t="shared" si="0"/>
        <v>31</v>
      </c>
      <c r="M5" s="6">
        <f t="shared" si="0"/>
        <v>31</v>
      </c>
      <c r="N5" s="6">
        <f t="shared" si="0"/>
        <v>30</v>
      </c>
      <c r="O5" s="6">
        <f t="shared" si="0"/>
        <v>31</v>
      </c>
      <c r="P5" s="6">
        <f t="shared" si="0"/>
        <v>30</v>
      </c>
      <c r="Q5" s="6">
        <f t="shared" si="0"/>
        <v>365</v>
      </c>
      <c r="R5" s="6">
        <f t="shared" si="0"/>
        <v>365</v>
      </c>
      <c r="S5" s="6">
        <f t="shared" si="0"/>
        <v>366</v>
      </c>
      <c r="T5" s="6">
        <f t="shared" si="0"/>
        <v>365</v>
      </c>
      <c r="U5" s="6">
        <f t="shared" si="0"/>
        <v>365</v>
      </c>
      <c r="V5" s="6">
        <f t="shared" si="0"/>
        <v>365</v>
      </c>
      <c r="W5" s="6">
        <f t="shared" si="0"/>
        <v>366</v>
      </c>
      <c r="X5" s="6">
        <f t="shared" si="0"/>
        <v>365</v>
      </c>
      <c r="Y5" s="6">
        <f t="shared" si="0"/>
        <v>365</v>
      </c>
      <c r="Z5" s="6">
        <f t="shared" si="0"/>
        <v>365</v>
      </c>
      <c r="AA5" s="6">
        <f t="shared" si="0"/>
        <v>366</v>
      </c>
      <c r="AB5" s="6">
        <f t="shared" si="0"/>
        <v>365</v>
      </c>
      <c r="AC5" s="6">
        <f t="shared" si="0"/>
        <v>365</v>
      </c>
      <c r="AD5" s="6">
        <f t="shared" si="0"/>
        <v>365</v>
      </c>
      <c r="AE5" s="6">
        <f t="shared" si="0"/>
        <v>366</v>
      </c>
      <c r="AF5" s="6">
        <f t="shared" si="0"/>
        <v>0</v>
      </c>
      <c r="AG5" s="6">
        <f t="shared" ref="AG5" si="1">IFERROR(_xlfn.DAYS(AG4,AG3)+1,0)</f>
        <v>0</v>
      </c>
      <c r="AH5" s="6">
        <f t="shared" ref="AH5" si="2">IFERROR(_xlfn.DAYS(AH4,AH3)+1,0)</f>
        <v>0</v>
      </c>
      <c r="AI5" s="6">
        <f t="shared" ref="AI5" si="3">IFERROR(_xlfn.DAYS(AI4,AI3)+1,0)</f>
        <v>0</v>
      </c>
      <c r="AJ5" s="6">
        <f t="shared" ref="AJ5" si="4">IFERROR(_xlfn.DAYS(AJ4,AJ3)+1,0)</f>
        <v>0</v>
      </c>
      <c r="AK5" s="6">
        <f t="shared" ref="AK5" si="5">IFERROR(_xlfn.DAYS(AK4,AK3)+1,0)</f>
        <v>0</v>
      </c>
      <c r="AL5" s="6">
        <f t="shared" ref="AL5" si="6">IFERROR(_xlfn.DAYS(AL4,AL3)+1,0)</f>
        <v>0</v>
      </c>
      <c r="AM5" s="6">
        <f t="shared" ref="AM5" si="7">IFERROR(_xlfn.DAYS(AM4,AM3)+1,0)</f>
        <v>0</v>
      </c>
      <c r="AN5" s="6">
        <f t="shared" ref="AN5" si="8">IFERROR(_xlfn.DAYS(AN4,AN3)+1,0)</f>
        <v>0</v>
      </c>
      <c r="AO5" s="6">
        <f t="shared" ref="AO5" si="9">IFERROR(_xlfn.DAYS(AO4,AO3)+1,0)</f>
        <v>0</v>
      </c>
      <c r="AP5" s="6">
        <f t="shared" ref="AP5" si="10">IFERROR(_xlfn.DAYS(AP4,AP3)+1,0)</f>
        <v>0</v>
      </c>
      <c r="AQ5" s="6">
        <f t="shared" ref="AQ5" si="11">IFERROR(_xlfn.DAYS(AQ4,AQ3)+1,0)</f>
        <v>0</v>
      </c>
      <c r="AR5" s="6">
        <f t="shared" ref="AR5" si="12">IFERROR(_xlfn.DAYS(AR4,AR3)+1,0)</f>
        <v>0</v>
      </c>
      <c r="AS5" s="6">
        <f t="shared" ref="AS5" si="13">IFERROR(_xlfn.DAYS(AS4,AS3)+1,0)</f>
        <v>0</v>
      </c>
      <c r="AT5" s="6">
        <f t="shared" ref="AT5" si="14">IFERROR(_xlfn.DAYS(AT4,AT3)+1,0)</f>
        <v>0</v>
      </c>
      <c r="AU5" s="6">
        <f t="shared" ref="AU5" si="15">IFERROR(_xlfn.DAYS(AU4,AU3)+1,0)</f>
        <v>0</v>
      </c>
      <c r="AV5" s="6">
        <f t="shared" ref="AV5" si="16">IFERROR(_xlfn.DAYS(AV4,AV3)+1,0)</f>
        <v>0</v>
      </c>
      <c r="AW5" s="6">
        <f t="shared" ref="AW5" si="17">IFERROR(_xlfn.DAYS(AW4,AW3)+1,0)</f>
        <v>0</v>
      </c>
      <c r="AX5" s="6">
        <f t="shared" ref="AX5" si="18">IFERROR(_xlfn.DAYS(AX4,AX3)+1,0)</f>
        <v>0</v>
      </c>
      <c r="AY5" s="6">
        <f t="shared" ref="AY5" si="19">IFERROR(_xlfn.DAYS(AY4,AY3)+1,0)</f>
        <v>0</v>
      </c>
      <c r="AZ5" s="6">
        <f t="shared" ref="AZ5" si="20">IFERROR(_xlfn.DAYS(AZ4,AZ3)+1,0)</f>
        <v>0</v>
      </c>
      <c r="BA5" s="6">
        <f t="shared" ref="BA5" si="21">IFERROR(_xlfn.DAYS(BA4,BA3)+1,0)</f>
        <v>0</v>
      </c>
    </row>
    <row r="6" spans="1:53" x14ac:dyDescent="0.3">
      <c r="B6" s="6" t="s">
        <v>75</v>
      </c>
      <c r="C6" s="6">
        <f>IF(C2="Cons",0,1)</f>
        <v>0</v>
      </c>
      <c r="D6" s="6">
        <f>IF(D2="Cons",0,MAX(C6+1,Inputs!D4))</f>
        <v>0</v>
      </c>
      <c r="E6" s="6">
        <f>IF(E2="Cons",0,MAX(D6+1,Inputs!E7))</f>
        <v>0</v>
      </c>
      <c r="F6" s="6">
        <f>IF(F2="Cons",0,MAX(E6+1,Inputs!F7))</f>
        <v>0</v>
      </c>
      <c r="G6" s="6">
        <f>IF(G2="Cons",0,MAX(F6+1,Inputs!G7))</f>
        <v>0</v>
      </c>
      <c r="H6" s="6">
        <f>IF(H2="Cons",0,MAX(G6+1,Inputs!H7))</f>
        <v>0</v>
      </c>
      <c r="I6" s="6">
        <f>IF(I2="Cons",0,MAX(H6+1,Inputs!I7))</f>
        <v>0</v>
      </c>
      <c r="J6" s="6">
        <f>IF(J2="Cons",0,MAX(I6+1,Inputs!J7))</f>
        <v>0</v>
      </c>
      <c r="K6" s="6">
        <f>IF(K2="Cons",0,MAX(J6+1,Inputs!K7))</f>
        <v>0</v>
      </c>
      <c r="L6" s="6">
        <f>IF(L2="Cons",0,MAX(K6+1,Inputs!L7))</f>
        <v>0</v>
      </c>
      <c r="M6" s="6">
        <f>IF(M2="Cons",0,MAX(L6+1,Inputs!M7))</f>
        <v>0</v>
      </c>
      <c r="N6" s="6">
        <f>IF(N2="Cons",0,MAX(M6+1,Inputs!N7))</f>
        <v>0</v>
      </c>
      <c r="O6" s="6">
        <f>IF(O2="Cons",0,MAX(N6+1,Inputs!O7))</f>
        <v>0</v>
      </c>
      <c r="P6" s="6">
        <f>IF(P2="Cons",0,MAX(O6+1,Inputs!P7))</f>
        <v>0</v>
      </c>
      <c r="Q6" s="6">
        <f>IF(Q2="Cons",0,MAX(P6+1,Inputs!Q7))</f>
        <v>1</v>
      </c>
      <c r="R6" s="6">
        <f>IF(R2="Cons",0,MAX(Q6+1,Inputs!R7))</f>
        <v>2</v>
      </c>
      <c r="S6" s="6">
        <f>IF(S2="Cons",0,MAX(R6+1,Inputs!S7))</f>
        <v>3</v>
      </c>
      <c r="T6" s="6">
        <f>IF(T2="Cons",0,MAX(S6+1,Inputs!T7))</f>
        <v>4</v>
      </c>
      <c r="U6" s="6">
        <f>IF(U2="Cons",0,MAX(T6+1,Inputs!U7))</f>
        <v>5</v>
      </c>
      <c r="V6" s="6">
        <f>IF(V2="Cons",0,MAX(U6+1,Inputs!V7))</f>
        <v>6</v>
      </c>
      <c r="W6" s="6">
        <f>IF(W2="Cons",0,MAX(V6+1,Inputs!W7))</f>
        <v>7</v>
      </c>
      <c r="X6" s="6">
        <f>IF(X2="Cons",0,MAX(W6+1,Inputs!X7))</f>
        <v>8</v>
      </c>
      <c r="Y6" s="6">
        <f>IF(Y2="Cons",0,MAX(X6+1,Inputs!Y7))</f>
        <v>9</v>
      </c>
      <c r="Z6" s="6">
        <f>IF(Z2="Cons",0,MAX(Y6+1,Inputs!Z7))</f>
        <v>10</v>
      </c>
      <c r="AA6" s="6">
        <f>IF(AA2="Cons",0,MAX(Z6+1,Inputs!AA7))</f>
        <v>11</v>
      </c>
      <c r="AB6" s="6">
        <f>IF(AB2="Cons",0,MAX(AA6+1,Inputs!AB7))</f>
        <v>12</v>
      </c>
      <c r="AC6" s="6">
        <f>IF(AC2="Cons",0,MAX(AB6+1,Inputs!AC7))</f>
        <v>13</v>
      </c>
      <c r="AD6" s="6">
        <f>IF(AD2="Cons",0,MAX(AC6+1,Inputs!AD7))</f>
        <v>14</v>
      </c>
      <c r="AE6" s="6">
        <f>IF(AE2="Cons",0,MAX(AD6+1,Inputs!AE7))</f>
        <v>15</v>
      </c>
      <c r="AF6" s="6">
        <f>IF(AF2="Cons",0,MAX(AE6+1,Inputs!AF7))</f>
        <v>16</v>
      </c>
      <c r="AG6" s="6">
        <f>IF(AG2="Cons",0,MAX(AF6+1,Inputs!AG7))</f>
        <v>17</v>
      </c>
      <c r="AH6" s="6">
        <f>IF(AH2="Cons",0,MAX(AG6+1,Inputs!AH7))</f>
        <v>18</v>
      </c>
      <c r="AI6" s="6">
        <f>IF(AI2="Cons",0,MAX(AH6+1,Inputs!AI7))</f>
        <v>19</v>
      </c>
      <c r="AJ6" s="6">
        <f>IF(AJ2="Cons",0,MAX(AI6+1,Inputs!AJ7))</f>
        <v>20</v>
      </c>
      <c r="AK6" s="6">
        <f>IF(AK2="Cons",0,MAX(AJ6+1,Inputs!AK7))</f>
        <v>21</v>
      </c>
      <c r="AL6" s="6">
        <f>IF(AL2="Cons",0,MAX(AK6+1,Inputs!AL7))</f>
        <v>22</v>
      </c>
      <c r="AM6" s="6">
        <f>IF(AM2="Cons",0,MAX(AL6+1,Inputs!AM7))</f>
        <v>23</v>
      </c>
      <c r="AN6" s="6">
        <f>IF(AN2="Cons",0,MAX(AM6+1,Inputs!AN7))</f>
        <v>24</v>
      </c>
      <c r="AO6" s="6">
        <f>IF(AO2="Cons",0,MAX(AN6+1,Inputs!AO7))</f>
        <v>25</v>
      </c>
      <c r="AP6" s="6">
        <f>IF(AP2="Cons",0,MAX(AO6+1,Inputs!AP7))</f>
        <v>26</v>
      </c>
      <c r="AQ6" s="6">
        <f>IF(AQ2="Cons",0,MAX(AP6+1,Inputs!AQ7))</f>
        <v>27</v>
      </c>
      <c r="AR6" s="6">
        <f>IF(AR2="Cons",0,MAX(AQ6+1,Inputs!AR7))</f>
        <v>28</v>
      </c>
      <c r="AS6" s="6">
        <f>IF(AS2="Cons",0,MAX(AR6+1,Inputs!AS7))</f>
        <v>29</v>
      </c>
      <c r="AT6" s="6">
        <f>IF(AT2="Cons",0,MAX(AS6+1,Inputs!AT7))</f>
        <v>30</v>
      </c>
      <c r="AU6" s="6">
        <f>IF(AU2="Cons",0,MAX(AT6+1,Inputs!AU7))</f>
        <v>31</v>
      </c>
      <c r="AV6" s="6">
        <f>IF(AV2="Cons",0,MAX(AU6+1,Inputs!AV7))</f>
        <v>32</v>
      </c>
      <c r="AW6" s="6">
        <f>IF(AW2="Cons",0,MAX(AV6+1,Inputs!AW7))</f>
        <v>33</v>
      </c>
      <c r="AX6" s="6">
        <f>IF(AX2="Cons",0,MAX(AW6+1,Inputs!AX7))</f>
        <v>34</v>
      </c>
      <c r="AY6" s="6">
        <f>IF(AY2="Cons",0,MAX(AX6+1,Inputs!AY7))</f>
        <v>35</v>
      </c>
      <c r="AZ6" s="6">
        <f>IF(AZ2="Cons",0,MAX(AY6+1,Inputs!AZ7))</f>
        <v>36</v>
      </c>
      <c r="BA6" s="6">
        <f>IF(BA2="Cons",0,MAX(AZ6+1,Inputs!BA7))</f>
        <v>37</v>
      </c>
    </row>
    <row r="7" spans="1:53" hidden="1" x14ac:dyDescent="0.3"/>
    <row r="8" spans="1:53" x14ac:dyDescent="0.3">
      <c r="B8" s="6" t="s">
        <v>114</v>
      </c>
    </row>
    <row r="9" spans="1:53" x14ac:dyDescent="0.3">
      <c r="B9" s="98" t="s">
        <v>346</v>
      </c>
      <c r="C9" s="1">
        <f ca="1">IF(C2="Cons",_xlfn.XLOOKUP(C3,'Project Capex'!$E$2:$AG$2,'Project Capex'!$E$69:$AG$69),0)</f>
        <v>15.600952977379414</v>
      </c>
      <c r="D9" s="1">
        <f ca="1">IF(D2="Cons",_xlfn.XLOOKUP(D3,'Project Capex'!$E$2:$AG$2,'Project Capex'!$E$69:$AG$69),0)</f>
        <v>0.30095297737940824</v>
      </c>
      <c r="E9" s="1">
        <f ca="1">IF(E2="Cons",_xlfn.XLOOKUP(E3,'Project Capex'!$E$2:$AG$2,'Project Capex'!$E$69:$AG$69),0)</f>
        <v>0.30095297737940824</v>
      </c>
      <c r="F9" s="1">
        <f ca="1">IF(F2="Cons",_xlfn.XLOOKUP(F3,'Project Capex'!$E$2:$AG$2,'Project Capex'!$E$69:$AG$69),0)</f>
        <v>0.30095297737940824</v>
      </c>
      <c r="G9" s="1">
        <f ca="1">IF(G2="Cons",_xlfn.XLOOKUP(G3,'Project Capex'!$E$2:$AG$2,'Project Capex'!$E$69:$AG$69),0)</f>
        <v>0.8040349101794082</v>
      </c>
      <c r="H9" s="1">
        <f ca="1">IF(H2="Cons",_xlfn.XLOOKUP(H3,'Project Capex'!$E$2:$AG$2,'Project Capex'!$E$69:$AG$69),0)</f>
        <v>1.6579970154294081</v>
      </c>
      <c r="I9" s="1">
        <f ca="1">IF(I2="Cons",_xlfn.XLOOKUP(I3,'Project Capex'!$E$2:$AG$2,'Project Capex'!$E$69:$AG$69),0)</f>
        <v>2.9820604773794086</v>
      </c>
      <c r="J9" s="1">
        <f ca="1">IF(J2="Cons",_xlfn.XLOOKUP(J3,'Project Capex'!$E$2:$AG$2,'Project Capex'!$E$69:$AG$69),0)</f>
        <v>8.4092149661794089</v>
      </c>
      <c r="K9" s="1">
        <f ca="1">IF(K2="Cons",_xlfn.XLOOKUP(K3,'Project Capex'!$E$2:$AG$2,'Project Capex'!$E$69:$AG$69),0)</f>
        <v>4.9971532191794097</v>
      </c>
      <c r="L9" s="1">
        <f ca="1">IF(L2="Cons",_xlfn.XLOOKUP(L3,'Project Capex'!$E$2:$AG$2,'Project Capex'!$E$69:$AG$69),0)</f>
        <v>5.9634544833794099</v>
      </c>
      <c r="M9" s="1">
        <f ca="1">IF(M2="Cons",_xlfn.XLOOKUP(M3,'Project Capex'!$E$2:$AG$2,'Project Capex'!$E$69:$AG$69),0)</f>
        <v>5.0760544833794086</v>
      </c>
      <c r="N9" s="1">
        <f ca="1">IF(N2="Cons",_xlfn.XLOOKUP(N3,'Project Capex'!$E$2:$AG$2,'Project Capex'!$E$69:$AG$69),0)</f>
        <v>2.4138544833794087</v>
      </c>
      <c r="O9" s="1">
        <f ca="1">IF(O2="Cons",_xlfn.XLOOKUP(O3,'Project Capex'!$E$2:$AG$2,'Project Capex'!$E$69:$AG$69),0)</f>
        <v>2.1676706433794086</v>
      </c>
      <c r="P9" s="1">
        <f ca="1">IF(P2="Cons",_xlfn.XLOOKUP(P3,'Project Capex'!$E$2:$AG$2,'Project Capex'!$E$69:$AG$69),0)</f>
        <v>3.1907376308294091</v>
      </c>
      <c r="Q9" s="1">
        <f>IF(Q2="Cons",_xlfn.XLOOKUP(Q3,'Project Capex'!$E$2:$AG$2,'Project Capex'!$E$69:$AG$69),0)</f>
        <v>0</v>
      </c>
      <c r="R9" s="1">
        <f>IF(R2="Cons",_xlfn.XLOOKUP(R3,'Project Capex'!$E$2:$AG$2,'Project Capex'!$E$69:$AG$69),0)</f>
        <v>0</v>
      </c>
      <c r="S9" s="1">
        <f>IF(S2="Cons",_xlfn.XLOOKUP(S3,'Project Capex'!$E$2:$AG$2,'Project Capex'!$E$69:$AG$69),0)</f>
        <v>0</v>
      </c>
      <c r="T9" s="1">
        <f>IF(T2="Cons",_xlfn.XLOOKUP(T3,'Project Capex'!$E$2:$AG$2,'Project Capex'!$E$69:$AG$69),0)</f>
        <v>0</v>
      </c>
      <c r="U9" s="1">
        <f>IF(U2="Cons",_xlfn.XLOOKUP(U3,'Project Capex'!$E$2:$AG$2,'Project Capex'!$E$69:$AG$69),0)</f>
        <v>0</v>
      </c>
      <c r="V9" s="1">
        <f>IF(V2="Cons",_xlfn.XLOOKUP(V3,'Project Capex'!$E$2:$AG$2,'Project Capex'!$E$69:$AG$69),0)</f>
        <v>0</v>
      </c>
      <c r="W9" s="1">
        <f>IF(W2="Cons",_xlfn.XLOOKUP(W3,'Project Capex'!$E$2:$AG$2,'Project Capex'!$E$69:$AG$69),0)</f>
        <v>0</v>
      </c>
      <c r="X9" s="1">
        <f>IF(X2="Cons",_xlfn.XLOOKUP(X3,'Project Capex'!$E$2:$AG$2,'Project Capex'!$E$69:$AG$69),0)</f>
        <v>0</v>
      </c>
      <c r="Y9" s="1">
        <f>IF(Y2="Cons",_xlfn.XLOOKUP(Y3,'Project Capex'!$E$2:$AG$2,'Project Capex'!$E$69:$AG$69),0)</f>
        <v>0</v>
      </c>
      <c r="Z9" s="1">
        <f>IF(Z2="Cons",_xlfn.XLOOKUP(Z3,'Project Capex'!$E$2:$AG$2,'Project Capex'!$E$69:$AG$69),0)</f>
        <v>0</v>
      </c>
      <c r="AA9" s="1">
        <f>IF(AA2="Cons",_xlfn.XLOOKUP(AA3,'Project Capex'!$E$2:$AG$2,'Project Capex'!$E$69:$AG$69),0)</f>
        <v>0</v>
      </c>
      <c r="AB9" s="1">
        <f>IF(AB2="Cons",_xlfn.XLOOKUP(AB3,'Project Capex'!$E$2:$AG$2,'Project Capex'!$E$69:$AG$69),0)</f>
        <v>0</v>
      </c>
      <c r="AC9" s="1">
        <f>IF(AC2="Cons",_xlfn.XLOOKUP(AC3,'Project Capex'!$E$2:$AG$2,'Project Capex'!$E$69:$AG$69),0)</f>
        <v>0</v>
      </c>
      <c r="AD9" s="1">
        <f>IF(AD2="Cons",_xlfn.XLOOKUP(AD3,'Project Capex'!$E$2:$AG$2,'Project Capex'!$E$69:$AG$69),0)</f>
        <v>0</v>
      </c>
      <c r="AE9" s="1">
        <f>IF(AE2="Cons",_xlfn.XLOOKUP(AE3,'Project Capex'!$E$2:$AG$2,'Project Capex'!$E$69:$AG$69),0)</f>
        <v>0</v>
      </c>
      <c r="AF9" s="1">
        <f>IF(AF2="Cons",_xlfn.XLOOKUP(AF3,'Project Capex'!$E$2:$AG$2,'Project Capex'!$E$69:$AG$69),0)</f>
        <v>0</v>
      </c>
      <c r="AG9" s="1">
        <f>IF(AG2="Cons",_xlfn.XLOOKUP(AG3,'Project Capex'!$E$2:$AG$2,'Project Capex'!$E$69:$AG$69),0)</f>
        <v>0</v>
      </c>
      <c r="AH9" s="1">
        <f>IF(AH2="Cons",_xlfn.XLOOKUP(AH3,'Project Capex'!$E$2:$AG$2,'Project Capex'!$E$69:$AG$69),0)</f>
        <v>0</v>
      </c>
      <c r="AI9" s="1">
        <f>IF(AI2="Cons",_xlfn.XLOOKUP(AI3,'Project Capex'!$E$2:$AG$2,'Project Capex'!$E$69:$AG$69),0)</f>
        <v>0</v>
      </c>
      <c r="AJ9" s="1">
        <f>IF(AJ2="Cons",_xlfn.XLOOKUP(AJ3,'Project Capex'!$E$2:$AG$2,'Project Capex'!$E$69:$AG$69),0)</f>
        <v>0</v>
      </c>
      <c r="AK9" s="1">
        <f>IF(AK2="Cons",_xlfn.XLOOKUP(AK3,'Project Capex'!$E$2:$AG$2,'Project Capex'!$E$69:$AG$69),0)</f>
        <v>0</v>
      </c>
      <c r="AL9" s="1">
        <f>IF(AL2="Cons",_xlfn.XLOOKUP(AL3,'Project Capex'!$E$2:$AG$2,'Project Capex'!$E$69:$AG$69),0)</f>
        <v>0</v>
      </c>
      <c r="AM9" s="1">
        <f>IF(AM2="Cons",_xlfn.XLOOKUP(AM3,'Project Capex'!$E$2:$AG$2,'Project Capex'!$E$69:$AG$69),0)</f>
        <v>0</v>
      </c>
      <c r="AN9" s="1">
        <f>IF(AN2="Cons",_xlfn.XLOOKUP(AN3,'Project Capex'!$E$2:$AG$2,'Project Capex'!$E$69:$AG$69),0)</f>
        <v>0</v>
      </c>
      <c r="AO9" s="1">
        <f>IF(AO2="Cons",_xlfn.XLOOKUP(AO3,'Project Capex'!$E$2:$AG$2,'Project Capex'!$E$69:$AG$69),0)</f>
        <v>0</v>
      </c>
      <c r="AP9" s="1">
        <f>IF(AP2="Cons",_xlfn.XLOOKUP(AP3,'Project Capex'!$E$2:$AG$2,'Project Capex'!$E$69:$AG$69),0)</f>
        <v>0</v>
      </c>
      <c r="AQ9" s="1">
        <f>IF(AQ2="Cons",_xlfn.XLOOKUP(AQ3,'Project Capex'!$E$2:$AG$2,'Project Capex'!$E$69:$AG$69),0)</f>
        <v>0</v>
      </c>
      <c r="AR9" s="1">
        <f>IF(AR2="Cons",_xlfn.XLOOKUP(AR3,'Project Capex'!$E$2:$AG$2,'Project Capex'!$E$69:$AG$69),0)</f>
        <v>0</v>
      </c>
      <c r="AS9" s="1">
        <f>IF(AS2="Cons",_xlfn.XLOOKUP(AS3,'Project Capex'!$E$2:$AG$2,'Project Capex'!$E$69:$AG$69),0)</f>
        <v>0</v>
      </c>
      <c r="AT9" s="1">
        <f>IF(AT2="Cons",_xlfn.XLOOKUP(AT3,'Project Capex'!$E$2:$AG$2,'Project Capex'!$E$69:$AG$69),0)</f>
        <v>0</v>
      </c>
      <c r="AU9" s="1">
        <f>IF(AU2="Cons",_xlfn.XLOOKUP(AU3,'Project Capex'!$E$2:$AG$2,'Project Capex'!$E$69:$AG$69),0)</f>
        <v>0</v>
      </c>
      <c r="AV9" s="1">
        <f>IF(AV2="Cons",_xlfn.XLOOKUP(AV3,'Project Capex'!$E$2:$AG$2,'Project Capex'!$E$69:$AG$69),0)</f>
        <v>0</v>
      </c>
      <c r="AW9" s="1">
        <f>IF(AW2="Cons",_xlfn.XLOOKUP(AW3,'Project Capex'!$E$2:$AG$2,'Project Capex'!$E$69:$AG$69),0)</f>
        <v>0</v>
      </c>
      <c r="AX9" s="1">
        <f>IF(AX2="Cons",_xlfn.XLOOKUP(AX3,'Project Capex'!$E$2:$AG$2,'Project Capex'!$E$69:$AG$69),0)</f>
        <v>0</v>
      </c>
      <c r="AY9" s="1">
        <f>IF(AY2="Cons",_xlfn.XLOOKUP(AY3,'Project Capex'!$E$2:$AG$2,'Project Capex'!$E$69:$AG$69),0)</f>
        <v>0</v>
      </c>
      <c r="AZ9" s="1">
        <f>IF(AZ2="Cons",_xlfn.XLOOKUP(AZ3,'Project Capex'!$E$2:$AG$2,'Project Capex'!$E$69:$AG$69),0)</f>
        <v>0</v>
      </c>
      <c r="BA9" s="1">
        <f>IF(BA2="Cons",_xlfn.XLOOKUP(BA3,'Project Capex'!$E$2:$AG$2,'Project Capex'!$E$69:$AG$69),0)</f>
        <v>0</v>
      </c>
    </row>
    <row r="10" spans="1:53" hidden="1" x14ac:dyDescent="0.3"/>
    <row r="11" spans="1:53" x14ac:dyDescent="0.3">
      <c r="B11" s="98" t="s">
        <v>257</v>
      </c>
    </row>
    <row r="12" spans="1:53" ht="15" thickBot="1" x14ac:dyDescent="0.35">
      <c r="A12" s="3">
        <f ca="1">AVERAGE(Q12:AE12)</f>
        <v>13.385430094087932</v>
      </c>
      <c r="B12" t="s">
        <v>258</v>
      </c>
      <c r="C12" s="1">
        <f>IF(C2="Cons",0,_xlfn.XLOOKUP(C3,Computations!$C$4:$AG$4,Computations!$C$67:$AG$67))</f>
        <v>0</v>
      </c>
      <c r="D12" s="1">
        <f>IF(D2="Cons",0,_xlfn.XLOOKUP(D3,Computations!$C$4:$AG$4,Computations!$C$67:$AG$67))</f>
        <v>0</v>
      </c>
      <c r="E12" s="1">
        <f>IF(E2="Cons",0,_xlfn.XLOOKUP(E3,Computations!$C$4:$AG$4,Computations!$C$67:$AG$67))</f>
        <v>0</v>
      </c>
      <c r="F12" s="1">
        <f>IF(F2="Cons",0,_xlfn.XLOOKUP(F3,Computations!$C$4:$AG$4,Computations!$C$67:$AG$67))</f>
        <v>0</v>
      </c>
      <c r="G12" s="1">
        <f>IF(G2="Cons",0,_xlfn.XLOOKUP(G3,Computations!$C$4:$AG$4,Computations!$C$67:$AG$67))</f>
        <v>0</v>
      </c>
      <c r="H12" s="1">
        <f>IF(H2="Cons",0,_xlfn.XLOOKUP(H3,Computations!$C$4:$AG$4,Computations!$C$67:$AG$67))</f>
        <v>0</v>
      </c>
      <c r="I12" s="1">
        <f>IF(I2="Cons",0,_xlfn.XLOOKUP(I3,Computations!$C$4:$AG$4,Computations!$C$67:$AG$67))</f>
        <v>0</v>
      </c>
      <c r="J12" s="1">
        <f>IF(J2="Cons",0,_xlfn.XLOOKUP(J3,Computations!$C$4:$AG$4,Computations!$C$67:$AG$67))</f>
        <v>0</v>
      </c>
      <c r="K12" s="1">
        <f>IF(K2="Cons",0,_xlfn.XLOOKUP(K3,Computations!$C$4:$AG$4,Computations!$C$67:$AG$67))</f>
        <v>0</v>
      </c>
      <c r="L12" s="1">
        <f>IF(L2="Cons",0,_xlfn.XLOOKUP(L3,Computations!$C$4:$AG$4,Computations!$C$67:$AG$67))</f>
        <v>0</v>
      </c>
      <c r="M12" s="1">
        <f>IF(M2="Cons",0,_xlfn.XLOOKUP(M3,Computations!$C$4:$AG$4,Computations!$C$67:$AG$67))</f>
        <v>0</v>
      </c>
      <c r="N12" s="1">
        <f>IF(N2="Cons",0,_xlfn.XLOOKUP(N3,Computations!$C$4:$AG$4,Computations!$C$67:$AG$67))</f>
        <v>0</v>
      </c>
      <c r="O12" s="1">
        <f>IF(O2="Cons",0,_xlfn.XLOOKUP(O3,Computations!$C$4:$AG$4,Computations!$C$67:$AG$67))</f>
        <v>0</v>
      </c>
      <c r="P12" s="1">
        <f>IF(P2="Cons",0,_xlfn.XLOOKUP(P3,Computations!$C$4:$AG$4,Computations!$C$67:$AG$67))</f>
        <v>0</v>
      </c>
      <c r="Q12" s="1">
        <f ca="1">IF(Q2="Cons",0,_xlfn.XLOOKUP(Q3,Computations!$C$4:$AG$4,Computations!$C$67:$AG$67))</f>
        <v>10.221174761346729</v>
      </c>
      <c r="R12" s="1">
        <f ca="1">IF(R2="Cons",0,_xlfn.XLOOKUP(R3,Computations!$C$4:$AG$4,Computations!$C$67:$AG$67))</f>
        <v>11.645309865633738</v>
      </c>
      <c r="S12" s="1">
        <f ca="1">IF(S2="Cons",0,_xlfn.XLOOKUP(S3,Computations!$C$4:$AG$4,Computations!$C$67:$AG$67))</f>
        <v>13.270254694210356</v>
      </c>
      <c r="T12" s="1">
        <f ca="1">IF(T2="Cons",0,_xlfn.XLOOKUP(T3,Computations!$C$4:$AG$4,Computations!$C$67:$AG$67))</f>
        <v>14.148327350957819</v>
      </c>
      <c r="U12" s="1">
        <f ca="1">IF(U2="Cons",0,_xlfn.XLOOKUP(U3,Computations!$C$4:$AG$4,Computations!$C$67:$AG$67))</f>
        <v>15.63355913318143</v>
      </c>
      <c r="V12" s="1">
        <f ca="1">IF(V2="Cons",0,_xlfn.XLOOKUP(V3,Computations!$C$4:$AG$4,Computations!$C$67:$AG$67))</f>
        <v>17.102511561119542</v>
      </c>
      <c r="W12" s="1">
        <f ca="1">IF(W2="Cons",0,_xlfn.XLOOKUP(W3,Computations!$C$4:$AG$4,Computations!$C$67:$AG$67))</f>
        <v>19.871892808391195</v>
      </c>
      <c r="X12" s="1">
        <f ca="1">IF(X2="Cons",0,_xlfn.XLOOKUP(X3,Computations!$C$4:$AG$4,Computations!$C$67:$AG$67))</f>
        <v>5.289898958293799</v>
      </c>
      <c r="Y12" s="1">
        <f ca="1">IF(Y2="Cons",0,_xlfn.XLOOKUP(Y3,Computations!$C$4:$AG$4,Computations!$C$67:$AG$67))</f>
        <v>12.26663544340939</v>
      </c>
      <c r="Z12" s="1">
        <f ca="1">IF(Z2="Cons",0,_xlfn.XLOOKUP(Z3,Computations!$C$4:$AG$4,Computations!$C$67:$AG$67))</f>
        <v>12.715336748566509</v>
      </c>
      <c r="AA12" s="1">
        <f ca="1">IF(AA2="Cons",0,_xlfn.XLOOKUP(AA3,Computations!$C$4:$AG$4,Computations!$C$67:$AG$67))</f>
        <v>13.837480357274666</v>
      </c>
      <c r="AB12" s="1">
        <f ca="1">IF(AB2="Cons",0,_xlfn.XLOOKUP(AB3,Computations!$C$4:$AG$4,Computations!$C$67:$AG$67))</f>
        <v>14.909364429411943</v>
      </c>
      <c r="AC12" s="1">
        <f ca="1">IF(AC2="Cons",0,_xlfn.XLOOKUP(AC3,Computations!$C$4:$AG$4,Computations!$C$67:$AG$67))</f>
        <v>15.442070221306841</v>
      </c>
      <c r="AD12" s="1">
        <f ca="1">IF(AD2="Cons",0,_xlfn.XLOOKUP(AD3,Computations!$C$4:$AG$4,Computations!$C$67:$AG$67))</f>
        <v>18.486310533658923</v>
      </c>
      <c r="AE12" s="1">
        <f ca="1">IF(AE2="Cons",0,_xlfn.XLOOKUP(AE3,Computations!$C$4:$AG$4,Computations!$C$67:$AG$67))</f>
        <v>5.9413245445562897</v>
      </c>
      <c r="AF12" s="1">
        <f ca="1">IF(AF2="Cons",0,_xlfn.XLOOKUP(AF3,Computations!$C$4:$AG$4,Computations!$C$67:$AG$67))</f>
        <v>0</v>
      </c>
      <c r="AG12" s="1">
        <f ca="1">IF(AG2="Cons",0,_xlfn.XLOOKUP(AG3,Computations!$C$4:$AG$4,Computations!$C$67:$AG$67))</f>
        <v>0</v>
      </c>
      <c r="AH12" s="1">
        <f ca="1">IF(AH2="Cons",0,_xlfn.XLOOKUP(AH3,Computations!$C$4:$AG$4,Computations!$C$67:$AG$67))</f>
        <v>0</v>
      </c>
      <c r="AI12" s="1">
        <f ca="1">IF(AI2="Cons",0,_xlfn.XLOOKUP(AI3,Computations!$C$4:$AG$4,Computations!$C$67:$AG$67))</f>
        <v>0</v>
      </c>
      <c r="AJ12" s="1">
        <f ca="1">IF(AJ2="Cons",0,_xlfn.XLOOKUP(AJ3,Computations!$C$4:$AG$4,Computations!$C$67:$AG$67))</f>
        <v>0</v>
      </c>
      <c r="AK12" s="1">
        <f ca="1">IF(AK2="Cons",0,_xlfn.XLOOKUP(AK3,Computations!$C$4:$AG$4,Computations!$C$67:$AG$67))</f>
        <v>0</v>
      </c>
      <c r="AL12" s="1">
        <f ca="1">IF(AL2="Cons",0,_xlfn.XLOOKUP(AL3,Computations!$C$4:$AG$4,Computations!$C$67:$AG$67))</f>
        <v>0</v>
      </c>
      <c r="AM12" s="1">
        <f ca="1">IF(AM2="Cons",0,_xlfn.XLOOKUP(AM3,Computations!$C$4:$AG$4,Computations!$C$67:$AG$67))</f>
        <v>0</v>
      </c>
      <c r="AN12" s="1">
        <f ca="1">IF(AN2="Cons",0,_xlfn.XLOOKUP(AN3,Computations!$C$4:$AG$4,Computations!$C$67:$AG$67))</f>
        <v>0</v>
      </c>
      <c r="AO12" s="1">
        <f ca="1">IF(AO2="Cons",0,_xlfn.XLOOKUP(AO3,Computations!$C$4:$AG$4,Computations!$C$67:$AG$67))</f>
        <v>0</v>
      </c>
      <c r="AP12" s="1">
        <f ca="1">IF(AP2="Cons",0,_xlfn.XLOOKUP(AP3,Computations!$C$4:$AG$4,Computations!$C$67:$AG$67))</f>
        <v>0</v>
      </c>
      <c r="AQ12" s="1">
        <f ca="1">IF(AQ2="Cons",0,_xlfn.XLOOKUP(AQ3,Computations!$C$4:$AG$4,Computations!$C$67:$AG$67))</f>
        <v>0</v>
      </c>
      <c r="AR12" s="1">
        <f ca="1">IF(AR2="Cons",0,_xlfn.XLOOKUP(AR3,Computations!$C$4:$AG$4,Computations!$C$67:$AG$67))</f>
        <v>0</v>
      </c>
      <c r="AS12" s="1">
        <f ca="1">IF(AS2="Cons",0,_xlfn.XLOOKUP(AS3,Computations!$C$4:$AG$4,Computations!$C$67:$AG$67))</f>
        <v>0</v>
      </c>
      <c r="AT12" s="1">
        <f ca="1">IF(AT2="Cons",0,_xlfn.XLOOKUP(AT3,Computations!$C$4:$AG$4,Computations!$C$67:$AG$67))</f>
        <v>0</v>
      </c>
      <c r="AU12" s="1">
        <f ca="1">IF(AU2="Cons",0,_xlfn.XLOOKUP(AU3,Computations!$C$4:$AG$4,Computations!$C$67:$AG$67))</f>
        <v>0</v>
      </c>
      <c r="AV12" s="1">
        <f ca="1">IF(AV2="Cons",0,_xlfn.XLOOKUP(AV3,Computations!$C$4:$AG$4,Computations!$C$67:$AG$67))</f>
        <v>0</v>
      </c>
      <c r="AW12" s="1">
        <f ca="1">IF(AW2="Cons",0,_xlfn.XLOOKUP(AW3,Computations!$C$4:$AG$4,Computations!$C$67:$AG$67))</f>
        <v>0</v>
      </c>
      <c r="AX12" s="1">
        <f ca="1">IF(AX2="Cons",0,_xlfn.XLOOKUP(AX3,Computations!$C$4:$AG$4,Computations!$C$67:$AG$67))</f>
        <v>0</v>
      </c>
      <c r="AY12" s="1">
        <f ca="1">IF(AY2="Cons",0,_xlfn.XLOOKUP(AY3,Computations!$C$4:$AG$4,Computations!$C$67:$AG$67))</f>
        <v>0</v>
      </c>
      <c r="AZ12" s="1">
        <f ca="1">IF(AZ2="Cons",0,_xlfn.XLOOKUP(AZ3,Computations!$C$4:$AG$4,Computations!$C$67:$AG$67))</f>
        <v>0</v>
      </c>
      <c r="BA12" s="1">
        <f ca="1">IF(BA2="Cons",0,_xlfn.XLOOKUP(BA3,Computations!$C$4:$AG$4,Computations!$C$67:$AG$67))</f>
        <v>0</v>
      </c>
    </row>
    <row r="13" spans="1:53" ht="15" hidden="1" thickBot="1" x14ac:dyDescent="0.35"/>
    <row r="14" spans="1:53" ht="15" thickBot="1" x14ac:dyDescent="0.35">
      <c r="B14" s="7" t="s">
        <v>259</v>
      </c>
      <c r="C14" s="9">
        <f ca="1">IFERROR(C12-C9,0)</f>
        <v>-15.600952977379414</v>
      </c>
      <c r="D14" s="9">
        <f t="shared" ref="D14:BA14" ca="1" si="22">IFERROR(D12-D9,0)</f>
        <v>-0.30095297737940824</v>
      </c>
      <c r="E14" s="9">
        <f t="shared" ca="1" si="22"/>
        <v>-0.30095297737940824</v>
      </c>
      <c r="F14" s="9">
        <f t="shared" ca="1" si="22"/>
        <v>-0.30095297737940824</v>
      </c>
      <c r="G14" s="9">
        <f t="shared" ca="1" si="22"/>
        <v>-0.8040349101794082</v>
      </c>
      <c r="H14" s="9">
        <f t="shared" ca="1" si="22"/>
        <v>-1.6579970154294081</v>
      </c>
      <c r="I14" s="9">
        <f t="shared" ca="1" si="22"/>
        <v>-2.9820604773794086</v>
      </c>
      <c r="J14" s="9">
        <f t="shared" ca="1" si="22"/>
        <v>-8.4092149661794089</v>
      </c>
      <c r="K14" s="9">
        <f t="shared" ca="1" si="22"/>
        <v>-4.9971532191794097</v>
      </c>
      <c r="L14" s="9">
        <f t="shared" ca="1" si="22"/>
        <v>-5.9634544833794099</v>
      </c>
      <c r="M14" s="9">
        <f t="shared" ca="1" si="22"/>
        <v>-5.0760544833794086</v>
      </c>
      <c r="N14" s="9">
        <f t="shared" ca="1" si="22"/>
        <v>-2.4138544833794087</v>
      </c>
      <c r="O14" s="9">
        <f t="shared" ca="1" si="22"/>
        <v>-2.1676706433794086</v>
      </c>
      <c r="P14" s="9">
        <f t="shared" ca="1" si="22"/>
        <v>-3.1907376308294091</v>
      </c>
      <c r="Q14" s="9">
        <f t="shared" ca="1" si="22"/>
        <v>10.221174761346729</v>
      </c>
      <c r="R14" s="9">
        <f t="shared" ca="1" si="22"/>
        <v>11.645309865633738</v>
      </c>
      <c r="S14" s="9">
        <f t="shared" ca="1" si="22"/>
        <v>13.270254694210356</v>
      </c>
      <c r="T14" s="9">
        <f t="shared" ca="1" si="22"/>
        <v>14.148327350957819</v>
      </c>
      <c r="U14" s="9">
        <f t="shared" ca="1" si="22"/>
        <v>15.63355913318143</v>
      </c>
      <c r="V14" s="9">
        <f t="shared" ca="1" si="22"/>
        <v>17.102511561119542</v>
      </c>
      <c r="W14" s="9">
        <f t="shared" ca="1" si="22"/>
        <v>19.871892808391195</v>
      </c>
      <c r="X14" s="9">
        <f t="shared" ca="1" si="22"/>
        <v>5.289898958293799</v>
      </c>
      <c r="Y14" s="9">
        <f t="shared" ca="1" si="22"/>
        <v>12.26663544340939</v>
      </c>
      <c r="Z14" s="9">
        <f t="shared" ca="1" si="22"/>
        <v>12.715336748566509</v>
      </c>
      <c r="AA14" s="9">
        <f t="shared" ca="1" si="22"/>
        <v>13.837480357274666</v>
      </c>
      <c r="AB14" s="9">
        <f t="shared" ca="1" si="22"/>
        <v>14.909364429411943</v>
      </c>
      <c r="AC14" s="9">
        <f t="shared" ca="1" si="22"/>
        <v>15.442070221306841</v>
      </c>
      <c r="AD14" s="9">
        <f t="shared" ca="1" si="22"/>
        <v>18.486310533658923</v>
      </c>
      <c r="AE14" s="9">
        <f t="shared" ca="1" si="22"/>
        <v>5.9413245445562897</v>
      </c>
      <c r="AF14" s="9">
        <f t="shared" ca="1" si="22"/>
        <v>0</v>
      </c>
      <c r="AG14" s="9">
        <f t="shared" ca="1" si="22"/>
        <v>0</v>
      </c>
      <c r="AH14" s="9">
        <f t="shared" ca="1" si="22"/>
        <v>0</v>
      </c>
      <c r="AI14" s="9">
        <f t="shared" ca="1" si="22"/>
        <v>0</v>
      </c>
      <c r="AJ14" s="9">
        <f t="shared" ca="1" si="22"/>
        <v>0</v>
      </c>
      <c r="AK14" s="9">
        <f t="shared" ca="1" si="22"/>
        <v>0</v>
      </c>
      <c r="AL14" s="9">
        <f t="shared" ca="1" si="22"/>
        <v>0</v>
      </c>
      <c r="AM14" s="9">
        <f t="shared" ca="1" si="22"/>
        <v>0</v>
      </c>
      <c r="AN14" s="9">
        <f t="shared" ca="1" si="22"/>
        <v>0</v>
      </c>
      <c r="AO14" s="9">
        <f t="shared" ca="1" si="22"/>
        <v>0</v>
      </c>
      <c r="AP14" s="9">
        <f t="shared" ca="1" si="22"/>
        <v>0</v>
      </c>
      <c r="AQ14" s="9">
        <f t="shared" ca="1" si="22"/>
        <v>0</v>
      </c>
      <c r="AR14" s="9">
        <f t="shared" ca="1" si="22"/>
        <v>0</v>
      </c>
      <c r="AS14" s="9">
        <f t="shared" ca="1" si="22"/>
        <v>0</v>
      </c>
      <c r="AT14" s="9">
        <f t="shared" ca="1" si="22"/>
        <v>0</v>
      </c>
      <c r="AU14" s="9">
        <f t="shared" ca="1" si="22"/>
        <v>0</v>
      </c>
      <c r="AV14" s="9">
        <f t="shared" ca="1" si="22"/>
        <v>0</v>
      </c>
      <c r="AW14" s="9">
        <f t="shared" ca="1" si="22"/>
        <v>0</v>
      </c>
      <c r="AX14" s="9">
        <f t="shared" ca="1" si="22"/>
        <v>0</v>
      </c>
      <c r="AY14" s="9">
        <f t="shared" ca="1" si="22"/>
        <v>0</v>
      </c>
      <c r="AZ14" s="9">
        <f t="shared" ca="1" si="22"/>
        <v>0</v>
      </c>
      <c r="BA14" s="9">
        <f t="shared" ca="1" si="22"/>
        <v>0</v>
      </c>
    </row>
    <row r="15" spans="1:53" hidden="1" x14ac:dyDescent="0.3">
      <c r="B15" t="s">
        <v>347</v>
      </c>
      <c r="C15" s="3">
        <f ca="1">C14</f>
        <v>-15.600952977379414</v>
      </c>
      <c r="D15" s="3">
        <f ca="1">D14+C15</f>
        <v>-15.901905954758822</v>
      </c>
      <c r="E15" s="3">
        <f t="shared" ref="E15:AE15" ca="1" si="23">E14+D15</f>
        <v>-16.202858932138231</v>
      </c>
      <c r="F15" s="3">
        <f t="shared" ca="1" si="23"/>
        <v>-16.503811909517641</v>
      </c>
      <c r="G15" s="3">
        <f t="shared" ca="1" si="23"/>
        <v>-17.307846819697048</v>
      </c>
      <c r="H15" s="3">
        <f t="shared" ca="1" si="23"/>
        <v>-18.965843835126456</v>
      </c>
      <c r="I15" s="3">
        <f t="shared" ca="1" si="23"/>
        <v>-21.947904312505866</v>
      </c>
      <c r="J15" s="3">
        <f t="shared" ca="1" si="23"/>
        <v>-30.357119278685275</v>
      </c>
      <c r="K15" s="3">
        <f t="shared" ca="1" si="23"/>
        <v>-35.354272497864685</v>
      </c>
      <c r="L15" s="3">
        <f t="shared" ca="1" si="23"/>
        <v>-41.317726981244093</v>
      </c>
      <c r="M15" s="3">
        <f t="shared" ca="1" si="23"/>
        <v>-46.393781464623501</v>
      </c>
      <c r="N15" s="3">
        <f t="shared" ca="1" si="23"/>
        <v>-48.807635948002911</v>
      </c>
      <c r="O15" s="3">
        <f t="shared" ca="1" si="23"/>
        <v>-50.975306591382321</v>
      </c>
      <c r="P15" s="3">
        <f t="shared" ca="1" si="23"/>
        <v>-54.166044222211731</v>
      </c>
      <c r="Q15" s="3">
        <f t="shared" ca="1" si="23"/>
        <v>-43.944869460865</v>
      </c>
      <c r="R15" s="3">
        <f t="shared" ca="1" si="23"/>
        <v>-32.299559595231258</v>
      </c>
      <c r="S15" s="3">
        <f t="shared" ca="1" si="23"/>
        <v>-19.0293049010209</v>
      </c>
      <c r="T15" s="3">
        <f t="shared" ca="1" si="23"/>
        <v>-4.880977550063081</v>
      </c>
      <c r="U15" s="3">
        <f t="shared" ca="1" si="23"/>
        <v>10.752581583118349</v>
      </c>
      <c r="V15" s="3">
        <f t="shared" ca="1" si="23"/>
        <v>27.855093144237891</v>
      </c>
      <c r="W15" s="3">
        <f t="shared" ca="1" si="23"/>
        <v>47.726985952629086</v>
      </c>
      <c r="X15" s="3">
        <f t="shared" ca="1" si="23"/>
        <v>53.016884910922883</v>
      </c>
      <c r="Y15" s="3">
        <f t="shared" ca="1" si="23"/>
        <v>65.283520354332268</v>
      </c>
      <c r="Z15" s="3">
        <f t="shared" ca="1" si="23"/>
        <v>77.998857102898782</v>
      </c>
      <c r="AA15" s="3">
        <f t="shared" ca="1" si="23"/>
        <v>91.836337460173453</v>
      </c>
      <c r="AB15" s="3">
        <f t="shared" ca="1" si="23"/>
        <v>106.74570188958539</v>
      </c>
      <c r="AC15" s="3">
        <f t="shared" ca="1" si="23"/>
        <v>122.18777211089223</v>
      </c>
      <c r="AD15" s="3">
        <f t="shared" ca="1" si="23"/>
        <v>140.67408264455116</v>
      </c>
      <c r="AE15" s="3">
        <f t="shared" ca="1" si="23"/>
        <v>146.61540718910746</v>
      </c>
      <c r="AF15" s="3">
        <f t="shared" ref="AF15" ca="1" si="24">AF14+AE15</f>
        <v>146.61540718910746</v>
      </c>
      <c r="AG15" s="3">
        <f t="shared" ref="AG15" ca="1" si="25">AG14+AF15</f>
        <v>146.61540718910746</v>
      </c>
      <c r="AH15" s="3">
        <f t="shared" ref="AH15" ca="1" si="26">AH14+AG15</f>
        <v>146.61540718910746</v>
      </c>
      <c r="AI15" s="3">
        <f t="shared" ref="AI15" ca="1" si="27">AI14+AH15</f>
        <v>146.61540718910746</v>
      </c>
      <c r="AJ15" s="3">
        <f t="shared" ref="AJ15" ca="1" si="28">AJ14+AI15</f>
        <v>146.61540718910746</v>
      </c>
      <c r="AK15" s="3">
        <f t="shared" ref="AK15" ca="1" si="29">AK14+AJ15</f>
        <v>146.61540718910746</v>
      </c>
      <c r="AL15" s="3">
        <f t="shared" ref="AL15" ca="1" si="30">AL14+AK15</f>
        <v>146.61540718910746</v>
      </c>
    </row>
    <row r="16" spans="1:53" x14ac:dyDescent="0.3">
      <c r="A16" s="4">
        <f>Inputs!J4</f>
        <v>7.1090400000200005E-2</v>
      </c>
      <c r="B16" t="s">
        <v>456</v>
      </c>
      <c r="C16" s="3">
        <f t="shared" ref="C16:AH16" si="31">1/(1+$A$16)^C6</f>
        <v>1</v>
      </c>
      <c r="D16" s="3">
        <f t="shared" si="31"/>
        <v>1</v>
      </c>
      <c r="E16" s="3">
        <f t="shared" si="31"/>
        <v>1</v>
      </c>
      <c r="F16" s="3">
        <f t="shared" si="31"/>
        <v>1</v>
      </c>
      <c r="G16" s="3">
        <f t="shared" si="31"/>
        <v>1</v>
      </c>
      <c r="H16" s="3">
        <f t="shared" si="31"/>
        <v>1</v>
      </c>
      <c r="I16" s="3">
        <f t="shared" si="31"/>
        <v>1</v>
      </c>
      <c r="J16" s="3">
        <f t="shared" si="31"/>
        <v>1</v>
      </c>
      <c r="K16" s="3">
        <f t="shared" si="31"/>
        <v>1</v>
      </c>
      <c r="L16" s="3">
        <f t="shared" si="31"/>
        <v>1</v>
      </c>
      <c r="M16" s="3">
        <f t="shared" si="31"/>
        <v>1</v>
      </c>
      <c r="N16" s="3">
        <f t="shared" si="31"/>
        <v>1</v>
      </c>
      <c r="O16" s="3">
        <f t="shared" si="31"/>
        <v>1</v>
      </c>
      <c r="P16" s="3">
        <f t="shared" si="31"/>
        <v>1</v>
      </c>
      <c r="Q16" s="3">
        <f t="shared" si="31"/>
        <v>0.9336280112302503</v>
      </c>
      <c r="R16" s="3">
        <f t="shared" si="31"/>
        <v>0.87166126335375249</v>
      </c>
      <c r="S16" s="3">
        <f t="shared" si="31"/>
        <v>0.81380737177141149</v>
      </c>
      <c r="T16" s="3">
        <f t="shared" si="31"/>
        <v>0.75979335803145975</v>
      </c>
      <c r="U16" s="3">
        <f t="shared" si="31"/>
        <v>0.7093643618048654</v>
      </c>
      <c r="V16" s="3">
        <f t="shared" si="31"/>
        <v>0.66228243834949219</v>
      </c>
      <c r="W16" s="3">
        <f t="shared" si="31"/>
        <v>0.61832543578895727</v>
      </c>
      <c r="X16" s="3">
        <f t="shared" si="31"/>
        <v>0.57728594690872204</v>
      </c>
      <c r="Y16" s="3">
        <f t="shared" si="31"/>
        <v>0.53897033052356202</v>
      </c>
      <c r="Z16" s="3">
        <f t="shared" si="31"/>
        <v>0.5031977977988239</v>
      </c>
      <c r="AA16" s="3">
        <f t="shared" si="31"/>
        <v>0.46979955921435762</v>
      </c>
      <c r="AB16" s="3">
        <f t="shared" si="31"/>
        <v>0.43861802814614892</v>
      </c>
      <c r="AC16" s="3">
        <f t="shared" si="31"/>
        <v>0.40950607730782301</v>
      </c>
      <c r="AD16" s="3">
        <f t="shared" si="31"/>
        <v>0.38232634454360392</v>
      </c>
      <c r="AE16" s="3">
        <f t="shared" si="31"/>
        <v>0.35695058469717639</v>
      </c>
      <c r="AF16" s="3">
        <f t="shared" si="31"/>
        <v>0.33325906449829984</v>
      </c>
      <c r="AG16" s="3">
        <f t="shared" si="31"/>
        <v>0.3111399976120014</v>
      </c>
      <c r="AH16" s="3">
        <f t="shared" si="31"/>
        <v>0.29048901718467768</v>
      </c>
      <c r="AI16" s="3">
        <f t="shared" ref="AI16:BA16" si="32">1/(1+$A$16)^AI6</f>
        <v>0.27120868339836068</v>
      </c>
      <c r="AJ16" s="3">
        <f t="shared" si="32"/>
        <v>0.25320802370958606</v>
      </c>
      <c r="AK16" s="3">
        <f t="shared" si="32"/>
        <v>0.23640210360352293</v>
      </c>
      <c r="AL16" s="3">
        <f t="shared" si="32"/>
        <v>0.22071162583800469</v>
      </c>
      <c r="AM16" s="3">
        <f t="shared" si="32"/>
        <v>0.20606255628653147</v>
      </c>
      <c r="AN16" s="3">
        <f t="shared" si="32"/>
        <v>0.19238577461481587</v>
      </c>
      <c r="AO16" s="3">
        <f t="shared" si="32"/>
        <v>0.17961674814262174</v>
      </c>
      <c r="AP16" s="3">
        <f t="shared" si="32"/>
        <v>0.1676952273520407</v>
      </c>
      <c r="AQ16" s="3">
        <f t="shared" si="32"/>
        <v>0.15656496160549044</v>
      </c>
      <c r="AR16" s="3">
        <f t="shared" si="32"/>
        <v>0.14617343373207456</v>
      </c>
      <c r="AS16" s="3">
        <f t="shared" si="32"/>
        <v>0.13647161222997356</v>
      </c>
      <c r="AT16" s="3">
        <f t="shared" si="32"/>
        <v>0.12741371991565612</v>
      </c>
      <c r="AU16" s="3">
        <f t="shared" si="32"/>
        <v>0.11895701792830217</v>
      </c>
      <c r="AV16" s="3">
        <f t="shared" si="32"/>
        <v>0.11106160407028198</v>
      </c>
      <c r="AW16" s="3">
        <f t="shared" si="32"/>
        <v>0.10369022453217884</v>
      </c>
      <c r="AX16" s="3">
        <f t="shared" si="32"/>
        <v>9.6808098113996252E-2</v>
      </c>
      <c r="AY16" s="3">
        <f t="shared" si="32"/>
        <v>9.0382752113153275E-2</v>
      </c>
      <c r="AZ16" s="3">
        <f t="shared" si="32"/>
        <v>8.438386910491999E-2</v>
      </c>
      <c r="BA16" s="3">
        <f t="shared" si="32"/>
        <v>7.8783143892340216E-2</v>
      </c>
    </row>
    <row r="17" spans="1:53" x14ac:dyDescent="0.3">
      <c r="B17" t="s">
        <v>457</v>
      </c>
      <c r="C17" s="3">
        <f t="shared" ref="C17:AH17" ca="1" si="33">C14*C16</f>
        <v>-15.600952977379414</v>
      </c>
      <c r="D17" s="3">
        <f t="shared" ca="1" si="33"/>
        <v>-0.30095297737940824</v>
      </c>
      <c r="E17" s="3">
        <f t="shared" ca="1" si="33"/>
        <v>-0.30095297737940824</v>
      </c>
      <c r="F17" s="3">
        <f t="shared" ca="1" si="33"/>
        <v>-0.30095297737940824</v>
      </c>
      <c r="G17" s="3">
        <f t="shared" ca="1" si="33"/>
        <v>-0.8040349101794082</v>
      </c>
      <c r="H17" s="3">
        <f t="shared" ca="1" si="33"/>
        <v>-1.6579970154294081</v>
      </c>
      <c r="I17" s="3">
        <f t="shared" ca="1" si="33"/>
        <v>-2.9820604773794086</v>
      </c>
      <c r="J17" s="3">
        <f t="shared" ca="1" si="33"/>
        <v>-8.4092149661794089</v>
      </c>
      <c r="K17" s="3">
        <f t="shared" ca="1" si="33"/>
        <v>-4.9971532191794097</v>
      </c>
      <c r="L17" s="3">
        <f t="shared" ca="1" si="33"/>
        <v>-5.9634544833794099</v>
      </c>
      <c r="M17" s="3">
        <f t="shared" ca="1" si="33"/>
        <v>-5.0760544833794086</v>
      </c>
      <c r="N17" s="3">
        <f t="shared" ca="1" si="33"/>
        <v>-2.4138544833794087</v>
      </c>
      <c r="O17" s="3">
        <f t="shared" ca="1" si="33"/>
        <v>-2.1676706433794086</v>
      </c>
      <c r="P17" s="3">
        <f t="shared" ca="1" si="33"/>
        <v>-3.1907376308294091</v>
      </c>
      <c r="Q17" s="3">
        <f t="shared" ca="1" si="33"/>
        <v>9.5427750648729752</v>
      </c>
      <c r="R17" s="3">
        <f t="shared" ca="1" si="33"/>
        <v>10.150765509624222</v>
      </c>
      <c r="S17" s="3">
        <f t="shared" ca="1" si="33"/>
        <v>10.799431095432565</v>
      </c>
      <c r="T17" s="3">
        <f t="shared" ca="1" si="33"/>
        <v>10.749805148512589</v>
      </c>
      <c r="U17" s="3">
        <f t="shared" ca="1" si="33"/>
        <v>11.08988969724787</v>
      </c>
      <c r="V17" s="3">
        <f t="shared" ca="1" si="33"/>
        <v>11.326693058598631</v>
      </c>
      <c r="W17" s="3">
        <f t="shared" ca="1" si="33"/>
        <v>12.287296780699931</v>
      </c>
      <c r="X17" s="3">
        <f t="shared" ca="1" si="33"/>
        <v>3.0537843291900981</v>
      </c>
      <c r="Y17" s="3">
        <f t="shared" ca="1" si="33"/>
        <v>6.6113525593463995</v>
      </c>
      <c r="Z17" s="3">
        <f t="shared" ca="1" si="33"/>
        <v>6.3983294501491255</v>
      </c>
      <c r="AA17" s="3">
        <f t="shared" ca="1" si="33"/>
        <v>6.5008421724849699</v>
      </c>
      <c r="AB17" s="3">
        <f t="shared" ca="1" si="33"/>
        <v>6.5395160269409986</v>
      </c>
      <c r="AC17" s="3">
        <f t="shared" ca="1" si="33"/>
        <v>6.323621601839311</v>
      </c>
      <c r="AD17" s="3">
        <f t="shared" ca="1" si="33"/>
        <v>7.0678035304317355</v>
      </c>
      <c r="AE17" s="3">
        <f t="shared" ca="1" si="33"/>
        <v>2.1207592700550526</v>
      </c>
      <c r="AF17" s="3">
        <f t="shared" ca="1" si="33"/>
        <v>0</v>
      </c>
      <c r="AG17" s="3">
        <f t="shared" ca="1" si="33"/>
        <v>0</v>
      </c>
      <c r="AH17" s="3">
        <f t="shared" ca="1" si="33"/>
        <v>0</v>
      </c>
      <c r="AI17" s="3">
        <f t="shared" ref="AI17:BA17" ca="1" si="34">AI14*AI16</f>
        <v>0</v>
      </c>
      <c r="AJ17" s="3">
        <f t="shared" ca="1" si="34"/>
        <v>0</v>
      </c>
      <c r="AK17" s="3">
        <f t="shared" ca="1" si="34"/>
        <v>0</v>
      </c>
      <c r="AL17" s="3">
        <f t="shared" ca="1" si="34"/>
        <v>0</v>
      </c>
      <c r="AM17" s="3">
        <f t="shared" ca="1" si="34"/>
        <v>0</v>
      </c>
      <c r="AN17" s="3">
        <f t="shared" ca="1" si="34"/>
        <v>0</v>
      </c>
      <c r="AO17" s="3">
        <f t="shared" ca="1" si="34"/>
        <v>0</v>
      </c>
      <c r="AP17" s="3">
        <f t="shared" ca="1" si="34"/>
        <v>0</v>
      </c>
      <c r="AQ17" s="3">
        <f t="shared" ca="1" si="34"/>
        <v>0</v>
      </c>
      <c r="AR17" s="3">
        <f t="shared" ca="1" si="34"/>
        <v>0</v>
      </c>
      <c r="AS17" s="3">
        <f t="shared" ca="1" si="34"/>
        <v>0</v>
      </c>
      <c r="AT17" s="3">
        <f t="shared" ca="1" si="34"/>
        <v>0</v>
      </c>
      <c r="AU17" s="3">
        <f t="shared" ca="1" si="34"/>
        <v>0</v>
      </c>
      <c r="AV17" s="3">
        <f t="shared" ca="1" si="34"/>
        <v>0</v>
      </c>
      <c r="AW17" s="3">
        <f t="shared" ca="1" si="34"/>
        <v>0</v>
      </c>
      <c r="AX17" s="3">
        <f t="shared" ca="1" si="34"/>
        <v>0</v>
      </c>
      <c r="AY17" s="3">
        <f t="shared" ca="1" si="34"/>
        <v>0</v>
      </c>
      <c r="AZ17" s="3">
        <f t="shared" ca="1" si="34"/>
        <v>0</v>
      </c>
      <c r="BA17" s="3">
        <f t="shared" ca="1" si="34"/>
        <v>0</v>
      </c>
    </row>
    <row r="18" spans="1:53" x14ac:dyDescent="0.3">
      <c r="B18" t="s">
        <v>458</v>
      </c>
      <c r="C18" s="3">
        <f ca="1">C17</f>
        <v>-15.600952977379414</v>
      </c>
      <c r="D18" s="3">
        <f ca="1">D17+C18</f>
        <v>-15.901905954758822</v>
      </c>
      <c r="E18" s="3">
        <f t="shared" ref="E18:AE18" ca="1" si="35">E17+D18</f>
        <v>-16.202858932138231</v>
      </c>
      <c r="F18" s="3">
        <f t="shared" ca="1" si="35"/>
        <v>-16.503811909517641</v>
      </c>
      <c r="G18" s="3">
        <f t="shared" ca="1" si="35"/>
        <v>-17.307846819697048</v>
      </c>
      <c r="H18" s="3">
        <f t="shared" ca="1" si="35"/>
        <v>-18.965843835126456</v>
      </c>
      <c r="I18" s="3">
        <f t="shared" ca="1" si="35"/>
        <v>-21.947904312505866</v>
      </c>
      <c r="J18" s="3">
        <f t="shared" ca="1" si="35"/>
        <v>-30.357119278685275</v>
      </c>
      <c r="K18" s="3">
        <f t="shared" ca="1" si="35"/>
        <v>-35.354272497864685</v>
      </c>
      <c r="L18" s="3">
        <f t="shared" ca="1" si="35"/>
        <v>-41.317726981244093</v>
      </c>
      <c r="M18" s="3">
        <f t="shared" ca="1" si="35"/>
        <v>-46.393781464623501</v>
      </c>
      <c r="N18" s="3">
        <f t="shared" ca="1" si="35"/>
        <v>-48.807635948002911</v>
      </c>
      <c r="O18" s="3">
        <f t="shared" ca="1" si="35"/>
        <v>-50.975306591382321</v>
      </c>
      <c r="P18" s="3">
        <f t="shared" ca="1" si="35"/>
        <v>-54.166044222211731</v>
      </c>
      <c r="Q18" s="3">
        <f t="shared" ca="1" si="35"/>
        <v>-44.623269157338754</v>
      </c>
      <c r="R18" s="3">
        <f t="shared" ca="1" si="35"/>
        <v>-34.472503647714532</v>
      </c>
      <c r="S18" s="3">
        <f t="shared" ca="1" si="35"/>
        <v>-23.673072552281965</v>
      </c>
      <c r="T18" s="3">
        <f t="shared" ca="1" si="35"/>
        <v>-12.923267403769376</v>
      </c>
      <c r="U18" s="3">
        <f t="shared" ca="1" si="35"/>
        <v>-1.8333777065215067</v>
      </c>
      <c r="V18" s="3">
        <f t="shared" ca="1" si="35"/>
        <v>9.4933153520771238</v>
      </c>
      <c r="W18" s="3">
        <f t="shared" ca="1" si="35"/>
        <v>21.780612132777055</v>
      </c>
      <c r="X18" s="3">
        <f t="shared" ca="1" si="35"/>
        <v>24.834396461967152</v>
      </c>
      <c r="Y18" s="3">
        <f t="shared" ca="1" si="35"/>
        <v>31.445749021313553</v>
      </c>
      <c r="Z18" s="3">
        <f t="shared" ca="1" si="35"/>
        <v>37.84407847146268</v>
      </c>
      <c r="AA18" s="3">
        <f t="shared" ca="1" si="35"/>
        <v>44.344920643947653</v>
      </c>
      <c r="AB18" s="3">
        <f t="shared" ca="1" si="35"/>
        <v>50.884436670888654</v>
      </c>
      <c r="AC18" s="3">
        <f t="shared" ca="1" si="35"/>
        <v>57.208058272727968</v>
      </c>
      <c r="AD18" s="3">
        <f t="shared" ca="1" si="35"/>
        <v>64.2758618031597</v>
      </c>
      <c r="AE18" s="3">
        <f t="shared" ca="1" si="35"/>
        <v>66.396621073214746</v>
      </c>
      <c r="AF18" s="3">
        <f t="shared" ref="AF18" ca="1" si="36">AF17+AE18</f>
        <v>66.396621073214746</v>
      </c>
      <c r="AG18" s="3">
        <f t="shared" ref="AG18" ca="1" si="37">AG17+AF18</f>
        <v>66.396621073214746</v>
      </c>
      <c r="AH18" s="3">
        <f t="shared" ref="AH18" ca="1" si="38">AH17+AG18</f>
        <v>66.396621073214746</v>
      </c>
      <c r="AI18" s="3">
        <f t="shared" ref="AI18" ca="1" si="39">AI17+AH18</f>
        <v>66.396621073214746</v>
      </c>
      <c r="AJ18" s="3">
        <f t="shared" ref="AJ18" ca="1" si="40">AJ17+AI18</f>
        <v>66.396621073214746</v>
      </c>
      <c r="AK18" s="3">
        <f t="shared" ref="AK18" ca="1" si="41">AK17+AJ18</f>
        <v>66.396621073214746</v>
      </c>
      <c r="AL18" s="3">
        <f t="shared" ref="AL18" ca="1" si="42">AL17+AK18</f>
        <v>66.396621073214746</v>
      </c>
      <c r="AM18" s="3">
        <f t="shared" ref="AM18" ca="1" si="43">AM17+AL18</f>
        <v>66.396621073214746</v>
      </c>
      <c r="AN18" s="3">
        <f t="shared" ref="AN18" ca="1" si="44">AN17+AM18</f>
        <v>66.396621073214746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x14ac:dyDescent="0.3">
      <c r="B19" t="s">
        <v>496</v>
      </c>
      <c r="C19" s="3">
        <f ca="1">IFERROR(-_xlfn.XLOOKUP(C3,'Project Capex'!$E$2:$AG$2,'Project Capex'!$E$69:$AG$69)*C16,_xlfn.XLOOKUP(C3,'Project Capex'!$E$2:$AG$2,'Project Capex'!$E$69:$AG$69)*C16+C15)</f>
        <v>-15.600952977379414</v>
      </c>
      <c r="D19" s="3">
        <f ca="1">IFERROR(-_xlfn.XLOOKUP(D3,'Project Capex'!$E$2:$AG$2,'Project Capex'!$E$69:$AG$69)*D16,D17)+C19</f>
        <v>-15.901905954758822</v>
      </c>
      <c r="E19" s="3">
        <f ca="1">IFERROR(-_xlfn.XLOOKUP(E3,'Project Capex'!$E$2:$AG$2,'Project Capex'!$E$69:$AG$69)*E16,E17)+D19</f>
        <v>-16.202858932138231</v>
      </c>
      <c r="F19" s="3">
        <f ca="1">IFERROR(-_xlfn.XLOOKUP(F3,'Project Capex'!$E$2:$AG$2,'Project Capex'!$E$69:$AG$69)*F16,F17)+E19</f>
        <v>-16.503811909517641</v>
      </c>
      <c r="G19" s="3">
        <f ca="1">IFERROR(-_xlfn.XLOOKUP(G3,'Project Capex'!$E$2:$AG$2,'Project Capex'!$E$69:$AG$69)*G16,G17)+F19</f>
        <v>-17.307846819697048</v>
      </c>
      <c r="H19" s="3">
        <f ca="1">IFERROR(-_xlfn.XLOOKUP(H3,'Project Capex'!$E$2:$AG$2,'Project Capex'!$E$69:$AG$69)*H16,H17)+G19</f>
        <v>-18.965843835126456</v>
      </c>
      <c r="I19" s="3">
        <f ca="1">IFERROR(-_xlfn.XLOOKUP(I3,'Project Capex'!$E$2:$AG$2,'Project Capex'!$E$69:$AG$69)*I16,I17)+H19</f>
        <v>-21.947904312505866</v>
      </c>
      <c r="J19" s="3">
        <f ca="1">IFERROR(-_xlfn.XLOOKUP(J3,'Project Capex'!$E$2:$AG$2,'Project Capex'!$E$69:$AG$69)*J16,J17)+I19</f>
        <v>-30.357119278685275</v>
      </c>
      <c r="K19" s="3">
        <f ca="1">IFERROR(-_xlfn.XLOOKUP(K3,'Project Capex'!$E$2:$AG$2,'Project Capex'!$E$69:$AG$69)*K16,K17)+J19</f>
        <v>-35.354272497864685</v>
      </c>
      <c r="L19" s="3">
        <f ca="1">IFERROR(-_xlfn.XLOOKUP(L3,'Project Capex'!$E$2:$AG$2,'Project Capex'!$E$69:$AG$69)*L16,L17)+K19</f>
        <v>-41.317726981244093</v>
      </c>
      <c r="M19" s="3">
        <f ca="1">IFERROR(-_xlfn.XLOOKUP(M3,'Project Capex'!$E$2:$AG$2,'Project Capex'!$E$69:$AG$69)*M16,M17)+L19</f>
        <v>-46.393781464623501</v>
      </c>
      <c r="N19" s="3">
        <f ca="1">IFERROR(-_xlfn.XLOOKUP(N3,'Project Capex'!$E$2:$AG$2,'Project Capex'!$E$69:$AG$69)*N16,N17)+M19</f>
        <v>-48.807635948002911</v>
      </c>
      <c r="O19" s="3">
        <f ca="1">IFERROR(-_xlfn.XLOOKUP(O3,'Project Capex'!$E$2:$AG$2,'Project Capex'!$E$69:$AG$69)*O16,O17)+N19</f>
        <v>-50.975306591382321</v>
      </c>
      <c r="P19" s="3">
        <f ca="1">IFERROR(-_xlfn.XLOOKUP(P3,'Project Capex'!$E$2:$AG$2,'Project Capex'!$E$69:$AG$69)*P16,P17)+O19</f>
        <v>-54.166044222211731</v>
      </c>
      <c r="Q19" s="3">
        <f ca="1">IFERROR(-_xlfn.XLOOKUP(Q3,'Project Capex'!$E$2:$AG$2,'Project Capex'!$E$69:$AG$69)*Q16,Q17)+P19</f>
        <v>-44.623269157338754</v>
      </c>
      <c r="R19" s="3">
        <f ca="1">IFERROR(-_xlfn.XLOOKUP(R3,'Project Capex'!$E$2:$AG$2,'Project Capex'!$E$69:$AG$69)*R16,R17)+Q19</f>
        <v>-34.472503647714532</v>
      </c>
      <c r="S19" s="3">
        <f ca="1">IFERROR(-_xlfn.XLOOKUP(S3,'Project Capex'!$E$2:$AG$2,'Project Capex'!$E$69:$AG$69)*S16,S17)+R19</f>
        <v>-23.673072552281965</v>
      </c>
      <c r="T19" s="3">
        <f ca="1">IFERROR(-_xlfn.XLOOKUP(T3,'Project Capex'!$E$2:$AG$2,'Project Capex'!$E$69:$AG$69)*T16,T17)+S19</f>
        <v>-12.923267403769376</v>
      </c>
      <c r="U19" s="3">
        <f ca="1">IFERROR(-_xlfn.XLOOKUP(U3,'Project Capex'!$E$2:$AG$2,'Project Capex'!$E$69:$AG$69)*U16,U17)+T19</f>
        <v>-1.8333777065215067</v>
      </c>
      <c r="V19" s="3">
        <f ca="1">IFERROR(-_xlfn.XLOOKUP(V3,'Project Capex'!$E$2:$AG$2,'Project Capex'!$E$69:$AG$69)*V16,V17)+U19</f>
        <v>9.4933153520771238</v>
      </c>
      <c r="W19" s="3">
        <f ca="1">IFERROR(-_xlfn.XLOOKUP(W3,'Project Capex'!$E$2:$AG$2,'Project Capex'!$E$69:$AG$69)*W16,W17)+V19</f>
        <v>21.780612132777055</v>
      </c>
      <c r="X19" s="3">
        <f ca="1">IFERROR(-_xlfn.XLOOKUP(X3,'Project Capex'!$E$2:$AG$2,'Project Capex'!$E$69:$AG$69)*X16,X17)+W19</f>
        <v>24.834396461967152</v>
      </c>
      <c r="Y19" s="3">
        <f ca="1">IFERROR(-_xlfn.XLOOKUP(Y3,'Project Capex'!$E$2:$AG$2,'Project Capex'!$E$69:$AG$69)*Y16,Y17)+X19</f>
        <v>31.445749021313553</v>
      </c>
      <c r="Z19" s="3">
        <f ca="1">IFERROR(-_xlfn.XLOOKUP(Z3,'Project Capex'!$E$2:$AG$2,'Project Capex'!$E$69:$AG$69)*Z16,Z17)+Y19</f>
        <v>37.84407847146268</v>
      </c>
      <c r="AA19" s="3">
        <f ca="1">IFERROR(-_xlfn.XLOOKUP(AA3,'Project Capex'!$E$2:$AG$2,'Project Capex'!$E$69:$AG$69)*AA16,AA17)+Z19</f>
        <v>44.344920643947653</v>
      </c>
      <c r="AB19" s="3">
        <f ca="1">IFERROR(-_xlfn.XLOOKUP(AB3,'Project Capex'!$E$2:$AG$2,'Project Capex'!$E$69:$AG$69)*AB16,AB17)+AA19</f>
        <v>50.884436670888654</v>
      </c>
      <c r="AC19" s="3">
        <f ca="1">IFERROR(-_xlfn.XLOOKUP(AC3,'Project Capex'!$E$2:$AG$2,'Project Capex'!$E$69:$AG$69)*AC16,AC17)+AB19</f>
        <v>57.208058272727968</v>
      </c>
      <c r="AD19" s="3">
        <f ca="1">IFERROR(-_xlfn.XLOOKUP(AD3,'Project Capex'!$E$2:$AG$2,'Project Capex'!$E$69:$AG$69)*AD16,AD17)+AC19</f>
        <v>64.2758618031597</v>
      </c>
      <c r="AE19" s="3">
        <f ca="1">IFERROR(-_xlfn.XLOOKUP(AE3,'Project Capex'!$E$2:$AG$2,'Project Capex'!$E$69:$AG$69)*AE16,AE17)+AD19</f>
        <v>66.396621073214746</v>
      </c>
      <c r="AF19" s="3">
        <f ca="1">IFERROR(-_xlfn.XLOOKUP(AF3,'Project Capex'!$E$2:$AG$2,'Project Capex'!$E$69:$AG$69)*AF16,AF17)+AE19</f>
        <v>66.396621073214746</v>
      </c>
      <c r="AG19" s="3">
        <f ca="1">IFERROR(-_xlfn.XLOOKUP(AG3,'Project Capex'!$E$2:$AG$2,'Project Capex'!$E$69:$AG$69)*AG16,AG17)+AF19</f>
        <v>66.396621073214746</v>
      </c>
      <c r="AH19" s="3">
        <f ca="1">IFERROR(-_xlfn.XLOOKUP(AH3,'Project Capex'!$E$2:$AG$2,'Project Capex'!$E$69:$AG$69)*AH16,AH17)+AG19</f>
        <v>66.396621073214746</v>
      </c>
      <c r="AI19" s="3">
        <f ca="1">IFERROR(-_xlfn.XLOOKUP(AI3,'Project Capex'!$E$2:$AG$2,'Project Capex'!$E$69:$AG$69)*AI16,AI17)+AH19</f>
        <v>66.396621073214746</v>
      </c>
      <c r="AJ19" s="3">
        <f ca="1">IFERROR(-_xlfn.XLOOKUP(AJ3,'Project Capex'!$E$2:$AG$2,'Project Capex'!$E$69:$AG$69)*AJ16,AJ17)+AI19</f>
        <v>66.396621073214746</v>
      </c>
      <c r="AK19" s="3">
        <f ca="1">IFERROR(-_xlfn.XLOOKUP(AK3,'Project Capex'!$E$2:$AG$2,'Project Capex'!$E$69:$AG$69)*AK16,AK17)+AJ19</f>
        <v>66.396621073214746</v>
      </c>
      <c r="AL19" s="3">
        <f ca="1">IFERROR(-_xlfn.XLOOKUP(AL3,'Project Capex'!$E$2:$AG$2,'Project Capex'!$E$69:$AG$69)*AL16,AL17)+AK19</f>
        <v>66.396621073214746</v>
      </c>
      <c r="AM19" s="3">
        <f ca="1">IFERROR(-_xlfn.XLOOKUP(AM3,'Project Capex'!$E$2:$AG$2,'Project Capex'!$E$69:$AG$69)*AM16,AM17)+AL19</f>
        <v>66.396621073214746</v>
      </c>
      <c r="AN19" s="3">
        <f ca="1">IFERROR(-_xlfn.XLOOKUP(AN3,'Project Capex'!$E$2:$AG$2,'Project Capex'!$E$69:$AG$69)*AN16,AN17)+AM19</f>
        <v>66.396621073214746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s="1" customFormat="1" x14ac:dyDescent="0.3">
      <c r="A20"/>
      <c r="B20" t="s">
        <v>279</v>
      </c>
      <c r="C20">
        <v>0</v>
      </c>
      <c r="D20" s="1" cm="1">
        <f t="array" aca="1" ref="D20" ca="1">_xlfn.IFS(AND(D2="Beyond Cons",C2="Cons"),1,AND(D2="Cons",C2="Cons"),0,AND(D2="Beyond Cons",C2="Beyond Cons"),IF(AND(D18&lt;0,D6&gt;1),D6,IF(AND(C20&lt;1,D6&gt;0),0,-C18/D17)))</f>
        <v>0</v>
      </c>
      <c r="E20" s="1" cm="1">
        <f t="array" aca="1" ref="E20" ca="1">_xlfn.IFS(AND(E2="Beyond Cons",D2="Cons"),1,AND(E2="Cons",D2="Cons"),0,AND(E2="Beyond Cons",D2="Beyond Cons"),IF(AND(E18&lt;0,E6&gt;1),E6,IF(AND(D20&lt;1,E6&gt;0),0,-D18/E17)))</f>
        <v>0</v>
      </c>
      <c r="F20" s="1" cm="1">
        <f t="array" aca="1" ref="F20" ca="1">_xlfn.IFS(AND(F2="Beyond Cons",E2="Cons"),1,AND(F2="Cons",E2="Cons"),0,AND(F2="Beyond Cons",E2="Beyond Cons"),IF(AND(F18&lt;0,F6&gt;1),F6,IF(AND(E20&lt;1,F6&gt;0),0,-E18/F17)))</f>
        <v>0</v>
      </c>
      <c r="G20" s="1" cm="1">
        <f t="array" aca="1" ref="G20" ca="1">_xlfn.IFS(AND(G2="Beyond Cons",F2="Cons"),1,AND(G2="Cons",F2="Cons"),0,AND(G2="Beyond Cons",F2="Beyond Cons"),IF(AND(G18&lt;0,G6&gt;1),G6,IF(AND(F20&lt;1,G6&gt;0),0,-F18/G17)))</f>
        <v>0</v>
      </c>
      <c r="H20" s="1" cm="1">
        <f t="array" aca="1" ref="H20" ca="1">_xlfn.IFS(AND(H2="Beyond Cons",G2="Cons"),1,AND(H2="Cons",G2="Cons"),0,AND(H2="Beyond Cons",G2="Beyond Cons"),IF(AND(H18&lt;0,H6&gt;1),H6,IF(AND(G20&lt;1,H6&gt;0),0,-G18/H17)))</f>
        <v>0</v>
      </c>
      <c r="I20" s="1" cm="1">
        <f t="array" aca="1" ref="I20" ca="1">_xlfn.IFS(AND(I2="Beyond Cons",H2="Cons"),1,AND(I2="Cons",H2="Cons"),0,AND(I2="Beyond Cons",H2="Beyond Cons"),IF(AND(I18&lt;0,I6&gt;1),I6,IF(AND(H20&lt;1,I6&gt;0),0,-H18/I17)))</f>
        <v>0</v>
      </c>
      <c r="J20" s="1" cm="1">
        <f t="array" aca="1" ref="J20" ca="1">_xlfn.IFS(AND(J2="Beyond Cons",I2="Cons"),1,AND(J2="Cons",I2="Cons"),0,AND(J2="Beyond Cons",I2="Beyond Cons"),IF(AND(J18&lt;0,J6&gt;1),J6,IF(AND(I20&lt;1,J6&gt;0),0,-I18/J17)))</f>
        <v>0</v>
      </c>
      <c r="K20" s="1" cm="1">
        <f t="array" aca="1" ref="K20" ca="1">_xlfn.IFS(AND(K2="Beyond Cons",J2="Cons"),1,AND(K2="Cons",J2="Cons"),0,AND(K2="Beyond Cons",J2="Beyond Cons"),IF(AND(K18&lt;0,K6&gt;1),K6,IF(AND(J20&lt;1,K6&gt;0),0,-J18/K17)))</f>
        <v>0</v>
      </c>
      <c r="L20" s="1" cm="1">
        <f t="array" aca="1" ref="L20" ca="1">_xlfn.IFS(AND(L2="Beyond Cons",K2="Cons"),1,AND(L2="Cons",K2="Cons"),0,AND(L2="Beyond Cons",K2="Beyond Cons"),IF(AND(L18&lt;0,L6&gt;1),L6,IF(AND(K20&lt;1,L6&gt;0),0,-K18/L17)))</f>
        <v>0</v>
      </c>
      <c r="M20" s="1" cm="1">
        <f t="array" aca="1" ref="M20" ca="1">_xlfn.IFS(AND(M2="Beyond Cons",L2="Cons"),1,AND(M2="Cons",L2="Cons"),0,AND(M2="Beyond Cons",L2="Beyond Cons"),IF(AND(M18&lt;0,M6&gt;1),M6,IF(AND(L20&lt;1,M6&gt;0),0,-L18/M17)))</f>
        <v>0</v>
      </c>
      <c r="N20" s="1" cm="1">
        <f t="array" aca="1" ref="N20" ca="1">_xlfn.IFS(AND(N2="Beyond Cons",M2="Cons"),1,AND(N2="Cons",M2="Cons"),0,AND(N2="Beyond Cons",M2="Beyond Cons"),IF(AND(N18&lt;0,N6&gt;1),N6,IF(AND(M20&lt;1,N6&gt;0),0,-M18/N17)))</f>
        <v>0</v>
      </c>
      <c r="O20" s="1" cm="1">
        <f t="array" aca="1" ref="O20" ca="1">_xlfn.IFS(AND(O2="Beyond Cons",N2="Cons"),1,AND(O2="Cons",N2="Cons"),0,AND(O2="Beyond Cons",N2="Beyond Cons"),IF(AND(O18&lt;0,O6&gt;1),O6,IF(AND(N20&lt;1,O6&gt;0),0,-N18/O17)))</f>
        <v>0</v>
      </c>
      <c r="P20" s="1" cm="1">
        <f t="array" aca="1" ref="P20" ca="1">_xlfn.IFS(AND(P2="Beyond Cons",O2="Cons"),1,AND(P2="Cons",O2="Cons"),0,AND(P2="Beyond Cons",O2="Beyond Cons"),IF(AND(P18&lt;0,P6&gt;1),P6,IF(AND(O20&lt;1,P6&gt;0),0,-O18/P17)))</f>
        <v>0</v>
      </c>
      <c r="Q20" s="1" cm="1">
        <f t="array" aca="1" ref="Q20" ca="1">_xlfn.IFS(AND(Q2="Beyond Cons",P2="Cons"),1,AND(Q2="Cons",P2="Cons"),0,AND(Q2="Beyond Cons",P2="Beyond Cons"),IF(AND(Q19&lt;0,Q6&gt;1),Q6,IF(AND(P20&lt;1,Q6&gt;0),0,-P19/Q17)))</f>
        <v>1</v>
      </c>
      <c r="R20" s="1" cm="1">
        <f t="array" aca="1" ref="R20" ca="1">_xlfn.IFS(AND(R2="Beyond Cons",Q2="Cons"),1,AND(R2="Cons",Q2="Cons"),0,AND(R2="Beyond Cons",Q2="Beyond Cons"),IF(AND(R19&lt;0,R6&gt;1),R6,IF(AND(Q20&lt;1,R6&gt;0),0,-Q19/R17)))</f>
        <v>2</v>
      </c>
      <c r="S20" s="1" cm="1">
        <f t="array" aca="1" ref="S20" ca="1">_xlfn.IFS(AND(S2="Beyond Cons",R2="Cons"),1,AND(S2="Cons",R2="Cons"),0,AND(S2="Beyond Cons",R2="Beyond Cons"),IF(AND(S19&lt;0,S6&gt;1),S6,IF(AND(R20&lt;1,S6&gt;0),0,-R19/S17)))</f>
        <v>3</v>
      </c>
      <c r="T20" s="1" cm="1">
        <f t="array" aca="1" ref="T20" ca="1">_xlfn.IFS(AND(T2="Beyond Cons",S2="Cons"),1,AND(T2="Cons",S2="Cons"),0,AND(T2="Beyond Cons",S2="Beyond Cons"),IF(AND(T19&lt;0,T6&gt;1),T6,IF(AND(S20&lt;1,T6&gt;0),0,-S19/T17)))</f>
        <v>4</v>
      </c>
      <c r="U20" s="1" cm="1">
        <f t="array" aca="1" ref="U20" ca="1">_xlfn.IFS(AND(U2="Beyond Cons",T2="Cons"),1,AND(U2="Cons",T2="Cons"),0,AND(U2="Beyond Cons",T2="Beyond Cons"),IF(AND(U19&lt;0,U6&gt;1),U6,IF(AND(T20&lt;1,U6&gt;0),0,-T19/U17)))</f>
        <v>5</v>
      </c>
      <c r="V20" s="1" cm="1">
        <f t="array" aca="1" ref="V20" ca="1">_xlfn.IFS(AND(V2="Beyond Cons",U2="Cons"),1,AND(V2="Cons",U2="Cons"),0,AND(V2="Beyond Cons",U2="Beyond Cons"),IF(AND(V19&lt;0,V6&gt;1),V6,IF(AND(U20&lt;1,V6&gt;0),0,-U19/V17)))</f>
        <v>0.16186345803108901</v>
      </c>
      <c r="W20" s="1" cm="1">
        <f t="array" aca="1" ref="W20" ca="1">_xlfn.IFS(AND(W2="Beyond Cons",V2="Cons"),1,AND(W2="Cons",V2="Cons"),0,AND(W2="Beyond Cons",V2="Beyond Cons"),IF(AND(W19&lt;0,W6&gt;1),W6,IF(AND(V20&lt;1,W6&gt;0),0,-V19/W17)))</f>
        <v>0</v>
      </c>
      <c r="X20" s="1" cm="1">
        <f t="array" aca="1" ref="X20" ca="1">_xlfn.IFS(AND(X2="Beyond Cons",W2="Cons"),1,AND(X2="Cons",W2="Cons"),0,AND(X2="Beyond Cons",W2="Beyond Cons"),IF(AND(X19&lt;0,X6&gt;1),X6,IF(AND(W20&lt;1,X6&gt;0),0,-W19/X17)))</f>
        <v>0</v>
      </c>
      <c r="Y20" s="1" cm="1">
        <f t="array" aca="1" ref="Y20" ca="1">_xlfn.IFS(AND(Y2="Beyond Cons",X2="Cons"),1,AND(Y2="Cons",X2="Cons"),0,AND(Y2="Beyond Cons",X2="Beyond Cons"),IF(AND(Y19&lt;0,Y6&gt;1),Y6,IF(AND(X20&lt;1,Y6&gt;0),0,-X19/Y17)))</f>
        <v>0</v>
      </c>
      <c r="Z20" s="1" cm="1">
        <f t="array" aca="1" ref="Z20" ca="1">_xlfn.IFS(AND(Z2="Beyond Cons",Y2="Cons"),1,AND(Z2="Cons",Y2="Cons"),0,AND(Z2="Beyond Cons",Y2="Beyond Cons"),IF(AND(Z19&lt;0,Z6&gt;1),Z6,IF(AND(Y20&lt;1,Z6&gt;0),0,-Y19/Z17)))</f>
        <v>0</v>
      </c>
      <c r="AA20" s="1" cm="1">
        <f t="array" aca="1" ref="AA20" ca="1">_xlfn.IFS(AND(AA2="Beyond Cons",Z2="Cons"),1,AND(AA2="Cons",Z2="Cons"),0,AND(AA2="Beyond Cons",Z2="Beyond Cons"),IF(AND(AA19&lt;0,AA6&gt;1),AA6,IF(AND(Z20&lt;1,AA6&gt;0),0,-Z19/AA17)))</f>
        <v>0</v>
      </c>
      <c r="AB20" s="1" cm="1">
        <f t="array" aca="1" ref="AB20" ca="1">_xlfn.IFS(AND(AB2="Beyond Cons",AA2="Cons"),1,AND(AB2="Cons",AA2="Cons"),0,AND(AB2="Beyond Cons",AA2="Beyond Cons"),IF(AND(AB19&lt;0,AB6&gt;1),AB6,IF(AND(AA20&lt;1,AB6&gt;0),0,-AA19/AB17)))</f>
        <v>0</v>
      </c>
      <c r="AC20" s="1" cm="1">
        <f t="array" aca="1" ref="AC20" ca="1">_xlfn.IFS(AND(AC2="Beyond Cons",AB2="Cons"),1,AND(AC2="Cons",AB2="Cons"),0,AND(AC2="Beyond Cons",AB2="Beyond Cons"),IF(AND(AC19&lt;0,AC6&gt;1),AC6,IF(AND(AB20&lt;1,AC6&gt;0),0,-AB19/AC17)))</f>
        <v>0</v>
      </c>
      <c r="AD20" s="1" cm="1">
        <f t="array" aca="1" ref="AD20" ca="1">_xlfn.IFS(AND(AD2="Beyond Cons",AC2="Cons"),1,AND(AD2="Cons",AC2="Cons"),0,AND(AD2="Beyond Cons",AC2="Beyond Cons"),IF(AND(AD19&lt;0,AD6&gt;1),AD6,IF(AND(AC20&lt;1,AD6&gt;0),0,-AC19/AD17)))</f>
        <v>0</v>
      </c>
      <c r="AE20" s="1" cm="1">
        <f t="array" aca="1" ref="AE20" ca="1">_xlfn.IFS(AND(AE2="Beyond Cons",AD2="Cons"),1,AND(AE2="Cons",AD2="Cons"),0,AND(AE2="Beyond Cons",AD2="Beyond Cons"),IF(AND(AE19&lt;0,AE6&gt;1),AE6,IF(AND(AD20&lt;1,AE6&gt;0),0,-AD19/AE17)))</f>
        <v>0</v>
      </c>
      <c r="AF20" s="1" cm="1">
        <f t="array" aca="1" ref="AF20" ca="1">_xlfn.IFS(AND(AF2="Beyond Cons",AE2="Cons"),1,AND(AF2="Cons",AE2="Cons"),0,AND(AF2="Beyond Cons",AE2="Beyond Cons"),IF(AND(AF19&lt;0,AF6&gt;1),AF6,IF(AND(AE20&lt;1,AF6&gt;0),0,-AE19/AF17)))</f>
        <v>0</v>
      </c>
      <c r="AG20" s="1" cm="1">
        <f t="array" aca="1" ref="AG20" ca="1">_xlfn.IFS(AND(AG2="Beyond Cons",AF2="Cons"),1,AND(AG2="Cons",AF2="Cons"),0,AND(AG2="Beyond Cons",AF2="Beyond Cons"),IF(AND(AG19&lt;0,AG6&gt;1),AG6,IF(AND(AF20&lt;1,AG6&gt;0),0,-AF19/AG17)))</f>
        <v>0</v>
      </c>
      <c r="AH20" s="1" cm="1">
        <f t="array" aca="1" ref="AH20" ca="1">_xlfn.IFS(AND(AH2="Beyond Cons",AG2="Cons"),1,AND(AH2="Cons",AG2="Cons"),0,AND(AH2="Beyond Cons",AG2="Beyond Cons"),IF(AND(AH19&lt;0,AH6&gt;1),AH6,IF(AND(AG20&lt;1,AH6&gt;0),0,-AG19/AH17)))</f>
        <v>0</v>
      </c>
      <c r="AI20" s="1" cm="1">
        <f t="array" aca="1" ref="AI20" ca="1">_xlfn.IFS(AND(AI2="Beyond Cons",AH2="Cons"),1,AND(AI2="Cons",AH2="Cons"),0,AND(AI2="Beyond Cons",AH2="Beyond Cons"),IF(AND(AI19&lt;0,AI6&gt;1),AI6,IF(AND(AH20&lt;1,AI6&gt;0),0,-AH19/AI17)))</f>
        <v>0</v>
      </c>
      <c r="AJ20" s="1" cm="1">
        <f t="array" aca="1" ref="AJ20" ca="1">_xlfn.IFS(AND(AJ2="Beyond Cons",AI2="Cons"),1,AND(AJ2="Cons",AI2="Cons"),0,AND(AJ2="Beyond Cons",AI2="Beyond Cons"),IF(AND(AJ19&lt;0,AJ6&gt;1),AJ6,IF(AND(AI20&lt;1,AJ6&gt;0),0,-AI19/AJ17)))</f>
        <v>0</v>
      </c>
      <c r="AK20" s="1" cm="1">
        <f t="array" aca="1" ref="AK20" ca="1">_xlfn.IFS(AND(AK2="Beyond Cons",AJ2="Cons"),1,AND(AK2="Cons",AJ2="Cons"),0,AND(AK2="Beyond Cons",AJ2="Beyond Cons"),IF(AND(AK19&lt;0,AK6&gt;1),AK6,IF(AND(AJ20&lt;1,AK6&gt;0),0,-AJ19/AK17)))</f>
        <v>0</v>
      </c>
      <c r="AL20" s="1" cm="1">
        <f t="array" aca="1" ref="AL20" ca="1">_xlfn.IFS(AND(AL2="Beyond Cons",AK2="Cons"),1,AND(AL2="Cons",AK2="Cons"),0,AND(AL2="Beyond Cons",AK2="Beyond Cons"),IF(AND(AL19&lt;0,AL6&gt;1),AL6,IF(AND(AK20&lt;1,AL6&gt;0),0,-AK19/AL17)))</f>
        <v>0</v>
      </c>
      <c r="AM20" s="1" cm="1">
        <f t="array" aca="1" ref="AM20" ca="1">_xlfn.IFS(AND(AM2="Beyond Cons",AL2="Cons"),1,AND(AM2="Cons",AL2="Cons"),0,AND(AM2="Beyond Cons",AL2="Beyond Cons"),IF(AND(AM19&lt;0,AM6&gt;1),AM6,IF(AND(AL20&lt;1,AM6&gt;0),0,-AL19/AM17)))</f>
        <v>0</v>
      </c>
      <c r="AN20" s="1" cm="1">
        <f t="array" aca="1" ref="AN20" ca="1">_xlfn.IFS(AND(AN2="Beyond Cons",AM2="Cons"),1,AND(AN2="Cons",AM2="Cons"),0,AND(AN2="Beyond Cons",AM2="Beyond Cons"),IF(AND(AN19&lt;0,AN6&gt;1),AN6,IF(AND(AM20&lt;1,AN6&gt;0),0,-AM19/AN17)))</f>
        <v>0</v>
      </c>
      <c r="AO20" s="1" cm="1">
        <f t="array" aca="1" ref="AO20" ca="1">_xlfn.IFS(AND(AO2="Beyond Cons",AN2="Cons"),1,AND(AO2="Cons",AN2="Cons"),0,AND(AO2="Beyond Cons",AN2="Beyond Cons"),IF(AND(AO19&lt;0,AO6&gt;1),AO6,IF(AND(AN20&lt;1,AO6&gt;0),0,-AN19/AO17)))</f>
        <v>0</v>
      </c>
      <c r="AP20" s="1" cm="1">
        <f t="array" aca="1" ref="AP20" ca="1">_xlfn.IFS(AND(AP2="Beyond Cons",AO2="Cons"),1,AND(AP2="Cons",AO2="Cons"),0,AND(AP2="Beyond Cons",AO2="Beyond Cons"),IF(AND(AP19&lt;0,AP6&gt;1),AP6,IF(AND(AO20&lt;1,AP6&gt;0),0,-AO19/AP17)))</f>
        <v>0</v>
      </c>
      <c r="AQ20" s="1" cm="1">
        <f t="array" aca="1" ref="AQ20" ca="1">_xlfn.IFS(AND(AQ2="Beyond Cons",AP2="Cons"),1,AND(AQ2="Cons",AP2="Cons"),0,AND(AQ2="Beyond Cons",AP2="Beyond Cons"),IF(AND(AQ19&lt;0,AQ6&gt;1),AQ6,IF(AND(AP20&lt;1,AQ6&gt;0),0,-AP19/AQ17)))</f>
        <v>0</v>
      </c>
      <c r="AR20" s="1" cm="1">
        <f t="array" aca="1" ref="AR20" ca="1">_xlfn.IFS(AND(AR2="Beyond Cons",AQ2="Cons"),1,AND(AR2="Cons",AQ2="Cons"),0,AND(AR2="Beyond Cons",AQ2="Beyond Cons"),IF(AND(AR19&lt;0,AR6&gt;1),AR6,IF(AND(AQ20&lt;1,AR6&gt;0),0,-AQ19/AR17)))</f>
        <v>0</v>
      </c>
      <c r="AS20" s="1" cm="1">
        <f t="array" aca="1" ref="AS20" ca="1">_xlfn.IFS(AND(AS2="Beyond Cons",AR2="Cons"),1,AND(AS2="Cons",AR2="Cons"),0,AND(AS2="Beyond Cons",AR2="Beyond Cons"),IF(AND(AS19&lt;0,AS6&gt;1),AS6,IF(AND(AR20&lt;1,AS6&gt;0),0,-AR19/AS17)))</f>
        <v>0</v>
      </c>
      <c r="AT20" s="1" cm="1">
        <f t="array" aca="1" ref="AT20" ca="1">_xlfn.IFS(AND(AT2="Beyond Cons",AS2="Cons"),1,AND(AT2="Cons",AS2="Cons"),0,AND(AT2="Beyond Cons",AS2="Beyond Cons"),IF(AND(AT19&lt;0,AT6&gt;1),AT6,IF(AND(AS20&lt;1,AT6&gt;0),0,-AS19/AT17)))</f>
        <v>0</v>
      </c>
      <c r="AU20" s="1" cm="1">
        <f t="array" aca="1" ref="AU20" ca="1">_xlfn.IFS(AND(AU2="Beyond Cons",AT2="Cons"),1,AND(AU2="Cons",AT2="Cons"),0,AND(AU2="Beyond Cons",AT2="Beyond Cons"),IF(AND(AU19&lt;0,AU6&gt;1),AU6,IF(AND(AT20&lt;1,AU6&gt;0),0,-AT19/AU17)))</f>
        <v>0</v>
      </c>
      <c r="AV20" s="1" cm="1">
        <f t="array" aca="1" ref="AV20" ca="1">_xlfn.IFS(AND(AV2="Beyond Cons",AU2="Cons"),1,AND(AV2="Cons",AU2="Cons"),0,AND(AV2="Beyond Cons",AU2="Beyond Cons"),IF(AND(AV19&lt;0,AV6&gt;1),AV6,IF(AND(AU20&lt;1,AV6&gt;0),0,-AU19/AV17)))</f>
        <v>0</v>
      </c>
      <c r="AW20" s="1" cm="1">
        <f t="array" aca="1" ref="AW20" ca="1">_xlfn.IFS(AND(AW2="Beyond Cons",AV2="Cons"),1,AND(AW2="Cons",AV2="Cons"),0,AND(AW2="Beyond Cons",AV2="Beyond Cons"),IF(AND(AW19&lt;0,AW6&gt;1),AW6,IF(AND(AV20&lt;1,AW6&gt;0),0,-AV19/AW17)))</f>
        <v>0</v>
      </c>
      <c r="AX20" s="1" cm="1">
        <f t="array" aca="1" ref="AX20" ca="1">_xlfn.IFS(AND(AX2="Beyond Cons",AW2="Cons"),1,AND(AX2="Cons",AW2="Cons"),0,AND(AX2="Beyond Cons",AW2="Beyond Cons"),IF(AND(AX19&lt;0,AX6&gt;1),AX6,IF(AND(AW20&lt;1,AX6&gt;0),0,-AW19/AX17)))</f>
        <v>0</v>
      </c>
      <c r="AY20" s="1" cm="1">
        <f t="array" aca="1" ref="AY20" ca="1">_xlfn.IFS(AND(AY2="Beyond Cons",AX2="Cons"),1,AND(AY2="Cons",AX2="Cons"),0,AND(AY2="Beyond Cons",AX2="Beyond Cons"),IF(AND(AY19&lt;0,AY6&gt;1),AY6,IF(AND(AX20&lt;1,AY6&gt;0),0,-AX19/AY17)))</f>
        <v>0</v>
      </c>
      <c r="AZ20" s="1" cm="1">
        <f t="array" aca="1" ref="AZ20" ca="1">_xlfn.IFS(AND(AZ2="Beyond Cons",AY2="Cons"),1,AND(AZ2="Cons",AY2="Cons"),0,AND(AZ2="Beyond Cons",AY2="Beyond Cons"),IF(AND(AZ19&lt;0,AZ6&gt;1),AZ6,IF(AND(AY20&lt;1,AZ6&gt;0),0,-AY19/AZ17)))</f>
        <v>0</v>
      </c>
      <c r="BA20" s="1" cm="1">
        <f t="array" aca="1" ref="BA20" ca="1">_xlfn.IFS(AND(BA2="Beyond Cons",AZ2="Cons"),1,AND(BA2="Cons",AZ2="Cons"),0,AND(BA2="Beyond Cons",AZ2="Beyond Cons"),IF(AND(BA19&lt;0,BA6&gt;1),BA6,IF(AND(AZ20&lt;1,BA6&gt;0),0,-AZ19/BA17)))</f>
        <v>0</v>
      </c>
    </row>
    <row r="21" spans="1:53" x14ac:dyDescent="0.3">
      <c r="B21" t="s">
        <v>396</v>
      </c>
      <c r="C21" s="1">
        <v>0</v>
      </c>
      <c r="D21" s="1">
        <f ca="1">IF(AND(D20&lt;1,D20&gt;0),C20+D20,0)</f>
        <v>0</v>
      </c>
      <c r="E21" s="1">
        <f t="shared" ref="E21:BA21" ca="1" si="45">IF(AND(E20&lt;1,E20&gt;0),D20+E20,0)</f>
        <v>0</v>
      </c>
      <c r="F21" s="1">
        <f t="shared" ca="1" si="45"/>
        <v>0</v>
      </c>
      <c r="G21" s="1">
        <f t="shared" ca="1" si="45"/>
        <v>0</v>
      </c>
      <c r="H21" s="1">
        <f t="shared" ca="1" si="45"/>
        <v>0</v>
      </c>
      <c r="I21" s="1">
        <f t="shared" ca="1" si="45"/>
        <v>0</v>
      </c>
      <c r="J21" s="1">
        <f t="shared" ca="1" si="45"/>
        <v>0</v>
      </c>
      <c r="K21" s="1">
        <f t="shared" ca="1" si="45"/>
        <v>0</v>
      </c>
      <c r="L21" s="1">
        <f t="shared" ca="1" si="45"/>
        <v>0</v>
      </c>
      <c r="M21" s="1">
        <f t="shared" ca="1" si="45"/>
        <v>0</v>
      </c>
      <c r="N21" s="1">
        <f t="shared" ca="1" si="45"/>
        <v>0</v>
      </c>
      <c r="O21" s="1">
        <f t="shared" ca="1" si="45"/>
        <v>0</v>
      </c>
      <c r="P21" s="1">
        <f t="shared" ca="1" si="45"/>
        <v>0</v>
      </c>
      <c r="Q21" s="1">
        <f t="shared" ca="1" si="45"/>
        <v>0</v>
      </c>
      <c r="R21" s="1">
        <f t="shared" ca="1" si="45"/>
        <v>0</v>
      </c>
      <c r="S21" s="1">
        <f t="shared" ca="1" si="45"/>
        <v>0</v>
      </c>
      <c r="T21" s="1">
        <f t="shared" ca="1" si="45"/>
        <v>0</v>
      </c>
      <c r="U21" s="1">
        <f t="shared" ca="1" si="45"/>
        <v>0</v>
      </c>
      <c r="V21" s="1">
        <f t="shared" ca="1" si="45"/>
        <v>5.1618634580310889</v>
      </c>
      <c r="W21" s="1">
        <f t="shared" ca="1" si="45"/>
        <v>0</v>
      </c>
      <c r="X21" s="1">
        <f t="shared" ca="1" si="45"/>
        <v>0</v>
      </c>
      <c r="Y21" s="1">
        <f t="shared" ca="1" si="45"/>
        <v>0</v>
      </c>
      <c r="Z21" s="1">
        <f t="shared" ca="1" si="45"/>
        <v>0</v>
      </c>
      <c r="AA21" s="1">
        <f t="shared" ca="1" si="45"/>
        <v>0</v>
      </c>
      <c r="AB21" s="1">
        <f t="shared" ca="1" si="45"/>
        <v>0</v>
      </c>
      <c r="AC21" s="1">
        <f t="shared" ca="1" si="45"/>
        <v>0</v>
      </c>
      <c r="AD21" s="1">
        <f t="shared" ca="1" si="45"/>
        <v>0</v>
      </c>
      <c r="AE21" s="1">
        <f t="shared" ca="1" si="45"/>
        <v>0</v>
      </c>
      <c r="AF21" s="1">
        <f t="shared" ca="1" si="45"/>
        <v>0</v>
      </c>
      <c r="AG21" s="1">
        <f t="shared" ca="1" si="45"/>
        <v>0</v>
      </c>
      <c r="AH21" s="1">
        <f t="shared" ca="1" si="45"/>
        <v>0</v>
      </c>
      <c r="AI21" s="1">
        <f t="shared" ca="1" si="45"/>
        <v>0</v>
      </c>
      <c r="AJ21" s="1">
        <f t="shared" ca="1" si="45"/>
        <v>0</v>
      </c>
      <c r="AK21" s="1">
        <f t="shared" ca="1" si="45"/>
        <v>0</v>
      </c>
      <c r="AL21" s="1">
        <f t="shared" ca="1" si="45"/>
        <v>0</v>
      </c>
      <c r="AM21" s="1">
        <f t="shared" ca="1" si="45"/>
        <v>0</v>
      </c>
      <c r="AN21" s="1">
        <f t="shared" ca="1" si="45"/>
        <v>0</v>
      </c>
      <c r="AO21" s="1">
        <f t="shared" ca="1" si="45"/>
        <v>0</v>
      </c>
      <c r="AP21" s="1">
        <f t="shared" ca="1" si="45"/>
        <v>0</v>
      </c>
      <c r="AQ21" s="1">
        <f t="shared" ca="1" si="45"/>
        <v>0</v>
      </c>
      <c r="AR21" s="1">
        <f t="shared" ca="1" si="45"/>
        <v>0</v>
      </c>
      <c r="AS21" s="1">
        <f t="shared" ca="1" si="45"/>
        <v>0</v>
      </c>
      <c r="AT21" s="1">
        <f t="shared" ca="1" si="45"/>
        <v>0</v>
      </c>
      <c r="AU21" s="1">
        <f t="shared" ca="1" si="45"/>
        <v>0</v>
      </c>
      <c r="AV21" s="1">
        <f t="shared" ca="1" si="45"/>
        <v>0</v>
      </c>
      <c r="AW21" s="1">
        <f t="shared" ca="1" si="45"/>
        <v>0</v>
      </c>
      <c r="AX21" s="1">
        <f t="shared" ca="1" si="45"/>
        <v>0</v>
      </c>
      <c r="AY21" s="1">
        <f t="shared" ca="1" si="45"/>
        <v>0</v>
      </c>
      <c r="AZ21" s="1">
        <f t="shared" ca="1" si="45"/>
        <v>0</v>
      </c>
      <c r="BA21" s="1">
        <f t="shared" ca="1" si="45"/>
        <v>0</v>
      </c>
    </row>
    <row r="22" spans="1:53" x14ac:dyDescent="0.3">
      <c r="Q22" s="3"/>
    </row>
    <row r="23" spans="1:53" ht="15" thickBot="1" x14ac:dyDescent="0.35">
      <c r="A23" s="22">
        <f>Inputs!J7</f>
        <v>9.9999999999999998E-13</v>
      </c>
      <c r="B23" t="s">
        <v>38</v>
      </c>
      <c r="P23" s="3">
        <f ca="1">-SUM('Project Capex'!E72:R72)</f>
        <v>-5.4166044222211715E-11</v>
      </c>
      <c r="Q23" s="3">
        <f ca="1">Q17</f>
        <v>9.5427750648729752</v>
      </c>
      <c r="R23" s="3">
        <f t="shared" ref="R23:AE23" ca="1" si="46">R17</f>
        <v>10.150765509624222</v>
      </c>
      <c r="S23" s="3">
        <f t="shared" ca="1" si="46"/>
        <v>10.799431095432565</v>
      </c>
      <c r="T23" s="3">
        <f t="shared" ca="1" si="46"/>
        <v>10.749805148512589</v>
      </c>
      <c r="U23" s="3">
        <f t="shared" ca="1" si="46"/>
        <v>11.08988969724787</v>
      </c>
      <c r="V23" s="3">
        <f t="shared" ca="1" si="46"/>
        <v>11.326693058598631</v>
      </c>
      <c r="W23" s="3">
        <f t="shared" ca="1" si="46"/>
        <v>12.287296780699931</v>
      </c>
      <c r="X23" s="3">
        <f t="shared" ca="1" si="46"/>
        <v>3.0537843291900981</v>
      </c>
      <c r="Y23" s="3">
        <f t="shared" ca="1" si="46"/>
        <v>6.6113525593463995</v>
      </c>
      <c r="Z23" s="3">
        <f t="shared" ca="1" si="46"/>
        <v>6.3983294501491255</v>
      </c>
      <c r="AA23" s="3">
        <f t="shared" ca="1" si="46"/>
        <v>6.5008421724849699</v>
      </c>
      <c r="AB23" s="3">
        <f t="shared" ca="1" si="46"/>
        <v>6.5395160269409986</v>
      </c>
      <c r="AC23" s="3">
        <f t="shared" ca="1" si="46"/>
        <v>6.323621601839311</v>
      </c>
      <c r="AD23" s="3">
        <f t="shared" ca="1" si="46"/>
        <v>7.0678035304317355</v>
      </c>
      <c r="AE23" s="3">
        <f t="shared" ca="1" si="46"/>
        <v>2.1207592700550526</v>
      </c>
    </row>
    <row r="24" spans="1:53" x14ac:dyDescent="0.3">
      <c r="B24" s="42" t="s">
        <v>10</v>
      </c>
      <c r="C24" s="295">
        <f ca="1">XIRR($C$17:$AE$17,$C$4:$AE$4)</f>
        <v>0.13098165392875671</v>
      </c>
      <c r="D24" s="123" t="s">
        <v>4</v>
      </c>
    </row>
    <row r="25" spans="1:53" x14ac:dyDescent="0.3">
      <c r="B25" s="34" t="s">
        <v>16</v>
      </c>
      <c r="C25" s="23">
        <f ca="1">SUM(C17:BA17)</f>
        <v>66.396621073214746</v>
      </c>
      <c r="D25" s="21" t="s">
        <v>134</v>
      </c>
    </row>
    <row r="26" spans="1:53" x14ac:dyDescent="0.3">
      <c r="B26" s="34" t="s">
        <v>278</v>
      </c>
      <c r="C26" s="3">
        <f ca="1">MAX(C21:BA21)</f>
        <v>5.1618634580310889</v>
      </c>
      <c r="D26" s="21" t="s">
        <v>0</v>
      </c>
      <c r="E26" s="5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53" x14ac:dyDescent="0.3">
      <c r="B27" s="34" t="s">
        <v>408</v>
      </c>
      <c r="C27" s="4">
        <f ca="1">AVERAGE(Computations!C27:Q27)</f>
        <v>0.43830164105812824</v>
      </c>
      <c r="D27" s="21" t="s">
        <v>4</v>
      </c>
      <c r="E27">
        <f ca="1">1/C27</f>
        <v>2.2815337802200437</v>
      </c>
    </row>
    <row r="28" spans="1:53" ht="15" thickBot="1" x14ac:dyDescent="0.35">
      <c r="B28" s="31" t="s">
        <v>409</v>
      </c>
      <c r="C28" s="280">
        <f ca="1">(Computations!C26-Computations!C35+Computations!C36)/'Project Capex'!D69</f>
        <v>0.35581103162435812</v>
      </c>
      <c r="D28" s="24" t="s">
        <v>4</v>
      </c>
      <c r="E28">
        <f ca="1">1/C28</f>
        <v>2.8104805953732606</v>
      </c>
    </row>
    <row r="30" spans="1:53" x14ac:dyDescent="0.3">
      <c r="A30">
        <v>4.1900000000000004</v>
      </c>
      <c r="B30" s="22">
        <v>0.05</v>
      </c>
      <c r="C30" s="3">
        <v>-18.09099170955886</v>
      </c>
      <c r="D30" s="3">
        <v>-3.6991709558857139E-2</v>
      </c>
      <c r="E30" s="3">
        <v>-3.6991709558857139E-2</v>
      </c>
      <c r="F30" s="3">
        <v>-3.6991709558857139E-2</v>
      </c>
      <c r="G30" s="3">
        <v>-0.54007364235885713</v>
      </c>
      <c r="H30" s="3">
        <v>-3.836447434358857</v>
      </c>
      <c r="I30" s="3">
        <v>-3.6477917095588572</v>
      </c>
      <c r="J30" s="3">
        <v>-3.7316386983588572</v>
      </c>
      <c r="K30" s="3">
        <v>-3.7316386983588572</v>
      </c>
      <c r="L30" s="3">
        <v>-3.6991709558857139E-2</v>
      </c>
      <c r="M30" s="3">
        <v>-3.6991709558857139E-2</v>
      </c>
      <c r="N30" s="3">
        <v>-3.6991709558857139E-2</v>
      </c>
      <c r="O30" s="3">
        <v>-3.6991709558857139E-2</v>
      </c>
      <c r="P30" s="3">
        <v>-3.6687534567588571</v>
      </c>
      <c r="Q30" s="3">
        <v>7.5767023704393024</v>
      </c>
      <c r="R30" s="3">
        <v>8.468932361552838</v>
      </c>
      <c r="S30" s="3">
        <v>9.039032774860674</v>
      </c>
      <c r="T30" s="3">
        <v>9.5612139551952247</v>
      </c>
      <c r="U30" s="3">
        <v>10.148648324459</v>
      </c>
      <c r="V30" s="3">
        <v>4.2877923692014654</v>
      </c>
      <c r="W30" s="3">
        <v>8.555655523991307</v>
      </c>
      <c r="X30" s="3">
        <v>8.4600073665690125</v>
      </c>
      <c r="Y30" s="3">
        <v>9.3947628127526137</v>
      </c>
      <c r="Z30" s="3">
        <v>9.9738746248942576</v>
      </c>
      <c r="AA30" s="3">
        <v>4.1296406130436472</v>
      </c>
      <c r="AB30" s="3">
        <v>7.6498117116645981</v>
      </c>
      <c r="AC30" s="3">
        <v>8.1416759687518354</v>
      </c>
      <c r="AD30" s="3">
        <v>9.335784367510799</v>
      </c>
      <c r="AE30" s="3">
        <v>6.470508871382652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</row>
    <row r="31" spans="1:53" x14ac:dyDescent="0.3">
      <c r="A31">
        <v>4.28</v>
      </c>
      <c r="B31" s="22">
        <v>0.1</v>
      </c>
      <c r="C31" s="3">
        <v>-18.09099170955886</v>
      </c>
      <c r="D31" s="3">
        <v>-3.6991709558857139E-2</v>
      </c>
      <c r="E31" s="3">
        <v>-3.6991709558857139E-2</v>
      </c>
      <c r="F31" s="3">
        <v>-3.6991709558857139E-2</v>
      </c>
      <c r="G31" s="3">
        <v>-0.54007364235885713</v>
      </c>
      <c r="H31" s="3">
        <v>-3.836447434358857</v>
      </c>
      <c r="I31" s="3">
        <v>-3.6477917095588572</v>
      </c>
      <c r="J31" s="3">
        <v>-3.7316386983588572</v>
      </c>
      <c r="K31" s="3">
        <v>-3.7316386983588572</v>
      </c>
      <c r="L31" s="3">
        <v>-3.6991709558857139E-2</v>
      </c>
      <c r="M31" s="3">
        <v>-3.6991709558857139E-2</v>
      </c>
      <c r="N31" s="3">
        <v>-3.6991709558857139E-2</v>
      </c>
      <c r="O31" s="3">
        <v>-3.6991709558857139E-2</v>
      </c>
      <c r="P31" s="3">
        <v>-3.6687534567588571</v>
      </c>
      <c r="Q31" s="3">
        <v>8.1628146708962959</v>
      </c>
      <c r="R31" s="3">
        <v>9.0843502770326836</v>
      </c>
      <c r="S31" s="3">
        <v>9.6869968301014708</v>
      </c>
      <c r="T31" s="3">
        <v>10.239712207011756</v>
      </c>
      <c r="U31" s="3">
        <v>10.861071488866353</v>
      </c>
      <c r="V31" s="3">
        <v>4.7273765945442134</v>
      </c>
      <c r="W31" s="3">
        <v>9.1727641480301614</v>
      </c>
      <c r="X31" s="3">
        <v>9.1061961778228504</v>
      </c>
      <c r="Y31" s="3">
        <v>10.073261064569145</v>
      </c>
      <c r="Z31" s="3">
        <v>10.686297789301612</v>
      </c>
      <c r="AA31" s="3">
        <v>4.5704324873571149</v>
      </c>
      <c r="AB31" s="3">
        <v>8.2652296271444428</v>
      </c>
      <c r="AC31" s="3">
        <v>8.7878647800056733</v>
      </c>
      <c r="AD31" s="3">
        <v>10.014282619327332</v>
      </c>
      <c r="AE31" s="3">
        <v>7.0062941495598867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</row>
    <row r="32" spans="1:53" x14ac:dyDescent="0.3">
      <c r="A32">
        <v>3.06</v>
      </c>
      <c r="B32" s="22">
        <v>0.15</v>
      </c>
      <c r="C32" s="3">
        <v>-18.09099170955886</v>
      </c>
      <c r="D32" s="3">
        <v>-3.6991709558857139E-2</v>
      </c>
      <c r="E32" s="3">
        <v>-3.6991709558857139E-2</v>
      </c>
      <c r="F32" s="3">
        <v>-3.6991709558857139E-2</v>
      </c>
      <c r="G32" s="3">
        <v>-0.54007364235885713</v>
      </c>
      <c r="H32" s="3">
        <v>-3.836447434358857</v>
      </c>
      <c r="I32" s="3">
        <v>-3.6477917095588572</v>
      </c>
      <c r="J32" s="3">
        <v>-3.7316386983588572</v>
      </c>
      <c r="K32" s="3">
        <v>-3.7316386983588572</v>
      </c>
      <c r="L32" s="3">
        <v>-3.6991709558857139E-2</v>
      </c>
      <c r="M32" s="3">
        <v>-3.6991709558857139E-2</v>
      </c>
      <c r="N32" s="3">
        <v>-3.6991709558857139E-2</v>
      </c>
      <c r="O32" s="3">
        <v>-3.6991709558857139E-2</v>
      </c>
      <c r="P32" s="3">
        <v>-3.6687534567588571</v>
      </c>
      <c r="Q32" s="3">
        <v>8.7489269713532885</v>
      </c>
      <c r="R32" s="3">
        <v>9.6997681925125221</v>
      </c>
      <c r="S32" s="3">
        <v>10.334960885342264</v>
      </c>
      <c r="T32" s="3">
        <v>10.918210458828277</v>
      </c>
      <c r="U32" s="3">
        <v>11.573494653273702</v>
      </c>
      <c r="V32" s="3">
        <v>5.1669608198869534</v>
      </c>
      <c r="W32" s="3">
        <v>9.7898727720690157</v>
      </c>
      <c r="X32" s="3">
        <v>9.7523849890766829</v>
      </c>
      <c r="Y32" s="3">
        <v>10.751759316385666</v>
      </c>
      <c r="Z32" s="3">
        <v>11.39872095370896</v>
      </c>
      <c r="AA32" s="3">
        <v>5.0112243616705801</v>
      </c>
      <c r="AB32" s="3">
        <v>8.8806475426242812</v>
      </c>
      <c r="AC32" s="3">
        <v>9.4340535912595058</v>
      </c>
      <c r="AD32" s="3">
        <v>10.692780871143853</v>
      </c>
      <c r="AE32" s="3">
        <v>7.5420794277371144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</row>
    <row r="33" spans="1:53" x14ac:dyDescent="0.3">
      <c r="A33">
        <v>3.13</v>
      </c>
      <c r="B33" s="22">
        <v>0.2</v>
      </c>
      <c r="C33" s="3">
        <v>-18.09099170955886</v>
      </c>
      <c r="D33" s="3">
        <v>-3.6991709558857139E-2</v>
      </c>
      <c r="E33" s="3">
        <v>-3.6991709558857139E-2</v>
      </c>
      <c r="F33" s="3">
        <v>-3.6991709558857139E-2</v>
      </c>
      <c r="G33" s="3">
        <v>-0.54007364235885713</v>
      </c>
      <c r="H33" s="3">
        <v>-3.836447434358857</v>
      </c>
      <c r="I33" s="3">
        <v>-3.6477917095588572</v>
      </c>
      <c r="J33" s="3">
        <v>-3.7316386983588572</v>
      </c>
      <c r="K33" s="3">
        <v>-3.7316386983588572</v>
      </c>
      <c r="L33" s="3">
        <v>-3.6991709558857139E-2</v>
      </c>
      <c r="M33" s="3">
        <v>-3.6991709558857139E-2</v>
      </c>
      <c r="N33" s="3">
        <v>-3.6991709558857139E-2</v>
      </c>
      <c r="O33" s="3">
        <v>-3.6991709558857139E-2</v>
      </c>
      <c r="P33" s="3">
        <v>-3.6687534567588571</v>
      </c>
      <c r="Q33" s="3">
        <v>9.3350392718102846</v>
      </c>
      <c r="R33" s="3">
        <v>10.315186107992368</v>
      </c>
      <c r="S33" s="3">
        <v>10.982924940583061</v>
      </c>
      <c r="T33" s="3">
        <v>11.59670871064481</v>
      </c>
      <c r="U33" s="3">
        <v>12.285917817681057</v>
      </c>
      <c r="V33" s="3">
        <v>5.6065450452297014</v>
      </c>
      <c r="W33" s="3">
        <v>10.40698139610787</v>
      </c>
      <c r="X33" s="3">
        <v>10.398573800330519</v>
      </c>
      <c r="Y33" s="3">
        <v>11.430257568202199</v>
      </c>
      <c r="Z33" s="3">
        <v>12.111144118116316</v>
      </c>
      <c r="AA33" s="3">
        <v>5.4520162359840469</v>
      </c>
      <c r="AB33" s="3">
        <v>9.4960654581041268</v>
      </c>
      <c r="AC33" s="3">
        <v>10.080242402513342</v>
      </c>
      <c r="AD33" s="3">
        <v>11.371279122960386</v>
      </c>
      <c r="AE33" s="3">
        <v>8.0778647059143545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</row>
    <row r="39" spans="1:53" x14ac:dyDescent="0.3">
      <c r="D39" s="51">
        <f>1.0859/15</f>
        <v>7.2393333333333337E-2</v>
      </c>
      <c r="H39">
        <f>0.71*12</f>
        <v>8.52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8A03-2243-4A8F-B1FC-B5ECC78FD9A5}">
  <dimension ref="B2:I30"/>
  <sheetViews>
    <sheetView workbookViewId="0">
      <selection activeCell="G21" sqref="G21"/>
    </sheetView>
  </sheetViews>
  <sheetFormatPr defaultRowHeight="14.4" x14ac:dyDescent="0.3"/>
  <cols>
    <col min="2" max="2" width="6.6640625" customWidth="1"/>
    <col min="3" max="3" width="31.109375" bestFit="1" customWidth="1"/>
    <col min="4" max="4" width="11.21875" bestFit="1" customWidth="1"/>
    <col min="5" max="5" width="12.44140625" bestFit="1" customWidth="1"/>
    <col min="6" max="6" width="9.6640625" bestFit="1" customWidth="1"/>
    <col min="7" max="7" width="12.5546875" bestFit="1" customWidth="1"/>
    <col min="8" max="8" width="17" bestFit="1" customWidth="1"/>
  </cols>
  <sheetData>
    <row r="2" spans="2:9" x14ac:dyDescent="0.3">
      <c r="B2" t="s">
        <v>10</v>
      </c>
      <c r="C2" s="4" t="e">
        <f>IRR!#REF!</f>
        <v>#REF!</v>
      </c>
    </row>
    <row r="3" spans="2:9" x14ac:dyDescent="0.3">
      <c r="B3" t="s">
        <v>16</v>
      </c>
      <c r="C3" s="1">
        <f ca="1">IRR!C25</f>
        <v>66.396621073214746</v>
      </c>
    </row>
    <row r="4" spans="2:9" x14ac:dyDescent="0.3">
      <c r="B4" t="s">
        <v>81</v>
      </c>
      <c r="C4" s="1">
        <f ca="1">IRR!C26</f>
        <v>5.1618634580310889</v>
      </c>
      <c r="G4" s="4" t="e">
        <f>G5-C2</f>
        <v>#REF!</v>
      </c>
      <c r="H4" s="3">
        <f ca="1">C4-H5</f>
        <v>0.14620191946759142</v>
      </c>
      <c r="I4" s="3"/>
    </row>
    <row r="5" spans="2:9" ht="15" thickBot="1" x14ac:dyDescent="0.35">
      <c r="G5" s="4">
        <v>0.25375693440437319</v>
      </c>
      <c r="H5" s="3">
        <v>5.0156615385634975</v>
      </c>
    </row>
    <row r="6" spans="2:9" ht="15" thickBot="1" x14ac:dyDescent="0.35">
      <c r="B6" s="42" t="s">
        <v>76</v>
      </c>
      <c r="C6" s="43" t="s">
        <v>77</v>
      </c>
      <c r="D6" s="43" t="s">
        <v>80</v>
      </c>
      <c r="E6" s="43" t="s">
        <v>3</v>
      </c>
      <c r="F6" s="43" t="s">
        <v>78</v>
      </c>
      <c r="G6" s="43" t="s">
        <v>79</v>
      </c>
      <c r="H6" s="162" t="s">
        <v>348</v>
      </c>
    </row>
    <row r="7" spans="2:9" x14ac:dyDescent="0.3">
      <c r="B7" s="164">
        <v>1</v>
      </c>
      <c r="C7" s="40" t="s">
        <v>349</v>
      </c>
      <c r="D7" s="165" t="s">
        <v>352</v>
      </c>
      <c r="E7" s="166"/>
      <c r="F7" s="167" t="s">
        <v>353</v>
      </c>
      <c r="G7" s="168" t="s">
        <v>354</v>
      </c>
      <c r="H7" s="169" t="s">
        <v>355</v>
      </c>
    </row>
    <row r="8" spans="2:9" x14ac:dyDescent="0.3">
      <c r="B8" s="113">
        <v>2</v>
      </c>
      <c r="C8" t="s">
        <v>350</v>
      </c>
      <c r="D8" s="69">
        <v>0.6</v>
      </c>
      <c r="E8" t="s">
        <v>356</v>
      </c>
      <c r="F8" s="163" t="s">
        <v>357</v>
      </c>
      <c r="G8" s="163" t="s">
        <v>358</v>
      </c>
      <c r="H8" s="117" t="s">
        <v>359</v>
      </c>
    </row>
    <row r="9" spans="2:9" x14ac:dyDescent="0.3">
      <c r="B9" s="113">
        <v>3</v>
      </c>
      <c r="C9" t="s">
        <v>351</v>
      </c>
      <c r="D9" s="69">
        <v>5</v>
      </c>
      <c r="E9" t="s">
        <v>24</v>
      </c>
      <c r="F9" s="163" t="s">
        <v>360</v>
      </c>
      <c r="G9" s="4">
        <v>-6.6900000000000001E-2</v>
      </c>
      <c r="H9" s="117" t="s">
        <v>361</v>
      </c>
    </row>
    <row r="10" spans="2:9" x14ac:dyDescent="0.3">
      <c r="B10" s="113">
        <v>4</v>
      </c>
      <c r="C10" t="s">
        <v>362</v>
      </c>
      <c r="D10" s="69">
        <v>14</v>
      </c>
      <c r="E10" t="s">
        <v>21</v>
      </c>
      <c r="F10" s="163" t="s">
        <v>363</v>
      </c>
      <c r="G10" s="163" t="s">
        <v>364</v>
      </c>
      <c r="H10" s="21" t="s">
        <v>365</v>
      </c>
    </row>
    <row r="11" spans="2:9" x14ac:dyDescent="0.3">
      <c r="B11" s="113">
        <v>5</v>
      </c>
      <c r="C11" t="s">
        <v>366</v>
      </c>
      <c r="D11" s="69">
        <v>15</v>
      </c>
      <c r="E11" t="s">
        <v>0</v>
      </c>
      <c r="F11" s="163" t="s">
        <v>368</v>
      </c>
      <c r="G11" s="163" t="s">
        <v>367</v>
      </c>
      <c r="H11" s="117" t="s">
        <v>369</v>
      </c>
    </row>
    <row r="12" spans="2:9" ht="15" thickBot="1" x14ac:dyDescent="0.35">
      <c r="B12" s="170">
        <v>6</v>
      </c>
      <c r="C12" s="18" t="s">
        <v>402</v>
      </c>
      <c r="D12" s="173">
        <v>0.15</v>
      </c>
      <c r="E12" s="18" t="s">
        <v>4</v>
      </c>
      <c r="F12" s="171" t="s">
        <v>403</v>
      </c>
      <c r="G12" s="171" t="s">
        <v>404</v>
      </c>
      <c r="H12" s="172" t="s">
        <v>405</v>
      </c>
    </row>
    <row r="21" spans="3:4" ht="15" thickBot="1" x14ac:dyDescent="0.35"/>
    <row r="22" spans="3:4" ht="29.4" thickBot="1" x14ac:dyDescent="0.35">
      <c r="C22" s="121" t="s">
        <v>370</v>
      </c>
      <c r="D22" s="120" t="s">
        <v>371</v>
      </c>
    </row>
    <row r="23" spans="3:4" ht="15" thickBot="1" x14ac:dyDescent="0.35">
      <c r="C23" s="122" t="s">
        <v>372</v>
      </c>
      <c r="D23" s="118">
        <v>2.2400000000000002</v>
      </c>
    </row>
    <row r="24" spans="3:4" ht="15" thickBot="1" x14ac:dyDescent="0.35">
      <c r="C24" s="122" t="s">
        <v>83</v>
      </c>
      <c r="D24" s="118">
        <v>0.56000000000000005</v>
      </c>
    </row>
    <row r="25" spans="3:4" ht="15" thickBot="1" x14ac:dyDescent="0.35">
      <c r="C25" s="121" t="s">
        <v>373</v>
      </c>
      <c r="D25" s="119">
        <v>2.8</v>
      </c>
    </row>
    <row r="26" spans="3:4" ht="15" thickBot="1" x14ac:dyDescent="0.35">
      <c r="C26" s="122" t="s">
        <v>166</v>
      </c>
      <c r="D26" s="118">
        <v>0.03</v>
      </c>
    </row>
    <row r="27" spans="3:4" ht="15" thickBot="1" x14ac:dyDescent="0.35">
      <c r="C27" s="122" t="s">
        <v>51</v>
      </c>
      <c r="D27" s="118">
        <v>0.27</v>
      </c>
    </row>
    <row r="28" spans="3:4" ht="15" thickBot="1" x14ac:dyDescent="0.35">
      <c r="C28" s="122" t="s">
        <v>374</v>
      </c>
      <c r="D28" s="118">
        <v>0.02</v>
      </c>
    </row>
    <row r="29" spans="3:4" ht="15" thickBot="1" x14ac:dyDescent="0.35">
      <c r="C29" s="122" t="s">
        <v>375</v>
      </c>
      <c r="D29" s="118">
        <v>0.55000000000000004</v>
      </c>
    </row>
    <row r="30" spans="3:4" ht="15" thickBot="1" x14ac:dyDescent="0.35">
      <c r="C30" s="121" t="s">
        <v>376</v>
      </c>
      <c r="D30" s="119">
        <v>3.67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7DD8-EDFD-4BEF-B77F-EEB38553E570}">
  <sheetPr>
    <tabColor rgb="FF92D050"/>
  </sheetPr>
  <dimension ref="A2:AG113"/>
  <sheetViews>
    <sheetView zoomScale="83" zoomScaleNormal="80" workbookViewId="0">
      <pane xSplit="2" ySplit="6" topLeftCell="C13" activePane="bottomRight" state="frozen"/>
      <selection pane="topRight" activeCell="C1" sqref="C1"/>
      <selection pane="bottomLeft" activeCell="A6" sqref="A6"/>
      <selection pane="bottomRight" activeCell="G39" sqref="G39"/>
    </sheetView>
  </sheetViews>
  <sheetFormatPr defaultRowHeight="14.4" outlineLevelRow="1" x14ac:dyDescent="0.3"/>
  <cols>
    <col min="1" max="1" width="10" bestFit="1" customWidth="1"/>
    <col min="2" max="2" width="37.6640625" customWidth="1"/>
    <col min="3" max="3" width="16.77734375" bestFit="1" customWidth="1"/>
    <col min="4" max="17" width="9.6640625" bestFit="1" customWidth="1"/>
    <col min="18" max="18" width="9.44140625" bestFit="1" customWidth="1"/>
    <col min="19" max="33" width="8.109375" bestFit="1" customWidth="1"/>
  </cols>
  <sheetData>
    <row r="2" spans="1:33" ht="15" thickBot="1" x14ac:dyDescent="0.35">
      <c r="B2" t="s">
        <v>191</v>
      </c>
    </row>
    <row r="3" spans="1:33" ht="15" thickBot="1" x14ac:dyDescent="0.35">
      <c r="B3" s="7" t="s">
        <v>20</v>
      </c>
      <c r="C3" s="8">
        <v>1</v>
      </c>
      <c r="D3" s="8">
        <f>IFERROR(IF(C3+1&lt;=Inputs!$D$4,C3+1,"-"),"-")</f>
        <v>2</v>
      </c>
      <c r="E3" s="8">
        <f>IFERROR(IF(D3+1&lt;=Inputs!$D$4,D3+1,"-"),"-")</f>
        <v>3</v>
      </c>
      <c r="F3" s="8">
        <f>IFERROR(IF(E3+1&lt;=Inputs!$D$4,E3+1,"-"),"-")</f>
        <v>4</v>
      </c>
      <c r="G3" s="8">
        <f>IFERROR(IF(F3+1&lt;=Inputs!$D$4,F3+1,"-"),"-")</f>
        <v>5</v>
      </c>
      <c r="H3" s="8">
        <f>IFERROR(IF(G3+1&lt;=Inputs!$D$4,G3+1,"-"),"-")</f>
        <v>6</v>
      </c>
      <c r="I3" s="8">
        <f>IFERROR(IF(H3+1&lt;=Inputs!$D$4,H3+1,"-"),"-")</f>
        <v>7</v>
      </c>
      <c r="J3" s="8">
        <f>IFERROR(IF(I3+1&lt;=Inputs!$D$4,I3+1,"-"),"-")</f>
        <v>8</v>
      </c>
      <c r="K3" s="8">
        <f>IFERROR(IF(J3+1&lt;=Inputs!$D$4,J3+1,"-"),"-")</f>
        <v>9</v>
      </c>
      <c r="L3" s="8">
        <f>IFERROR(IF(K3+1&lt;=Inputs!$D$4,K3+1,"-"),"-")</f>
        <v>10</v>
      </c>
      <c r="M3" s="8">
        <f>IFERROR(IF(L3+1&lt;=Inputs!$D$4,L3+1,"-"),"-")</f>
        <v>11</v>
      </c>
      <c r="N3" s="8">
        <f>IFERROR(IF(M3+1&lt;=Inputs!$D$4,M3+1,"-"),"-")</f>
        <v>12</v>
      </c>
      <c r="O3" s="8">
        <f>IFERROR(IF(N3+1&lt;=Inputs!$D$4,N3+1,"-"),"-")</f>
        <v>13</v>
      </c>
      <c r="P3" s="8">
        <f>IFERROR(IF(O3+1&lt;=Inputs!$D$4,O3+1,"-"),"-")</f>
        <v>14</v>
      </c>
      <c r="Q3" s="8">
        <f>IFERROR(IF(P3+1&lt;=Inputs!$D$4,P3+1,"-"),"-")</f>
        <v>15</v>
      </c>
      <c r="R3" s="8" t="str">
        <f>IFERROR(IF(Q3+1&lt;=Inputs!$D$4,Q3+1,"-"),"-")</f>
        <v>-</v>
      </c>
      <c r="S3" s="8" t="str">
        <f>IFERROR(IF(R3+1&lt;=Inputs!$D$4,R3+1,"-"),"-")</f>
        <v>-</v>
      </c>
      <c r="T3" s="8" t="str">
        <f>IFERROR(IF(S3+1&lt;=Inputs!$D$4,S3+1,"-"),"-")</f>
        <v>-</v>
      </c>
      <c r="U3" s="8" t="str">
        <f>IFERROR(IF(T3+1&lt;=Inputs!$D$4,T3+1,"-"),"-")</f>
        <v>-</v>
      </c>
      <c r="V3" s="8" t="str">
        <f>IFERROR(IF(U3+1&lt;=Inputs!$D$4,U3+1,"-"),"-")</f>
        <v>-</v>
      </c>
      <c r="W3" s="8" t="str">
        <f>IFERROR(IF(V3+1&lt;=Inputs!$D$4,V3+1,"-"),"-")</f>
        <v>-</v>
      </c>
      <c r="X3" s="8" t="str">
        <f>IFERROR(IF(W3+1&lt;=Inputs!$D$4,W3+1,"-"),"-")</f>
        <v>-</v>
      </c>
      <c r="Y3" s="8" t="str">
        <f>IFERROR(IF(X3+1&lt;=Inputs!$D$4,X3+1,"-"),"-")</f>
        <v>-</v>
      </c>
      <c r="Z3" s="8" t="str">
        <f>IFERROR(IF(Y3+1&lt;=Inputs!$D$4,Y3+1,"-"),"-")</f>
        <v>-</v>
      </c>
      <c r="AA3" s="8" t="str">
        <f>IFERROR(IF(Z3+1&lt;=Inputs!$D$4,Z3+1,"-"),"-")</f>
        <v>-</v>
      </c>
      <c r="AB3" s="8" t="str">
        <f>IFERROR(IF(AA3+1&lt;=Inputs!$D$4,AA3+1,"-"),"-")</f>
        <v>-</v>
      </c>
      <c r="AC3" s="8" t="str">
        <f>IFERROR(IF(AB3+1&lt;=Inputs!$D$4,AB3+1,"-"),"-")</f>
        <v>-</v>
      </c>
      <c r="AD3" s="8" t="str">
        <f>IFERROR(IF(AC3+1&lt;=Inputs!$D$4,AC3+1,"-"),"-")</f>
        <v>-</v>
      </c>
      <c r="AE3" s="8" t="str">
        <f>IFERROR(IF(AD3+1&lt;=Inputs!$D$4,AD3+1,"-"),"-")</f>
        <v>-</v>
      </c>
      <c r="AF3" s="8" t="str">
        <f>IFERROR(IF(AE3+1&lt;=Inputs!$D$4,AE3+1,"-"),"-")</f>
        <v>-</v>
      </c>
      <c r="AG3" s="15" t="str">
        <f>IFERROR(IF(AF3+1&lt;=Inputs!$D$4,AF3+1,"-"),"-")</f>
        <v>-</v>
      </c>
    </row>
    <row r="4" spans="1:33" x14ac:dyDescent="0.3">
      <c r="B4" t="s">
        <v>192</v>
      </c>
      <c r="C4" s="39">
        <f>Inputs!G5+1</f>
        <v>45992</v>
      </c>
      <c r="D4" s="39">
        <f t="shared" ref="D4:AG4" si="0">IFERROR(C5+1,"-")</f>
        <v>46357</v>
      </c>
      <c r="E4" s="39">
        <f t="shared" si="0"/>
        <v>46722</v>
      </c>
      <c r="F4" s="39">
        <f t="shared" si="0"/>
        <v>47088</v>
      </c>
      <c r="G4" s="39">
        <f t="shared" si="0"/>
        <v>47453</v>
      </c>
      <c r="H4" s="39">
        <f t="shared" si="0"/>
        <v>47818</v>
      </c>
      <c r="I4" s="39">
        <f t="shared" si="0"/>
        <v>48183</v>
      </c>
      <c r="J4" s="39">
        <f t="shared" si="0"/>
        <v>48549</v>
      </c>
      <c r="K4" s="39">
        <f t="shared" si="0"/>
        <v>48914</v>
      </c>
      <c r="L4" s="39">
        <f t="shared" si="0"/>
        <v>49279</v>
      </c>
      <c r="M4" s="39">
        <f t="shared" si="0"/>
        <v>49644</v>
      </c>
      <c r="N4" s="39">
        <f t="shared" si="0"/>
        <v>50010</v>
      </c>
      <c r="O4" s="39">
        <f t="shared" si="0"/>
        <v>50375</v>
      </c>
      <c r="P4" s="39">
        <f t="shared" si="0"/>
        <v>50740</v>
      </c>
      <c r="Q4" s="39">
        <f t="shared" si="0"/>
        <v>51105</v>
      </c>
      <c r="R4" s="39">
        <f t="shared" si="0"/>
        <v>51471</v>
      </c>
      <c r="S4" s="39" t="str">
        <f t="shared" si="0"/>
        <v>-</v>
      </c>
      <c r="T4" s="39" t="str">
        <f t="shared" si="0"/>
        <v>-</v>
      </c>
      <c r="U4" s="39" t="str">
        <f t="shared" si="0"/>
        <v>-</v>
      </c>
      <c r="V4" s="39" t="str">
        <f t="shared" si="0"/>
        <v>-</v>
      </c>
      <c r="W4" s="39" t="str">
        <f t="shared" si="0"/>
        <v>-</v>
      </c>
      <c r="X4" s="39" t="str">
        <f t="shared" si="0"/>
        <v>-</v>
      </c>
      <c r="Y4" s="39" t="str">
        <f t="shared" si="0"/>
        <v>-</v>
      </c>
      <c r="Z4" s="39" t="str">
        <f t="shared" si="0"/>
        <v>-</v>
      </c>
      <c r="AA4" s="39" t="str">
        <f t="shared" si="0"/>
        <v>-</v>
      </c>
      <c r="AB4" s="39" t="str">
        <f t="shared" si="0"/>
        <v>-</v>
      </c>
      <c r="AC4" s="39" t="str">
        <f t="shared" si="0"/>
        <v>-</v>
      </c>
      <c r="AD4" s="39" t="str">
        <f t="shared" si="0"/>
        <v>-</v>
      </c>
      <c r="AE4" s="39" t="str">
        <f t="shared" si="0"/>
        <v>-</v>
      </c>
      <c r="AF4" s="39" t="str">
        <f t="shared" si="0"/>
        <v>-</v>
      </c>
      <c r="AG4" s="39" t="str">
        <f t="shared" si="0"/>
        <v>-</v>
      </c>
    </row>
    <row r="5" spans="1:33" x14ac:dyDescent="0.3">
      <c r="B5" t="s">
        <v>193</v>
      </c>
      <c r="C5" s="39">
        <f>EOMONTH(C4,11)</f>
        <v>46356</v>
      </c>
      <c r="D5" s="39">
        <f>IFERROR(IF(EOMONTH(D4,11)&lt;=Inputs!$G$6,EOMONTH(D4,11),"-"),"-")</f>
        <v>46721</v>
      </c>
      <c r="E5" s="39">
        <f>IFERROR(IF(EOMONTH(E4,11)&lt;=Inputs!$G$6,EOMONTH(E4,11),"-"),"-")</f>
        <v>47087</v>
      </c>
      <c r="F5" s="39">
        <f>IFERROR(IF(EOMONTH(F4,11)&lt;=Inputs!$G$6,EOMONTH(F4,11),"-"),"-")</f>
        <v>47452</v>
      </c>
      <c r="G5" s="39">
        <f>IFERROR(IF(EOMONTH(G4,11)&lt;=Inputs!$G$6,EOMONTH(G4,11),"-"),"-")</f>
        <v>47817</v>
      </c>
      <c r="H5" s="39">
        <f>IFERROR(IF(EOMONTH(H4,11)&lt;=Inputs!$G$6,EOMONTH(H4,11),"-"),"-")</f>
        <v>48182</v>
      </c>
      <c r="I5" s="39">
        <f>IFERROR(IF(EOMONTH(I4,11)&lt;=Inputs!$G$6,EOMONTH(I4,11),"-"),"-")</f>
        <v>48548</v>
      </c>
      <c r="J5" s="39">
        <f>IFERROR(IF(EOMONTH(J4,11)&lt;=Inputs!$G$6,EOMONTH(J4,11),"-"),"-")</f>
        <v>48913</v>
      </c>
      <c r="K5" s="39">
        <f>IFERROR(IF(EOMONTH(K4,11)&lt;=Inputs!$G$6,EOMONTH(K4,11),"-"),"-")</f>
        <v>49278</v>
      </c>
      <c r="L5" s="39">
        <f>IFERROR(IF(EOMONTH(L4,11)&lt;=Inputs!$G$6,EOMONTH(L4,11),"-"),"-")</f>
        <v>49643</v>
      </c>
      <c r="M5" s="39">
        <f>IFERROR(IF(EOMONTH(M4,11)&lt;=Inputs!$G$6,EOMONTH(M4,11),"-"),"-")</f>
        <v>50009</v>
      </c>
      <c r="N5" s="39">
        <f>IFERROR(IF(EOMONTH(N4,11)&lt;=Inputs!$G$6,EOMONTH(N4,11),"-"),"-")</f>
        <v>50374</v>
      </c>
      <c r="O5" s="39">
        <f>IFERROR(IF(EOMONTH(O4,11)&lt;=Inputs!$G$6,EOMONTH(O4,11),"-"),"-")</f>
        <v>50739</v>
      </c>
      <c r="P5" s="39">
        <f>IFERROR(IF(EOMONTH(P4,11)&lt;=Inputs!$G$6,EOMONTH(P4,11),"-"),"-")</f>
        <v>51104</v>
      </c>
      <c r="Q5" s="39">
        <f>IFERROR(IF(EOMONTH(Q4,11)&lt;=Inputs!$G$6,EOMONTH(Q4,11),"-"),"-")</f>
        <v>51470</v>
      </c>
      <c r="R5" s="39" t="str">
        <f>IFERROR(IF(EOMONTH(R4,11)&lt;=Inputs!$G$6,EOMONTH(R4,11),"-"),"-")</f>
        <v>-</v>
      </c>
      <c r="S5" s="39" t="str">
        <f>IFERROR(IF(EOMONTH(S4,11)&lt;=Inputs!$G$6,EOMONTH(S4,11),"-"),"-")</f>
        <v>-</v>
      </c>
      <c r="T5" s="39" t="str">
        <f>IFERROR(IF(EOMONTH(T4,11)&lt;=Inputs!$G$6,EOMONTH(T4,11),"-"),"-")</f>
        <v>-</v>
      </c>
      <c r="U5" s="39" t="str">
        <f>IFERROR(IF(EOMONTH(U4,11)&lt;=Inputs!$G$6,EOMONTH(U4,11),"-"),"-")</f>
        <v>-</v>
      </c>
      <c r="V5" s="39" t="str">
        <f>IFERROR(IF(EOMONTH(V4,11)&lt;=Inputs!$G$6,EOMONTH(V4,11),"-"),"-")</f>
        <v>-</v>
      </c>
      <c r="W5" s="39" t="str">
        <f>IFERROR(IF(EOMONTH(W4,11)&lt;=Inputs!$G$6,EOMONTH(W4,11),"-"),"-")</f>
        <v>-</v>
      </c>
      <c r="X5" s="39" t="str">
        <f>IFERROR(IF(EOMONTH(X4,11)&lt;=Inputs!$G$6,EOMONTH(X4,11),"-"),"-")</f>
        <v>-</v>
      </c>
      <c r="Y5" s="39" t="str">
        <f>IFERROR(IF(EOMONTH(Y4,11)&lt;=Inputs!$G$6,EOMONTH(Y4,11),"-"),"-")</f>
        <v>-</v>
      </c>
      <c r="Z5" s="39" t="str">
        <f>IFERROR(IF(EOMONTH(Z4,11)&lt;=Inputs!$G$6,EOMONTH(Z4,11),"-"),"-")</f>
        <v>-</v>
      </c>
      <c r="AA5" s="39" t="str">
        <f>IFERROR(IF(EOMONTH(AA4,11)&lt;=Inputs!$G$6,EOMONTH(AA4,11),"-"),"-")</f>
        <v>-</v>
      </c>
      <c r="AB5" s="39" t="str">
        <f>IFERROR(IF(EOMONTH(AB4,11)&lt;=Inputs!$G$6,EOMONTH(AB4,11),"-"),"-")</f>
        <v>-</v>
      </c>
      <c r="AC5" s="39" t="str">
        <f>IFERROR(IF(EOMONTH(AC4,11)&lt;=Inputs!$G$6,EOMONTH(AC4,11),"-"),"-")</f>
        <v>-</v>
      </c>
      <c r="AD5" s="39" t="str">
        <f>IFERROR(IF(EOMONTH(AD4,11)&lt;=Inputs!$G$6,EOMONTH(AD4,11),"-"),"-")</f>
        <v>-</v>
      </c>
      <c r="AE5" s="39" t="str">
        <f>IFERROR(IF(EOMONTH(AE4,11)&lt;=Inputs!$G$6,EOMONTH(AE4,11),"-"),"-")</f>
        <v>-</v>
      </c>
      <c r="AF5" s="39" t="str">
        <f>IFERROR(IF(EOMONTH(AF4,11)&lt;=Inputs!$G$6,EOMONTH(AF4,11),"-"),"-")</f>
        <v>-</v>
      </c>
      <c r="AG5" s="39" t="str">
        <f>IFERROR(IF(EOMONTH(AG4,11)&lt;=Inputs!$G$6,EOMONTH(AG4,11),"-"),"-")</f>
        <v>-</v>
      </c>
    </row>
    <row r="6" spans="1:33" x14ac:dyDescent="0.3">
      <c r="B6" t="s">
        <v>15</v>
      </c>
      <c r="C6" s="1">
        <f>IFERROR(_xlfn.DAYS(C5,C4),0)+1</f>
        <v>365</v>
      </c>
      <c r="D6" s="1">
        <f t="shared" ref="D6:AG6" si="1">IFERROR(_xlfn.DAYS(D5,D4),0)+1</f>
        <v>365</v>
      </c>
      <c r="E6" s="1">
        <f t="shared" si="1"/>
        <v>366</v>
      </c>
      <c r="F6" s="1">
        <f t="shared" si="1"/>
        <v>365</v>
      </c>
      <c r="G6" s="1">
        <f t="shared" si="1"/>
        <v>365</v>
      </c>
      <c r="H6" s="1">
        <f t="shared" si="1"/>
        <v>365</v>
      </c>
      <c r="I6" s="1">
        <f t="shared" si="1"/>
        <v>366</v>
      </c>
      <c r="J6" s="1">
        <f t="shared" si="1"/>
        <v>365</v>
      </c>
      <c r="K6" s="1">
        <f t="shared" si="1"/>
        <v>365</v>
      </c>
      <c r="L6" s="1">
        <f t="shared" si="1"/>
        <v>365</v>
      </c>
      <c r="M6" s="1">
        <f t="shared" si="1"/>
        <v>366</v>
      </c>
      <c r="N6" s="1">
        <f t="shared" si="1"/>
        <v>365</v>
      </c>
      <c r="O6" s="1">
        <f t="shared" si="1"/>
        <v>365</v>
      </c>
      <c r="P6" s="1">
        <f t="shared" si="1"/>
        <v>365</v>
      </c>
      <c r="Q6" s="1">
        <f t="shared" si="1"/>
        <v>366</v>
      </c>
      <c r="R6" s="1">
        <f t="shared" si="1"/>
        <v>1</v>
      </c>
      <c r="S6" s="1">
        <f t="shared" si="1"/>
        <v>1</v>
      </c>
      <c r="T6" s="1">
        <f t="shared" si="1"/>
        <v>1</v>
      </c>
      <c r="U6" s="1">
        <f t="shared" si="1"/>
        <v>1</v>
      </c>
      <c r="V6" s="1">
        <f t="shared" si="1"/>
        <v>1</v>
      </c>
      <c r="W6" s="1">
        <f t="shared" si="1"/>
        <v>1</v>
      </c>
      <c r="X6" s="1">
        <f t="shared" si="1"/>
        <v>1</v>
      </c>
      <c r="Y6" s="1">
        <f t="shared" si="1"/>
        <v>1</v>
      </c>
      <c r="Z6" s="1">
        <f t="shared" si="1"/>
        <v>1</v>
      </c>
      <c r="AA6" s="1">
        <f t="shared" si="1"/>
        <v>1</v>
      </c>
      <c r="AB6" s="1">
        <f t="shared" si="1"/>
        <v>1</v>
      </c>
      <c r="AC6" s="1">
        <f t="shared" si="1"/>
        <v>1</v>
      </c>
      <c r="AD6" s="1">
        <f t="shared" si="1"/>
        <v>1</v>
      </c>
      <c r="AE6" s="1">
        <f t="shared" si="1"/>
        <v>1</v>
      </c>
      <c r="AF6" s="1">
        <f t="shared" si="1"/>
        <v>1</v>
      </c>
      <c r="AG6" s="1">
        <f t="shared" si="1"/>
        <v>1</v>
      </c>
    </row>
    <row r="7" spans="1:33" x14ac:dyDescent="0.3">
      <c r="A7">
        <f>C6*C9</f>
        <v>3258720</v>
      </c>
    </row>
    <row r="8" spans="1:33" ht="23.4" x14ac:dyDescent="0.45">
      <c r="A8">
        <f>A7*A11</f>
        <v>221030904.78019115</v>
      </c>
      <c r="B8" s="175" t="s">
        <v>6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7"/>
    </row>
    <row r="9" spans="1:33" x14ac:dyDescent="0.3">
      <c r="B9" s="178" t="s">
        <v>195</v>
      </c>
      <c r="C9">
        <f>'Project Cost Details'!$C$4</f>
        <v>8928</v>
      </c>
      <c r="D9">
        <f>'Project Cost Details'!$C$4</f>
        <v>8928</v>
      </c>
      <c r="E9">
        <f>'Project Cost Details'!$C$4</f>
        <v>8928</v>
      </c>
      <c r="F9">
        <f>'Project Cost Details'!$C$4</f>
        <v>8928</v>
      </c>
      <c r="G9">
        <f>'Project Cost Details'!$C$4</f>
        <v>8928</v>
      </c>
      <c r="H9">
        <f>'Project Cost Details'!$C$4</f>
        <v>8928</v>
      </c>
      <c r="I9">
        <f>'Project Cost Details'!$C$4</f>
        <v>8928</v>
      </c>
      <c r="J9">
        <f>'Project Cost Details'!$C$4</f>
        <v>8928</v>
      </c>
      <c r="K9">
        <f>'Project Cost Details'!$C$4</f>
        <v>8928</v>
      </c>
      <c r="L9">
        <f>'Project Cost Details'!$C$4</f>
        <v>8928</v>
      </c>
      <c r="M9">
        <f>'Project Cost Details'!$C$4</f>
        <v>8928</v>
      </c>
      <c r="N9">
        <f>'Project Cost Details'!$C$4</f>
        <v>8928</v>
      </c>
      <c r="O9">
        <f>'Project Cost Details'!$C$4</f>
        <v>8928</v>
      </c>
      <c r="P9">
        <f>'Project Cost Details'!$C$4</f>
        <v>8928</v>
      </c>
      <c r="Q9" s="180">
        <f>'Project Cost Details'!$C$4</f>
        <v>8928</v>
      </c>
      <c r="R9">
        <f>'Project Cost Details'!$C$4</f>
        <v>8928</v>
      </c>
      <c r="S9">
        <f>'Project Cost Details'!$C$4</f>
        <v>8928</v>
      </c>
      <c r="T9">
        <f>'Project Cost Details'!$C$4</f>
        <v>8928</v>
      </c>
      <c r="U9">
        <f>'Project Cost Details'!$C$4</f>
        <v>8928</v>
      </c>
      <c r="V9">
        <f>'Project Cost Details'!$C$4</f>
        <v>8928</v>
      </c>
      <c r="W9">
        <f>'Project Cost Details'!$C$4</f>
        <v>8928</v>
      </c>
      <c r="X9">
        <f>'Project Cost Details'!$C$4</f>
        <v>8928</v>
      </c>
      <c r="Y9">
        <f>'Project Cost Details'!$C$4</f>
        <v>8928</v>
      </c>
      <c r="Z9">
        <f>'Project Cost Details'!$C$4</f>
        <v>8928</v>
      </c>
      <c r="AA9">
        <f>'Project Cost Details'!$C$4</f>
        <v>8928</v>
      </c>
      <c r="AB9">
        <f>'Project Cost Details'!$C$4</f>
        <v>8928</v>
      </c>
      <c r="AC9">
        <f>'Project Cost Details'!$C$4</f>
        <v>8928</v>
      </c>
      <c r="AD9">
        <f>'Project Cost Details'!$C$4</f>
        <v>8928</v>
      </c>
      <c r="AE9">
        <f>'Project Cost Details'!$C$4</f>
        <v>8928</v>
      </c>
      <c r="AF9">
        <f>'Project Cost Details'!$C$4</f>
        <v>8928</v>
      </c>
      <c r="AG9">
        <f>'Project Cost Details'!$C$4</f>
        <v>8928</v>
      </c>
    </row>
    <row r="10" spans="1:33" x14ac:dyDescent="0.3">
      <c r="B10" s="178" t="s">
        <v>416</v>
      </c>
      <c r="C10" s="22">
        <f>Inputs!H40</f>
        <v>0.83990912041544952</v>
      </c>
      <c r="D10" s="22">
        <f>C10</f>
        <v>0.83990912041544952</v>
      </c>
      <c r="E10" s="22">
        <f t="shared" ref="E10:AG10" si="2">D10</f>
        <v>0.83990912041544952</v>
      </c>
      <c r="F10" s="22">
        <f t="shared" si="2"/>
        <v>0.83990912041544952</v>
      </c>
      <c r="G10" s="22">
        <f t="shared" si="2"/>
        <v>0.83990912041544952</v>
      </c>
      <c r="H10" s="22">
        <f t="shared" si="2"/>
        <v>0.83990912041544952</v>
      </c>
      <c r="I10" s="22">
        <f t="shared" si="2"/>
        <v>0.83990912041544952</v>
      </c>
      <c r="J10" s="22">
        <f t="shared" si="2"/>
        <v>0.83990912041544952</v>
      </c>
      <c r="K10" s="22">
        <f t="shared" si="2"/>
        <v>0.83990912041544952</v>
      </c>
      <c r="L10" s="22">
        <f t="shared" si="2"/>
        <v>0.83990912041544952</v>
      </c>
      <c r="M10" s="22">
        <f t="shared" si="2"/>
        <v>0.83990912041544952</v>
      </c>
      <c r="N10" s="22">
        <f t="shared" si="2"/>
        <v>0.83990912041544952</v>
      </c>
      <c r="O10" s="22">
        <f t="shared" si="2"/>
        <v>0.83990912041544952</v>
      </c>
      <c r="P10" s="22">
        <f t="shared" si="2"/>
        <v>0.83990912041544952</v>
      </c>
      <c r="Q10" s="22">
        <f t="shared" si="2"/>
        <v>0.83990912041544952</v>
      </c>
      <c r="R10" s="22">
        <f t="shared" si="2"/>
        <v>0.83990912041544952</v>
      </c>
      <c r="S10" s="22">
        <f t="shared" si="2"/>
        <v>0.83990912041544952</v>
      </c>
      <c r="T10" s="22">
        <f t="shared" si="2"/>
        <v>0.83990912041544952</v>
      </c>
      <c r="U10" s="22">
        <f t="shared" si="2"/>
        <v>0.83990912041544952</v>
      </c>
      <c r="V10" s="22">
        <f t="shared" si="2"/>
        <v>0.83990912041544952</v>
      </c>
      <c r="W10" s="22">
        <f t="shared" si="2"/>
        <v>0.83990912041544952</v>
      </c>
      <c r="X10" s="22">
        <f t="shared" si="2"/>
        <v>0.83990912041544952</v>
      </c>
      <c r="Y10" s="22">
        <f t="shared" si="2"/>
        <v>0.83990912041544952</v>
      </c>
      <c r="Z10" s="22">
        <f t="shared" si="2"/>
        <v>0.83990912041544952</v>
      </c>
      <c r="AA10" s="22">
        <f t="shared" si="2"/>
        <v>0.83990912041544952</v>
      </c>
      <c r="AB10" s="22">
        <f t="shared" si="2"/>
        <v>0.83990912041544952</v>
      </c>
      <c r="AC10" s="22">
        <f t="shared" si="2"/>
        <v>0.83990912041544952</v>
      </c>
      <c r="AD10" s="22">
        <f t="shared" si="2"/>
        <v>0.83990912041544952</v>
      </c>
      <c r="AE10" s="22">
        <f t="shared" si="2"/>
        <v>0.83990912041544952</v>
      </c>
      <c r="AF10" s="22">
        <f t="shared" si="2"/>
        <v>0.83990912041544952</v>
      </c>
      <c r="AG10" s="22">
        <f t="shared" si="2"/>
        <v>0.83990912041544952</v>
      </c>
    </row>
    <row r="11" spans="1:33" x14ac:dyDescent="0.3">
      <c r="A11">
        <f>Inputs!D10</f>
        <v>67.827522702223931</v>
      </c>
      <c r="B11" s="178" t="s">
        <v>272</v>
      </c>
      <c r="C11" s="23">
        <f>A11</f>
        <v>67.827522702223931</v>
      </c>
      <c r="D11" s="23">
        <f>IFERROR(IF(MOD(D3-1,Inputs!$D$12)=0,Inputs!$D$10,C11*(1+D12)),0)</f>
        <v>71.218898837335132</v>
      </c>
      <c r="E11" s="23">
        <f>IFERROR(IF(MOD(E3-1,Inputs!$D$12)=0,Inputs!$D$10,D11*(1+E12)),0)</f>
        <v>74.779843779201897</v>
      </c>
      <c r="F11" s="23">
        <f>IFERROR(IF(MOD(F3-1,Inputs!$D$12)=0,Inputs!$D$10,E11*(1+F12)),0)</f>
        <v>78.518835968161994</v>
      </c>
      <c r="G11" s="23">
        <f>IFERROR(IF(MOD(G3-1,Inputs!$D$12)=0,Inputs!$D$10,F11*(1+G12)),0)</f>
        <v>82.444777766570098</v>
      </c>
      <c r="H11" s="23">
        <f>IFERROR(IF(MOD(H3-1,Inputs!$D$12)=0,Inputs!$D$10,G11*(1+H12)),0)</f>
        <v>86.567016654898609</v>
      </c>
      <c r="I11" s="23">
        <f>IFERROR(IF(MOD(I3-1,Inputs!$D$12)=0,Inputs!$D$10,H11*(1+I12)),0)</f>
        <v>90.89536748764354</v>
      </c>
      <c r="J11" s="23">
        <f>IFERROR(IF(MOD(J3-1,Inputs!$D$12)=0,Inputs!$D$10,I11*(1+J12)),0)</f>
        <v>67.827522702223931</v>
      </c>
      <c r="K11" s="23">
        <f>IFERROR(IF(MOD(K3-1,Inputs!$D$12)=0,Inputs!$D$10,J11*(1+K12)),0)</f>
        <v>71.218898837335132</v>
      </c>
      <c r="L11" s="23">
        <f>IFERROR(IF(MOD(L3-1,Inputs!$D$12)=0,Inputs!$D$10,K11*(1+L12)),0)</f>
        <v>74.779843779201897</v>
      </c>
      <c r="M11" s="23">
        <f>IFERROR(IF(MOD(M3-1,Inputs!$D$12)=0,Inputs!$D$10,L11*(1+M12)),0)</f>
        <v>78.518835968161994</v>
      </c>
      <c r="N11" s="23">
        <f>IFERROR(IF(MOD(N3-1,Inputs!$D$12)=0,Inputs!$D$10,M11*(1+N12)),0)</f>
        <v>82.444777766570098</v>
      </c>
      <c r="O11" s="23">
        <f>IFERROR(IF(MOD(O3-1,Inputs!$D$12)=0,Inputs!$D$10,N11*(1+O12)),0)</f>
        <v>86.567016654898609</v>
      </c>
      <c r="P11" s="23">
        <f>IFERROR(IF(MOD(P3-1,Inputs!$D$12)=0,Inputs!$D$10,O11*(1+P12)),0)</f>
        <v>90.89536748764354</v>
      </c>
      <c r="Q11" s="184">
        <f>IFERROR(IF(MOD(Q3-1,Inputs!$D$12)=0,Inputs!$D$10,P11*(1+Q12)),0)</f>
        <v>67.827522702223931</v>
      </c>
      <c r="R11" s="1">
        <f>IFERROR(IF(MOD(R3-1,Inputs!$D$12)=0,Inputs!$D$10,Q11*(1+R12)),0)</f>
        <v>0</v>
      </c>
      <c r="S11" s="1">
        <f>IFERROR(IF(MOD(S3-1,Inputs!$D$12)=0,Inputs!$D$10,R11*(1+S12)),0)</f>
        <v>0</v>
      </c>
      <c r="T11" s="1">
        <f>IFERROR(IF(MOD(T3-1,Inputs!$D$12)=0,Inputs!$D$10,S11*(1+T12)),0)</f>
        <v>0</v>
      </c>
      <c r="U11" s="1">
        <f>IFERROR(IF(MOD(U3-1,Inputs!$D$12)=0,Inputs!$D$10,T11*(1+U12)),0)</f>
        <v>0</v>
      </c>
      <c r="V11" s="1">
        <f>IFERROR(IF(MOD(V3-1,Inputs!$D$12)=0,Inputs!$D$10,U11*(1+V12)),0)</f>
        <v>0</v>
      </c>
      <c r="W11" s="1">
        <f>IFERROR(IF(MOD(W3-1,Inputs!$D$12)=0,Inputs!$D$10,V11*(1+W12)),0)</f>
        <v>0</v>
      </c>
      <c r="X11" s="1">
        <f>IFERROR(IF(MOD(X3-1,Inputs!$D$12)=0,Inputs!$D$10,W11*(1+X12)),0)</f>
        <v>0</v>
      </c>
      <c r="Y11" s="1">
        <f>IFERROR(IF(MOD(Y3-1,Inputs!$D$12)=0,Inputs!$D$10,X11*(1+Y12)),0)</f>
        <v>0</v>
      </c>
      <c r="Z11" s="1">
        <f>IFERROR(IF(MOD(Z3-1,Inputs!$D$12)=0,Inputs!$D$10,Y11*(1+Z12)),0)</f>
        <v>0</v>
      </c>
      <c r="AA11" s="1">
        <f>IFERROR(IF(MOD(AA3-1,Inputs!$D$12)=0,Inputs!$D$10,Z11*(1+AA12)),0)</f>
        <v>0</v>
      </c>
      <c r="AB11" s="1">
        <f>IFERROR(IF(MOD(AB3-1,Inputs!$D$12)=0,Inputs!$D$10,AA11*(1+AB12)),0)</f>
        <v>0</v>
      </c>
      <c r="AC11" s="1">
        <f>IFERROR(IF(MOD(AC3-1,Inputs!$D$12)=0,Inputs!$D$10,AB11*(1+AC12)),0)</f>
        <v>0</v>
      </c>
      <c r="AD11" s="1">
        <f>IFERROR(IF(MOD(AD3-1,Inputs!$D$12)=0,Inputs!$D$10,AC11*(1+AD12)),0)</f>
        <v>0</v>
      </c>
      <c r="AE11" s="1">
        <f>IFERROR(IF(MOD(AE3-1,Inputs!$D$12)=0,Inputs!$D$10,AD11*(1+AE12)),0)</f>
        <v>0</v>
      </c>
      <c r="AF11" s="1">
        <f>IFERROR(IF(MOD(AF3-1,Inputs!$D$12)=0,Inputs!$D$10,AE11*(1+AF12)),0)</f>
        <v>0</v>
      </c>
      <c r="AG11" s="1">
        <f>IFERROR(IF(MOD(AG3-1,Inputs!$D$12)=0,Inputs!$D$10,AF11*(1+AG12)),0)</f>
        <v>0</v>
      </c>
    </row>
    <row r="12" spans="1:33" x14ac:dyDescent="0.3">
      <c r="B12" s="178" t="s">
        <v>211</v>
      </c>
      <c r="C12" s="185">
        <v>0</v>
      </c>
      <c r="D12" s="185">
        <f>Inputs!$D$11</f>
        <v>0.05</v>
      </c>
      <c r="E12" s="185">
        <f>D12</f>
        <v>0.05</v>
      </c>
      <c r="F12" s="185">
        <f t="shared" ref="F12:AG12" si="3">E12</f>
        <v>0.05</v>
      </c>
      <c r="G12" s="185">
        <f t="shared" si="3"/>
        <v>0.05</v>
      </c>
      <c r="H12" s="185">
        <f t="shared" si="3"/>
        <v>0.05</v>
      </c>
      <c r="I12" s="185">
        <f t="shared" si="3"/>
        <v>0.05</v>
      </c>
      <c r="J12" s="185">
        <f t="shared" si="3"/>
        <v>0.05</v>
      </c>
      <c r="K12" s="185">
        <f t="shared" si="3"/>
        <v>0.05</v>
      </c>
      <c r="L12" s="185">
        <f t="shared" si="3"/>
        <v>0.05</v>
      </c>
      <c r="M12" s="185">
        <f t="shared" si="3"/>
        <v>0.05</v>
      </c>
      <c r="N12" s="185">
        <f t="shared" si="3"/>
        <v>0.05</v>
      </c>
      <c r="O12" s="185">
        <f t="shared" si="3"/>
        <v>0.05</v>
      </c>
      <c r="P12" s="185">
        <f t="shared" si="3"/>
        <v>0.05</v>
      </c>
      <c r="Q12" s="186">
        <f t="shared" si="3"/>
        <v>0.05</v>
      </c>
      <c r="R12" s="90">
        <f t="shared" si="3"/>
        <v>0.05</v>
      </c>
      <c r="S12" s="90">
        <f t="shared" si="3"/>
        <v>0.05</v>
      </c>
      <c r="T12" s="90">
        <f t="shared" si="3"/>
        <v>0.05</v>
      </c>
      <c r="U12" s="90">
        <f t="shared" si="3"/>
        <v>0.05</v>
      </c>
      <c r="V12" s="90">
        <f t="shared" si="3"/>
        <v>0.05</v>
      </c>
      <c r="W12" s="90">
        <f t="shared" si="3"/>
        <v>0.05</v>
      </c>
      <c r="X12" s="90">
        <f t="shared" si="3"/>
        <v>0.05</v>
      </c>
      <c r="Y12" s="90">
        <f t="shared" si="3"/>
        <v>0.05</v>
      </c>
      <c r="Z12" s="90">
        <f t="shared" si="3"/>
        <v>0.05</v>
      </c>
      <c r="AA12" s="90">
        <f t="shared" si="3"/>
        <v>0.05</v>
      </c>
      <c r="AB12" s="90">
        <f t="shared" si="3"/>
        <v>0.05</v>
      </c>
      <c r="AC12" s="90">
        <f t="shared" si="3"/>
        <v>0.05</v>
      </c>
      <c r="AD12" s="90">
        <f t="shared" si="3"/>
        <v>0.05</v>
      </c>
      <c r="AE12" s="90">
        <f t="shared" si="3"/>
        <v>0.05</v>
      </c>
      <c r="AF12" s="90">
        <f t="shared" si="3"/>
        <v>0.05</v>
      </c>
      <c r="AG12" s="90">
        <f t="shared" si="3"/>
        <v>0.05</v>
      </c>
    </row>
    <row r="13" spans="1:33" ht="15" thickBot="1" x14ac:dyDescent="0.35">
      <c r="B13" s="178" t="s">
        <v>533</v>
      </c>
      <c r="C13" s="23">
        <f>'Opportunity Cost'!D52</f>
        <v>14.425466561381025</v>
      </c>
      <c r="D13" s="23">
        <f>'Opportunity Cost'!E52</f>
        <v>13.16510190132006</v>
      </c>
      <c r="E13" s="23">
        <f>'Opportunity Cost'!F52</f>
        <v>13.629604796386065</v>
      </c>
      <c r="F13" s="23">
        <f>'Opportunity Cost'!G52</f>
        <v>13.281555995304819</v>
      </c>
      <c r="G13" s="23">
        <f>'Opportunity Cost'!H52</f>
        <v>13.74501298857006</v>
      </c>
      <c r="H13" s="23">
        <f>'Opportunity Cost'!I52</f>
        <v>14.228053223303565</v>
      </c>
      <c r="I13" s="23">
        <f>'Opportunity Cost'!J52</f>
        <v>13.899154882432345</v>
      </c>
      <c r="J13" s="23">
        <f>'Opportunity Cost'!K52</f>
        <v>14.382396700084037</v>
      </c>
      <c r="K13" s="23">
        <f>'Opportunity Cost'!L52</f>
        <v>14.885878146824215</v>
      </c>
      <c r="L13" s="23">
        <f>'Opportunity Cost'!M52</f>
        <v>14.578100239352935</v>
      </c>
      <c r="M13" s="23">
        <f>'Opportunity Cost'!N52</f>
        <v>15.083165387691281</v>
      </c>
      <c r="N13" s="23">
        <f>'Opportunity Cost'!O52</f>
        <v>15.609197613537663</v>
      </c>
      <c r="O13" s="23">
        <f>'Opportunity Cost'!P52</f>
        <v>15.324723394469672</v>
      </c>
      <c r="P13" s="23">
        <f>'Opportunity Cost'!Q52</f>
        <v>15.853871547083498</v>
      </c>
      <c r="Q13" s="23">
        <f>'Opportunity Cost'!R52</f>
        <v>15.084582077738522</v>
      </c>
      <c r="R13" s="23">
        <f>'Opportunity Cost'!S52</f>
        <v>0</v>
      </c>
      <c r="S13" s="23">
        <f>'Opportunity Cost'!T52</f>
        <v>0</v>
      </c>
      <c r="T13" s="23">
        <f>'Opportunity Cost'!U52</f>
        <v>0</v>
      </c>
      <c r="U13" s="23">
        <f>'Opportunity Cost'!V52</f>
        <v>0</v>
      </c>
      <c r="V13" s="23">
        <f>'Opportunity Cost'!W52</f>
        <v>0</v>
      </c>
      <c r="W13" s="23">
        <f>'Opportunity Cost'!X52</f>
        <v>0</v>
      </c>
      <c r="X13" s="23">
        <f>'Opportunity Cost'!Y52</f>
        <v>0</v>
      </c>
      <c r="Y13" s="23">
        <f>'Opportunity Cost'!Z52</f>
        <v>0</v>
      </c>
      <c r="Z13" s="23">
        <f>'Opportunity Cost'!AA52</f>
        <v>0</v>
      </c>
      <c r="AA13" s="23">
        <f>'Opportunity Cost'!AB52</f>
        <v>0</v>
      </c>
      <c r="AB13" s="23">
        <f>'Opportunity Cost'!AC52</f>
        <v>0</v>
      </c>
      <c r="AC13" s="23">
        <f>'Opportunity Cost'!AD52</f>
        <v>0</v>
      </c>
      <c r="AD13" s="23">
        <f>'Opportunity Cost'!AE52</f>
        <v>0</v>
      </c>
      <c r="AE13" s="23">
        <f>'Opportunity Cost'!AF52</f>
        <v>0</v>
      </c>
      <c r="AF13" s="23">
        <f>'Opportunity Cost'!AG52</f>
        <v>0</v>
      </c>
      <c r="AG13" s="23">
        <f>'Opportunity Cost'!AH52</f>
        <v>0</v>
      </c>
    </row>
    <row r="14" spans="1:33" ht="15" thickBot="1" x14ac:dyDescent="0.35">
      <c r="B14" s="187" t="s">
        <v>209</v>
      </c>
      <c r="C14" s="27">
        <f>C9*C6*C11/10^7*C10+C13</f>
        <v>32.990053843237163</v>
      </c>
      <c r="D14" s="27">
        <f t="shared" ref="D14:AG14" si="4">D9*D6*D11/10^7*D10+D13</f>
        <v>32.657918547269006</v>
      </c>
      <c r="E14" s="27">
        <f t="shared" si="4"/>
        <v>34.153137500600252</v>
      </c>
      <c r="F14" s="27">
        <f t="shared" si="4"/>
        <v>34.772386347463531</v>
      </c>
      <c r="G14" s="27">
        <f t="shared" si="4"/>
        <v>36.310384858336711</v>
      </c>
      <c r="H14" s="27">
        <f t="shared" si="4"/>
        <v>37.921693686558548</v>
      </c>
      <c r="I14" s="27">
        <f t="shared" si="4"/>
        <v>38.845637156484102</v>
      </c>
      <c r="J14" s="27">
        <f t="shared" si="4"/>
        <v>32.946983981940171</v>
      </c>
      <c r="K14" s="27">
        <f t="shared" si="4"/>
        <v>34.37869479277316</v>
      </c>
      <c r="L14" s="27">
        <f t="shared" si="4"/>
        <v>35.045557717599323</v>
      </c>
      <c r="M14" s="27">
        <f t="shared" si="4"/>
        <v>36.632874727116182</v>
      </c>
      <c r="N14" s="27">
        <f t="shared" si="4"/>
        <v>38.17456948330431</v>
      </c>
      <c r="O14" s="27">
        <f t="shared" si="4"/>
        <v>39.018363857724651</v>
      </c>
      <c r="P14" s="27">
        <f t="shared" si="4"/>
        <v>40.73219403350123</v>
      </c>
      <c r="Q14" s="27">
        <f t="shared" si="4"/>
        <v>33.700031242558644</v>
      </c>
      <c r="R14" s="27">
        <f t="shared" si="4"/>
        <v>0</v>
      </c>
      <c r="S14" s="27">
        <f t="shared" si="4"/>
        <v>0</v>
      </c>
      <c r="T14" s="27">
        <f t="shared" si="4"/>
        <v>0</v>
      </c>
      <c r="U14" s="27">
        <f t="shared" si="4"/>
        <v>0</v>
      </c>
      <c r="V14" s="27">
        <f t="shared" si="4"/>
        <v>0</v>
      </c>
      <c r="W14" s="27">
        <f t="shared" si="4"/>
        <v>0</v>
      </c>
      <c r="X14" s="27">
        <f t="shared" si="4"/>
        <v>0</v>
      </c>
      <c r="Y14" s="27">
        <f t="shared" si="4"/>
        <v>0</v>
      </c>
      <c r="Z14" s="27">
        <f t="shared" si="4"/>
        <v>0</v>
      </c>
      <c r="AA14" s="27">
        <f t="shared" si="4"/>
        <v>0</v>
      </c>
      <c r="AB14" s="27">
        <f t="shared" si="4"/>
        <v>0</v>
      </c>
      <c r="AC14" s="27">
        <f t="shared" si="4"/>
        <v>0</v>
      </c>
      <c r="AD14" s="27">
        <f t="shared" si="4"/>
        <v>0</v>
      </c>
      <c r="AE14" s="27">
        <f t="shared" si="4"/>
        <v>0</v>
      </c>
      <c r="AF14" s="27">
        <f t="shared" si="4"/>
        <v>0</v>
      </c>
      <c r="AG14" s="27">
        <f t="shared" si="4"/>
        <v>0</v>
      </c>
    </row>
    <row r="15" spans="1:33" x14ac:dyDescent="0.3">
      <c r="B15" s="178"/>
      <c r="Q15" s="180"/>
    </row>
    <row r="16" spans="1:33" ht="23.4" x14ac:dyDescent="0.45">
      <c r="B16" s="189" t="s">
        <v>7</v>
      </c>
      <c r="Q16" s="180"/>
    </row>
    <row r="17" spans="2:33" x14ac:dyDescent="0.3">
      <c r="B17" s="178" t="str">
        <f>'Project Expenses'!B5</f>
        <v>Operational and maintenance</v>
      </c>
      <c r="C17" s="3">
        <f>'Project Expenses'!F6</f>
        <v>1.8053999999999999</v>
      </c>
      <c r="D17" s="3">
        <f>'Project Expenses'!G6</f>
        <v>1.89567</v>
      </c>
      <c r="E17" s="3">
        <f>'Project Expenses'!H6</f>
        <v>1.9904535000000001</v>
      </c>
      <c r="F17" s="3">
        <f>'Project Expenses'!I6</f>
        <v>2.0899761750000003</v>
      </c>
      <c r="G17" s="3">
        <f>'Project Expenses'!J6</f>
        <v>2.1944749837500006</v>
      </c>
      <c r="H17" s="3">
        <f>'Project Expenses'!K6</f>
        <v>2.3041987329375009</v>
      </c>
      <c r="I17" s="3">
        <f>'Project Expenses'!L6</f>
        <v>2.4194086695843762</v>
      </c>
      <c r="J17" s="3">
        <f>'Project Expenses'!M6</f>
        <v>2.5403791030635952</v>
      </c>
      <c r="K17" s="3">
        <f>'Project Expenses'!N6</f>
        <v>2.6673980582167749</v>
      </c>
      <c r="L17" s="3">
        <f>'Project Expenses'!O6</f>
        <v>2.8007679611276139</v>
      </c>
      <c r="M17" s="3">
        <f>'Project Expenses'!P6</f>
        <v>2.9408063591839948</v>
      </c>
      <c r="N17" s="3">
        <f>'Project Expenses'!Q6</f>
        <v>3.0878466771431947</v>
      </c>
      <c r="O17" s="3">
        <f>'Project Expenses'!R6</f>
        <v>3.2422390110003545</v>
      </c>
      <c r="P17" s="3">
        <f>'Project Expenses'!S6</f>
        <v>3.4043509615503722</v>
      </c>
      <c r="Q17" s="3">
        <f>'Project Expenses'!T6</f>
        <v>3.5745685096278907</v>
      </c>
    </row>
    <row r="18" spans="2:33" x14ac:dyDescent="0.3">
      <c r="B18" s="178" t="str">
        <f>'Project Expenses'!B9</f>
        <v>Manpower</v>
      </c>
      <c r="C18" s="3">
        <f>'Project Expenses'!F16</f>
        <v>0.52080000000000004</v>
      </c>
      <c r="D18" s="3">
        <f>'Project Expenses'!G16</f>
        <v>0.5468400000000001</v>
      </c>
      <c r="E18" s="3">
        <f>'Project Expenses'!H16</f>
        <v>0.57418200000000008</v>
      </c>
      <c r="F18" s="3">
        <f>'Project Expenses'!I16</f>
        <v>0.60289110000000012</v>
      </c>
      <c r="G18" s="3">
        <f>'Project Expenses'!J16</f>
        <v>0.63303565500000014</v>
      </c>
      <c r="H18" s="3">
        <f>'Project Expenses'!K16</f>
        <v>0.66468743775000017</v>
      </c>
      <c r="I18" s="3">
        <f>'Project Expenses'!L16</f>
        <v>0.69792180963750017</v>
      </c>
      <c r="J18" s="3">
        <f>'Project Expenses'!M16</f>
        <v>0.7328179001193752</v>
      </c>
      <c r="K18" s="3">
        <f>'Project Expenses'!N16</f>
        <v>0.76945879512534399</v>
      </c>
      <c r="L18" s="3">
        <f>'Project Expenses'!O16</f>
        <v>0.80793173488161119</v>
      </c>
      <c r="M18" s="3">
        <f>'Project Expenses'!P16</f>
        <v>0.84832832162569183</v>
      </c>
      <c r="N18" s="3">
        <f>'Project Expenses'!Q16</f>
        <v>0.89074473770697649</v>
      </c>
      <c r="O18" s="3">
        <f>'Project Expenses'!R16</f>
        <v>0.93528197459232532</v>
      </c>
      <c r="P18" s="3">
        <f>'Project Expenses'!S16</f>
        <v>0.9820460733219416</v>
      </c>
      <c r="Q18" s="179">
        <f>'Project Expenses'!T16</f>
        <v>1.0311483769880387</v>
      </c>
    </row>
    <row r="19" spans="2:33" x14ac:dyDescent="0.3">
      <c r="B19" s="178" t="str">
        <f>'Project Expenses'!B19</f>
        <v>Power</v>
      </c>
      <c r="C19" s="3">
        <f>'Project Expenses'!F25</f>
        <v>2.5020660000000001</v>
      </c>
      <c r="D19" s="3">
        <f>'Project Expenses'!G25</f>
        <v>2.5020660000000001</v>
      </c>
      <c r="E19" s="3">
        <f>'Project Expenses'!H25</f>
        <v>2.5020660000000001</v>
      </c>
      <c r="F19" s="3">
        <f>'Project Expenses'!I25</f>
        <v>2.5020660000000001</v>
      </c>
      <c r="G19" s="3">
        <f>'Project Expenses'!J25</f>
        <v>2.5020660000000001</v>
      </c>
      <c r="H19" s="3">
        <f>'Project Expenses'!K25</f>
        <v>2.5020660000000001</v>
      </c>
      <c r="I19" s="3">
        <f>'Project Expenses'!L25</f>
        <v>2.5020660000000001</v>
      </c>
      <c r="J19" s="3">
        <f>'Project Expenses'!M25</f>
        <v>2.5020660000000001</v>
      </c>
      <c r="K19" s="3">
        <f>'Project Expenses'!N25</f>
        <v>2.5020660000000001</v>
      </c>
      <c r="L19" s="3">
        <f>'Project Expenses'!O25</f>
        <v>2.5020660000000001</v>
      </c>
      <c r="M19" s="3">
        <f>'Project Expenses'!P25</f>
        <v>2.5020660000000001</v>
      </c>
      <c r="N19" s="3">
        <f>'Project Expenses'!Q25</f>
        <v>2.5020660000000001</v>
      </c>
      <c r="O19" s="3">
        <f>'Project Expenses'!R25</f>
        <v>2.5020660000000001</v>
      </c>
      <c r="P19" s="3">
        <f>'Project Expenses'!S25</f>
        <v>2.5020660000000001</v>
      </c>
      <c r="Q19" s="179">
        <f>'Project Expenses'!T25</f>
        <v>2.5020660000000001</v>
      </c>
    </row>
    <row r="20" spans="2:33" x14ac:dyDescent="0.3">
      <c r="B20" s="178" t="str">
        <f>'Project Expenses'!B27</f>
        <v>Water</v>
      </c>
      <c r="C20" s="3">
        <f>'Project Expenses'!F29</f>
        <v>6.5699999999999995E-2</v>
      </c>
      <c r="D20" s="3">
        <f>'Project Expenses'!G29</f>
        <v>6.5699999999999995E-2</v>
      </c>
      <c r="E20" s="3">
        <f>'Project Expenses'!H29</f>
        <v>6.5699999999999995E-2</v>
      </c>
      <c r="F20" s="3">
        <f>'Project Expenses'!I29</f>
        <v>6.5699999999999995E-2</v>
      </c>
      <c r="G20" s="3">
        <f>'Project Expenses'!J29</f>
        <v>6.5699999999999995E-2</v>
      </c>
      <c r="H20" s="3">
        <f>'Project Expenses'!K29</f>
        <v>6.5699999999999995E-2</v>
      </c>
      <c r="I20" s="3">
        <f>'Project Expenses'!L29</f>
        <v>6.5699999999999995E-2</v>
      </c>
      <c r="J20" s="3">
        <f>'Project Expenses'!M29</f>
        <v>6.5699999999999995E-2</v>
      </c>
      <c r="K20" s="3">
        <f>'Project Expenses'!N29</f>
        <v>6.5699999999999995E-2</v>
      </c>
      <c r="L20" s="3">
        <f>'Project Expenses'!O29</f>
        <v>6.5699999999999995E-2</v>
      </c>
      <c r="M20" s="3">
        <f>'Project Expenses'!P29</f>
        <v>6.5699999999999995E-2</v>
      </c>
      <c r="N20" s="3">
        <f>'Project Expenses'!Q29</f>
        <v>6.5699999999999995E-2</v>
      </c>
      <c r="O20" s="3">
        <f>'Project Expenses'!R29</f>
        <v>6.5699999999999995E-2</v>
      </c>
      <c r="P20" s="3">
        <f>'Project Expenses'!S29</f>
        <v>6.5699999999999995E-2</v>
      </c>
      <c r="Q20" s="179">
        <f>'Project Expenses'!T29</f>
        <v>6.5699999999999995E-2</v>
      </c>
    </row>
    <row r="21" spans="2:33" x14ac:dyDescent="0.3">
      <c r="B21" s="178" t="str">
        <f>'Project Expenses'!B31</f>
        <v>Repayment of Security Deposit</v>
      </c>
      <c r="C21" s="3">
        <f>'Project Expenses'!F33</f>
        <v>0</v>
      </c>
      <c r="D21" s="3">
        <f>'Project Expenses'!G33</f>
        <v>0</v>
      </c>
      <c r="E21" s="3">
        <f>'Project Expenses'!H33</f>
        <v>0</v>
      </c>
      <c r="F21" s="3">
        <f>'Project Expenses'!I33</f>
        <v>0</v>
      </c>
      <c r="G21" s="3">
        <f>'Project Expenses'!J33</f>
        <v>0</v>
      </c>
      <c r="H21" s="3">
        <f>'Project Expenses'!K33</f>
        <v>0</v>
      </c>
      <c r="I21" s="3">
        <f>'Project Expenses'!L33</f>
        <v>0</v>
      </c>
      <c r="J21" s="3">
        <f>'Project Expenses'!M33</f>
        <v>8.2367459954850428</v>
      </c>
      <c r="K21" s="3">
        <f>'Project Expenses'!N33</f>
        <v>0</v>
      </c>
      <c r="L21" s="3">
        <f>'Project Expenses'!O33</f>
        <v>0</v>
      </c>
      <c r="M21" s="3">
        <f>'Project Expenses'!P33</f>
        <v>0</v>
      </c>
      <c r="N21" s="3">
        <f>'Project Expenses'!Q33</f>
        <v>0</v>
      </c>
      <c r="O21" s="3">
        <f>'Project Expenses'!R33</f>
        <v>0</v>
      </c>
      <c r="P21" s="3">
        <f>'Project Expenses'!S33</f>
        <v>0</v>
      </c>
      <c r="Q21" s="179">
        <f>'Project Expenses'!T33</f>
        <v>8.4250078106396611</v>
      </c>
      <c r="R21" s="3">
        <f>'Project Expenses'!U33</f>
        <v>0</v>
      </c>
      <c r="S21" s="3">
        <f>'Project Expenses'!V33</f>
        <v>0</v>
      </c>
      <c r="T21" s="3">
        <f>'Project Expenses'!W33</f>
        <v>0</v>
      </c>
      <c r="U21" s="3">
        <f>'Project Expenses'!X33</f>
        <v>0</v>
      </c>
      <c r="V21" s="3">
        <f>'Project Expenses'!Y33</f>
        <v>0</v>
      </c>
      <c r="W21" s="3">
        <f>'Project Expenses'!Z33</f>
        <v>0</v>
      </c>
      <c r="X21" s="3">
        <f>'Project Expenses'!AA33</f>
        <v>0</v>
      </c>
      <c r="Y21" s="3">
        <f>'Project Expenses'!AB33</f>
        <v>0</v>
      </c>
      <c r="Z21" s="3">
        <f>'Project Expenses'!AC33</f>
        <v>0</v>
      </c>
      <c r="AA21" s="3">
        <f>'Project Expenses'!AD33</f>
        <v>0</v>
      </c>
      <c r="AB21" s="3">
        <f>'Project Expenses'!AE33</f>
        <v>0</v>
      </c>
      <c r="AC21" s="3">
        <f>'Project Expenses'!AF33</f>
        <v>0</v>
      </c>
      <c r="AD21" s="3">
        <f>'Project Expenses'!AG33</f>
        <v>0</v>
      </c>
      <c r="AE21" s="3">
        <f>'Project Expenses'!AH33</f>
        <v>0</v>
      </c>
      <c r="AF21" s="3">
        <f>'Project Expenses'!AI33</f>
        <v>0</v>
      </c>
      <c r="AG21" s="3">
        <f>'Project Expenses'!AJ33</f>
        <v>0</v>
      </c>
    </row>
    <row r="22" spans="2:33" x14ac:dyDescent="0.3">
      <c r="B22" s="178" t="s">
        <v>343</v>
      </c>
      <c r="C22" s="3">
        <f>'Project Expenses'!F40/10^7</f>
        <v>5.9615039712000009</v>
      </c>
      <c r="D22" s="3">
        <f>'Project Expenses'!G40/10^7</f>
        <v>4.7692031769600005</v>
      </c>
      <c r="E22" s="3">
        <f>'Project Expenses'!H40/10^7</f>
        <v>5.007663335808</v>
      </c>
      <c r="F22" s="3">
        <f>'Project Expenses'!I40/10^7</f>
        <v>5.2580465025984005</v>
      </c>
      <c r="G22" s="3">
        <f>'Project Expenses'!J40/10^7</f>
        <v>5.5209488277283203</v>
      </c>
      <c r="H22" s="3">
        <f>'Project Expenses'!K40/10^7</f>
        <v>5.7969962691147376</v>
      </c>
      <c r="I22" s="3">
        <f>'Project Expenses'!L40/10^7</f>
        <v>3.5769023827200002</v>
      </c>
      <c r="J22" s="3">
        <f>'Project Expenses'!M40/10^7</f>
        <v>5.9615039712000009</v>
      </c>
      <c r="K22" s="3">
        <f>'Project Expenses'!N40/10^7</f>
        <v>4.7692031769600005</v>
      </c>
      <c r="L22" s="3">
        <f>'Project Expenses'!O40/10^7</f>
        <v>5.007663335808</v>
      </c>
      <c r="M22" s="3">
        <f>'Project Expenses'!P40/10^7</f>
        <v>5.2580465025984005</v>
      </c>
      <c r="N22" s="3">
        <f>'Project Expenses'!Q40/10^7</f>
        <v>5.5209488277283203</v>
      </c>
      <c r="O22" s="3">
        <f>'Project Expenses'!R40/10^7</f>
        <v>5.7969962691147376</v>
      </c>
      <c r="P22" s="3">
        <f>'Project Expenses'!S40/10^7</f>
        <v>3.5769023827200002</v>
      </c>
      <c r="Q22" s="179">
        <f>'Project Expenses'!T40/10^7</f>
        <v>5.007663335808</v>
      </c>
      <c r="R22" s="3">
        <f>'Project Expenses'!U40/10^7</f>
        <v>0</v>
      </c>
      <c r="S22" s="3">
        <f>'Project Expenses'!V40/10^7</f>
        <v>0</v>
      </c>
      <c r="T22" s="3">
        <f>'Project Expenses'!W40/10^7</f>
        <v>0</v>
      </c>
      <c r="U22" s="3">
        <f>'Project Expenses'!X40/10^7</f>
        <v>0</v>
      </c>
      <c r="V22" s="3">
        <f>'Project Expenses'!Y40/10^7</f>
        <v>0</v>
      </c>
      <c r="W22" s="3">
        <f>'Project Expenses'!Z40/10^7</f>
        <v>0</v>
      </c>
      <c r="X22" s="3">
        <f>'Project Expenses'!AA40/10^7</f>
        <v>0</v>
      </c>
      <c r="Y22" s="3">
        <f>'Project Expenses'!AB40/10^7</f>
        <v>0</v>
      </c>
      <c r="Z22" s="3">
        <f>'Project Expenses'!AC40/10^7</f>
        <v>0</v>
      </c>
      <c r="AA22" s="3">
        <f>'Project Expenses'!AD40/10^7</f>
        <v>0</v>
      </c>
      <c r="AB22" s="3">
        <f>'Project Expenses'!AE40/10^7</f>
        <v>0</v>
      </c>
      <c r="AC22" s="3">
        <f>'Project Expenses'!AF40/10^7</f>
        <v>0</v>
      </c>
      <c r="AD22" s="3">
        <f>'Project Expenses'!AG40/10^7</f>
        <v>0</v>
      </c>
      <c r="AE22" s="3">
        <f>'Project Expenses'!AH40/10^7</f>
        <v>0</v>
      </c>
      <c r="AF22" s="3">
        <f>'Project Expenses'!AI40/10^7</f>
        <v>0</v>
      </c>
      <c r="AG22" s="3">
        <f>'Project Expenses'!AJ40/10^7</f>
        <v>0</v>
      </c>
    </row>
    <row r="23" spans="2:33" ht="15" thickBot="1" x14ac:dyDescent="0.35">
      <c r="B23" s="178" t="s">
        <v>380</v>
      </c>
      <c r="C23" s="3">
        <f>'Project Expenses'!F44/10^7</f>
        <v>0</v>
      </c>
      <c r="D23" s="3">
        <f>'Project Expenses'!G44/10^7</f>
        <v>0</v>
      </c>
      <c r="E23" s="3">
        <f>'Project Expenses'!H44/10^7</f>
        <v>0</v>
      </c>
      <c r="F23" s="3">
        <f>'Project Expenses'!I44/10^7</f>
        <v>0</v>
      </c>
      <c r="G23" s="3">
        <f>'Project Expenses'!J44/10^7</f>
        <v>0</v>
      </c>
      <c r="H23" s="3">
        <f>'Project Expenses'!K44/10^7</f>
        <v>0</v>
      </c>
      <c r="I23" s="3">
        <f>'Project Expenses'!L44/10^7</f>
        <v>0</v>
      </c>
      <c r="J23" s="3">
        <f>'Project Expenses'!M44/10^7</f>
        <v>0</v>
      </c>
      <c r="K23" s="3">
        <f>'Project Expenses'!N44/10^7</f>
        <v>0</v>
      </c>
      <c r="L23" s="3">
        <f>'Project Expenses'!O44/10^7</f>
        <v>0</v>
      </c>
      <c r="M23" s="3">
        <f>'Project Expenses'!P44/10^7</f>
        <v>0</v>
      </c>
      <c r="N23" s="3">
        <f>'Project Expenses'!Q44/10^7</f>
        <v>0</v>
      </c>
      <c r="O23" s="3">
        <f>'Project Expenses'!R44/10^7</f>
        <v>0</v>
      </c>
      <c r="P23" s="3">
        <f>'Project Expenses'!S44/10^7</f>
        <v>0</v>
      </c>
      <c r="Q23" s="179">
        <f>'Project Expenses'!T44/10^7</f>
        <v>0</v>
      </c>
      <c r="R23" s="3">
        <f>'Project Expenses'!U44/10^7</f>
        <v>0</v>
      </c>
      <c r="S23" s="3">
        <f>'Project Expenses'!V44/10^7</f>
        <v>0</v>
      </c>
      <c r="T23" s="3">
        <f>'Project Expenses'!W44/10^7</f>
        <v>0</v>
      </c>
      <c r="U23" s="3">
        <f>'Project Expenses'!X44/10^7</f>
        <v>0</v>
      </c>
      <c r="V23" s="3">
        <f>'Project Expenses'!Y44/10^7</f>
        <v>0</v>
      </c>
      <c r="W23" s="3">
        <f>'Project Expenses'!Z44/10^7</f>
        <v>0</v>
      </c>
      <c r="X23" s="3">
        <f>'Project Expenses'!AA44/10^7</f>
        <v>0</v>
      </c>
      <c r="Y23" s="3">
        <f>'Project Expenses'!AB44/10^7</f>
        <v>0</v>
      </c>
      <c r="Z23" s="3">
        <f>'Project Expenses'!AC44/10^7</f>
        <v>0</v>
      </c>
      <c r="AA23" s="3">
        <f>'Project Expenses'!AD44/10^7</f>
        <v>0</v>
      </c>
      <c r="AB23" s="3">
        <f>'Project Expenses'!AE44/10^7</f>
        <v>0</v>
      </c>
      <c r="AC23" s="3">
        <f>'Project Expenses'!AF44/10^7</f>
        <v>0</v>
      </c>
      <c r="AD23" s="3">
        <f>'Project Expenses'!AG44/10^7</f>
        <v>0</v>
      </c>
      <c r="AE23" s="3">
        <f>'Project Expenses'!AH44/10^7</f>
        <v>0</v>
      </c>
      <c r="AF23" s="3">
        <f>'Project Expenses'!AI44/10^7</f>
        <v>0</v>
      </c>
      <c r="AG23" s="3">
        <f>'Project Expenses'!AJ44/10^7</f>
        <v>0</v>
      </c>
    </row>
    <row r="24" spans="2:33" ht="15" thickBot="1" x14ac:dyDescent="0.35">
      <c r="B24" s="190" t="s">
        <v>2</v>
      </c>
      <c r="C24" s="92">
        <f>SUM(C17:C23)</f>
        <v>10.855469971200002</v>
      </c>
      <c r="D24" s="92">
        <f t="shared" ref="D24:AG24" si="5">SUM(D17:D23)</f>
        <v>9.7794791769599989</v>
      </c>
      <c r="E24" s="92">
        <f t="shared" si="5"/>
        <v>10.140064835808001</v>
      </c>
      <c r="F24" s="92">
        <f t="shared" si="5"/>
        <v>10.5186797775984</v>
      </c>
      <c r="G24" s="92">
        <f t="shared" si="5"/>
        <v>10.91622546647832</v>
      </c>
      <c r="H24" s="92">
        <f t="shared" si="5"/>
        <v>11.333648439802239</v>
      </c>
      <c r="I24" s="92">
        <f t="shared" si="5"/>
        <v>9.2619988619418763</v>
      </c>
      <c r="J24" s="92">
        <f t="shared" si="5"/>
        <v>20.039212969868014</v>
      </c>
      <c r="K24" s="92">
        <f t="shared" si="5"/>
        <v>10.773826030302118</v>
      </c>
      <c r="L24" s="92">
        <f t="shared" si="5"/>
        <v>11.184129031817225</v>
      </c>
      <c r="M24" s="92">
        <f t="shared" si="5"/>
        <v>11.614947183408088</v>
      </c>
      <c r="N24" s="92">
        <f t="shared" si="5"/>
        <v>12.067306242578491</v>
      </c>
      <c r="O24" s="92">
        <f t="shared" si="5"/>
        <v>12.542283254707417</v>
      </c>
      <c r="P24" s="92">
        <f t="shared" si="5"/>
        <v>10.531065417592313</v>
      </c>
      <c r="Q24" s="191">
        <f t="shared" si="5"/>
        <v>20.606154033063589</v>
      </c>
      <c r="R24" s="92">
        <f t="shared" si="5"/>
        <v>0</v>
      </c>
      <c r="S24" s="92">
        <f t="shared" si="5"/>
        <v>0</v>
      </c>
      <c r="T24" s="92">
        <f t="shared" si="5"/>
        <v>0</v>
      </c>
      <c r="U24" s="92">
        <f t="shared" si="5"/>
        <v>0</v>
      </c>
      <c r="V24" s="92">
        <f t="shared" si="5"/>
        <v>0</v>
      </c>
      <c r="W24" s="92">
        <f t="shared" si="5"/>
        <v>0</v>
      </c>
      <c r="X24" s="92">
        <f t="shared" si="5"/>
        <v>0</v>
      </c>
      <c r="Y24" s="92">
        <f t="shared" si="5"/>
        <v>0</v>
      </c>
      <c r="Z24" s="92">
        <f t="shared" si="5"/>
        <v>0</v>
      </c>
      <c r="AA24" s="92">
        <f t="shared" si="5"/>
        <v>0</v>
      </c>
      <c r="AB24" s="92">
        <f t="shared" si="5"/>
        <v>0</v>
      </c>
      <c r="AC24" s="92">
        <f t="shared" si="5"/>
        <v>0</v>
      </c>
      <c r="AD24" s="92">
        <f t="shared" si="5"/>
        <v>0</v>
      </c>
      <c r="AE24" s="92">
        <f t="shared" si="5"/>
        <v>0</v>
      </c>
      <c r="AF24" s="92">
        <f t="shared" si="5"/>
        <v>0</v>
      </c>
      <c r="AG24" s="92">
        <f t="shared" si="5"/>
        <v>0</v>
      </c>
    </row>
    <row r="25" spans="2:33" ht="15" thickBot="1" x14ac:dyDescent="0.35">
      <c r="B25" s="178"/>
      <c r="Q25" s="180"/>
    </row>
    <row r="26" spans="2:33" ht="15" thickBot="1" x14ac:dyDescent="0.35">
      <c r="B26" s="192" t="s">
        <v>53</v>
      </c>
      <c r="C26" s="93">
        <f t="shared" ref="C26:AG26" si="6">C14-C24</f>
        <v>22.134583872037162</v>
      </c>
      <c r="D26" s="93">
        <f t="shared" si="6"/>
        <v>22.878439370309007</v>
      </c>
      <c r="E26" s="93">
        <f t="shared" si="6"/>
        <v>24.013072664792251</v>
      </c>
      <c r="F26" s="93">
        <f t="shared" si="6"/>
        <v>24.25370656986513</v>
      </c>
      <c r="G26" s="93">
        <f t="shared" si="6"/>
        <v>25.394159391858391</v>
      </c>
      <c r="H26" s="93">
        <f t="shared" si="6"/>
        <v>26.588045246756309</v>
      </c>
      <c r="I26" s="93">
        <f t="shared" si="6"/>
        <v>29.583638294542226</v>
      </c>
      <c r="J26" s="93">
        <f t="shared" si="6"/>
        <v>12.907771012072157</v>
      </c>
      <c r="K26" s="93">
        <f t="shared" si="6"/>
        <v>23.604868762471042</v>
      </c>
      <c r="L26" s="93">
        <f t="shared" si="6"/>
        <v>23.861428685782098</v>
      </c>
      <c r="M26" s="93">
        <f t="shared" si="6"/>
        <v>25.017927543708094</v>
      </c>
      <c r="N26" s="93">
        <f t="shared" si="6"/>
        <v>26.107263240725821</v>
      </c>
      <c r="O26" s="93">
        <f t="shared" si="6"/>
        <v>26.476080603017234</v>
      </c>
      <c r="P26" s="93">
        <f t="shared" si="6"/>
        <v>30.201128615908917</v>
      </c>
      <c r="Q26" s="193">
        <f t="shared" si="6"/>
        <v>13.093877209495055</v>
      </c>
      <c r="R26" s="93">
        <f t="shared" si="6"/>
        <v>0</v>
      </c>
      <c r="S26" s="93">
        <f t="shared" si="6"/>
        <v>0</v>
      </c>
      <c r="T26" s="93">
        <f t="shared" si="6"/>
        <v>0</v>
      </c>
      <c r="U26" s="93">
        <f t="shared" si="6"/>
        <v>0</v>
      </c>
      <c r="V26" s="93">
        <f t="shared" si="6"/>
        <v>0</v>
      </c>
      <c r="W26" s="93">
        <f t="shared" si="6"/>
        <v>0</v>
      </c>
      <c r="X26" s="93">
        <f t="shared" si="6"/>
        <v>0</v>
      </c>
      <c r="Y26" s="93">
        <f t="shared" si="6"/>
        <v>0</v>
      </c>
      <c r="Z26" s="93">
        <f t="shared" si="6"/>
        <v>0</v>
      </c>
      <c r="AA26" s="93">
        <f t="shared" si="6"/>
        <v>0</v>
      </c>
      <c r="AB26" s="93">
        <f t="shared" si="6"/>
        <v>0</v>
      </c>
      <c r="AC26" s="93">
        <f t="shared" si="6"/>
        <v>0</v>
      </c>
      <c r="AD26" s="93">
        <f t="shared" si="6"/>
        <v>0</v>
      </c>
      <c r="AE26" s="93">
        <f t="shared" si="6"/>
        <v>0</v>
      </c>
      <c r="AF26" s="93">
        <f t="shared" si="6"/>
        <v>0</v>
      </c>
      <c r="AG26" s="94">
        <f t="shared" si="6"/>
        <v>0</v>
      </c>
    </row>
    <row r="27" spans="2:33" ht="15" thickBot="1" x14ac:dyDescent="0.35">
      <c r="B27" s="194" t="s">
        <v>449</v>
      </c>
      <c r="C27" s="5">
        <f ca="1">C26/'Project Capex'!$D$69</f>
        <v>0.40864316731773298</v>
      </c>
      <c r="D27" s="5">
        <f ca="1">D26/'Project Capex'!$D$69</f>
        <v>0.4223760420172446</v>
      </c>
      <c r="E27" s="5">
        <f ca="1">E26/'Project Capex'!$D$69</f>
        <v>0.44332335893461994</v>
      </c>
      <c r="F27" s="5">
        <f ca="1">F26/'Project Capex'!$D$69</f>
        <v>0.44776588207856038</v>
      </c>
      <c r="G27" s="5">
        <f ca="1">G26/'Project Capex'!$D$69</f>
        <v>0.4688206376614979</v>
      </c>
      <c r="H27" s="5">
        <f ca="1">H26/'Project Capex'!$D$69</f>
        <v>0.49086186057229586</v>
      </c>
      <c r="I27" s="5">
        <f ca="1">I26/'Project Capex'!$D$69</f>
        <v>0.54616575235174203</v>
      </c>
      <c r="J27" s="5">
        <f ca="1">J26/'Project Capex'!$D$69</f>
        <v>0.23830004936522578</v>
      </c>
      <c r="K27" s="5">
        <f ca="1">K26/'Project Capex'!$D$69</f>
        <v>0.43578720029164092</v>
      </c>
      <c r="L27" s="5">
        <f ca="1">L26/'Project Capex'!$D$69</f>
        <v>0.44052374561251645</v>
      </c>
      <c r="M27" s="5">
        <f ca="1">M26/'Project Capex'!$D$69</f>
        <v>0.46187473910913485</v>
      </c>
      <c r="N27" s="5">
        <f ca="1">N26/'Project Capex'!$D$69</f>
        <v>0.48198578307883677</v>
      </c>
      <c r="O27" s="5">
        <f ca="1">O26/'Project Capex'!$D$69</f>
        <v>0.48879479724236635</v>
      </c>
      <c r="P27" s="5">
        <f ca="1">P26/'Project Capex'!$D$69</f>
        <v>0.55756570466935051</v>
      </c>
      <c r="Q27" s="5">
        <f ca="1">Q26/'Project Capex'!$D$69</f>
        <v>0.24173589556915775</v>
      </c>
    </row>
    <row r="28" spans="2:33" ht="15" thickBot="1" x14ac:dyDescent="0.35">
      <c r="B28" s="195" t="s">
        <v>44</v>
      </c>
      <c r="C28" s="9">
        <f ca="1">'Term Loan'!D62</f>
        <v>5.1314803838847913</v>
      </c>
      <c r="D28" s="9">
        <f ca="1">'Term Loan'!E62</f>
        <v>4.788428770477462</v>
      </c>
      <c r="E28" s="9">
        <f ca="1">'Term Loan'!F62</f>
        <v>4.4453771570701068</v>
      </c>
      <c r="F28" s="9">
        <f ca="1">'Term Loan'!G62</f>
        <v>4.1023255436627748</v>
      </c>
      <c r="G28" s="9">
        <f ca="1">'Term Loan'!H62</f>
        <v>3.759273930255425</v>
      </c>
      <c r="H28" s="9">
        <f ca="1">'Term Loan'!I62</f>
        <v>3.4162223168480921</v>
      </c>
      <c r="I28" s="9">
        <f ca="1">'Term Loan'!J62</f>
        <v>3.0731707034407636</v>
      </c>
      <c r="J28" s="9">
        <f ca="1">'Term Loan'!K62</f>
        <v>2.7301190900334089</v>
      </c>
      <c r="K28" s="9">
        <f ca="1">'Term Loan'!L62</f>
        <v>2.3870674766260764</v>
      </c>
      <c r="L28" s="9">
        <f ca="1">'Term Loan'!M62</f>
        <v>2.0440158632187262</v>
      </c>
      <c r="M28" s="9">
        <f ca="1">'Term Loan'!N62</f>
        <v>1.7009642498113935</v>
      </c>
      <c r="N28" s="9">
        <f ca="1">'Term Loan'!O62</f>
        <v>1.3579126364040648</v>
      </c>
      <c r="O28" s="9">
        <f ca="1">'Term Loan'!P62</f>
        <v>1.0148610229967103</v>
      </c>
      <c r="P28" s="9">
        <f ca="1">'Term Loan'!Q62</f>
        <v>0.6718094095893774</v>
      </c>
      <c r="Q28" s="196">
        <f ca="1">'Term Loan'!R62</f>
        <v>0.32875779618202716</v>
      </c>
      <c r="R28" s="9">
        <f>'Term Loan'!S62</f>
        <v>0</v>
      </c>
      <c r="S28" s="9">
        <f>'Term Loan'!T62</f>
        <v>0</v>
      </c>
      <c r="T28" s="9">
        <f>'Term Loan'!U62</f>
        <v>0</v>
      </c>
      <c r="U28" s="9">
        <f>'Term Loan'!V62</f>
        <v>0</v>
      </c>
      <c r="V28" s="9">
        <f>'Term Loan'!W62</f>
        <v>0</v>
      </c>
      <c r="W28" s="9">
        <f>'Term Loan'!X62</f>
        <v>0</v>
      </c>
      <c r="X28" s="9">
        <f>'Term Loan'!Y62</f>
        <v>0</v>
      </c>
      <c r="Y28" s="9">
        <f>'Term Loan'!Z62</f>
        <v>0</v>
      </c>
      <c r="Z28" s="9">
        <f>'Term Loan'!AA62</f>
        <v>0</v>
      </c>
      <c r="AA28" s="9">
        <f>'Term Loan'!AB62</f>
        <v>0</v>
      </c>
      <c r="AB28" s="9">
        <f>'Term Loan'!AC62</f>
        <v>0</v>
      </c>
      <c r="AC28" s="9">
        <f>'Term Loan'!AD62</f>
        <v>0</v>
      </c>
      <c r="AD28" s="9">
        <f>'Term Loan'!AE62</f>
        <v>0</v>
      </c>
      <c r="AE28" s="9">
        <f>'Term Loan'!AF62</f>
        <v>0</v>
      </c>
      <c r="AF28" s="9">
        <f>'Term Loan'!AG62</f>
        <v>0</v>
      </c>
      <c r="AG28" s="10">
        <f>'Term Loan'!AH62</f>
        <v>0</v>
      </c>
    </row>
    <row r="29" spans="2:33" ht="15" thickBot="1" x14ac:dyDescent="0.35">
      <c r="B29" s="178"/>
      <c r="Q29" s="180"/>
    </row>
    <row r="30" spans="2:33" ht="15" thickBot="1" x14ac:dyDescent="0.35">
      <c r="B30" s="187" t="s">
        <v>60</v>
      </c>
      <c r="C30" s="27">
        <f ca="1">C26-C28</f>
        <v>17.003103488152369</v>
      </c>
      <c r="D30" s="27">
        <f t="shared" ref="D30:AG30" ca="1" si="7">D26-D28</f>
        <v>18.090010599831544</v>
      </c>
      <c r="E30" s="27">
        <f t="shared" ca="1" si="7"/>
        <v>19.567695507722142</v>
      </c>
      <c r="F30" s="27">
        <f t="shared" ca="1" si="7"/>
        <v>20.151381026202355</v>
      </c>
      <c r="G30" s="27">
        <f t="shared" ca="1" si="7"/>
        <v>21.634885461602966</v>
      </c>
      <c r="H30" s="27">
        <f t="shared" ca="1" si="7"/>
        <v>23.171822929908217</v>
      </c>
      <c r="I30" s="27">
        <f t="shared" ca="1" si="7"/>
        <v>26.510467591101463</v>
      </c>
      <c r="J30" s="27">
        <f t="shared" ca="1" si="7"/>
        <v>10.177651922038748</v>
      </c>
      <c r="K30" s="27">
        <f t="shared" ca="1" si="7"/>
        <v>21.217801285844967</v>
      </c>
      <c r="L30" s="27">
        <f t="shared" ca="1" si="7"/>
        <v>21.817412822563373</v>
      </c>
      <c r="M30" s="27">
        <f t="shared" ca="1" si="7"/>
        <v>23.316963293896702</v>
      </c>
      <c r="N30" s="27">
        <f t="shared" ca="1" si="7"/>
        <v>24.749350604321755</v>
      </c>
      <c r="O30" s="27">
        <f t="shared" ca="1" si="7"/>
        <v>25.461219580020522</v>
      </c>
      <c r="P30" s="27">
        <f t="shared" ca="1" si="7"/>
        <v>29.529319206319538</v>
      </c>
      <c r="Q30" s="188">
        <f t="shared" ca="1" si="7"/>
        <v>12.765119413313029</v>
      </c>
      <c r="R30" s="27">
        <f t="shared" si="7"/>
        <v>0</v>
      </c>
      <c r="S30" s="27">
        <f t="shared" si="7"/>
        <v>0</v>
      </c>
      <c r="T30" s="27">
        <f t="shared" si="7"/>
        <v>0</v>
      </c>
      <c r="U30" s="27">
        <f t="shared" si="7"/>
        <v>0</v>
      </c>
      <c r="V30" s="27">
        <f t="shared" si="7"/>
        <v>0</v>
      </c>
      <c r="W30" s="27">
        <f t="shared" si="7"/>
        <v>0</v>
      </c>
      <c r="X30" s="27">
        <f t="shared" si="7"/>
        <v>0</v>
      </c>
      <c r="Y30" s="27">
        <f t="shared" si="7"/>
        <v>0</v>
      </c>
      <c r="Z30" s="27">
        <f t="shared" si="7"/>
        <v>0</v>
      </c>
      <c r="AA30" s="27">
        <f t="shared" si="7"/>
        <v>0</v>
      </c>
      <c r="AB30" s="27">
        <f t="shared" si="7"/>
        <v>0</v>
      </c>
      <c r="AC30" s="27">
        <f t="shared" si="7"/>
        <v>0</v>
      </c>
      <c r="AD30" s="27">
        <f t="shared" si="7"/>
        <v>0</v>
      </c>
      <c r="AE30" s="27">
        <f t="shared" si="7"/>
        <v>0</v>
      </c>
      <c r="AF30" s="27">
        <f t="shared" si="7"/>
        <v>0</v>
      </c>
      <c r="AG30" s="52">
        <f t="shared" si="7"/>
        <v>0</v>
      </c>
    </row>
    <row r="31" spans="2:33" x14ac:dyDescent="0.3">
      <c r="B31" s="178"/>
      <c r="Q31" s="180"/>
    </row>
    <row r="32" spans="2:33" x14ac:dyDescent="0.3">
      <c r="B32" s="178" t="s">
        <v>8</v>
      </c>
      <c r="C32" s="3">
        <f ca="1">'Project Expenses'!F113</f>
        <v>6.8610322681468734</v>
      </c>
      <c r="D32" s="3">
        <f ca="1">'Project Expenses'!G113</f>
        <v>6.8610322681468734</v>
      </c>
      <c r="E32" s="3">
        <f ca="1">'Project Expenses'!H113</f>
        <v>6.8610322681468734</v>
      </c>
      <c r="F32" s="3">
        <f ca="1">'Project Expenses'!I113</f>
        <v>6.8610322681468734</v>
      </c>
      <c r="G32" s="3">
        <f ca="1">'Project Expenses'!J113</f>
        <v>6.8610322681468734</v>
      </c>
      <c r="H32" s="3">
        <f ca="1">'Project Expenses'!K113</f>
        <v>6.8610322681468734</v>
      </c>
      <c r="I32" s="3">
        <f ca="1">'Project Expenses'!L113</f>
        <v>6.8610322681468734</v>
      </c>
      <c r="J32" s="3">
        <f ca="1">'Project Expenses'!M113</f>
        <v>3.4305161340734367</v>
      </c>
      <c r="K32" s="3">
        <f>'Project Expenses'!N113</f>
        <v>0</v>
      </c>
      <c r="L32" s="3">
        <f>'Project Expenses'!O113</f>
        <v>0</v>
      </c>
      <c r="M32" s="3">
        <f>'Project Expenses'!P113</f>
        <v>0</v>
      </c>
      <c r="N32" s="3">
        <f>'Project Expenses'!Q113</f>
        <v>0</v>
      </c>
      <c r="O32" s="3">
        <f>'Project Expenses'!R113</f>
        <v>0</v>
      </c>
      <c r="P32" s="3">
        <f>'Project Expenses'!S113</f>
        <v>0</v>
      </c>
      <c r="Q32" s="179">
        <f>'Project Expenses'!T113</f>
        <v>0</v>
      </c>
      <c r="R32" s="3">
        <f>'Project Expenses'!U113</f>
        <v>0</v>
      </c>
      <c r="S32" s="3">
        <f>'Project Expenses'!V113</f>
        <v>0</v>
      </c>
      <c r="T32" s="3">
        <f>'Project Expenses'!W113</f>
        <v>0</v>
      </c>
      <c r="U32" s="3">
        <f>'Project Expenses'!X113</f>
        <v>0</v>
      </c>
      <c r="V32" s="3">
        <f>'Project Expenses'!Y113</f>
        <v>0</v>
      </c>
      <c r="W32" s="3">
        <f>'Project Expenses'!Z113</f>
        <v>0</v>
      </c>
      <c r="X32" s="3">
        <f>'Project Expenses'!AA113</f>
        <v>0</v>
      </c>
      <c r="Y32" s="3">
        <f>'Project Expenses'!AB113</f>
        <v>0</v>
      </c>
      <c r="Z32" s="3">
        <f>'Project Expenses'!AC113</f>
        <v>0</v>
      </c>
      <c r="AA32" s="3">
        <f>'Project Expenses'!AD113</f>
        <v>0</v>
      </c>
      <c r="AB32" s="3">
        <f>'Project Expenses'!AE113</f>
        <v>0</v>
      </c>
      <c r="AC32" s="3">
        <f>'Project Expenses'!AF113</f>
        <v>0</v>
      </c>
      <c r="AD32" s="3">
        <f>'Project Expenses'!AG113</f>
        <v>0</v>
      </c>
      <c r="AE32" s="3">
        <f>'Project Expenses'!AH113</f>
        <v>0</v>
      </c>
      <c r="AF32" s="3">
        <f>'Project Expenses'!AI113</f>
        <v>0</v>
      </c>
      <c r="AG32" s="3">
        <f>'Project Expenses'!AJ113</f>
        <v>0</v>
      </c>
    </row>
    <row r="33" spans="1:33" ht="15" thickBot="1" x14ac:dyDescent="0.35">
      <c r="B33" s="178"/>
      <c r="Q33" s="180"/>
    </row>
    <row r="34" spans="1:33" ht="15" thickBot="1" x14ac:dyDescent="0.35">
      <c r="A34" s="85">
        <f ca="1">AVERAGE(C34:Q34)</f>
        <v>17.580430848115906</v>
      </c>
      <c r="B34" s="197" t="s">
        <v>62</v>
      </c>
      <c r="C34" s="93">
        <f ca="1">C30-C32</f>
        <v>10.142071220005496</v>
      </c>
      <c r="D34" s="93">
        <f t="shared" ref="D34:AG34" ca="1" si="8">D30-D32</f>
        <v>11.228978331684671</v>
      </c>
      <c r="E34" s="93">
        <f t="shared" ca="1" si="8"/>
        <v>12.706663239575269</v>
      </c>
      <c r="F34" s="93">
        <f t="shared" ca="1" si="8"/>
        <v>13.290348758055481</v>
      </c>
      <c r="G34" s="93">
        <f t="shared" ca="1" si="8"/>
        <v>14.773853193456093</v>
      </c>
      <c r="H34" s="93">
        <f t="shared" ca="1" si="8"/>
        <v>16.310790661761345</v>
      </c>
      <c r="I34" s="93">
        <f t="shared" ca="1" si="8"/>
        <v>19.649435322954588</v>
      </c>
      <c r="J34" s="93">
        <f t="shared" ca="1" si="8"/>
        <v>6.7471357879653118</v>
      </c>
      <c r="K34" s="93">
        <f t="shared" ca="1" si="8"/>
        <v>21.217801285844967</v>
      </c>
      <c r="L34" s="93">
        <f t="shared" ca="1" si="8"/>
        <v>21.817412822563373</v>
      </c>
      <c r="M34" s="93">
        <f t="shared" ca="1" si="8"/>
        <v>23.316963293896702</v>
      </c>
      <c r="N34" s="93">
        <f t="shared" ca="1" si="8"/>
        <v>24.749350604321755</v>
      </c>
      <c r="O34" s="93">
        <f t="shared" ca="1" si="8"/>
        <v>25.461219580020522</v>
      </c>
      <c r="P34" s="93">
        <f t="shared" ca="1" si="8"/>
        <v>29.529319206319538</v>
      </c>
      <c r="Q34" s="193">
        <f t="shared" ca="1" si="8"/>
        <v>12.765119413313029</v>
      </c>
      <c r="R34" s="93">
        <f t="shared" si="8"/>
        <v>0</v>
      </c>
      <c r="S34" s="93">
        <f t="shared" si="8"/>
        <v>0</v>
      </c>
      <c r="T34" s="93">
        <f t="shared" si="8"/>
        <v>0</v>
      </c>
      <c r="U34" s="93">
        <f t="shared" si="8"/>
        <v>0</v>
      </c>
      <c r="V34" s="93">
        <f t="shared" si="8"/>
        <v>0</v>
      </c>
      <c r="W34" s="93">
        <f t="shared" si="8"/>
        <v>0</v>
      </c>
      <c r="X34" s="93">
        <f t="shared" si="8"/>
        <v>0</v>
      </c>
      <c r="Y34" s="93">
        <f t="shared" si="8"/>
        <v>0</v>
      </c>
      <c r="Z34" s="93">
        <f t="shared" si="8"/>
        <v>0</v>
      </c>
      <c r="AA34" s="93">
        <f t="shared" si="8"/>
        <v>0</v>
      </c>
      <c r="AB34" s="93">
        <f t="shared" si="8"/>
        <v>0</v>
      </c>
      <c r="AC34" s="93">
        <f t="shared" si="8"/>
        <v>0</v>
      </c>
      <c r="AD34" s="93">
        <f t="shared" si="8"/>
        <v>0</v>
      </c>
      <c r="AE34" s="93">
        <f t="shared" si="8"/>
        <v>0</v>
      </c>
      <c r="AF34" s="93">
        <f t="shared" si="8"/>
        <v>0</v>
      </c>
      <c r="AG34" s="94">
        <f t="shared" si="8"/>
        <v>0</v>
      </c>
    </row>
    <row r="35" spans="1:33" x14ac:dyDescent="0.3">
      <c r="A35" s="51">
        <f>Inputs!J5</f>
        <v>0.25168000000000001</v>
      </c>
      <c r="B35" s="178" t="s">
        <v>212</v>
      </c>
      <c r="C35" s="3">
        <f ca="1">IF(C34&lt;0,0,$A$35*C34)</f>
        <v>2.5525564846509834</v>
      </c>
      <c r="D35" s="3">
        <f t="shared" ref="D35:AG35" ca="1" si="9">IF(D34&lt;0,0,$A$35*D34)</f>
        <v>2.8261092665183982</v>
      </c>
      <c r="E35" s="3">
        <f t="shared" ca="1" si="9"/>
        <v>3.1980130041363037</v>
      </c>
      <c r="F35" s="3">
        <f t="shared" ca="1" si="9"/>
        <v>3.3449149754274039</v>
      </c>
      <c r="G35" s="3">
        <f t="shared" ca="1" si="9"/>
        <v>3.7182833717290298</v>
      </c>
      <c r="H35" s="3">
        <f t="shared" ca="1" si="9"/>
        <v>4.1050997937520952</v>
      </c>
      <c r="I35" s="3">
        <f t="shared" ca="1" si="9"/>
        <v>4.9453698820812111</v>
      </c>
      <c r="J35" s="3">
        <f t="shared" ca="1" si="9"/>
        <v>1.6981191351151097</v>
      </c>
      <c r="K35" s="3">
        <f t="shared" ca="1" si="9"/>
        <v>5.3400962276214612</v>
      </c>
      <c r="L35" s="3">
        <f t="shared" ca="1" si="9"/>
        <v>5.4910064591827501</v>
      </c>
      <c r="M35" s="3">
        <f t="shared" ca="1" si="9"/>
        <v>5.868413321807922</v>
      </c>
      <c r="N35" s="3">
        <f t="shared" ca="1" si="9"/>
        <v>6.2289165600956995</v>
      </c>
      <c r="O35" s="3">
        <f t="shared" ca="1" si="9"/>
        <v>6.4080797438995658</v>
      </c>
      <c r="P35" s="3">
        <f t="shared" ca="1" si="9"/>
        <v>7.4319390578465017</v>
      </c>
      <c r="Q35" s="179">
        <f t="shared" ca="1" si="9"/>
        <v>3.2127252539426232</v>
      </c>
      <c r="R35" s="3">
        <f t="shared" si="9"/>
        <v>0</v>
      </c>
      <c r="S35" s="3">
        <f t="shared" si="9"/>
        <v>0</v>
      </c>
      <c r="T35" s="3">
        <f t="shared" si="9"/>
        <v>0</v>
      </c>
      <c r="U35" s="3">
        <f t="shared" si="9"/>
        <v>0</v>
      </c>
      <c r="V35" s="3">
        <f t="shared" si="9"/>
        <v>0</v>
      </c>
      <c r="W35" s="3">
        <f t="shared" si="9"/>
        <v>0</v>
      </c>
      <c r="X35" s="3">
        <f t="shared" si="9"/>
        <v>0</v>
      </c>
      <c r="Y35" s="3">
        <f t="shared" si="9"/>
        <v>0</v>
      </c>
      <c r="Z35" s="3">
        <f t="shared" si="9"/>
        <v>0</v>
      </c>
      <c r="AA35" s="3">
        <f t="shared" si="9"/>
        <v>0</v>
      </c>
      <c r="AB35" s="3">
        <f t="shared" si="9"/>
        <v>0</v>
      </c>
      <c r="AC35" s="3">
        <f t="shared" si="9"/>
        <v>0</v>
      </c>
      <c r="AD35" s="3">
        <f t="shared" si="9"/>
        <v>0</v>
      </c>
      <c r="AE35" s="3">
        <f t="shared" si="9"/>
        <v>0</v>
      </c>
      <c r="AF35" s="3">
        <f t="shared" si="9"/>
        <v>0</v>
      </c>
      <c r="AG35" s="3">
        <f t="shared" si="9"/>
        <v>0</v>
      </c>
    </row>
    <row r="36" spans="1:33" ht="15" thickBot="1" x14ac:dyDescent="0.35">
      <c r="A36" s="5"/>
      <c r="B36" s="178" t="s">
        <v>246</v>
      </c>
      <c r="C36" s="3">
        <f ca="1">C46</f>
        <v>-0.30915131367026993</v>
      </c>
      <c r="D36" s="3">
        <f t="shared" ref="D36:AG36" ca="1" si="10">D46</f>
        <v>-3.7609264326531008E-3</v>
      </c>
      <c r="E36" s="3">
        <f t="shared" ca="1" si="10"/>
        <v>0.25582090271929786</v>
      </c>
      <c r="F36" s="3">
        <f t="shared" ca="1" si="10"/>
        <v>0.47646545749849023</v>
      </c>
      <c r="G36" s="3">
        <f t="shared" ca="1" si="10"/>
        <v>0.66401332906080135</v>
      </c>
      <c r="H36" s="3">
        <f t="shared" ca="1" si="10"/>
        <v>0.8234290198887575</v>
      </c>
      <c r="I36" s="3">
        <f t="shared" ca="1" si="10"/>
        <v>0.95893235709252045</v>
      </c>
      <c r="J36" s="3">
        <f t="shared" ca="1" si="10"/>
        <v>0.21071789309213582</v>
      </c>
      <c r="K36" s="3">
        <f t="shared" ca="1" si="10"/>
        <v>0</v>
      </c>
      <c r="L36" s="3">
        <f t="shared" ca="1" si="10"/>
        <v>0</v>
      </c>
      <c r="M36" s="3">
        <f t="shared" ca="1" si="10"/>
        <v>0</v>
      </c>
      <c r="N36" s="3">
        <f t="shared" ca="1" si="10"/>
        <v>0</v>
      </c>
      <c r="O36" s="3">
        <f t="shared" ca="1" si="10"/>
        <v>0</v>
      </c>
      <c r="P36" s="3">
        <f t="shared" ca="1" si="10"/>
        <v>0</v>
      </c>
      <c r="Q36" s="179">
        <f t="shared" ca="1" si="10"/>
        <v>0</v>
      </c>
      <c r="R36" s="3">
        <f t="shared" ca="1" si="10"/>
        <v>0</v>
      </c>
      <c r="S36" s="3">
        <f t="shared" ca="1" si="10"/>
        <v>0</v>
      </c>
      <c r="T36" s="3">
        <f t="shared" ca="1" si="10"/>
        <v>0</v>
      </c>
      <c r="U36" s="3">
        <f t="shared" ca="1" si="10"/>
        <v>0</v>
      </c>
      <c r="V36" s="3">
        <f t="shared" ca="1" si="10"/>
        <v>0</v>
      </c>
      <c r="W36" s="3">
        <f t="shared" ca="1" si="10"/>
        <v>0</v>
      </c>
      <c r="X36" s="3">
        <f t="shared" ca="1" si="10"/>
        <v>0</v>
      </c>
      <c r="Y36" s="3">
        <f t="shared" ca="1" si="10"/>
        <v>0</v>
      </c>
      <c r="Z36" s="3">
        <f t="shared" ca="1" si="10"/>
        <v>0</v>
      </c>
      <c r="AA36" s="3">
        <f t="shared" ca="1" si="10"/>
        <v>0</v>
      </c>
      <c r="AB36" s="3">
        <f t="shared" ca="1" si="10"/>
        <v>0</v>
      </c>
      <c r="AC36" s="3">
        <f t="shared" ca="1" si="10"/>
        <v>0</v>
      </c>
      <c r="AD36" s="3">
        <f t="shared" ca="1" si="10"/>
        <v>0</v>
      </c>
      <c r="AE36" s="3">
        <f t="shared" ca="1" si="10"/>
        <v>0</v>
      </c>
      <c r="AF36" s="3">
        <f t="shared" ca="1" si="10"/>
        <v>0</v>
      </c>
      <c r="AG36" s="3">
        <f t="shared" ca="1" si="10"/>
        <v>0</v>
      </c>
    </row>
    <row r="37" spans="1:33" ht="15" thickBot="1" x14ac:dyDescent="0.35">
      <c r="A37" s="85">
        <f ca="1">AVERAGE(C37:Q37)</f>
        <v>13.360885793545366</v>
      </c>
      <c r="B37" s="198" t="s">
        <v>64</v>
      </c>
      <c r="C37" s="199">
        <f ca="1">C34-C35+C36</f>
        <v>7.2803634216842426</v>
      </c>
      <c r="D37" s="199">
        <f t="shared" ref="D37:AG37" ca="1" si="11">D34-D35+D36</f>
        <v>8.3991081387336184</v>
      </c>
      <c r="E37" s="199">
        <f t="shared" ca="1" si="11"/>
        <v>9.7644711381582638</v>
      </c>
      <c r="F37" s="199">
        <f t="shared" ca="1" si="11"/>
        <v>10.421899240126567</v>
      </c>
      <c r="G37" s="199">
        <f t="shared" ca="1" si="11"/>
        <v>11.719583150787864</v>
      </c>
      <c r="H37" s="199">
        <f t="shared" ca="1" si="11"/>
        <v>13.029119887898007</v>
      </c>
      <c r="I37" s="199">
        <f t="shared" ca="1" si="11"/>
        <v>15.662997797965897</v>
      </c>
      <c r="J37" s="199">
        <f t="shared" ca="1" si="11"/>
        <v>5.2597345459423384</v>
      </c>
      <c r="K37" s="199">
        <f t="shared" ca="1" si="11"/>
        <v>15.877705058223505</v>
      </c>
      <c r="L37" s="199">
        <f t="shared" ca="1" si="11"/>
        <v>16.326406363380624</v>
      </c>
      <c r="M37" s="199">
        <f t="shared" ca="1" si="11"/>
        <v>17.448549972088781</v>
      </c>
      <c r="N37" s="199">
        <f t="shared" ca="1" si="11"/>
        <v>18.520434044226057</v>
      </c>
      <c r="O37" s="199">
        <f t="shared" ca="1" si="11"/>
        <v>19.053139836120955</v>
      </c>
      <c r="P37" s="199">
        <f t="shared" ca="1" si="11"/>
        <v>22.097380148473036</v>
      </c>
      <c r="Q37" s="200">
        <f t="shared" ca="1" si="11"/>
        <v>9.5523941593704045</v>
      </c>
      <c r="R37" s="93">
        <f t="shared" ca="1" si="11"/>
        <v>0</v>
      </c>
      <c r="S37" s="93">
        <f t="shared" ca="1" si="11"/>
        <v>0</v>
      </c>
      <c r="T37" s="93">
        <f t="shared" ca="1" si="11"/>
        <v>0</v>
      </c>
      <c r="U37" s="93">
        <f t="shared" ca="1" si="11"/>
        <v>0</v>
      </c>
      <c r="V37" s="93">
        <f t="shared" ca="1" si="11"/>
        <v>0</v>
      </c>
      <c r="W37" s="93">
        <f t="shared" ca="1" si="11"/>
        <v>0</v>
      </c>
      <c r="X37" s="93">
        <f t="shared" ca="1" si="11"/>
        <v>0</v>
      </c>
      <c r="Y37" s="93">
        <f t="shared" ca="1" si="11"/>
        <v>0</v>
      </c>
      <c r="Z37" s="93">
        <f t="shared" ca="1" si="11"/>
        <v>0</v>
      </c>
      <c r="AA37" s="93">
        <f t="shared" ca="1" si="11"/>
        <v>0</v>
      </c>
      <c r="AB37" s="93">
        <f t="shared" ca="1" si="11"/>
        <v>0</v>
      </c>
      <c r="AC37" s="93">
        <f t="shared" ca="1" si="11"/>
        <v>0</v>
      </c>
      <c r="AD37" s="93">
        <f t="shared" ca="1" si="11"/>
        <v>0</v>
      </c>
      <c r="AE37" s="93">
        <f t="shared" ca="1" si="11"/>
        <v>0</v>
      </c>
      <c r="AF37" s="93">
        <f t="shared" ca="1" si="11"/>
        <v>0</v>
      </c>
      <c r="AG37" s="93">
        <f t="shared" ca="1" si="11"/>
        <v>0</v>
      </c>
    </row>
    <row r="38" spans="1:33" x14ac:dyDescent="0.3">
      <c r="C38" s="5">
        <f t="shared" ref="C38:AG38" ca="1" si="12">C37/C14</f>
        <v>0.22068358712838809</v>
      </c>
      <c r="D38" s="5">
        <f t="shared" ca="1" si="12"/>
        <v>0.25718442914776601</v>
      </c>
      <c r="E38" s="5">
        <f t="shared" ca="1" si="12"/>
        <v>0.28590260962076031</v>
      </c>
      <c r="F38" s="5">
        <f t="shared" ca="1" si="12"/>
        <v>0.29971768793736503</v>
      </c>
      <c r="G38" s="5">
        <f t="shared" ca="1" si="12"/>
        <v>0.32276119343023424</v>
      </c>
      <c r="H38" s="5">
        <f t="shared" ca="1" si="12"/>
        <v>0.34357958786308679</v>
      </c>
      <c r="I38" s="5">
        <f t="shared" ca="1" si="12"/>
        <v>0.40321124698945593</v>
      </c>
      <c r="J38" s="5">
        <f t="shared" ca="1" si="12"/>
        <v>0.15964236813984103</v>
      </c>
      <c r="K38" s="5">
        <f t="shared" ca="1" si="12"/>
        <v>0.46184723282633755</v>
      </c>
      <c r="L38" s="5">
        <f t="shared" ca="1" si="12"/>
        <v>0.46586236392470826</v>
      </c>
      <c r="M38" s="5">
        <f t="shared" ca="1" si="12"/>
        <v>0.47630850983073719</v>
      </c>
      <c r="N38" s="5">
        <f t="shared" ca="1" si="12"/>
        <v>0.48515109128672662</v>
      </c>
      <c r="O38" s="5">
        <f t="shared" ca="1" si="12"/>
        <v>0.48831211645869449</v>
      </c>
      <c r="P38" s="5">
        <f t="shared" ca="1" si="12"/>
        <v>0.54250404803381036</v>
      </c>
      <c r="Q38" s="5">
        <f t="shared" ca="1" si="12"/>
        <v>0.28345356983844588</v>
      </c>
      <c r="R38" s="5" t="e">
        <f t="shared" ca="1" si="12"/>
        <v>#DIV/0!</v>
      </c>
      <c r="S38" s="5" t="e">
        <f t="shared" ca="1" si="12"/>
        <v>#DIV/0!</v>
      </c>
      <c r="T38" s="5" t="e">
        <f t="shared" ca="1" si="12"/>
        <v>#DIV/0!</v>
      </c>
      <c r="U38" s="5" t="e">
        <f t="shared" ca="1" si="12"/>
        <v>#DIV/0!</v>
      </c>
      <c r="V38" s="5" t="e">
        <f t="shared" ca="1" si="12"/>
        <v>#DIV/0!</v>
      </c>
      <c r="W38" s="5" t="e">
        <f t="shared" ca="1" si="12"/>
        <v>#DIV/0!</v>
      </c>
      <c r="X38" s="5" t="e">
        <f t="shared" ca="1" si="12"/>
        <v>#DIV/0!</v>
      </c>
      <c r="Y38" s="5" t="e">
        <f t="shared" ca="1" si="12"/>
        <v>#DIV/0!</v>
      </c>
      <c r="Z38" s="5" t="e">
        <f t="shared" ca="1" si="12"/>
        <v>#DIV/0!</v>
      </c>
      <c r="AA38" s="5" t="e">
        <f t="shared" ca="1" si="12"/>
        <v>#DIV/0!</v>
      </c>
      <c r="AB38" s="5" t="e">
        <f t="shared" ca="1" si="12"/>
        <v>#DIV/0!</v>
      </c>
      <c r="AC38" s="5" t="e">
        <f t="shared" ca="1" si="12"/>
        <v>#DIV/0!</v>
      </c>
      <c r="AD38" s="5" t="e">
        <f t="shared" ca="1" si="12"/>
        <v>#DIV/0!</v>
      </c>
      <c r="AE38" s="5" t="e">
        <f t="shared" ca="1" si="12"/>
        <v>#DIV/0!</v>
      </c>
      <c r="AF38" s="5" t="e">
        <f t="shared" ca="1" si="12"/>
        <v>#DIV/0!</v>
      </c>
      <c r="AG38" s="5" t="e">
        <f t="shared" ca="1" si="12"/>
        <v>#DIV/0!</v>
      </c>
    </row>
    <row r="39" spans="1:33" ht="23.4" x14ac:dyDescent="0.45">
      <c r="B39" s="103" t="s">
        <v>213</v>
      </c>
    </row>
    <row r="40" spans="1:33" x14ac:dyDescent="0.3">
      <c r="B40" t="s">
        <v>62</v>
      </c>
      <c r="C40" s="3">
        <f ca="1">C34</f>
        <v>10.142071220005496</v>
      </c>
      <c r="D40" s="3">
        <f t="shared" ref="D40:AG40" ca="1" si="13">D34</f>
        <v>11.228978331684671</v>
      </c>
      <c r="E40" s="3">
        <f t="shared" ca="1" si="13"/>
        <v>12.706663239575269</v>
      </c>
      <c r="F40" s="3">
        <f t="shared" ca="1" si="13"/>
        <v>13.290348758055481</v>
      </c>
      <c r="G40" s="3">
        <f t="shared" ca="1" si="13"/>
        <v>14.773853193456093</v>
      </c>
      <c r="H40" s="3">
        <f t="shared" ca="1" si="13"/>
        <v>16.310790661761345</v>
      </c>
      <c r="I40" s="3">
        <f t="shared" ca="1" si="13"/>
        <v>19.649435322954588</v>
      </c>
      <c r="J40" s="3">
        <f t="shared" ca="1" si="13"/>
        <v>6.7471357879653118</v>
      </c>
      <c r="K40" s="3">
        <f t="shared" ca="1" si="13"/>
        <v>21.217801285844967</v>
      </c>
      <c r="L40" s="3">
        <f t="shared" ca="1" si="13"/>
        <v>21.817412822563373</v>
      </c>
      <c r="M40" s="3">
        <f t="shared" ca="1" si="13"/>
        <v>23.316963293896702</v>
      </c>
      <c r="N40" s="3">
        <f t="shared" ca="1" si="13"/>
        <v>24.749350604321755</v>
      </c>
      <c r="O40" s="3">
        <f t="shared" ca="1" si="13"/>
        <v>25.461219580020522</v>
      </c>
      <c r="P40" s="3">
        <f t="shared" ca="1" si="13"/>
        <v>29.529319206319538</v>
      </c>
      <c r="Q40" s="3">
        <f t="shared" ca="1" si="13"/>
        <v>12.765119413313029</v>
      </c>
      <c r="R40" s="3">
        <f t="shared" si="13"/>
        <v>0</v>
      </c>
      <c r="S40" s="3">
        <f t="shared" si="13"/>
        <v>0</v>
      </c>
      <c r="T40" s="3">
        <f t="shared" si="13"/>
        <v>0</v>
      </c>
      <c r="U40" s="3">
        <f t="shared" si="13"/>
        <v>0</v>
      </c>
      <c r="V40" s="3">
        <f t="shared" si="13"/>
        <v>0</v>
      </c>
      <c r="W40" s="3">
        <f t="shared" si="13"/>
        <v>0</v>
      </c>
      <c r="X40" s="3">
        <f t="shared" si="13"/>
        <v>0</v>
      </c>
      <c r="Y40" s="3">
        <f t="shared" si="13"/>
        <v>0</v>
      </c>
      <c r="Z40" s="3">
        <f t="shared" si="13"/>
        <v>0</v>
      </c>
      <c r="AA40" s="3">
        <f t="shared" si="13"/>
        <v>0</v>
      </c>
      <c r="AB40" s="3">
        <f t="shared" si="13"/>
        <v>0</v>
      </c>
      <c r="AC40" s="3">
        <f t="shared" si="13"/>
        <v>0</v>
      </c>
      <c r="AD40" s="3">
        <f t="shared" si="13"/>
        <v>0</v>
      </c>
      <c r="AE40" s="3">
        <f t="shared" si="13"/>
        <v>0</v>
      </c>
      <c r="AF40" s="3">
        <f t="shared" si="13"/>
        <v>0</v>
      </c>
      <c r="AG40" s="3">
        <f t="shared" si="13"/>
        <v>0</v>
      </c>
    </row>
    <row r="41" spans="1:33" x14ac:dyDescent="0.3">
      <c r="B41" t="s">
        <v>214</v>
      </c>
      <c r="C41" s="3">
        <f ca="1">C32</f>
        <v>6.8610322681468734</v>
      </c>
      <c r="D41" s="3">
        <f t="shared" ref="D41:AG41" ca="1" si="14">D32</f>
        <v>6.8610322681468734</v>
      </c>
      <c r="E41" s="3">
        <f t="shared" ca="1" si="14"/>
        <v>6.8610322681468734</v>
      </c>
      <c r="F41" s="3">
        <f t="shared" ca="1" si="14"/>
        <v>6.8610322681468734</v>
      </c>
      <c r="G41" s="3">
        <f t="shared" ca="1" si="14"/>
        <v>6.8610322681468734</v>
      </c>
      <c r="H41" s="3">
        <f t="shared" ca="1" si="14"/>
        <v>6.8610322681468734</v>
      </c>
      <c r="I41" s="3">
        <f t="shared" ca="1" si="14"/>
        <v>6.8610322681468734</v>
      </c>
      <c r="J41" s="3">
        <f t="shared" ca="1" si="14"/>
        <v>3.4305161340734367</v>
      </c>
      <c r="K41" s="3">
        <f t="shared" si="14"/>
        <v>0</v>
      </c>
      <c r="L41" s="3">
        <f t="shared" si="14"/>
        <v>0</v>
      </c>
      <c r="M41" s="3">
        <f t="shared" si="14"/>
        <v>0</v>
      </c>
      <c r="N41" s="3">
        <f t="shared" si="14"/>
        <v>0</v>
      </c>
      <c r="O41" s="3">
        <f t="shared" si="14"/>
        <v>0</v>
      </c>
      <c r="P41" s="3">
        <f t="shared" si="14"/>
        <v>0</v>
      </c>
      <c r="Q41" s="3">
        <f t="shared" si="14"/>
        <v>0</v>
      </c>
      <c r="R41" s="3">
        <f t="shared" si="14"/>
        <v>0</v>
      </c>
      <c r="S41" s="3">
        <f t="shared" si="14"/>
        <v>0</v>
      </c>
      <c r="T41" s="3">
        <f t="shared" si="14"/>
        <v>0</v>
      </c>
      <c r="U41" s="3">
        <f t="shared" si="14"/>
        <v>0</v>
      </c>
      <c r="V41" s="3">
        <f t="shared" si="14"/>
        <v>0</v>
      </c>
      <c r="W41" s="3">
        <f t="shared" si="14"/>
        <v>0</v>
      </c>
      <c r="X41" s="3">
        <f t="shared" si="14"/>
        <v>0</v>
      </c>
      <c r="Y41" s="3">
        <f t="shared" si="14"/>
        <v>0</v>
      </c>
      <c r="Z41" s="3">
        <f t="shared" si="14"/>
        <v>0</v>
      </c>
      <c r="AA41" s="3">
        <f t="shared" si="14"/>
        <v>0</v>
      </c>
      <c r="AB41" s="3">
        <f t="shared" si="14"/>
        <v>0</v>
      </c>
      <c r="AC41" s="3">
        <f t="shared" si="14"/>
        <v>0</v>
      </c>
      <c r="AD41" s="3">
        <f t="shared" si="14"/>
        <v>0</v>
      </c>
      <c r="AE41" s="3">
        <f t="shared" si="14"/>
        <v>0</v>
      </c>
      <c r="AF41" s="3">
        <f t="shared" si="14"/>
        <v>0</v>
      </c>
      <c r="AG41" s="3">
        <f t="shared" si="14"/>
        <v>0</v>
      </c>
    </row>
    <row r="42" spans="1:33" x14ac:dyDescent="0.3">
      <c r="B42" t="s">
        <v>215</v>
      </c>
      <c r="C42" s="3">
        <f ca="1">C40+C41</f>
        <v>17.003103488152369</v>
      </c>
      <c r="D42" s="3">
        <f t="shared" ref="D42:AG42" ca="1" si="15">D40+D41</f>
        <v>18.090010599831544</v>
      </c>
      <c r="E42" s="3">
        <f t="shared" ca="1" si="15"/>
        <v>19.567695507722142</v>
      </c>
      <c r="F42" s="3">
        <f t="shared" ca="1" si="15"/>
        <v>20.151381026202355</v>
      </c>
      <c r="G42" s="3">
        <f t="shared" ca="1" si="15"/>
        <v>21.634885461602966</v>
      </c>
      <c r="H42" s="3">
        <f t="shared" ca="1" si="15"/>
        <v>23.171822929908217</v>
      </c>
      <c r="I42" s="3">
        <f t="shared" ca="1" si="15"/>
        <v>26.51046759110146</v>
      </c>
      <c r="J42" s="3">
        <f t="shared" ca="1" si="15"/>
        <v>10.177651922038748</v>
      </c>
      <c r="K42" s="3">
        <f t="shared" ca="1" si="15"/>
        <v>21.217801285844967</v>
      </c>
      <c r="L42" s="3">
        <f t="shared" ca="1" si="15"/>
        <v>21.817412822563373</v>
      </c>
      <c r="M42" s="3">
        <f t="shared" ca="1" si="15"/>
        <v>23.316963293896702</v>
      </c>
      <c r="N42" s="3">
        <f t="shared" ca="1" si="15"/>
        <v>24.749350604321755</v>
      </c>
      <c r="O42" s="3">
        <f t="shared" ca="1" si="15"/>
        <v>25.461219580020522</v>
      </c>
      <c r="P42" s="3">
        <f t="shared" ca="1" si="15"/>
        <v>29.529319206319538</v>
      </c>
      <c r="Q42" s="3">
        <f t="shared" ca="1" si="15"/>
        <v>12.765119413313029</v>
      </c>
      <c r="R42" s="3">
        <f t="shared" si="15"/>
        <v>0</v>
      </c>
      <c r="S42" s="3">
        <f t="shared" si="15"/>
        <v>0</v>
      </c>
      <c r="T42" s="3">
        <f t="shared" si="15"/>
        <v>0</v>
      </c>
      <c r="U42" s="3">
        <f t="shared" si="15"/>
        <v>0</v>
      </c>
      <c r="V42" s="3">
        <f t="shared" si="15"/>
        <v>0</v>
      </c>
      <c r="W42" s="3">
        <f t="shared" si="15"/>
        <v>0</v>
      </c>
      <c r="X42" s="3">
        <f t="shared" si="15"/>
        <v>0</v>
      </c>
      <c r="Y42" s="3">
        <f t="shared" si="15"/>
        <v>0</v>
      </c>
      <c r="Z42" s="3">
        <f t="shared" si="15"/>
        <v>0</v>
      </c>
      <c r="AA42" s="3">
        <f t="shared" si="15"/>
        <v>0</v>
      </c>
      <c r="AB42" s="3">
        <f t="shared" si="15"/>
        <v>0</v>
      </c>
      <c r="AC42" s="3">
        <f t="shared" si="15"/>
        <v>0</v>
      </c>
      <c r="AD42" s="3">
        <f t="shared" si="15"/>
        <v>0</v>
      </c>
      <c r="AE42" s="3">
        <f t="shared" si="15"/>
        <v>0</v>
      </c>
      <c r="AF42" s="3">
        <f t="shared" si="15"/>
        <v>0</v>
      </c>
      <c r="AG42" s="3">
        <f t="shared" si="15"/>
        <v>0</v>
      </c>
    </row>
    <row r="43" spans="1:33" ht="15" thickBot="1" x14ac:dyDescent="0.35">
      <c r="B43" t="s">
        <v>454</v>
      </c>
      <c r="C43" s="3">
        <f ca="1">'Project Expenses'!F236</f>
        <v>8.0893830058704683</v>
      </c>
      <c r="D43" s="3">
        <f ca="1">'Project Expenses'!G236</f>
        <v>6.8759755549898465</v>
      </c>
      <c r="E43" s="3">
        <f ca="1">'Project Expenses'!H236</f>
        <v>5.8445792217413226</v>
      </c>
      <c r="F43" s="3">
        <f ca="1">'Project Expenses'!I236</f>
        <v>4.9678923384801221</v>
      </c>
      <c r="G43" s="3">
        <f ca="1">'Project Expenses'!J236</f>
        <v>4.2227084877081724</v>
      </c>
      <c r="H43" s="3">
        <f ca="1">'Project Expenses'!K236</f>
        <v>3.5893022145519189</v>
      </c>
      <c r="I43" s="3">
        <f ca="1">'Project Expenses'!L236</f>
        <v>3.0509068823691066</v>
      </c>
      <c r="J43" s="3">
        <f ca="1">'Project Expenses'!M236</f>
        <v>2.5932708500137398</v>
      </c>
      <c r="K43" s="3">
        <f>'Project Expenses'!N236</f>
        <v>0</v>
      </c>
      <c r="L43" s="3">
        <f>'Project Expenses'!O236</f>
        <v>0</v>
      </c>
      <c r="M43" s="3">
        <f>'Project Expenses'!P236</f>
        <v>0</v>
      </c>
      <c r="N43" s="3">
        <f>'Project Expenses'!Q236</f>
        <v>0</v>
      </c>
      <c r="O43" s="3">
        <f>'Project Expenses'!R236</f>
        <v>0</v>
      </c>
      <c r="P43" s="3">
        <f>'Project Expenses'!S236</f>
        <v>0</v>
      </c>
      <c r="Q43" s="3">
        <f>'Project Expenses'!T236</f>
        <v>0</v>
      </c>
      <c r="R43" s="3">
        <f>'Project Expenses'!U236</f>
        <v>0</v>
      </c>
      <c r="S43" s="3">
        <f>'Project Expenses'!V236</f>
        <v>0</v>
      </c>
      <c r="T43" s="3">
        <f>'Project Expenses'!W236</f>
        <v>0</v>
      </c>
      <c r="U43" s="3">
        <f>'Project Expenses'!X236</f>
        <v>0</v>
      </c>
      <c r="V43" s="3">
        <f>'Project Expenses'!Y236</f>
        <v>0</v>
      </c>
      <c r="W43" s="3">
        <f>'Project Expenses'!Z236</f>
        <v>0</v>
      </c>
      <c r="X43" s="3">
        <f>'Project Expenses'!AA236</f>
        <v>0</v>
      </c>
      <c r="Y43" s="3">
        <f>'Project Expenses'!AB236</f>
        <v>0</v>
      </c>
      <c r="Z43" s="3">
        <f>'Project Expenses'!AC236</f>
        <v>0</v>
      </c>
      <c r="AA43" s="3">
        <f>'Project Expenses'!AD236</f>
        <v>0</v>
      </c>
      <c r="AB43" s="3">
        <f>'Project Expenses'!AE236</f>
        <v>0</v>
      </c>
      <c r="AC43" s="3">
        <f>'Project Expenses'!AF236</f>
        <v>0</v>
      </c>
      <c r="AD43" s="3">
        <f>'Project Expenses'!AG236</f>
        <v>0</v>
      </c>
      <c r="AE43" s="3">
        <f>'Project Expenses'!AH236</f>
        <v>0</v>
      </c>
      <c r="AF43" s="3">
        <f>'Project Expenses'!AI236</f>
        <v>0</v>
      </c>
      <c r="AG43" s="3">
        <f>'Project Expenses'!AJ236</f>
        <v>0</v>
      </c>
    </row>
    <row r="44" spans="1:33" ht="15" thickBot="1" x14ac:dyDescent="0.35">
      <c r="B44" s="7" t="s">
        <v>247</v>
      </c>
      <c r="C44" s="9">
        <f ca="1">C42-C43</f>
        <v>8.9137204822819012</v>
      </c>
      <c r="D44" s="9">
        <f t="shared" ref="D44:AG44" ca="1" si="16">D42-D43</f>
        <v>11.214035044841697</v>
      </c>
      <c r="E44" s="9">
        <f t="shared" ca="1" si="16"/>
        <v>13.723116285980819</v>
      </c>
      <c r="F44" s="9">
        <f t="shared" ca="1" si="16"/>
        <v>15.183488687722232</v>
      </c>
      <c r="G44" s="9">
        <f t="shared" ca="1" si="16"/>
        <v>17.412176973894795</v>
      </c>
      <c r="H44" s="9">
        <f t="shared" ca="1" si="16"/>
        <v>19.582520715356299</v>
      </c>
      <c r="I44" s="9">
        <f t="shared" ca="1" si="16"/>
        <v>23.459560708732354</v>
      </c>
      <c r="J44" s="9">
        <f t="shared" ca="1" si="16"/>
        <v>7.5843810720250087</v>
      </c>
      <c r="K44" s="9">
        <f t="shared" ca="1" si="16"/>
        <v>21.217801285844967</v>
      </c>
      <c r="L44" s="9">
        <f t="shared" ca="1" si="16"/>
        <v>21.817412822563373</v>
      </c>
      <c r="M44" s="9">
        <f t="shared" ca="1" si="16"/>
        <v>23.316963293896702</v>
      </c>
      <c r="N44" s="9">
        <f t="shared" ca="1" si="16"/>
        <v>24.749350604321755</v>
      </c>
      <c r="O44" s="9">
        <f t="shared" ca="1" si="16"/>
        <v>25.461219580020522</v>
      </c>
      <c r="P44" s="9">
        <f t="shared" ca="1" si="16"/>
        <v>29.529319206319538</v>
      </c>
      <c r="Q44" s="9">
        <f t="shared" ca="1" si="16"/>
        <v>12.765119413313029</v>
      </c>
      <c r="R44" s="9">
        <f t="shared" si="16"/>
        <v>0</v>
      </c>
      <c r="S44" s="9">
        <f t="shared" si="16"/>
        <v>0</v>
      </c>
      <c r="T44" s="9">
        <f t="shared" si="16"/>
        <v>0</v>
      </c>
      <c r="U44" s="9">
        <f t="shared" si="16"/>
        <v>0</v>
      </c>
      <c r="V44" s="9">
        <f t="shared" si="16"/>
        <v>0</v>
      </c>
      <c r="W44" s="9">
        <f t="shared" si="16"/>
        <v>0</v>
      </c>
      <c r="X44" s="9">
        <f t="shared" si="16"/>
        <v>0</v>
      </c>
      <c r="Y44" s="9">
        <f t="shared" si="16"/>
        <v>0</v>
      </c>
      <c r="Z44" s="9">
        <f t="shared" si="16"/>
        <v>0</v>
      </c>
      <c r="AA44" s="9">
        <f t="shared" si="16"/>
        <v>0</v>
      </c>
      <c r="AB44" s="9">
        <f t="shared" si="16"/>
        <v>0</v>
      </c>
      <c r="AC44" s="9">
        <f t="shared" si="16"/>
        <v>0</v>
      </c>
      <c r="AD44" s="9">
        <f t="shared" si="16"/>
        <v>0</v>
      </c>
      <c r="AE44" s="9">
        <f t="shared" si="16"/>
        <v>0</v>
      </c>
      <c r="AF44" s="9">
        <f t="shared" si="16"/>
        <v>0</v>
      </c>
      <c r="AG44" s="10">
        <f t="shared" si="16"/>
        <v>0</v>
      </c>
    </row>
    <row r="45" spans="1:33" x14ac:dyDescent="0.3">
      <c r="A45" s="4">
        <f>A35</f>
        <v>0.25168000000000001</v>
      </c>
      <c r="B45" t="s">
        <v>63</v>
      </c>
      <c r="C45" s="3">
        <f ca="1">IF(C37&lt;0,0,$A$45*C44)</f>
        <v>2.2434051709807092</v>
      </c>
      <c r="D45" s="3">
        <f t="shared" ref="D45:AG45" ca="1" si="17">IF(D37&lt;0,0,$A$45*D44)</f>
        <v>2.8223483400857585</v>
      </c>
      <c r="E45" s="3">
        <f t="shared" ca="1" si="17"/>
        <v>3.4538339068556527</v>
      </c>
      <c r="F45" s="3">
        <f t="shared" ca="1" si="17"/>
        <v>3.8213804329259315</v>
      </c>
      <c r="G45" s="3">
        <f t="shared" ca="1" si="17"/>
        <v>4.3822967007898423</v>
      </c>
      <c r="H45" s="3">
        <f t="shared" ca="1" si="17"/>
        <v>4.9285288136408738</v>
      </c>
      <c r="I45" s="3">
        <f t="shared" ca="1" si="17"/>
        <v>5.9043022391737594</v>
      </c>
      <c r="J45" s="3">
        <f t="shared" ca="1" si="17"/>
        <v>1.9088370282072542</v>
      </c>
      <c r="K45" s="3">
        <f t="shared" ca="1" si="17"/>
        <v>5.3400962276214612</v>
      </c>
      <c r="L45" s="3">
        <f t="shared" ca="1" si="17"/>
        <v>5.4910064591827501</v>
      </c>
      <c r="M45" s="3">
        <f t="shared" ca="1" si="17"/>
        <v>5.868413321807922</v>
      </c>
      <c r="N45" s="3">
        <f t="shared" ca="1" si="17"/>
        <v>6.2289165600956995</v>
      </c>
      <c r="O45" s="3">
        <f t="shared" ca="1" si="17"/>
        <v>6.4080797438995658</v>
      </c>
      <c r="P45" s="3">
        <f t="shared" ca="1" si="17"/>
        <v>7.4319390578465017</v>
      </c>
      <c r="Q45" s="3">
        <f t="shared" ca="1" si="17"/>
        <v>3.2127252539426232</v>
      </c>
      <c r="R45" s="3">
        <f t="shared" ca="1" si="17"/>
        <v>0</v>
      </c>
      <c r="S45" s="3">
        <f t="shared" ca="1" si="17"/>
        <v>0</v>
      </c>
      <c r="T45" s="3">
        <f t="shared" ca="1" si="17"/>
        <v>0</v>
      </c>
      <c r="U45" s="3">
        <f t="shared" ca="1" si="17"/>
        <v>0</v>
      </c>
      <c r="V45" s="3">
        <f t="shared" ca="1" si="17"/>
        <v>0</v>
      </c>
      <c r="W45" s="3">
        <f t="shared" ca="1" si="17"/>
        <v>0</v>
      </c>
      <c r="X45" s="3">
        <f t="shared" ca="1" si="17"/>
        <v>0</v>
      </c>
      <c r="Y45" s="3">
        <f t="shared" ca="1" si="17"/>
        <v>0</v>
      </c>
      <c r="Z45" s="3">
        <f t="shared" ca="1" si="17"/>
        <v>0</v>
      </c>
      <c r="AA45" s="3">
        <f t="shared" ca="1" si="17"/>
        <v>0</v>
      </c>
      <c r="AB45" s="3">
        <f t="shared" ca="1" si="17"/>
        <v>0</v>
      </c>
      <c r="AC45" s="3">
        <f t="shared" ca="1" si="17"/>
        <v>0</v>
      </c>
      <c r="AD45" s="3">
        <f t="shared" ca="1" si="17"/>
        <v>0</v>
      </c>
      <c r="AE45" s="3">
        <f t="shared" ca="1" si="17"/>
        <v>0</v>
      </c>
      <c r="AF45" s="3">
        <f t="shared" ca="1" si="17"/>
        <v>0</v>
      </c>
      <c r="AG45" s="3">
        <f t="shared" ca="1" si="17"/>
        <v>0</v>
      </c>
    </row>
    <row r="46" spans="1:33" x14ac:dyDescent="0.3">
      <c r="A46" s="4"/>
      <c r="B46" t="s">
        <v>246</v>
      </c>
      <c r="C46" s="3">
        <f ca="1">(C59+C55)</f>
        <v>-0.30915131367027193</v>
      </c>
      <c r="D46" s="3">
        <f t="shared" ref="D46:AG46" ca="1" si="18">(D59+D55)</f>
        <v>-3.7609264326390179E-3</v>
      </c>
      <c r="E46" s="3">
        <f t="shared" ca="1" si="18"/>
        <v>0.25582090271933539</v>
      </c>
      <c r="F46" s="3">
        <f t="shared" ca="1" si="18"/>
        <v>0.47646545749849445</v>
      </c>
      <c r="G46" s="3">
        <f t="shared" ca="1" si="18"/>
        <v>0.66401332906080712</v>
      </c>
      <c r="H46" s="3">
        <f t="shared" ca="1" si="18"/>
        <v>0.82342901988877171</v>
      </c>
      <c r="I46" s="3">
        <f t="shared" ca="1" si="18"/>
        <v>0.95893235709253466</v>
      </c>
      <c r="J46" s="3">
        <f t="shared" ca="1" si="18"/>
        <v>0.21071789309213759</v>
      </c>
      <c r="K46" s="3">
        <f ca="1">(K59+K55)</f>
        <v>0</v>
      </c>
      <c r="L46" s="3">
        <f t="shared" ca="1" si="18"/>
        <v>0</v>
      </c>
      <c r="M46" s="3">
        <f t="shared" ca="1" si="18"/>
        <v>0</v>
      </c>
      <c r="N46" s="3">
        <f t="shared" ca="1" si="18"/>
        <v>0</v>
      </c>
      <c r="O46" s="3">
        <f t="shared" ca="1" si="18"/>
        <v>0</v>
      </c>
      <c r="P46" s="3">
        <f t="shared" ca="1" si="18"/>
        <v>0</v>
      </c>
      <c r="Q46" s="3">
        <f t="shared" ca="1" si="18"/>
        <v>0</v>
      </c>
      <c r="R46" s="3">
        <f t="shared" ca="1" si="18"/>
        <v>0</v>
      </c>
      <c r="S46" s="3">
        <f t="shared" ca="1" si="18"/>
        <v>0</v>
      </c>
      <c r="T46" s="3">
        <f t="shared" ca="1" si="18"/>
        <v>0</v>
      </c>
      <c r="U46" s="3">
        <f t="shared" ca="1" si="18"/>
        <v>0</v>
      </c>
      <c r="V46" s="3">
        <f t="shared" ca="1" si="18"/>
        <v>0</v>
      </c>
      <c r="W46" s="3">
        <f t="shared" ca="1" si="18"/>
        <v>0</v>
      </c>
      <c r="X46" s="3">
        <f t="shared" ca="1" si="18"/>
        <v>0</v>
      </c>
      <c r="Y46" s="3">
        <f t="shared" ca="1" si="18"/>
        <v>0</v>
      </c>
      <c r="Z46" s="3">
        <f t="shared" ca="1" si="18"/>
        <v>0</v>
      </c>
      <c r="AA46" s="3">
        <f t="shared" ca="1" si="18"/>
        <v>0</v>
      </c>
      <c r="AB46" s="3">
        <f t="shared" ca="1" si="18"/>
        <v>0</v>
      </c>
      <c r="AC46" s="3">
        <f t="shared" ca="1" si="18"/>
        <v>0</v>
      </c>
      <c r="AD46" s="3">
        <f t="shared" ca="1" si="18"/>
        <v>0</v>
      </c>
      <c r="AE46" s="3">
        <f t="shared" ca="1" si="18"/>
        <v>0</v>
      </c>
      <c r="AF46" s="3">
        <f t="shared" ca="1" si="18"/>
        <v>0</v>
      </c>
      <c r="AG46" s="3">
        <f t="shared" ca="1" si="18"/>
        <v>0</v>
      </c>
    </row>
    <row r="47" spans="1:33" x14ac:dyDescent="0.3">
      <c r="A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x14ac:dyDescent="0.3">
      <c r="A48" s="4"/>
      <c r="B48" s="99" t="s">
        <v>229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2:33" x14ac:dyDescent="0.3">
      <c r="B49" t="s">
        <v>69</v>
      </c>
      <c r="C49">
        <v>0</v>
      </c>
      <c r="D49" s="3">
        <f ca="1">C52</f>
        <v>0</v>
      </c>
      <c r="E49" s="3">
        <f t="shared" ref="E49:AG49" ca="1" si="19">D52</f>
        <v>0</v>
      </c>
      <c r="F49" s="3">
        <f t="shared" ca="1" si="19"/>
        <v>0</v>
      </c>
      <c r="G49" s="3">
        <f t="shared" ca="1" si="19"/>
        <v>0</v>
      </c>
      <c r="H49" s="3">
        <f t="shared" ca="1" si="19"/>
        <v>0</v>
      </c>
      <c r="I49" s="3">
        <f t="shared" ca="1" si="19"/>
        <v>0</v>
      </c>
      <c r="J49" s="3">
        <f t="shared" ca="1" si="19"/>
        <v>0</v>
      </c>
      <c r="K49" s="3">
        <f t="shared" ca="1" si="19"/>
        <v>0</v>
      </c>
      <c r="L49" s="3">
        <f t="shared" ca="1" si="19"/>
        <v>0</v>
      </c>
      <c r="M49" s="3">
        <f t="shared" ca="1" si="19"/>
        <v>0</v>
      </c>
      <c r="N49" s="3">
        <f t="shared" ca="1" si="19"/>
        <v>0</v>
      </c>
      <c r="O49" s="3">
        <f t="shared" ca="1" si="19"/>
        <v>0</v>
      </c>
      <c r="P49" s="3">
        <f t="shared" ca="1" si="19"/>
        <v>0</v>
      </c>
      <c r="Q49" s="3">
        <f t="shared" ca="1" si="19"/>
        <v>0</v>
      </c>
      <c r="R49" s="3">
        <f t="shared" ca="1" si="19"/>
        <v>0</v>
      </c>
      <c r="S49" s="3">
        <f t="shared" ca="1" si="19"/>
        <v>0</v>
      </c>
      <c r="T49" s="3">
        <f t="shared" ca="1" si="19"/>
        <v>0</v>
      </c>
      <c r="U49" s="3">
        <f t="shared" ca="1" si="19"/>
        <v>0</v>
      </c>
      <c r="V49" s="3">
        <f t="shared" ca="1" si="19"/>
        <v>0</v>
      </c>
      <c r="W49" s="3">
        <f t="shared" ca="1" si="19"/>
        <v>0</v>
      </c>
      <c r="X49" s="3">
        <f t="shared" ca="1" si="19"/>
        <v>0</v>
      </c>
      <c r="Y49" s="3">
        <f t="shared" ca="1" si="19"/>
        <v>0</v>
      </c>
      <c r="Z49" s="3">
        <f t="shared" ca="1" si="19"/>
        <v>0</v>
      </c>
      <c r="AA49" s="3">
        <f t="shared" ca="1" si="19"/>
        <v>0</v>
      </c>
      <c r="AB49" s="3">
        <f t="shared" ca="1" si="19"/>
        <v>0</v>
      </c>
      <c r="AC49" s="3">
        <f t="shared" ca="1" si="19"/>
        <v>0</v>
      </c>
      <c r="AD49" s="3">
        <f t="shared" ca="1" si="19"/>
        <v>0</v>
      </c>
      <c r="AE49" s="3">
        <f t="shared" ca="1" si="19"/>
        <v>0</v>
      </c>
      <c r="AF49" s="3">
        <f t="shared" ca="1" si="19"/>
        <v>0</v>
      </c>
      <c r="AG49" s="3">
        <f t="shared" ca="1" si="19"/>
        <v>0</v>
      </c>
    </row>
    <row r="50" spans="2:33" x14ac:dyDescent="0.3">
      <c r="B50" t="s">
        <v>222</v>
      </c>
      <c r="C50" s="1">
        <f t="shared" ref="C50:AG50" ca="1" si="20">IF(C44&lt;0,-C44,0)</f>
        <v>0</v>
      </c>
      <c r="D50" s="1">
        <f t="shared" ca="1" si="20"/>
        <v>0</v>
      </c>
      <c r="E50" s="1">
        <f t="shared" ca="1" si="20"/>
        <v>0</v>
      </c>
      <c r="F50" s="1">
        <f t="shared" ca="1" si="20"/>
        <v>0</v>
      </c>
      <c r="G50" s="1">
        <f t="shared" ca="1" si="20"/>
        <v>0</v>
      </c>
      <c r="H50" s="1">
        <f t="shared" ca="1" si="20"/>
        <v>0</v>
      </c>
      <c r="I50" s="1">
        <f t="shared" ca="1" si="20"/>
        <v>0</v>
      </c>
      <c r="J50" s="1">
        <f t="shared" ca="1" si="20"/>
        <v>0</v>
      </c>
      <c r="K50" s="1">
        <f t="shared" ca="1" si="20"/>
        <v>0</v>
      </c>
      <c r="L50" s="1">
        <f t="shared" ca="1" si="20"/>
        <v>0</v>
      </c>
      <c r="M50" s="1">
        <f t="shared" ca="1" si="20"/>
        <v>0</v>
      </c>
      <c r="N50" s="1">
        <f t="shared" ca="1" si="20"/>
        <v>0</v>
      </c>
      <c r="O50" s="1">
        <f t="shared" ca="1" si="20"/>
        <v>0</v>
      </c>
      <c r="P50" s="1">
        <f t="shared" ca="1" si="20"/>
        <v>0</v>
      </c>
      <c r="Q50" s="1">
        <f t="shared" ca="1" si="20"/>
        <v>0</v>
      </c>
      <c r="R50" s="1">
        <f t="shared" si="20"/>
        <v>0</v>
      </c>
      <c r="S50" s="1">
        <f t="shared" si="20"/>
        <v>0</v>
      </c>
      <c r="T50" s="1">
        <f t="shared" si="20"/>
        <v>0</v>
      </c>
      <c r="U50" s="1">
        <f t="shared" si="20"/>
        <v>0</v>
      </c>
      <c r="V50" s="1">
        <f t="shared" si="20"/>
        <v>0</v>
      </c>
      <c r="W50" s="1">
        <f t="shared" si="20"/>
        <v>0</v>
      </c>
      <c r="X50" s="1">
        <f t="shared" si="20"/>
        <v>0</v>
      </c>
      <c r="Y50" s="1">
        <f t="shared" si="20"/>
        <v>0</v>
      </c>
      <c r="Z50" s="1">
        <f t="shared" si="20"/>
        <v>0</v>
      </c>
      <c r="AA50" s="1">
        <f t="shared" si="20"/>
        <v>0</v>
      </c>
      <c r="AB50" s="1">
        <f t="shared" si="20"/>
        <v>0</v>
      </c>
      <c r="AC50" s="1">
        <f t="shared" si="20"/>
        <v>0</v>
      </c>
      <c r="AD50" s="1">
        <f t="shared" si="20"/>
        <v>0</v>
      </c>
      <c r="AE50" s="1">
        <f t="shared" si="20"/>
        <v>0</v>
      </c>
      <c r="AF50" s="1">
        <f t="shared" si="20"/>
        <v>0</v>
      </c>
      <c r="AG50" s="1">
        <f t="shared" si="20"/>
        <v>0</v>
      </c>
    </row>
    <row r="51" spans="2:33" x14ac:dyDescent="0.3">
      <c r="B51" t="s">
        <v>230</v>
      </c>
      <c r="C51" s="1">
        <f t="shared" ref="C51:AG51" ca="1" si="21">IF(C44&gt;0,MIN(C44,C49),0)</f>
        <v>0</v>
      </c>
      <c r="D51" s="1">
        <f t="shared" ca="1" si="21"/>
        <v>0</v>
      </c>
      <c r="E51" s="1">
        <f t="shared" ca="1" si="21"/>
        <v>0</v>
      </c>
      <c r="F51" s="1">
        <f t="shared" ca="1" si="21"/>
        <v>0</v>
      </c>
      <c r="G51" s="1">
        <f t="shared" ca="1" si="21"/>
        <v>0</v>
      </c>
      <c r="H51" s="1">
        <f t="shared" ca="1" si="21"/>
        <v>0</v>
      </c>
      <c r="I51" s="1">
        <f t="shared" ca="1" si="21"/>
        <v>0</v>
      </c>
      <c r="J51" s="1">
        <f t="shared" ca="1" si="21"/>
        <v>0</v>
      </c>
      <c r="K51" s="1">
        <f t="shared" ca="1" si="21"/>
        <v>0</v>
      </c>
      <c r="L51" s="1">
        <f t="shared" ca="1" si="21"/>
        <v>0</v>
      </c>
      <c r="M51" s="1">
        <f t="shared" ca="1" si="21"/>
        <v>0</v>
      </c>
      <c r="N51" s="1">
        <f t="shared" ca="1" si="21"/>
        <v>0</v>
      </c>
      <c r="O51" s="1">
        <f t="shared" ca="1" si="21"/>
        <v>0</v>
      </c>
      <c r="P51" s="1">
        <f t="shared" ca="1" si="21"/>
        <v>0</v>
      </c>
      <c r="Q51" s="1">
        <f t="shared" ca="1" si="21"/>
        <v>0</v>
      </c>
      <c r="R51" s="1">
        <f t="shared" si="21"/>
        <v>0</v>
      </c>
      <c r="S51" s="1">
        <f t="shared" si="21"/>
        <v>0</v>
      </c>
      <c r="T51" s="1">
        <f t="shared" si="21"/>
        <v>0</v>
      </c>
      <c r="U51" s="1">
        <f t="shared" si="21"/>
        <v>0</v>
      </c>
      <c r="V51" s="1">
        <f t="shared" si="21"/>
        <v>0</v>
      </c>
      <c r="W51" s="1">
        <f t="shared" si="21"/>
        <v>0</v>
      </c>
      <c r="X51" s="1">
        <f t="shared" si="21"/>
        <v>0</v>
      </c>
      <c r="Y51" s="1">
        <f t="shared" si="21"/>
        <v>0</v>
      </c>
      <c r="Z51" s="1">
        <f t="shared" si="21"/>
        <v>0</v>
      </c>
      <c r="AA51" s="1">
        <f t="shared" si="21"/>
        <v>0</v>
      </c>
      <c r="AB51" s="1">
        <f t="shared" si="21"/>
        <v>0</v>
      </c>
      <c r="AC51" s="1">
        <f t="shared" si="21"/>
        <v>0</v>
      </c>
      <c r="AD51" s="1">
        <f t="shared" si="21"/>
        <v>0</v>
      </c>
      <c r="AE51" s="1">
        <f t="shared" si="21"/>
        <v>0</v>
      </c>
      <c r="AF51" s="1">
        <f t="shared" si="21"/>
        <v>0</v>
      </c>
      <c r="AG51" s="1">
        <f t="shared" si="21"/>
        <v>0</v>
      </c>
    </row>
    <row r="52" spans="2:33" x14ac:dyDescent="0.3">
      <c r="B52" t="s">
        <v>45</v>
      </c>
      <c r="C52" s="3">
        <f ca="1">C49+C50-C51</f>
        <v>0</v>
      </c>
      <c r="D52" s="3">
        <f t="shared" ref="D52:AG52" ca="1" si="22">D49+D50-D51</f>
        <v>0</v>
      </c>
      <c r="E52" s="3">
        <f t="shared" ca="1" si="22"/>
        <v>0</v>
      </c>
      <c r="F52" s="3">
        <f t="shared" ca="1" si="22"/>
        <v>0</v>
      </c>
      <c r="G52" s="3">
        <f t="shared" ca="1" si="22"/>
        <v>0</v>
      </c>
      <c r="H52" s="3">
        <f t="shared" ca="1" si="22"/>
        <v>0</v>
      </c>
      <c r="I52" s="3">
        <f t="shared" ca="1" si="22"/>
        <v>0</v>
      </c>
      <c r="J52" s="3">
        <f t="shared" ca="1" si="22"/>
        <v>0</v>
      </c>
      <c r="K52" s="3">
        <f t="shared" ca="1" si="22"/>
        <v>0</v>
      </c>
      <c r="L52" s="3">
        <f t="shared" ca="1" si="22"/>
        <v>0</v>
      </c>
      <c r="M52" s="3">
        <f t="shared" ca="1" si="22"/>
        <v>0</v>
      </c>
      <c r="N52" s="3">
        <f t="shared" ca="1" si="22"/>
        <v>0</v>
      </c>
      <c r="O52" s="3">
        <f t="shared" ca="1" si="22"/>
        <v>0</v>
      </c>
      <c r="P52" s="3">
        <f t="shared" ca="1" si="22"/>
        <v>0</v>
      </c>
      <c r="Q52" s="3">
        <f t="shared" ca="1" si="22"/>
        <v>0</v>
      </c>
      <c r="R52" s="3">
        <f t="shared" ca="1" si="22"/>
        <v>0</v>
      </c>
      <c r="S52" s="3">
        <f t="shared" ca="1" si="22"/>
        <v>0</v>
      </c>
      <c r="T52" s="3">
        <f t="shared" ca="1" si="22"/>
        <v>0</v>
      </c>
      <c r="U52" s="3">
        <f t="shared" ca="1" si="22"/>
        <v>0</v>
      </c>
      <c r="V52" s="3">
        <f t="shared" ca="1" si="22"/>
        <v>0</v>
      </c>
      <c r="W52" s="3">
        <f t="shared" ca="1" si="22"/>
        <v>0</v>
      </c>
      <c r="X52" s="3">
        <f t="shared" ca="1" si="22"/>
        <v>0</v>
      </c>
      <c r="Y52" s="3">
        <f t="shared" ca="1" si="22"/>
        <v>0</v>
      </c>
      <c r="Z52" s="3">
        <f t="shared" ca="1" si="22"/>
        <v>0</v>
      </c>
      <c r="AA52" s="3">
        <f t="shared" ca="1" si="22"/>
        <v>0</v>
      </c>
      <c r="AB52" s="3">
        <f t="shared" ca="1" si="22"/>
        <v>0</v>
      </c>
      <c r="AC52" s="3">
        <f t="shared" ca="1" si="22"/>
        <v>0</v>
      </c>
      <c r="AD52" s="3">
        <f t="shared" ca="1" si="22"/>
        <v>0</v>
      </c>
      <c r="AE52" s="3">
        <f t="shared" ca="1" si="22"/>
        <v>0</v>
      </c>
      <c r="AF52" s="3">
        <f t="shared" ca="1" si="22"/>
        <v>0</v>
      </c>
      <c r="AG52" s="3">
        <f t="shared" ca="1" si="22"/>
        <v>0</v>
      </c>
    </row>
    <row r="53" spans="2:33" x14ac:dyDescent="0.3">
      <c r="B53" t="s">
        <v>231</v>
      </c>
      <c r="C53" s="3">
        <f ca="1">MAX(0,(C44-C51))</f>
        <v>8.9137204822819012</v>
      </c>
      <c r="D53" s="3">
        <f t="shared" ref="D53:AG53" ca="1" si="23">MAX(0,(D44-D51))</f>
        <v>11.214035044841697</v>
      </c>
      <c r="E53" s="3">
        <f t="shared" ca="1" si="23"/>
        <v>13.723116285980819</v>
      </c>
      <c r="F53" s="3">
        <f t="shared" ca="1" si="23"/>
        <v>15.183488687722232</v>
      </c>
      <c r="G53" s="3">
        <f t="shared" ca="1" si="23"/>
        <v>17.412176973894795</v>
      </c>
      <c r="H53" s="3">
        <f t="shared" ca="1" si="23"/>
        <v>19.582520715356299</v>
      </c>
      <c r="I53" s="3">
        <f t="shared" ca="1" si="23"/>
        <v>23.459560708732354</v>
      </c>
      <c r="J53" s="3">
        <f t="shared" ca="1" si="23"/>
        <v>7.5843810720250087</v>
      </c>
      <c r="K53" s="3">
        <f t="shared" ca="1" si="23"/>
        <v>21.217801285844967</v>
      </c>
      <c r="L53" s="3">
        <f t="shared" ca="1" si="23"/>
        <v>21.817412822563373</v>
      </c>
      <c r="M53" s="3">
        <f t="shared" ca="1" si="23"/>
        <v>23.316963293896702</v>
      </c>
      <c r="N53" s="3">
        <f t="shared" ca="1" si="23"/>
        <v>24.749350604321755</v>
      </c>
      <c r="O53" s="3">
        <f t="shared" ca="1" si="23"/>
        <v>25.461219580020522</v>
      </c>
      <c r="P53" s="3">
        <f t="shared" ca="1" si="23"/>
        <v>29.529319206319538</v>
      </c>
      <c r="Q53" s="3">
        <f t="shared" ca="1" si="23"/>
        <v>12.765119413313029</v>
      </c>
      <c r="R53" s="3">
        <f t="shared" si="23"/>
        <v>0</v>
      </c>
      <c r="S53" s="3">
        <f t="shared" si="23"/>
        <v>0</v>
      </c>
      <c r="T53" s="3">
        <f t="shared" si="23"/>
        <v>0</v>
      </c>
      <c r="U53" s="3">
        <f t="shared" si="23"/>
        <v>0</v>
      </c>
      <c r="V53" s="3">
        <f t="shared" si="23"/>
        <v>0</v>
      </c>
      <c r="W53" s="3">
        <f t="shared" si="23"/>
        <v>0</v>
      </c>
      <c r="X53" s="3">
        <f t="shared" si="23"/>
        <v>0</v>
      </c>
      <c r="Y53" s="3">
        <f t="shared" si="23"/>
        <v>0</v>
      </c>
      <c r="Z53" s="3">
        <f t="shared" si="23"/>
        <v>0</v>
      </c>
      <c r="AA53" s="3">
        <f t="shared" si="23"/>
        <v>0</v>
      </c>
      <c r="AB53" s="3">
        <f t="shared" si="23"/>
        <v>0</v>
      </c>
      <c r="AC53" s="3">
        <f t="shared" si="23"/>
        <v>0</v>
      </c>
      <c r="AD53" s="3">
        <f t="shared" si="23"/>
        <v>0</v>
      </c>
      <c r="AE53" s="3">
        <f t="shared" si="23"/>
        <v>0</v>
      </c>
      <c r="AF53" s="3">
        <f t="shared" si="23"/>
        <v>0</v>
      </c>
      <c r="AG53" s="3">
        <f t="shared" si="23"/>
        <v>0</v>
      </c>
    </row>
    <row r="54" spans="2:33" x14ac:dyDescent="0.3">
      <c r="B54" t="s">
        <v>223</v>
      </c>
      <c r="C54" s="3">
        <f ca="1">C50*$A$45</f>
        <v>0</v>
      </c>
      <c r="D54" s="3">
        <f ca="1">D52*$A$45</f>
        <v>0</v>
      </c>
      <c r="E54" s="3">
        <f t="shared" ref="E54:AG54" ca="1" si="24">E52*$A$45</f>
        <v>0</v>
      </c>
      <c r="F54" s="3">
        <f t="shared" ca="1" si="24"/>
        <v>0</v>
      </c>
      <c r="G54" s="3">
        <f t="shared" ca="1" si="24"/>
        <v>0</v>
      </c>
      <c r="H54" s="3">
        <f t="shared" ca="1" si="24"/>
        <v>0</v>
      </c>
      <c r="I54" s="3">
        <f t="shared" ca="1" si="24"/>
        <v>0</v>
      </c>
      <c r="J54" s="3">
        <f t="shared" ca="1" si="24"/>
        <v>0</v>
      </c>
      <c r="K54" s="3">
        <f t="shared" ca="1" si="24"/>
        <v>0</v>
      </c>
      <c r="L54" s="3">
        <f t="shared" ca="1" si="24"/>
        <v>0</v>
      </c>
      <c r="M54" s="3">
        <f t="shared" ca="1" si="24"/>
        <v>0</v>
      </c>
      <c r="N54" s="3">
        <f t="shared" ca="1" si="24"/>
        <v>0</v>
      </c>
      <c r="O54" s="3">
        <f t="shared" ca="1" si="24"/>
        <v>0</v>
      </c>
      <c r="P54" s="3">
        <f t="shared" ca="1" si="24"/>
        <v>0</v>
      </c>
      <c r="Q54" s="3">
        <f t="shared" ca="1" si="24"/>
        <v>0</v>
      </c>
      <c r="R54" s="3">
        <f t="shared" ca="1" si="24"/>
        <v>0</v>
      </c>
      <c r="S54" s="3">
        <f t="shared" ca="1" si="24"/>
        <v>0</v>
      </c>
      <c r="T54" s="3">
        <f t="shared" ca="1" si="24"/>
        <v>0</v>
      </c>
      <c r="U54" s="3">
        <f t="shared" ca="1" si="24"/>
        <v>0</v>
      </c>
      <c r="V54" s="3">
        <f t="shared" ca="1" si="24"/>
        <v>0</v>
      </c>
      <c r="W54" s="3">
        <f t="shared" ca="1" si="24"/>
        <v>0</v>
      </c>
      <c r="X54" s="3">
        <f t="shared" ca="1" si="24"/>
        <v>0</v>
      </c>
      <c r="Y54" s="3">
        <f t="shared" ca="1" si="24"/>
        <v>0</v>
      </c>
      <c r="Z54" s="3">
        <f t="shared" ca="1" si="24"/>
        <v>0</v>
      </c>
      <c r="AA54" s="3">
        <f t="shared" ca="1" si="24"/>
        <v>0</v>
      </c>
      <c r="AB54" s="3">
        <f t="shared" ca="1" si="24"/>
        <v>0</v>
      </c>
      <c r="AC54" s="3">
        <f t="shared" ca="1" si="24"/>
        <v>0</v>
      </c>
      <c r="AD54" s="3">
        <f t="shared" ca="1" si="24"/>
        <v>0</v>
      </c>
      <c r="AE54" s="3">
        <f t="shared" ca="1" si="24"/>
        <v>0</v>
      </c>
      <c r="AF54" s="3">
        <f t="shared" ca="1" si="24"/>
        <v>0</v>
      </c>
      <c r="AG54" s="3">
        <f t="shared" ca="1" si="24"/>
        <v>0</v>
      </c>
    </row>
    <row r="55" spans="2:33" x14ac:dyDescent="0.3">
      <c r="B55" t="s">
        <v>232</v>
      </c>
      <c r="C55" s="3">
        <f ca="1">C54-0</f>
        <v>0</v>
      </c>
      <c r="D55" s="3">
        <f ca="1">D54-C54</f>
        <v>0</v>
      </c>
      <c r="E55" s="3">
        <f t="shared" ref="E55:AG55" ca="1" si="25">E54-D54</f>
        <v>0</v>
      </c>
      <c r="F55" s="3">
        <f t="shared" ca="1" si="25"/>
        <v>0</v>
      </c>
      <c r="G55" s="3">
        <f t="shared" ca="1" si="25"/>
        <v>0</v>
      </c>
      <c r="H55" s="3">
        <f t="shared" ca="1" si="25"/>
        <v>0</v>
      </c>
      <c r="I55" s="3">
        <f t="shared" ca="1" si="25"/>
        <v>0</v>
      </c>
      <c r="J55" s="3">
        <f t="shared" ca="1" si="25"/>
        <v>0</v>
      </c>
      <c r="K55" s="3">
        <f t="shared" ca="1" si="25"/>
        <v>0</v>
      </c>
      <c r="L55" s="3">
        <f t="shared" ca="1" si="25"/>
        <v>0</v>
      </c>
      <c r="M55" s="3">
        <f t="shared" ca="1" si="25"/>
        <v>0</v>
      </c>
      <c r="N55" s="3">
        <f t="shared" ca="1" si="25"/>
        <v>0</v>
      </c>
      <c r="O55" s="3">
        <f t="shared" ca="1" si="25"/>
        <v>0</v>
      </c>
      <c r="P55" s="3">
        <f t="shared" ca="1" si="25"/>
        <v>0</v>
      </c>
      <c r="Q55" s="3">
        <f t="shared" ca="1" si="25"/>
        <v>0</v>
      </c>
      <c r="R55" s="3">
        <f t="shared" ca="1" si="25"/>
        <v>0</v>
      </c>
      <c r="S55" s="3">
        <f t="shared" ca="1" si="25"/>
        <v>0</v>
      </c>
      <c r="T55" s="3">
        <f t="shared" ca="1" si="25"/>
        <v>0</v>
      </c>
      <c r="U55" s="3">
        <f t="shared" ca="1" si="25"/>
        <v>0</v>
      </c>
      <c r="V55" s="3">
        <f t="shared" ca="1" si="25"/>
        <v>0</v>
      </c>
      <c r="W55" s="3">
        <f t="shared" ca="1" si="25"/>
        <v>0</v>
      </c>
      <c r="X55" s="3">
        <f t="shared" ca="1" si="25"/>
        <v>0</v>
      </c>
      <c r="Y55" s="3">
        <f t="shared" ca="1" si="25"/>
        <v>0</v>
      </c>
      <c r="Z55" s="3">
        <f t="shared" ca="1" si="25"/>
        <v>0</v>
      </c>
      <c r="AA55" s="3">
        <f t="shared" ca="1" si="25"/>
        <v>0</v>
      </c>
      <c r="AB55" s="3">
        <f t="shared" ca="1" si="25"/>
        <v>0</v>
      </c>
      <c r="AC55" s="3">
        <f t="shared" ca="1" si="25"/>
        <v>0</v>
      </c>
      <c r="AD55" s="3">
        <f t="shared" ca="1" si="25"/>
        <v>0</v>
      </c>
      <c r="AE55" s="3">
        <f t="shared" ca="1" si="25"/>
        <v>0</v>
      </c>
      <c r="AF55" s="3">
        <f t="shared" ca="1" si="25"/>
        <v>0</v>
      </c>
      <c r="AG55" s="3">
        <f t="shared" ca="1" si="25"/>
        <v>0</v>
      </c>
    </row>
    <row r="57" spans="2:33" x14ac:dyDescent="0.3">
      <c r="B57" t="s">
        <v>224</v>
      </c>
      <c r="C57" s="3">
        <f ca="1">C32</f>
        <v>6.8610322681468734</v>
      </c>
      <c r="D57" s="3">
        <f t="shared" ref="D57:AG57" ca="1" si="26">D32</f>
        <v>6.8610322681468734</v>
      </c>
      <c r="E57" s="3">
        <f t="shared" ca="1" si="26"/>
        <v>6.8610322681468734</v>
      </c>
      <c r="F57" s="3">
        <f t="shared" ca="1" si="26"/>
        <v>6.8610322681468734</v>
      </c>
      <c r="G57" s="3">
        <f t="shared" ca="1" si="26"/>
        <v>6.8610322681468734</v>
      </c>
      <c r="H57" s="3">
        <f t="shared" ca="1" si="26"/>
        <v>6.8610322681468734</v>
      </c>
      <c r="I57" s="3">
        <f t="shared" ca="1" si="26"/>
        <v>6.8610322681468734</v>
      </c>
      <c r="J57" s="3">
        <f t="shared" ca="1" si="26"/>
        <v>3.4305161340734367</v>
      </c>
      <c r="K57" s="3">
        <f t="shared" si="26"/>
        <v>0</v>
      </c>
      <c r="L57" s="3">
        <f t="shared" si="26"/>
        <v>0</v>
      </c>
      <c r="M57" s="3">
        <f t="shared" si="26"/>
        <v>0</v>
      </c>
      <c r="N57" s="3">
        <f t="shared" si="26"/>
        <v>0</v>
      </c>
      <c r="O57" s="3">
        <f t="shared" si="26"/>
        <v>0</v>
      </c>
      <c r="P57" s="3">
        <f t="shared" si="26"/>
        <v>0</v>
      </c>
      <c r="Q57" s="3">
        <f t="shared" si="26"/>
        <v>0</v>
      </c>
      <c r="R57" s="3">
        <f t="shared" si="26"/>
        <v>0</v>
      </c>
      <c r="S57" s="3">
        <f t="shared" si="26"/>
        <v>0</v>
      </c>
      <c r="T57" s="3">
        <f t="shared" si="26"/>
        <v>0</v>
      </c>
      <c r="U57" s="3">
        <f t="shared" si="26"/>
        <v>0</v>
      </c>
      <c r="V57" s="3">
        <f t="shared" si="26"/>
        <v>0</v>
      </c>
      <c r="W57" s="3">
        <f t="shared" si="26"/>
        <v>0</v>
      </c>
      <c r="X57" s="3">
        <f t="shared" si="26"/>
        <v>0</v>
      </c>
      <c r="Y57" s="3">
        <f t="shared" si="26"/>
        <v>0</v>
      </c>
      <c r="Z57" s="3">
        <f t="shared" si="26"/>
        <v>0</v>
      </c>
      <c r="AA57" s="3">
        <f t="shared" si="26"/>
        <v>0</v>
      </c>
      <c r="AB57" s="3">
        <f t="shared" si="26"/>
        <v>0</v>
      </c>
      <c r="AC57" s="3">
        <f t="shared" si="26"/>
        <v>0</v>
      </c>
      <c r="AD57" s="3">
        <f t="shared" si="26"/>
        <v>0</v>
      </c>
      <c r="AE57" s="3">
        <f t="shared" si="26"/>
        <v>0</v>
      </c>
      <c r="AF57" s="3">
        <f t="shared" si="26"/>
        <v>0</v>
      </c>
      <c r="AG57" s="3">
        <f t="shared" si="26"/>
        <v>0</v>
      </c>
    </row>
    <row r="58" spans="2:33" x14ac:dyDescent="0.3">
      <c r="B58" t="s">
        <v>65</v>
      </c>
      <c r="C58" s="3">
        <f ca="1">C43</f>
        <v>8.0893830058704683</v>
      </c>
      <c r="D58" s="3">
        <f t="shared" ref="D58:AG58" ca="1" si="27">D43</f>
        <v>6.8759755549898465</v>
      </c>
      <c r="E58" s="3">
        <f t="shared" ca="1" si="27"/>
        <v>5.8445792217413226</v>
      </c>
      <c r="F58" s="3">
        <f t="shared" ca="1" si="27"/>
        <v>4.9678923384801221</v>
      </c>
      <c r="G58" s="3">
        <f t="shared" ca="1" si="27"/>
        <v>4.2227084877081724</v>
      </c>
      <c r="H58" s="3">
        <f t="shared" ca="1" si="27"/>
        <v>3.5893022145519189</v>
      </c>
      <c r="I58" s="3">
        <f t="shared" ca="1" si="27"/>
        <v>3.0509068823691066</v>
      </c>
      <c r="J58" s="3">
        <f t="shared" ca="1" si="27"/>
        <v>2.5932708500137398</v>
      </c>
      <c r="K58" s="3">
        <f t="shared" si="27"/>
        <v>0</v>
      </c>
      <c r="L58" s="3">
        <f t="shared" si="27"/>
        <v>0</v>
      </c>
      <c r="M58" s="3">
        <f t="shared" si="27"/>
        <v>0</v>
      </c>
      <c r="N58" s="3">
        <f t="shared" si="27"/>
        <v>0</v>
      </c>
      <c r="O58" s="3">
        <f t="shared" si="27"/>
        <v>0</v>
      </c>
      <c r="P58" s="3">
        <f t="shared" si="27"/>
        <v>0</v>
      </c>
      <c r="Q58" s="3">
        <f t="shared" si="27"/>
        <v>0</v>
      </c>
      <c r="R58" s="3">
        <f t="shared" si="27"/>
        <v>0</v>
      </c>
      <c r="S58" s="3">
        <f t="shared" si="27"/>
        <v>0</v>
      </c>
      <c r="T58" s="3">
        <f t="shared" si="27"/>
        <v>0</v>
      </c>
      <c r="U58" s="3">
        <f t="shared" si="27"/>
        <v>0</v>
      </c>
      <c r="V58" s="3">
        <f t="shared" si="27"/>
        <v>0</v>
      </c>
      <c r="W58" s="3">
        <f t="shared" si="27"/>
        <v>0</v>
      </c>
      <c r="X58" s="3">
        <f t="shared" si="27"/>
        <v>0</v>
      </c>
      <c r="Y58" s="3">
        <f t="shared" si="27"/>
        <v>0</v>
      </c>
      <c r="Z58" s="3">
        <f t="shared" si="27"/>
        <v>0</v>
      </c>
      <c r="AA58" s="3">
        <f t="shared" si="27"/>
        <v>0</v>
      </c>
      <c r="AB58" s="3">
        <f t="shared" si="27"/>
        <v>0</v>
      </c>
      <c r="AC58" s="3">
        <f t="shared" si="27"/>
        <v>0</v>
      </c>
      <c r="AD58" s="3">
        <f t="shared" si="27"/>
        <v>0</v>
      </c>
      <c r="AE58" s="3">
        <f t="shared" si="27"/>
        <v>0</v>
      </c>
      <c r="AF58" s="3">
        <f t="shared" si="27"/>
        <v>0</v>
      </c>
      <c r="AG58" s="3">
        <f t="shared" si="27"/>
        <v>0</v>
      </c>
    </row>
    <row r="59" spans="2:33" x14ac:dyDescent="0.3">
      <c r="B59" t="s">
        <v>225</v>
      </c>
      <c r="C59" s="3">
        <f ca="1">(C57-C58)*$A$45</f>
        <v>-0.30915131367027437</v>
      </c>
      <c r="D59" s="3">
        <f t="shared" ref="D59:AG59" ca="1" si="28">(D57-D58)*$A$45</f>
        <v>-3.760926432639465E-3</v>
      </c>
      <c r="E59" s="3">
        <f t="shared" ca="1" si="28"/>
        <v>0.25582090271934904</v>
      </c>
      <c r="F59" s="3">
        <f t="shared" ca="1" si="28"/>
        <v>0.47646545749852798</v>
      </c>
      <c r="G59" s="3">
        <f t="shared" ca="1" si="28"/>
        <v>0.66401332906081234</v>
      </c>
      <c r="H59" s="3">
        <f t="shared" ca="1" si="28"/>
        <v>0.82342901988877815</v>
      </c>
      <c r="I59" s="3">
        <f t="shared" ca="1" si="28"/>
        <v>0.95893235709254843</v>
      </c>
      <c r="J59" s="3">
        <f t="shared" ca="1" si="28"/>
        <v>0.21071789309214453</v>
      </c>
      <c r="K59" s="3">
        <f t="shared" si="28"/>
        <v>0</v>
      </c>
      <c r="L59" s="3">
        <f t="shared" si="28"/>
        <v>0</v>
      </c>
      <c r="M59" s="3">
        <f t="shared" si="28"/>
        <v>0</v>
      </c>
      <c r="N59" s="3">
        <f t="shared" si="28"/>
        <v>0</v>
      </c>
      <c r="O59" s="3">
        <f t="shared" si="28"/>
        <v>0</v>
      </c>
      <c r="P59" s="3">
        <f t="shared" si="28"/>
        <v>0</v>
      </c>
      <c r="Q59" s="3">
        <f t="shared" si="28"/>
        <v>0</v>
      </c>
      <c r="R59" s="3">
        <f t="shared" si="28"/>
        <v>0</v>
      </c>
      <c r="S59" s="3">
        <f t="shared" si="28"/>
        <v>0</v>
      </c>
      <c r="T59" s="3">
        <f t="shared" si="28"/>
        <v>0</v>
      </c>
      <c r="U59" s="3">
        <f t="shared" si="28"/>
        <v>0</v>
      </c>
      <c r="V59" s="3">
        <f t="shared" si="28"/>
        <v>0</v>
      </c>
      <c r="W59" s="3">
        <f t="shared" si="28"/>
        <v>0</v>
      </c>
      <c r="X59" s="3">
        <f t="shared" si="28"/>
        <v>0</v>
      </c>
      <c r="Y59" s="3">
        <f t="shared" si="28"/>
        <v>0</v>
      </c>
      <c r="Z59" s="3">
        <f t="shared" si="28"/>
        <v>0</v>
      </c>
      <c r="AA59" s="3">
        <f t="shared" si="28"/>
        <v>0</v>
      </c>
      <c r="AB59" s="3">
        <f t="shared" si="28"/>
        <v>0</v>
      </c>
      <c r="AC59" s="3">
        <f t="shared" si="28"/>
        <v>0</v>
      </c>
      <c r="AD59" s="3">
        <f t="shared" si="28"/>
        <v>0</v>
      </c>
      <c r="AE59" s="3">
        <f t="shared" si="28"/>
        <v>0</v>
      </c>
      <c r="AF59" s="3">
        <f t="shared" si="28"/>
        <v>0</v>
      </c>
      <c r="AG59" s="3">
        <f t="shared" si="28"/>
        <v>0</v>
      </c>
    </row>
    <row r="62" spans="2:33" ht="23.4" x14ac:dyDescent="0.45">
      <c r="B62" s="175" t="s">
        <v>216</v>
      </c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7"/>
    </row>
    <row r="63" spans="2:33" x14ac:dyDescent="0.3">
      <c r="B63" s="178" t="s">
        <v>256</v>
      </c>
      <c r="C63" s="3">
        <f ca="1">C37+C46</f>
        <v>6.9712121080139706</v>
      </c>
      <c r="D63" s="3">
        <f t="shared" ref="D63:AG63" ca="1" si="29">D37+D46</f>
        <v>8.3953472123009796</v>
      </c>
      <c r="E63" s="3">
        <f t="shared" ca="1" si="29"/>
        <v>10.0202920408776</v>
      </c>
      <c r="F63" s="3">
        <f t="shared" ca="1" si="29"/>
        <v>10.898364697625063</v>
      </c>
      <c r="G63" s="3">
        <f t="shared" ca="1" si="29"/>
        <v>12.383596479848672</v>
      </c>
      <c r="H63" s="3">
        <f ca="1">H37+H46</f>
        <v>13.85254890778678</v>
      </c>
      <c r="I63" s="3">
        <f t="shared" ca="1" si="29"/>
        <v>16.621930155058433</v>
      </c>
      <c r="J63" s="3">
        <f t="shared" ca="1" si="29"/>
        <v>5.4704524390344762</v>
      </c>
      <c r="K63" s="3">
        <f t="shared" ca="1" si="29"/>
        <v>15.877705058223505</v>
      </c>
      <c r="L63" s="3">
        <f t="shared" ca="1" si="29"/>
        <v>16.326406363380624</v>
      </c>
      <c r="M63" s="3">
        <f t="shared" ca="1" si="29"/>
        <v>17.448549972088781</v>
      </c>
      <c r="N63" s="3">
        <f t="shared" ca="1" si="29"/>
        <v>18.520434044226057</v>
      </c>
      <c r="O63" s="3">
        <f t="shared" ca="1" si="29"/>
        <v>19.053139836120955</v>
      </c>
      <c r="P63" s="3">
        <f t="shared" ca="1" si="29"/>
        <v>22.097380148473036</v>
      </c>
      <c r="Q63" s="179">
        <f t="shared" ca="1" si="29"/>
        <v>9.5523941593704045</v>
      </c>
      <c r="R63" s="3">
        <f t="shared" ca="1" si="29"/>
        <v>0</v>
      </c>
      <c r="S63" s="3">
        <f t="shared" ca="1" si="29"/>
        <v>0</v>
      </c>
      <c r="T63" s="3">
        <f t="shared" ca="1" si="29"/>
        <v>0</v>
      </c>
      <c r="U63" s="3">
        <f t="shared" ca="1" si="29"/>
        <v>0</v>
      </c>
      <c r="V63" s="3">
        <f t="shared" ca="1" si="29"/>
        <v>0</v>
      </c>
      <c r="W63" s="3">
        <f t="shared" ca="1" si="29"/>
        <v>0</v>
      </c>
      <c r="X63" s="3">
        <f t="shared" ca="1" si="29"/>
        <v>0</v>
      </c>
      <c r="Y63" s="3">
        <f t="shared" ca="1" si="29"/>
        <v>0</v>
      </c>
      <c r="Z63" s="3">
        <f t="shared" ca="1" si="29"/>
        <v>0</v>
      </c>
      <c r="AA63" s="3">
        <f t="shared" ca="1" si="29"/>
        <v>0</v>
      </c>
      <c r="AB63" s="3">
        <f t="shared" ca="1" si="29"/>
        <v>0</v>
      </c>
      <c r="AC63" s="3">
        <f t="shared" ca="1" si="29"/>
        <v>0</v>
      </c>
      <c r="AD63" s="3">
        <f t="shared" ca="1" si="29"/>
        <v>0</v>
      </c>
      <c r="AE63" s="3">
        <f t="shared" ca="1" si="29"/>
        <v>0</v>
      </c>
      <c r="AF63" s="3">
        <f t="shared" ca="1" si="29"/>
        <v>0</v>
      </c>
      <c r="AG63" s="3">
        <f t="shared" ca="1" si="29"/>
        <v>0</v>
      </c>
    </row>
    <row r="64" spans="2:33" x14ac:dyDescent="0.3">
      <c r="B64" s="178" t="s">
        <v>8</v>
      </c>
      <c r="C64" s="3">
        <f t="shared" ref="C64:AG64" ca="1" si="30">C41</f>
        <v>6.8610322681468734</v>
      </c>
      <c r="D64" s="3">
        <f t="shared" ca="1" si="30"/>
        <v>6.8610322681468734</v>
      </c>
      <c r="E64" s="3">
        <f t="shared" ca="1" si="30"/>
        <v>6.8610322681468734</v>
      </c>
      <c r="F64" s="3">
        <f t="shared" ca="1" si="30"/>
        <v>6.8610322681468734</v>
      </c>
      <c r="G64" s="3">
        <f t="shared" ca="1" si="30"/>
        <v>6.8610322681468734</v>
      </c>
      <c r="H64" s="3">
        <f t="shared" ca="1" si="30"/>
        <v>6.8610322681468734</v>
      </c>
      <c r="I64" s="3">
        <f t="shared" ca="1" si="30"/>
        <v>6.8610322681468734</v>
      </c>
      <c r="J64" s="3">
        <f t="shared" ca="1" si="30"/>
        <v>3.4305161340734367</v>
      </c>
      <c r="K64" s="3">
        <f t="shared" si="30"/>
        <v>0</v>
      </c>
      <c r="L64" s="3">
        <f t="shared" si="30"/>
        <v>0</v>
      </c>
      <c r="M64" s="3">
        <f t="shared" si="30"/>
        <v>0</v>
      </c>
      <c r="N64" s="3">
        <f t="shared" si="30"/>
        <v>0</v>
      </c>
      <c r="O64" s="3">
        <f t="shared" si="30"/>
        <v>0</v>
      </c>
      <c r="P64" s="3">
        <f t="shared" si="30"/>
        <v>0</v>
      </c>
      <c r="Q64" s="179">
        <f t="shared" si="30"/>
        <v>0</v>
      </c>
      <c r="R64" s="3">
        <f t="shared" si="30"/>
        <v>0</v>
      </c>
      <c r="S64" s="3">
        <f t="shared" si="30"/>
        <v>0</v>
      </c>
      <c r="T64" s="3">
        <f t="shared" si="30"/>
        <v>0</v>
      </c>
      <c r="U64" s="3">
        <f t="shared" si="30"/>
        <v>0</v>
      </c>
      <c r="V64" s="3">
        <f t="shared" si="30"/>
        <v>0</v>
      </c>
      <c r="W64" s="3">
        <f t="shared" si="30"/>
        <v>0</v>
      </c>
      <c r="X64" s="3">
        <f t="shared" si="30"/>
        <v>0</v>
      </c>
      <c r="Y64" s="3">
        <f t="shared" si="30"/>
        <v>0</v>
      </c>
      <c r="Z64" s="3">
        <f t="shared" si="30"/>
        <v>0</v>
      </c>
      <c r="AA64" s="3">
        <f t="shared" si="30"/>
        <v>0</v>
      </c>
      <c r="AB64" s="3">
        <f t="shared" si="30"/>
        <v>0</v>
      </c>
      <c r="AC64" s="3">
        <f t="shared" si="30"/>
        <v>0</v>
      </c>
      <c r="AD64" s="3">
        <f t="shared" si="30"/>
        <v>0</v>
      </c>
      <c r="AE64" s="3">
        <f t="shared" si="30"/>
        <v>0</v>
      </c>
      <c r="AF64" s="3">
        <f t="shared" si="30"/>
        <v>0</v>
      </c>
      <c r="AG64" s="3">
        <f t="shared" si="30"/>
        <v>0</v>
      </c>
    </row>
    <row r="65" spans="1:33" x14ac:dyDescent="0.3">
      <c r="B65" s="178" t="s">
        <v>142</v>
      </c>
      <c r="C65" s="3">
        <f ca="1">-'Term Loan'!D61</f>
        <v>-3.6110696148141144</v>
      </c>
      <c r="D65" s="3">
        <f ca="1">-'Term Loan'!E61</f>
        <v>-3.6110696148141144</v>
      </c>
      <c r="E65" s="3">
        <f ca="1">-'Term Loan'!F61</f>
        <v>-3.6110696148141144</v>
      </c>
      <c r="F65" s="3">
        <f ca="1">-'Term Loan'!G61</f>
        <v>-3.6110696148141144</v>
      </c>
      <c r="G65" s="3">
        <f ca="1">-'Term Loan'!H61</f>
        <v>-3.6110696148141144</v>
      </c>
      <c r="H65" s="3">
        <f ca="1">-'Term Loan'!I61</f>
        <v>-3.6110696148141144</v>
      </c>
      <c r="I65" s="3">
        <f ca="1">-'Term Loan'!J61</f>
        <v>-3.6110696148141144</v>
      </c>
      <c r="J65" s="3">
        <f ca="1">-'Term Loan'!K61</f>
        <v>-3.6110696148141144</v>
      </c>
      <c r="K65" s="3">
        <f ca="1">-'Term Loan'!L61</f>
        <v>-3.6110696148141144</v>
      </c>
      <c r="L65" s="3">
        <f ca="1">-'Term Loan'!M61</f>
        <v>-3.6110696148141144</v>
      </c>
      <c r="M65" s="3">
        <f ca="1">-'Term Loan'!N61</f>
        <v>-3.6110696148141144</v>
      </c>
      <c r="N65" s="3">
        <f ca="1">-'Term Loan'!O61</f>
        <v>-3.6110696148141144</v>
      </c>
      <c r="O65" s="3">
        <f ca="1">-'Term Loan'!P61</f>
        <v>-3.6110696148141144</v>
      </c>
      <c r="P65" s="3">
        <f ca="1">-'Term Loan'!Q61</f>
        <v>-3.6110696148141144</v>
      </c>
      <c r="Q65" s="179">
        <f ca="1">-'Term Loan'!R61</f>
        <v>-3.6110696148141144</v>
      </c>
      <c r="R65" s="3">
        <f>-'Term Loan'!S61</f>
        <v>0</v>
      </c>
      <c r="S65" s="3">
        <f>-'Term Loan'!T61</f>
        <v>0</v>
      </c>
      <c r="T65" s="3">
        <f>-'Term Loan'!U61</f>
        <v>0</v>
      </c>
      <c r="U65" s="3">
        <f>-'Term Loan'!V61</f>
        <v>0</v>
      </c>
      <c r="V65" s="3">
        <f>-'Term Loan'!W61</f>
        <v>0</v>
      </c>
      <c r="W65" s="3">
        <f>-'Term Loan'!X61</f>
        <v>0</v>
      </c>
      <c r="X65" s="3">
        <f>-'Term Loan'!Y61</f>
        <v>0</v>
      </c>
      <c r="Y65" s="3">
        <f>-'Term Loan'!Z61</f>
        <v>0</v>
      </c>
      <c r="Z65" s="3">
        <f>-'Term Loan'!AA61</f>
        <v>0</v>
      </c>
      <c r="AA65" s="3">
        <f>-'Term Loan'!AB61</f>
        <v>0</v>
      </c>
      <c r="AB65" s="3">
        <f>-'Term Loan'!AC61</f>
        <v>0</v>
      </c>
      <c r="AC65" s="3">
        <f>-'Term Loan'!AD61</f>
        <v>0</v>
      </c>
      <c r="AD65" s="3">
        <f>-'Term Loan'!AE61</f>
        <v>0</v>
      </c>
      <c r="AE65" s="3">
        <f>-'Term Loan'!AF61</f>
        <v>0</v>
      </c>
      <c r="AF65" s="3">
        <f>-'Term Loan'!AG61</f>
        <v>0</v>
      </c>
      <c r="AG65" s="3">
        <f>-'Term Loan'!AH61</f>
        <v>0</v>
      </c>
    </row>
    <row r="66" spans="1:33" ht="15" thickBot="1" x14ac:dyDescent="0.35">
      <c r="B66" s="178"/>
      <c r="Q66" s="180"/>
    </row>
    <row r="67" spans="1:33" ht="15" thickBot="1" x14ac:dyDescent="0.35">
      <c r="B67" s="181" t="s">
        <v>9</v>
      </c>
      <c r="C67" s="182">
        <f ca="1">C66+C63+C64+C65</f>
        <v>10.221174761346729</v>
      </c>
      <c r="D67" s="182">
        <f t="shared" ref="D67:AG67" ca="1" si="31">D66+D63+D64+D65</f>
        <v>11.645309865633738</v>
      </c>
      <c r="E67" s="182">
        <f t="shared" ca="1" si="31"/>
        <v>13.270254694210356</v>
      </c>
      <c r="F67" s="182">
        <f t="shared" ca="1" si="31"/>
        <v>14.148327350957819</v>
      </c>
      <c r="G67" s="182">
        <f t="shared" ca="1" si="31"/>
        <v>15.63355913318143</v>
      </c>
      <c r="H67" s="182">
        <f t="shared" ca="1" si="31"/>
        <v>17.102511561119542</v>
      </c>
      <c r="I67" s="182">
        <f t="shared" ca="1" si="31"/>
        <v>19.871892808391195</v>
      </c>
      <c r="J67" s="182">
        <f t="shared" ca="1" si="31"/>
        <v>5.289898958293799</v>
      </c>
      <c r="K67" s="182">
        <f t="shared" ca="1" si="31"/>
        <v>12.26663544340939</v>
      </c>
      <c r="L67" s="182">
        <f t="shared" ca="1" si="31"/>
        <v>12.715336748566509</v>
      </c>
      <c r="M67" s="182">
        <f t="shared" ca="1" si="31"/>
        <v>13.837480357274666</v>
      </c>
      <c r="N67" s="182">
        <f t="shared" ca="1" si="31"/>
        <v>14.909364429411943</v>
      </c>
      <c r="O67" s="182">
        <f t="shared" ca="1" si="31"/>
        <v>15.442070221306841</v>
      </c>
      <c r="P67" s="182">
        <f t="shared" ca="1" si="31"/>
        <v>18.486310533658923</v>
      </c>
      <c r="Q67" s="183">
        <f t="shared" ca="1" si="31"/>
        <v>5.9413245445562897</v>
      </c>
      <c r="R67" s="9">
        <f t="shared" ca="1" si="31"/>
        <v>0</v>
      </c>
      <c r="S67" s="9">
        <f t="shared" ca="1" si="31"/>
        <v>0</v>
      </c>
      <c r="T67" s="9">
        <f t="shared" ca="1" si="31"/>
        <v>0</v>
      </c>
      <c r="U67" s="9">
        <f t="shared" ca="1" si="31"/>
        <v>0</v>
      </c>
      <c r="V67" s="9">
        <f t="shared" ca="1" si="31"/>
        <v>0</v>
      </c>
      <c r="W67" s="9">
        <f t="shared" ca="1" si="31"/>
        <v>0</v>
      </c>
      <c r="X67" s="9">
        <f t="shared" ca="1" si="31"/>
        <v>0</v>
      </c>
      <c r="Y67" s="9">
        <f t="shared" ca="1" si="31"/>
        <v>0</v>
      </c>
      <c r="Z67" s="9">
        <f t="shared" ca="1" si="31"/>
        <v>0</v>
      </c>
      <c r="AA67" s="9">
        <f t="shared" ca="1" si="31"/>
        <v>0</v>
      </c>
      <c r="AB67" s="9">
        <f t="shared" ca="1" si="31"/>
        <v>0</v>
      </c>
      <c r="AC67" s="9">
        <f t="shared" ca="1" si="31"/>
        <v>0</v>
      </c>
      <c r="AD67" s="9">
        <f t="shared" ca="1" si="31"/>
        <v>0</v>
      </c>
      <c r="AE67" s="9">
        <f t="shared" ca="1" si="31"/>
        <v>0</v>
      </c>
      <c r="AF67" s="9">
        <f t="shared" ca="1" si="31"/>
        <v>0</v>
      </c>
      <c r="AG67" s="10">
        <f t="shared" ca="1" si="31"/>
        <v>0</v>
      </c>
    </row>
    <row r="69" spans="1:33" ht="23.4" x14ac:dyDescent="0.45">
      <c r="B69" s="103" t="s">
        <v>70</v>
      </c>
    </row>
    <row r="70" spans="1:33" x14ac:dyDescent="0.3">
      <c r="A70">
        <f>Inputs!D7</f>
        <v>3</v>
      </c>
      <c r="B70" t="s">
        <v>254</v>
      </c>
      <c r="C70" s="3">
        <f>IFERROR(IF(MOD((C3-1),Inputs!$D$12)=0,C14/12*$A$70,0),0)</f>
        <v>8.2475134608092908</v>
      </c>
      <c r="D70" s="3">
        <f>IFERROR(IF(MOD((D3-1),Inputs!$D$12)=0,D14/12*$A$70,0),0)</f>
        <v>0</v>
      </c>
      <c r="E70" s="3">
        <f>IFERROR(IF(MOD((E3-1),Inputs!$D$12)=0,E14/12*$A$70,0),0)</f>
        <v>0</v>
      </c>
      <c r="F70" s="3">
        <f>IFERROR(IF(MOD((F3-1),Inputs!$D$12)=0,F14/12*$A$70,0),0)</f>
        <v>0</v>
      </c>
      <c r="G70" s="3">
        <f>IFERROR(IF(MOD((G3-1),Inputs!$D$12)=0,G14/12*$A$70,0),0)</f>
        <v>0</v>
      </c>
      <c r="H70" s="3">
        <f>IFERROR(IF(MOD((H3-1),Inputs!$D$12)=0,H14/12*$A$70,0),0)</f>
        <v>0</v>
      </c>
      <c r="I70" s="3">
        <f>IFERROR(IF(MOD((I3-1),Inputs!$D$12)=0,I14/12*$A$70,0),0)</f>
        <v>0</v>
      </c>
      <c r="J70" s="3">
        <f>IFERROR(IF(MOD((J3-1),Inputs!$D$12)=0,J14/12*$A$70,0),0)</f>
        <v>8.2367459954850428</v>
      </c>
      <c r="K70" s="3">
        <f>IFERROR(IF(MOD((K3-1),Inputs!$D$12)=0,K14/12*$A$70,0),0)</f>
        <v>0</v>
      </c>
      <c r="L70" s="3">
        <f>IFERROR(IF(MOD((L3-1),Inputs!$D$12)=0,L14/12*$A$70,0),0)</f>
        <v>0</v>
      </c>
      <c r="M70" s="3">
        <f>IFERROR(IF(MOD((M3-1),Inputs!$D$12)=0,M14/12*$A$70,0),0)</f>
        <v>0</v>
      </c>
      <c r="N70" s="3">
        <f>IFERROR(IF(MOD((N3-1),Inputs!$D$12)=0,N14/12*$A$70,0),0)</f>
        <v>0</v>
      </c>
      <c r="O70" s="3">
        <f>IFERROR(IF(MOD((O3-1),Inputs!$D$12)=0,O14/12*$A$70,0),0)</f>
        <v>0</v>
      </c>
      <c r="P70" s="3">
        <f>IFERROR(IF(MOD((P3-1),Inputs!$D$12)=0,P14/12*$A$70,0),0)</f>
        <v>0</v>
      </c>
      <c r="Q70" s="3">
        <f>IFERROR(IF(MOD((Q3-1),Inputs!$D$12)=0,Q14/12*$A$70,0),0)</f>
        <v>8.4250078106396611</v>
      </c>
      <c r="R70" s="3">
        <f>IFERROR(IF(MOD((R3-1),Inputs!$D$12)=0,R14/12*$A$70,0),0)</f>
        <v>0</v>
      </c>
      <c r="S70" s="3">
        <f>IFERROR(IF(MOD((S3-1),Inputs!$D$12)=0,S14/12*$A$70,0),0)</f>
        <v>0</v>
      </c>
      <c r="T70" s="3">
        <f>IFERROR(IF(MOD((T3-1),Inputs!$D$12)=0,T14/12*$A$70,0),0)</f>
        <v>0</v>
      </c>
      <c r="U70" s="3">
        <f>IFERROR(IF(MOD((U3-1),Inputs!$D$12)=0,U14/12*$A$70,0),0)</f>
        <v>0</v>
      </c>
      <c r="V70" s="3">
        <f>IFERROR(IF(MOD((V3-1),Inputs!$D$12)=0,V14/12*$A$70,0),0)</f>
        <v>0</v>
      </c>
      <c r="W70" s="3">
        <f>IFERROR(IF(MOD((W3-1),Inputs!$D$12)=0,W14/12*$A$70,0),0)</f>
        <v>0</v>
      </c>
      <c r="X70" s="3">
        <f>IFERROR(IF(MOD((X3-1),Inputs!$D$12)=0,X14/12*$A$70,0),0)</f>
        <v>0</v>
      </c>
      <c r="Y70" s="3">
        <f>IFERROR(IF(MOD((Y3-1),Inputs!$D$12)=0,Y14/12*$A$70,0),0)</f>
        <v>0</v>
      </c>
      <c r="Z70" s="3">
        <f>IFERROR(IF(MOD((Z3-1),Inputs!$D$12)=0,Z14/12*$A$70,0),0)</f>
        <v>0</v>
      </c>
      <c r="AA70" s="3">
        <f>IFERROR(IF(MOD((AA3-1),Inputs!$D$12)=0,AA14/12*$A$70,0),0)</f>
        <v>0</v>
      </c>
      <c r="AB70" s="3">
        <f>IFERROR(IF(MOD((AB3-1),Inputs!$D$12)=0,AB14/12*$A$70,0),0)</f>
        <v>0</v>
      </c>
      <c r="AC70" s="3">
        <f>IFERROR(IF(MOD((AC3-1),Inputs!$D$12)=0,AC14/12*$A$70,0),0)</f>
        <v>0</v>
      </c>
      <c r="AD70" s="3">
        <f>IFERROR(IF(MOD((AD3-1),Inputs!$D$12)=0,AD14/12*$A$70,0),0)</f>
        <v>0</v>
      </c>
      <c r="AE70" s="3">
        <f>IFERROR(IF(MOD((AE3-1),Inputs!$D$12)=0,AE14/12*$A$70,0),0)</f>
        <v>0</v>
      </c>
      <c r="AF70" s="3">
        <f>IFERROR(IF(MOD((AF3-1),Inputs!$D$12)=0,AF14/12*$A$70,0),0)</f>
        <v>0</v>
      </c>
      <c r="AG70" s="3">
        <f>IFERROR(IF(MOD((AG3-1),Inputs!$D$12)=0,AG14/12*$A$70,0),0)</f>
        <v>0</v>
      </c>
    </row>
    <row r="71" spans="1:33" x14ac:dyDescent="0.3">
      <c r="A71">
        <v>30</v>
      </c>
      <c r="B71" t="s">
        <v>255</v>
      </c>
      <c r="C71" s="3">
        <f>C24/365*$A$71</f>
        <v>0.89223040859178093</v>
      </c>
      <c r="D71" s="3">
        <f t="shared" ref="D71:AG71" si="32">D24/365*$A$71</f>
        <v>0.80379280906520534</v>
      </c>
      <c r="E71" s="3">
        <f t="shared" si="32"/>
        <v>0.8334299865047673</v>
      </c>
      <c r="F71" s="3">
        <f t="shared" si="32"/>
        <v>0.86454902281630686</v>
      </c>
      <c r="G71" s="3">
        <f t="shared" si="32"/>
        <v>0.89722401094342352</v>
      </c>
      <c r="H71" s="3">
        <f t="shared" si="32"/>
        <v>0.93153274847689638</v>
      </c>
      <c r="I71" s="3">
        <f t="shared" si="32"/>
        <v>0.7612601804335789</v>
      </c>
      <c r="J71" s="3">
        <f t="shared" si="32"/>
        <v>1.6470586002631245</v>
      </c>
      <c r="K71" s="3">
        <f t="shared" si="32"/>
        <v>0.88551994769606446</v>
      </c>
      <c r="L71" s="3">
        <f t="shared" si="32"/>
        <v>0.91924348206716922</v>
      </c>
      <c r="M71" s="3">
        <f t="shared" si="32"/>
        <v>0.95465319315682906</v>
      </c>
      <c r="N71" s="3">
        <f t="shared" si="32"/>
        <v>0.9918333898009718</v>
      </c>
      <c r="O71" s="3">
        <f t="shared" si="32"/>
        <v>1.030872596277322</v>
      </c>
      <c r="P71" s="3">
        <f t="shared" si="32"/>
        <v>0.86556702062402568</v>
      </c>
      <c r="Q71" s="3">
        <f t="shared" si="32"/>
        <v>1.6936564958682401</v>
      </c>
      <c r="R71" s="3">
        <f t="shared" si="32"/>
        <v>0</v>
      </c>
      <c r="S71" s="3">
        <f t="shared" si="32"/>
        <v>0</v>
      </c>
      <c r="T71" s="3">
        <f t="shared" si="32"/>
        <v>0</v>
      </c>
      <c r="U71" s="3">
        <f t="shared" si="32"/>
        <v>0</v>
      </c>
      <c r="V71" s="3">
        <f t="shared" si="32"/>
        <v>0</v>
      </c>
      <c r="W71" s="3">
        <f t="shared" si="32"/>
        <v>0</v>
      </c>
      <c r="X71" s="3">
        <f t="shared" si="32"/>
        <v>0</v>
      </c>
      <c r="Y71" s="3">
        <f t="shared" si="32"/>
        <v>0</v>
      </c>
      <c r="Z71" s="3">
        <f t="shared" si="32"/>
        <v>0</v>
      </c>
      <c r="AA71" s="3">
        <f t="shared" si="32"/>
        <v>0</v>
      </c>
      <c r="AB71" s="3">
        <f t="shared" si="32"/>
        <v>0</v>
      </c>
      <c r="AC71" s="3">
        <f t="shared" si="32"/>
        <v>0</v>
      </c>
      <c r="AD71" s="3">
        <f t="shared" si="32"/>
        <v>0</v>
      </c>
      <c r="AE71" s="3">
        <f t="shared" si="32"/>
        <v>0</v>
      </c>
      <c r="AF71" s="3">
        <f t="shared" si="32"/>
        <v>0</v>
      </c>
      <c r="AG71" s="3">
        <f t="shared" si="32"/>
        <v>0</v>
      </c>
    </row>
    <row r="72" spans="1:33" ht="15" thickBot="1" x14ac:dyDescent="0.35">
      <c r="B72" t="s">
        <v>448</v>
      </c>
      <c r="C72" s="3">
        <f>IF('Project Expenses'!F39&lt;0,0,'Project Expenses'!F39/10^7)</f>
        <v>1.1923007942400001</v>
      </c>
      <c r="D72" s="3">
        <f>IF('Project Expenses'!G39&lt;0,0,'Project Expenses'!G39/10^7)</f>
        <v>0</v>
      </c>
      <c r="E72" s="3">
        <f>IF('Project Expenses'!H39&lt;0,0,'Project Expenses'!H39/10^7)</f>
        <v>0</v>
      </c>
      <c r="F72" s="3">
        <f>IF('Project Expenses'!I39&lt;0,0,'Project Expenses'!I39/10^7)</f>
        <v>0</v>
      </c>
      <c r="G72" s="3">
        <f>IF('Project Expenses'!J39&lt;0,0,'Project Expenses'!J39/10^7)</f>
        <v>0</v>
      </c>
      <c r="H72" s="3">
        <f>IF('Project Expenses'!K39&lt;0,0,'Project Expenses'!K39/10^7)</f>
        <v>0</v>
      </c>
      <c r="I72" s="3">
        <f>IF('Project Expenses'!L39&lt;0,0,'Project Expenses'!L39/10^7)</f>
        <v>0</v>
      </c>
      <c r="J72" s="3">
        <f>IF('Project Expenses'!M39&lt;0,0,'Project Expenses'!M39/10^7)</f>
        <v>1.1923007942400001</v>
      </c>
      <c r="K72" s="3">
        <f>IF('Project Expenses'!N39&lt;0,0,'Project Expenses'!N39/10^7)</f>
        <v>0</v>
      </c>
      <c r="L72" s="3">
        <f>IF('Project Expenses'!O39&lt;0,0,'Project Expenses'!O39/10^7)</f>
        <v>0</v>
      </c>
      <c r="M72" s="3">
        <f>IF('Project Expenses'!P39&lt;0,0,'Project Expenses'!P39/10^7)</f>
        <v>0</v>
      </c>
      <c r="N72" s="3">
        <f>IF('Project Expenses'!Q39&lt;0,0,'Project Expenses'!Q39/10^7)</f>
        <v>0</v>
      </c>
      <c r="O72" s="3">
        <f>IF('Project Expenses'!R39&lt;0,0,'Project Expenses'!R39/10^7)</f>
        <v>0</v>
      </c>
      <c r="P72" s="3">
        <f>IF('Project Expenses'!S39&lt;0,0,'Project Expenses'!S39/10^7)</f>
        <v>0</v>
      </c>
      <c r="Q72" s="3">
        <f>IF('Project Expenses'!T39&lt;0,0,'Project Expenses'!T39/10^7)</f>
        <v>0</v>
      </c>
      <c r="R72" s="3">
        <f>IF('Project Expenses'!U39&lt;0,0,'Project Expenses'!U39/10^7)</f>
        <v>0</v>
      </c>
      <c r="S72" s="3">
        <f>IF('Project Expenses'!V39&lt;0,0,'Project Expenses'!V39/10^7)</f>
        <v>0</v>
      </c>
      <c r="T72" s="3">
        <f>IF('Project Expenses'!W39&lt;0,0,'Project Expenses'!W39/10^7)</f>
        <v>0</v>
      </c>
      <c r="U72" s="3">
        <f>IF('Project Expenses'!X39&lt;0,0,'Project Expenses'!X39/10^7)</f>
        <v>0</v>
      </c>
      <c r="V72" s="3">
        <f>IF('Project Expenses'!Y39&lt;0,0,'Project Expenses'!Y39/10^7)</f>
        <v>0</v>
      </c>
      <c r="W72" s="3">
        <f>IF('Project Expenses'!Z39&lt;0,0,'Project Expenses'!Z39/10^7)</f>
        <v>0</v>
      </c>
      <c r="X72" s="3">
        <f>IF('Project Expenses'!AA39&lt;0,0,'Project Expenses'!AA39/10^7)</f>
        <v>0</v>
      </c>
      <c r="Y72" s="3">
        <f>IF('Project Expenses'!AB39&lt;0,0,'Project Expenses'!AB39/10^7)</f>
        <v>0</v>
      </c>
      <c r="Z72" s="3">
        <f>IF('Project Expenses'!AC39&lt;0,0,'Project Expenses'!AC39/10^7)</f>
        <v>0</v>
      </c>
      <c r="AA72" s="3">
        <f>IF('Project Expenses'!AD39&lt;0,0,'Project Expenses'!AD39/10^7)</f>
        <v>0</v>
      </c>
      <c r="AB72" s="3">
        <f>IF('Project Expenses'!AE39&lt;0,0,'Project Expenses'!AE39/10^7)</f>
        <v>0</v>
      </c>
      <c r="AC72" s="3">
        <f>IF('Project Expenses'!AF39&lt;0,0,'Project Expenses'!AF39/10^7)</f>
        <v>0</v>
      </c>
      <c r="AD72" s="3">
        <f>IF('Project Expenses'!AG39&lt;0,0,'Project Expenses'!AG39/10^7)</f>
        <v>0</v>
      </c>
      <c r="AE72" s="3">
        <f>IF('Project Expenses'!AH39&lt;0,0,'Project Expenses'!AH39/10^7)</f>
        <v>0</v>
      </c>
      <c r="AF72" s="3">
        <f>IF('Project Expenses'!AI39&lt;0,0,'Project Expenses'!AI39/10^7)</f>
        <v>0</v>
      </c>
      <c r="AG72" s="3">
        <f>IF('Project Expenses'!AJ39&lt;0,0,'Project Expenses'!AJ39/10^7)</f>
        <v>0</v>
      </c>
    </row>
    <row r="73" spans="1:33" ht="15" thickBot="1" x14ac:dyDescent="0.35">
      <c r="B73" s="7" t="s">
        <v>70</v>
      </c>
      <c r="C73" s="9">
        <f>-C70+C71+C72</f>
        <v>-6.16298225797751</v>
      </c>
      <c r="D73" s="9">
        <f t="shared" ref="D73:AG73" si="33">-D70+D71+D72</f>
        <v>0.80379280906520534</v>
      </c>
      <c r="E73" s="9">
        <f t="shared" si="33"/>
        <v>0.8334299865047673</v>
      </c>
      <c r="F73" s="9">
        <f t="shared" si="33"/>
        <v>0.86454902281630686</v>
      </c>
      <c r="G73" s="9">
        <f t="shared" si="33"/>
        <v>0.89722401094342352</v>
      </c>
      <c r="H73" s="9">
        <f t="shared" si="33"/>
        <v>0.93153274847689638</v>
      </c>
      <c r="I73" s="9">
        <f t="shared" si="33"/>
        <v>0.7612601804335789</v>
      </c>
      <c r="J73" s="9">
        <f t="shared" si="33"/>
        <v>-5.3973866009819185</v>
      </c>
      <c r="K73" s="9">
        <f t="shared" si="33"/>
        <v>0.88551994769606446</v>
      </c>
      <c r="L73" s="9">
        <f t="shared" si="33"/>
        <v>0.91924348206716922</v>
      </c>
      <c r="M73" s="9">
        <f t="shared" si="33"/>
        <v>0.95465319315682906</v>
      </c>
      <c r="N73" s="9">
        <f t="shared" si="33"/>
        <v>0.9918333898009718</v>
      </c>
      <c r="O73" s="9">
        <f t="shared" si="33"/>
        <v>1.030872596277322</v>
      </c>
      <c r="P73" s="9">
        <f t="shared" si="33"/>
        <v>0.86556702062402568</v>
      </c>
      <c r="Q73" s="9">
        <f t="shared" si="33"/>
        <v>-6.7313513147714215</v>
      </c>
      <c r="R73" s="9">
        <f t="shared" si="33"/>
        <v>0</v>
      </c>
      <c r="S73" s="9">
        <f t="shared" si="33"/>
        <v>0</v>
      </c>
      <c r="T73" s="9">
        <f t="shared" si="33"/>
        <v>0</v>
      </c>
      <c r="U73" s="9">
        <f t="shared" si="33"/>
        <v>0</v>
      </c>
      <c r="V73" s="9">
        <f t="shared" si="33"/>
        <v>0</v>
      </c>
      <c r="W73" s="9">
        <f t="shared" si="33"/>
        <v>0</v>
      </c>
      <c r="X73" s="9">
        <f t="shared" si="33"/>
        <v>0</v>
      </c>
      <c r="Y73" s="9">
        <f t="shared" si="33"/>
        <v>0</v>
      </c>
      <c r="Z73" s="9">
        <f t="shared" si="33"/>
        <v>0</v>
      </c>
      <c r="AA73" s="9">
        <f t="shared" si="33"/>
        <v>0</v>
      </c>
      <c r="AB73" s="9">
        <f t="shared" si="33"/>
        <v>0</v>
      </c>
      <c r="AC73" s="9">
        <f t="shared" si="33"/>
        <v>0</v>
      </c>
      <c r="AD73" s="9">
        <f t="shared" si="33"/>
        <v>0</v>
      </c>
      <c r="AE73" s="9">
        <f t="shared" si="33"/>
        <v>0</v>
      </c>
      <c r="AF73" s="9">
        <f t="shared" si="33"/>
        <v>0</v>
      </c>
      <c r="AG73" s="9">
        <f t="shared" si="33"/>
        <v>0</v>
      </c>
    </row>
    <row r="74" spans="1:33" x14ac:dyDescent="0.3">
      <c r="A74" s="22">
        <v>0</v>
      </c>
      <c r="B74" t="s">
        <v>244</v>
      </c>
      <c r="C74" s="3">
        <f>C73*$A$74</f>
        <v>0</v>
      </c>
      <c r="D74" s="3">
        <f t="shared" ref="D74:AG74" si="34">D73*$A$74</f>
        <v>0</v>
      </c>
      <c r="E74" s="3">
        <f t="shared" si="34"/>
        <v>0</v>
      </c>
      <c r="F74" s="3">
        <f t="shared" si="34"/>
        <v>0</v>
      </c>
      <c r="G74" s="3">
        <f t="shared" si="34"/>
        <v>0</v>
      </c>
      <c r="H74" s="3">
        <f t="shared" si="34"/>
        <v>0</v>
      </c>
      <c r="I74" s="3">
        <f t="shared" si="34"/>
        <v>0</v>
      </c>
      <c r="J74" s="3">
        <f t="shared" si="34"/>
        <v>0</v>
      </c>
      <c r="K74" s="3">
        <f t="shared" si="34"/>
        <v>0</v>
      </c>
      <c r="L74" s="3">
        <f t="shared" si="34"/>
        <v>0</v>
      </c>
      <c r="M74" s="3">
        <f t="shared" si="34"/>
        <v>0</v>
      </c>
      <c r="N74" s="3">
        <f t="shared" si="34"/>
        <v>0</v>
      </c>
      <c r="O74" s="3">
        <f t="shared" si="34"/>
        <v>0</v>
      </c>
      <c r="P74" s="3">
        <f t="shared" si="34"/>
        <v>0</v>
      </c>
      <c r="Q74" s="3">
        <f t="shared" si="34"/>
        <v>0</v>
      </c>
      <c r="R74" s="3">
        <f t="shared" si="34"/>
        <v>0</v>
      </c>
      <c r="S74" s="3">
        <f t="shared" si="34"/>
        <v>0</v>
      </c>
      <c r="T74" s="3">
        <f t="shared" si="34"/>
        <v>0</v>
      </c>
      <c r="U74" s="3">
        <f t="shared" si="34"/>
        <v>0</v>
      </c>
      <c r="V74" s="3">
        <f t="shared" si="34"/>
        <v>0</v>
      </c>
      <c r="W74" s="3">
        <f t="shared" si="34"/>
        <v>0</v>
      </c>
      <c r="X74" s="3">
        <f t="shared" si="34"/>
        <v>0</v>
      </c>
      <c r="Y74" s="3">
        <f t="shared" si="34"/>
        <v>0</v>
      </c>
      <c r="Z74" s="3">
        <f t="shared" si="34"/>
        <v>0</v>
      </c>
      <c r="AA74" s="3">
        <f t="shared" si="34"/>
        <v>0</v>
      </c>
      <c r="AB74" s="3">
        <f t="shared" si="34"/>
        <v>0</v>
      </c>
      <c r="AC74" s="3">
        <f t="shared" si="34"/>
        <v>0</v>
      </c>
      <c r="AD74" s="3">
        <f t="shared" si="34"/>
        <v>0</v>
      </c>
      <c r="AE74" s="3">
        <f t="shared" si="34"/>
        <v>0</v>
      </c>
      <c r="AF74" s="3">
        <f t="shared" si="34"/>
        <v>0</v>
      </c>
      <c r="AG74" s="3">
        <f t="shared" si="34"/>
        <v>0</v>
      </c>
    </row>
    <row r="75" spans="1:33" x14ac:dyDescent="0.3">
      <c r="C75" s="3"/>
      <c r="D75" s="3"/>
    </row>
    <row r="76" spans="1:33" x14ac:dyDescent="0.3">
      <c r="C76" s="3"/>
      <c r="D76" s="3"/>
    </row>
    <row r="77" spans="1:33" x14ac:dyDescent="0.3">
      <c r="B77" t="s">
        <v>220</v>
      </c>
    </row>
    <row r="78" spans="1:33" x14ac:dyDescent="0.3">
      <c r="B78" s="98" t="s">
        <v>234</v>
      </c>
    </row>
    <row r="79" spans="1:33" x14ac:dyDescent="0.3">
      <c r="B79" t="s">
        <v>221</v>
      </c>
      <c r="C79" s="3">
        <f ca="1">C80+C81-(C82+C83)</f>
        <v>14.141395689831112</v>
      </c>
      <c r="D79" s="3">
        <f t="shared" ref="D79:AG79" ca="1" si="35">D80+D81-(D82+D83)</f>
        <v>15.260140406880433</v>
      </c>
      <c r="E79" s="3">
        <f t="shared" ca="1" si="35"/>
        <v>16.625503406305093</v>
      </c>
      <c r="F79" s="3">
        <f t="shared" ca="1" si="35"/>
        <v>17.282931508273435</v>
      </c>
      <c r="G79" s="3">
        <f t="shared" ca="1" si="35"/>
        <v>18.580615418934716</v>
      </c>
      <c r="H79" s="3">
        <f t="shared" ca="1" si="35"/>
        <v>19.890152156044863</v>
      </c>
      <c r="I79" s="3">
        <f t="shared" ca="1" si="35"/>
        <v>22.524030066112743</v>
      </c>
      <c r="J79" s="3">
        <f t="shared" ca="1" si="35"/>
        <v>8.6902506800157671</v>
      </c>
      <c r="K79" s="3">
        <f t="shared" ca="1" si="35"/>
        <v>15.877705058223508</v>
      </c>
      <c r="L79" s="3">
        <f t="shared" ca="1" si="35"/>
        <v>16.32640636338062</v>
      </c>
      <c r="M79" s="3">
        <f t="shared" ca="1" si="35"/>
        <v>17.448549972088784</v>
      </c>
      <c r="N79" s="3">
        <f t="shared" ca="1" si="35"/>
        <v>18.520434044226054</v>
      </c>
      <c r="O79" s="3">
        <f t="shared" ca="1" si="35"/>
        <v>19.053139836120952</v>
      </c>
      <c r="P79" s="3">
        <f t="shared" ca="1" si="35"/>
        <v>22.097380148473039</v>
      </c>
      <c r="Q79" s="3">
        <f t="shared" ca="1" si="35"/>
        <v>9.5523941593704045</v>
      </c>
      <c r="R79" s="3">
        <f t="shared" ca="1" si="35"/>
        <v>0</v>
      </c>
      <c r="S79" s="3">
        <f t="shared" ca="1" si="35"/>
        <v>0</v>
      </c>
      <c r="T79" s="3">
        <f t="shared" ca="1" si="35"/>
        <v>0</v>
      </c>
      <c r="U79" s="3">
        <f t="shared" ca="1" si="35"/>
        <v>0</v>
      </c>
      <c r="V79" s="3">
        <f t="shared" ca="1" si="35"/>
        <v>0</v>
      </c>
      <c r="W79" s="3">
        <f t="shared" ca="1" si="35"/>
        <v>0</v>
      </c>
      <c r="X79" s="3">
        <f t="shared" ca="1" si="35"/>
        <v>0</v>
      </c>
      <c r="Y79" s="3">
        <f t="shared" ca="1" si="35"/>
        <v>0</v>
      </c>
      <c r="Z79" s="3">
        <f t="shared" ca="1" si="35"/>
        <v>0</v>
      </c>
      <c r="AA79" s="3">
        <f t="shared" ca="1" si="35"/>
        <v>0</v>
      </c>
      <c r="AB79" s="3">
        <f t="shared" ca="1" si="35"/>
        <v>0</v>
      </c>
      <c r="AC79" s="3">
        <f t="shared" ca="1" si="35"/>
        <v>0</v>
      </c>
      <c r="AD79" s="3">
        <f t="shared" ca="1" si="35"/>
        <v>0</v>
      </c>
      <c r="AE79" s="3">
        <f t="shared" ca="1" si="35"/>
        <v>0</v>
      </c>
      <c r="AF79" s="3">
        <f t="shared" ca="1" si="35"/>
        <v>0</v>
      </c>
      <c r="AG79" s="3">
        <f t="shared" ca="1" si="35"/>
        <v>0</v>
      </c>
    </row>
    <row r="80" spans="1:33" outlineLevel="1" x14ac:dyDescent="0.3">
      <c r="B80" s="100" t="s">
        <v>64</v>
      </c>
      <c r="C80" s="3">
        <f ca="1">C63</f>
        <v>6.9712121080139706</v>
      </c>
      <c r="D80" s="3">
        <f t="shared" ref="D80:AG80" ca="1" si="36">D63</f>
        <v>8.3953472123009796</v>
      </c>
      <c r="E80" s="3">
        <f t="shared" ca="1" si="36"/>
        <v>10.0202920408776</v>
      </c>
      <c r="F80" s="3">
        <f t="shared" ca="1" si="36"/>
        <v>10.898364697625063</v>
      </c>
      <c r="G80" s="3">
        <f t="shared" ca="1" si="36"/>
        <v>12.383596479848672</v>
      </c>
      <c r="H80" s="3">
        <f t="shared" ca="1" si="36"/>
        <v>13.85254890778678</v>
      </c>
      <c r="I80" s="3">
        <f t="shared" ca="1" si="36"/>
        <v>16.621930155058433</v>
      </c>
      <c r="J80" s="3">
        <f t="shared" ca="1" si="36"/>
        <v>5.4704524390344762</v>
      </c>
      <c r="K80" s="3">
        <f t="shared" ca="1" si="36"/>
        <v>15.877705058223505</v>
      </c>
      <c r="L80" s="3">
        <f t="shared" ca="1" si="36"/>
        <v>16.326406363380624</v>
      </c>
      <c r="M80" s="3">
        <f t="shared" ca="1" si="36"/>
        <v>17.448549972088781</v>
      </c>
      <c r="N80" s="3">
        <f t="shared" ca="1" si="36"/>
        <v>18.520434044226057</v>
      </c>
      <c r="O80" s="3">
        <f t="shared" ca="1" si="36"/>
        <v>19.053139836120955</v>
      </c>
      <c r="P80" s="3">
        <f t="shared" ca="1" si="36"/>
        <v>22.097380148473036</v>
      </c>
      <c r="Q80" s="3">
        <f t="shared" ca="1" si="36"/>
        <v>9.5523941593704045</v>
      </c>
      <c r="R80" s="3">
        <f t="shared" ca="1" si="36"/>
        <v>0</v>
      </c>
      <c r="S80" s="3">
        <f t="shared" ca="1" si="36"/>
        <v>0</v>
      </c>
      <c r="T80" s="3">
        <f t="shared" ca="1" si="36"/>
        <v>0</v>
      </c>
      <c r="U80" s="3">
        <f t="shared" ca="1" si="36"/>
        <v>0</v>
      </c>
      <c r="V80" s="3">
        <f t="shared" ca="1" si="36"/>
        <v>0</v>
      </c>
      <c r="W80" s="3">
        <f t="shared" ca="1" si="36"/>
        <v>0</v>
      </c>
      <c r="X80" s="3">
        <f t="shared" ca="1" si="36"/>
        <v>0</v>
      </c>
      <c r="Y80" s="3">
        <f t="shared" ca="1" si="36"/>
        <v>0</v>
      </c>
      <c r="Z80" s="3">
        <f t="shared" ca="1" si="36"/>
        <v>0</v>
      </c>
      <c r="AA80" s="3">
        <f t="shared" ca="1" si="36"/>
        <v>0</v>
      </c>
      <c r="AB80" s="3">
        <f t="shared" ca="1" si="36"/>
        <v>0</v>
      </c>
      <c r="AC80" s="3">
        <f t="shared" ca="1" si="36"/>
        <v>0</v>
      </c>
      <c r="AD80" s="3">
        <f t="shared" ca="1" si="36"/>
        <v>0</v>
      </c>
      <c r="AE80" s="3">
        <f t="shared" ca="1" si="36"/>
        <v>0</v>
      </c>
      <c r="AF80" s="3">
        <f t="shared" ca="1" si="36"/>
        <v>0</v>
      </c>
      <c r="AG80" s="3">
        <f t="shared" ca="1" si="36"/>
        <v>0</v>
      </c>
    </row>
    <row r="81" spans="2:33" outlineLevel="1" x14ac:dyDescent="0.3">
      <c r="B81" s="100" t="s">
        <v>8</v>
      </c>
      <c r="C81" s="3">
        <f ca="1">C64</f>
        <v>6.8610322681468734</v>
      </c>
      <c r="D81" s="3">
        <f t="shared" ref="D81:AG81" ca="1" si="37">D64</f>
        <v>6.8610322681468734</v>
      </c>
      <c r="E81" s="3">
        <f t="shared" ca="1" si="37"/>
        <v>6.8610322681468734</v>
      </c>
      <c r="F81" s="3">
        <f t="shared" ca="1" si="37"/>
        <v>6.8610322681468734</v>
      </c>
      <c r="G81" s="3">
        <f t="shared" ca="1" si="37"/>
        <v>6.8610322681468734</v>
      </c>
      <c r="H81" s="3">
        <f t="shared" ca="1" si="37"/>
        <v>6.8610322681468734</v>
      </c>
      <c r="I81" s="3">
        <f t="shared" ca="1" si="37"/>
        <v>6.8610322681468734</v>
      </c>
      <c r="J81" s="3">
        <f t="shared" ca="1" si="37"/>
        <v>3.4305161340734367</v>
      </c>
      <c r="K81" s="3">
        <f t="shared" si="37"/>
        <v>0</v>
      </c>
      <c r="L81" s="3">
        <f t="shared" si="37"/>
        <v>0</v>
      </c>
      <c r="M81" s="3">
        <f t="shared" si="37"/>
        <v>0</v>
      </c>
      <c r="N81" s="3">
        <f t="shared" si="37"/>
        <v>0</v>
      </c>
      <c r="O81" s="3">
        <f t="shared" si="37"/>
        <v>0</v>
      </c>
      <c r="P81" s="3">
        <f t="shared" si="37"/>
        <v>0</v>
      </c>
      <c r="Q81" s="3">
        <f t="shared" si="37"/>
        <v>0</v>
      </c>
      <c r="R81" s="3">
        <f t="shared" si="37"/>
        <v>0</v>
      </c>
      <c r="S81" s="3">
        <f t="shared" si="37"/>
        <v>0</v>
      </c>
      <c r="T81" s="3">
        <f t="shared" si="37"/>
        <v>0</v>
      </c>
      <c r="U81" s="3">
        <f t="shared" si="37"/>
        <v>0</v>
      </c>
      <c r="V81" s="3">
        <f t="shared" si="37"/>
        <v>0</v>
      </c>
      <c r="W81" s="3">
        <f t="shared" si="37"/>
        <v>0</v>
      </c>
      <c r="X81" s="3">
        <f t="shared" si="37"/>
        <v>0</v>
      </c>
      <c r="Y81" s="3">
        <f t="shared" si="37"/>
        <v>0</v>
      </c>
      <c r="Z81" s="3">
        <f t="shared" si="37"/>
        <v>0</v>
      </c>
      <c r="AA81" s="3">
        <f t="shared" si="37"/>
        <v>0</v>
      </c>
      <c r="AB81" s="3">
        <f t="shared" si="37"/>
        <v>0</v>
      </c>
      <c r="AC81" s="3">
        <f t="shared" si="37"/>
        <v>0</v>
      </c>
      <c r="AD81" s="3">
        <f t="shared" si="37"/>
        <v>0</v>
      </c>
      <c r="AE81" s="3">
        <f t="shared" si="37"/>
        <v>0</v>
      </c>
      <c r="AF81" s="3">
        <f t="shared" si="37"/>
        <v>0</v>
      </c>
      <c r="AG81" s="3">
        <f t="shared" si="37"/>
        <v>0</v>
      </c>
    </row>
    <row r="82" spans="2:33" outlineLevel="1" x14ac:dyDescent="0.3">
      <c r="B82" s="100" t="s">
        <v>232</v>
      </c>
      <c r="C82" s="3">
        <f ca="1">C55</f>
        <v>0</v>
      </c>
      <c r="D82" s="3">
        <f t="shared" ref="D82:AG82" ca="1" si="38">D55</f>
        <v>0</v>
      </c>
      <c r="E82" s="3">
        <f t="shared" ca="1" si="38"/>
        <v>0</v>
      </c>
      <c r="F82" s="3">
        <f t="shared" ca="1" si="38"/>
        <v>0</v>
      </c>
      <c r="G82" s="3">
        <f t="shared" ca="1" si="38"/>
        <v>0</v>
      </c>
      <c r="H82" s="3">
        <f t="shared" ca="1" si="38"/>
        <v>0</v>
      </c>
      <c r="I82" s="3">
        <f t="shared" ca="1" si="38"/>
        <v>0</v>
      </c>
      <c r="J82" s="3">
        <f t="shared" ca="1" si="38"/>
        <v>0</v>
      </c>
      <c r="K82" s="3">
        <f t="shared" ca="1" si="38"/>
        <v>0</v>
      </c>
      <c r="L82" s="3">
        <f t="shared" ca="1" si="38"/>
        <v>0</v>
      </c>
      <c r="M82" s="3">
        <f t="shared" ca="1" si="38"/>
        <v>0</v>
      </c>
      <c r="N82" s="3">
        <f t="shared" ca="1" si="38"/>
        <v>0</v>
      </c>
      <c r="O82" s="3">
        <f t="shared" ca="1" si="38"/>
        <v>0</v>
      </c>
      <c r="P82" s="3">
        <f t="shared" ca="1" si="38"/>
        <v>0</v>
      </c>
      <c r="Q82" s="3">
        <f t="shared" ca="1" si="38"/>
        <v>0</v>
      </c>
      <c r="R82" s="3">
        <f t="shared" ca="1" si="38"/>
        <v>0</v>
      </c>
      <c r="S82" s="3">
        <f t="shared" ca="1" si="38"/>
        <v>0</v>
      </c>
      <c r="T82" s="3">
        <f t="shared" ca="1" si="38"/>
        <v>0</v>
      </c>
      <c r="U82" s="3">
        <f t="shared" ca="1" si="38"/>
        <v>0</v>
      </c>
      <c r="V82" s="3">
        <f t="shared" ca="1" si="38"/>
        <v>0</v>
      </c>
      <c r="W82" s="3">
        <f t="shared" ca="1" si="38"/>
        <v>0</v>
      </c>
      <c r="X82" s="3">
        <f t="shared" ca="1" si="38"/>
        <v>0</v>
      </c>
      <c r="Y82" s="3">
        <f t="shared" ca="1" si="38"/>
        <v>0</v>
      </c>
      <c r="Z82" s="3">
        <f t="shared" ca="1" si="38"/>
        <v>0</v>
      </c>
      <c r="AA82" s="3">
        <f t="shared" ca="1" si="38"/>
        <v>0</v>
      </c>
      <c r="AB82" s="3">
        <f t="shared" ca="1" si="38"/>
        <v>0</v>
      </c>
      <c r="AC82" s="3">
        <f t="shared" ca="1" si="38"/>
        <v>0</v>
      </c>
      <c r="AD82" s="3">
        <f t="shared" ca="1" si="38"/>
        <v>0</v>
      </c>
      <c r="AE82" s="3">
        <f t="shared" ca="1" si="38"/>
        <v>0</v>
      </c>
      <c r="AF82" s="3">
        <f t="shared" ca="1" si="38"/>
        <v>0</v>
      </c>
      <c r="AG82" s="3">
        <f t="shared" ca="1" si="38"/>
        <v>0</v>
      </c>
    </row>
    <row r="83" spans="2:33" outlineLevel="1" x14ac:dyDescent="0.3">
      <c r="B83" s="100" t="s">
        <v>225</v>
      </c>
      <c r="C83" s="3">
        <f ca="1">C59</f>
        <v>-0.30915131367027437</v>
      </c>
      <c r="D83" s="3">
        <f t="shared" ref="D83:AG83" ca="1" si="39">D59</f>
        <v>-3.760926432639465E-3</v>
      </c>
      <c r="E83" s="3">
        <f t="shared" ca="1" si="39"/>
        <v>0.25582090271934904</v>
      </c>
      <c r="F83" s="3">
        <f t="shared" ca="1" si="39"/>
        <v>0.47646545749852798</v>
      </c>
      <c r="G83" s="3">
        <f t="shared" ca="1" si="39"/>
        <v>0.66401332906081234</v>
      </c>
      <c r="H83" s="3">
        <f t="shared" ca="1" si="39"/>
        <v>0.82342901988877815</v>
      </c>
      <c r="I83" s="3">
        <f t="shared" ca="1" si="39"/>
        <v>0.95893235709254843</v>
      </c>
      <c r="J83" s="3">
        <f t="shared" ca="1" si="39"/>
        <v>0.21071789309214453</v>
      </c>
      <c r="K83" s="3">
        <f t="shared" si="39"/>
        <v>0</v>
      </c>
      <c r="L83" s="3">
        <f t="shared" si="39"/>
        <v>0</v>
      </c>
      <c r="M83" s="3">
        <f t="shared" si="39"/>
        <v>0</v>
      </c>
      <c r="N83" s="3">
        <f t="shared" si="39"/>
        <v>0</v>
      </c>
      <c r="O83" s="3">
        <f t="shared" si="39"/>
        <v>0</v>
      </c>
      <c r="P83" s="3">
        <f t="shared" si="39"/>
        <v>0</v>
      </c>
      <c r="Q83" s="3">
        <f t="shared" si="39"/>
        <v>0</v>
      </c>
      <c r="R83" s="3">
        <f t="shared" si="39"/>
        <v>0</v>
      </c>
      <c r="S83" s="3">
        <f t="shared" si="39"/>
        <v>0</v>
      </c>
      <c r="T83" s="3">
        <f t="shared" si="39"/>
        <v>0</v>
      </c>
      <c r="U83" s="3">
        <f t="shared" si="39"/>
        <v>0</v>
      </c>
      <c r="V83" s="3">
        <f t="shared" si="39"/>
        <v>0</v>
      </c>
      <c r="W83" s="3">
        <f t="shared" si="39"/>
        <v>0</v>
      </c>
      <c r="X83" s="3">
        <f t="shared" si="39"/>
        <v>0</v>
      </c>
      <c r="Y83" s="3">
        <f t="shared" si="39"/>
        <v>0</v>
      </c>
      <c r="Z83" s="3">
        <f t="shared" si="39"/>
        <v>0</v>
      </c>
      <c r="AA83" s="3">
        <f t="shared" si="39"/>
        <v>0</v>
      </c>
      <c r="AB83" s="3">
        <f t="shared" si="39"/>
        <v>0</v>
      </c>
      <c r="AC83" s="3">
        <f t="shared" si="39"/>
        <v>0</v>
      </c>
      <c r="AD83" s="3">
        <f t="shared" si="39"/>
        <v>0</v>
      </c>
      <c r="AE83" s="3">
        <f t="shared" si="39"/>
        <v>0</v>
      </c>
      <c r="AF83" s="3">
        <f t="shared" si="39"/>
        <v>0</v>
      </c>
      <c r="AG83" s="3">
        <f t="shared" si="39"/>
        <v>0</v>
      </c>
    </row>
    <row r="84" spans="2:33" x14ac:dyDescent="0.3">
      <c r="B84" t="s">
        <v>233</v>
      </c>
      <c r="C84" s="3">
        <f>0-C73</f>
        <v>6.16298225797751</v>
      </c>
      <c r="D84" s="3">
        <f t="shared" ref="D84:Q84" si="40">D73-C73</f>
        <v>6.9667750670427155</v>
      </c>
      <c r="E84" s="3">
        <f t="shared" si="40"/>
        <v>2.9637177439561957E-2</v>
      </c>
      <c r="F84" s="3">
        <f t="shared" si="40"/>
        <v>3.1119036311539561E-2</v>
      </c>
      <c r="G84" s="3">
        <f t="shared" si="40"/>
        <v>3.2674988127116666E-2</v>
      </c>
      <c r="H84" s="3">
        <f t="shared" si="40"/>
        <v>3.4308737533472855E-2</v>
      </c>
      <c r="I84" s="3">
        <f t="shared" si="40"/>
        <v>-0.17027256804331747</v>
      </c>
      <c r="J84" s="3">
        <f t="shared" si="40"/>
        <v>-6.1586467814154977</v>
      </c>
      <c r="K84" s="3">
        <f t="shared" si="40"/>
        <v>6.2829065486779827</v>
      </c>
      <c r="L84" s="3">
        <f t="shared" si="40"/>
        <v>3.3723534371104757E-2</v>
      </c>
      <c r="M84" s="3">
        <f t="shared" si="40"/>
        <v>3.5409711089659845E-2</v>
      </c>
      <c r="N84" s="3">
        <f t="shared" si="40"/>
        <v>3.7180196644142738E-2</v>
      </c>
      <c r="O84" s="3">
        <f t="shared" si="40"/>
        <v>3.9039206476350174E-2</v>
      </c>
      <c r="P84" s="3">
        <f t="shared" si="40"/>
        <v>-0.16530557565329629</v>
      </c>
      <c r="Q84" s="3">
        <f t="shared" si="40"/>
        <v>-7.596918335395447</v>
      </c>
      <c r="R84" s="45">
        <v>0</v>
      </c>
      <c r="S84" s="3">
        <f t="shared" ref="S84:AG84" si="41">S73-R73</f>
        <v>0</v>
      </c>
      <c r="T84" s="3">
        <f t="shared" si="41"/>
        <v>0</v>
      </c>
      <c r="U84" s="3">
        <f t="shared" si="41"/>
        <v>0</v>
      </c>
      <c r="V84" s="3">
        <f t="shared" si="41"/>
        <v>0</v>
      </c>
      <c r="W84" s="3">
        <f t="shared" si="41"/>
        <v>0</v>
      </c>
      <c r="X84" s="3">
        <f t="shared" si="41"/>
        <v>0</v>
      </c>
      <c r="Y84" s="3">
        <f t="shared" si="41"/>
        <v>0</v>
      </c>
      <c r="Z84" s="3">
        <f t="shared" si="41"/>
        <v>0</v>
      </c>
      <c r="AA84" s="3">
        <f t="shared" si="41"/>
        <v>0</v>
      </c>
      <c r="AB84" s="3">
        <f t="shared" si="41"/>
        <v>0</v>
      </c>
      <c r="AC84" s="3">
        <f t="shared" si="41"/>
        <v>0</v>
      </c>
      <c r="AD84" s="3">
        <f t="shared" si="41"/>
        <v>0</v>
      </c>
      <c r="AE84" s="3">
        <f t="shared" si="41"/>
        <v>0</v>
      </c>
      <c r="AF84" s="3">
        <f t="shared" si="41"/>
        <v>0</v>
      </c>
      <c r="AG84" s="3">
        <f t="shared" si="41"/>
        <v>0</v>
      </c>
    </row>
    <row r="85" spans="2:33" x14ac:dyDescent="0.3">
      <c r="B85" s="98" t="s">
        <v>235</v>
      </c>
    </row>
    <row r="86" spans="2:33" x14ac:dyDescent="0.3">
      <c r="B86" t="s">
        <v>236</v>
      </c>
      <c r="C86" s="3">
        <f ca="1">-'Term Loan'!D61</f>
        <v>-3.6110696148141144</v>
      </c>
      <c r="D86" s="3">
        <f ca="1">-'Term Loan'!E61</f>
        <v>-3.6110696148141144</v>
      </c>
      <c r="E86" s="3">
        <f ca="1">-'Term Loan'!F61</f>
        <v>-3.6110696148141144</v>
      </c>
      <c r="F86" s="3">
        <f ca="1">-'Term Loan'!G61</f>
        <v>-3.6110696148141144</v>
      </c>
      <c r="G86" s="3">
        <f ca="1">-'Term Loan'!H61</f>
        <v>-3.6110696148141144</v>
      </c>
      <c r="H86" s="3">
        <f ca="1">-'Term Loan'!I61</f>
        <v>-3.6110696148141144</v>
      </c>
      <c r="I86" s="3">
        <f ca="1">-'Term Loan'!J61</f>
        <v>-3.6110696148141144</v>
      </c>
      <c r="J86" s="3">
        <f ca="1">-'Term Loan'!K61</f>
        <v>-3.6110696148141144</v>
      </c>
      <c r="K86" s="3">
        <f ca="1">-'Term Loan'!L61</f>
        <v>-3.6110696148141144</v>
      </c>
      <c r="L86" s="3">
        <f ca="1">-'Term Loan'!M61</f>
        <v>-3.6110696148141144</v>
      </c>
      <c r="M86" s="3">
        <f ca="1">-'Term Loan'!N61</f>
        <v>-3.6110696148141144</v>
      </c>
      <c r="N86" s="3">
        <f ca="1">-'Term Loan'!O61</f>
        <v>-3.6110696148141144</v>
      </c>
      <c r="O86" s="3">
        <f ca="1">-'Term Loan'!P61</f>
        <v>-3.6110696148141144</v>
      </c>
      <c r="P86" s="3">
        <f ca="1">-'Term Loan'!Q61</f>
        <v>-3.6110696148141144</v>
      </c>
      <c r="Q86" s="3">
        <f ca="1">-'Term Loan'!R61</f>
        <v>-3.6110696148141144</v>
      </c>
      <c r="R86" s="3">
        <f>-'Term Loan'!S61</f>
        <v>0</v>
      </c>
      <c r="S86" s="3">
        <f>-'Term Loan'!T61</f>
        <v>0</v>
      </c>
      <c r="T86" s="3">
        <f>-'Term Loan'!U61</f>
        <v>0</v>
      </c>
      <c r="U86" s="3">
        <f>-'Term Loan'!V61</f>
        <v>0</v>
      </c>
      <c r="V86" s="3">
        <f>-'Term Loan'!W61</f>
        <v>0</v>
      </c>
      <c r="W86" s="3">
        <f>-'Term Loan'!X61</f>
        <v>0</v>
      </c>
      <c r="X86" s="3">
        <f>-'Term Loan'!Y61</f>
        <v>0</v>
      </c>
      <c r="Y86" s="3">
        <f>-'Term Loan'!Z61</f>
        <v>0</v>
      </c>
      <c r="Z86" s="3">
        <f>-'Term Loan'!AA61</f>
        <v>0</v>
      </c>
      <c r="AA86" s="3">
        <f>-'Term Loan'!AB61</f>
        <v>0</v>
      </c>
      <c r="AB86" s="3">
        <f>-'Term Loan'!AC61</f>
        <v>0</v>
      </c>
      <c r="AC86" s="3">
        <f>-'Term Loan'!AD61</f>
        <v>0</v>
      </c>
      <c r="AD86" s="3">
        <f>-'Term Loan'!AE61</f>
        <v>0</v>
      </c>
      <c r="AE86" s="3">
        <f>-'Term Loan'!AF61</f>
        <v>0</v>
      </c>
      <c r="AF86" s="3">
        <f>-'Term Loan'!AG61</f>
        <v>0</v>
      </c>
      <c r="AG86" s="3">
        <f>-'Term Loan'!AH61</f>
        <v>0</v>
      </c>
    </row>
    <row r="87" spans="2:33" x14ac:dyDescent="0.3">
      <c r="B87" s="101" t="s">
        <v>237</v>
      </c>
      <c r="C87" s="3">
        <f>C73</f>
        <v>-6.16298225797751</v>
      </c>
      <c r="D87" s="3">
        <f t="shared" ref="D87:Q87" si="42">C73-D73</f>
        <v>-6.9667750670427155</v>
      </c>
      <c r="E87" s="3">
        <f t="shared" si="42"/>
        <v>-2.9637177439561957E-2</v>
      </c>
      <c r="F87" s="3">
        <f t="shared" si="42"/>
        <v>-3.1119036311539561E-2</v>
      </c>
      <c r="G87" s="3">
        <f t="shared" si="42"/>
        <v>-3.2674988127116666E-2</v>
      </c>
      <c r="H87" s="3">
        <f t="shared" si="42"/>
        <v>-3.4308737533472855E-2</v>
      </c>
      <c r="I87" s="3">
        <f t="shared" si="42"/>
        <v>0.17027256804331747</v>
      </c>
      <c r="J87" s="3">
        <f t="shared" si="42"/>
        <v>6.1586467814154977</v>
      </c>
      <c r="K87" s="3">
        <f t="shared" si="42"/>
        <v>-6.2829065486779827</v>
      </c>
      <c r="L87" s="3">
        <f t="shared" si="42"/>
        <v>-3.3723534371104757E-2</v>
      </c>
      <c r="M87" s="3">
        <f t="shared" si="42"/>
        <v>-3.5409711089659845E-2</v>
      </c>
      <c r="N87" s="3">
        <f t="shared" si="42"/>
        <v>-3.7180196644142738E-2</v>
      </c>
      <c r="O87" s="3">
        <f t="shared" si="42"/>
        <v>-3.9039206476350174E-2</v>
      </c>
      <c r="P87" s="3">
        <f t="shared" si="42"/>
        <v>0.16530557565329629</v>
      </c>
      <c r="Q87" s="3">
        <f t="shared" si="42"/>
        <v>7.596918335395447</v>
      </c>
      <c r="R87" s="45">
        <v>0</v>
      </c>
      <c r="S87" s="3">
        <f t="shared" ref="S87:AG87" si="43">R73-S73</f>
        <v>0</v>
      </c>
      <c r="T87" s="3">
        <f t="shared" si="43"/>
        <v>0</v>
      </c>
      <c r="U87" s="3">
        <f t="shared" si="43"/>
        <v>0</v>
      </c>
      <c r="V87" s="3">
        <f t="shared" si="43"/>
        <v>0</v>
      </c>
      <c r="W87" s="3">
        <f t="shared" si="43"/>
        <v>0</v>
      </c>
      <c r="X87" s="3">
        <f t="shared" si="43"/>
        <v>0</v>
      </c>
      <c r="Y87" s="3">
        <f t="shared" si="43"/>
        <v>0</v>
      </c>
      <c r="Z87" s="3">
        <f t="shared" si="43"/>
        <v>0</v>
      </c>
      <c r="AA87" s="3">
        <f t="shared" si="43"/>
        <v>0</v>
      </c>
      <c r="AB87" s="3">
        <f t="shared" si="43"/>
        <v>0</v>
      </c>
      <c r="AC87" s="3">
        <f t="shared" si="43"/>
        <v>0</v>
      </c>
      <c r="AD87" s="3">
        <f t="shared" si="43"/>
        <v>0</v>
      </c>
      <c r="AE87" s="3">
        <f t="shared" si="43"/>
        <v>0</v>
      </c>
      <c r="AF87" s="3">
        <f t="shared" si="43"/>
        <v>0</v>
      </c>
      <c r="AG87" s="3">
        <f t="shared" si="43"/>
        <v>0</v>
      </c>
    </row>
    <row r="88" spans="2:33" x14ac:dyDescent="0.3">
      <c r="B88" s="101" t="s">
        <v>238</v>
      </c>
    </row>
    <row r="89" spans="2:33" ht="15" thickBot="1" x14ac:dyDescent="0.35">
      <c r="B89" s="101" t="s">
        <v>239</v>
      </c>
      <c r="C89" s="3">
        <f ca="1">C79+C84+C86+C87+C88</f>
        <v>10.530326075016998</v>
      </c>
      <c r="D89" s="3">
        <f t="shared" ref="D89:AG89" ca="1" si="44">D79+D84+D86+D87+D88</f>
        <v>11.649070792066322</v>
      </c>
      <c r="E89" s="3">
        <f t="shared" ca="1" si="44"/>
        <v>13.014433791490976</v>
      </c>
      <c r="F89" s="3">
        <f t="shared" ca="1" si="44"/>
        <v>13.671861893459322</v>
      </c>
      <c r="G89" s="3">
        <f t="shared" ca="1" si="44"/>
        <v>14.969545804120601</v>
      </c>
      <c r="H89" s="3">
        <f t="shared" ca="1" si="44"/>
        <v>16.27908254123075</v>
      </c>
      <c r="I89" s="3">
        <f t="shared" ca="1" si="44"/>
        <v>18.91296045129863</v>
      </c>
      <c r="J89" s="3">
        <f t="shared" ca="1" si="44"/>
        <v>5.0791810652016522</v>
      </c>
      <c r="K89" s="3">
        <f t="shared" ca="1" si="44"/>
        <v>12.266635443409395</v>
      </c>
      <c r="L89" s="3">
        <f t="shared" ca="1" si="44"/>
        <v>12.715336748566507</v>
      </c>
      <c r="M89" s="3">
        <f t="shared" ca="1" si="44"/>
        <v>13.83748035727467</v>
      </c>
      <c r="N89" s="3">
        <f t="shared" ca="1" si="44"/>
        <v>14.909364429411941</v>
      </c>
      <c r="O89" s="3">
        <f t="shared" ca="1" si="44"/>
        <v>15.442070221306837</v>
      </c>
      <c r="P89" s="3">
        <f t="shared" ca="1" si="44"/>
        <v>18.486310533658926</v>
      </c>
      <c r="Q89" s="3">
        <f t="shared" ca="1" si="44"/>
        <v>5.9413245445562897</v>
      </c>
      <c r="R89" s="3">
        <f t="shared" ca="1" si="44"/>
        <v>0</v>
      </c>
      <c r="S89" s="3">
        <f t="shared" ca="1" si="44"/>
        <v>0</v>
      </c>
      <c r="T89" s="3">
        <f t="shared" ca="1" si="44"/>
        <v>0</v>
      </c>
      <c r="U89" s="3">
        <f t="shared" ca="1" si="44"/>
        <v>0</v>
      </c>
      <c r="V89" s="3">
        <f t="shared" ca="1" si="44"/>
        <v>0</v>
      </c>
      <c r="W89" s="3">
        <f t="shared" ca="1" si="44"/>
        <v>0</v>
      </c>
      <c r="X89" s="3">
        <f t="shared" ca="1" si="44"/>
        <v>0</v>
      </c>
      <c r="Y89" s="3">
        <f t="shared" ca="1" si="44"/>
        <v>0</v>
      </c>
      <c r="Z89" s="3">
        <f t="shared" ca="1" si="44"/>
        <v>0</v>
      </c>
      <c r="AA89" s="3">
        <f t="shared" ca="1" si="44"/>
        <v>0</v>
      </c>
      <c r="AB89" s="3">
        <f t="shared" ca="1" si="44"/>
        <v>0</v>
      </c>
      <c r="AC89" s="3">
        <f t="shared" ca="1" si="44"/>
        <v>0</v>
      </c>
      <c r="AD89" s="3">
        <f t="shared" ca="1" si="44"/>
        <v>0</v>
      </c>
      <c r="AE89" s="3">
        <f t="shared" ca="1" si="44"/>
        <v>0</v>
      </c>
      <c r="AF89" s="3">
        <f t="shared" ca="1" si="44"/>
        <v>0</v>
      </c>
      <c r="AG89" s="3">
        <f t="shared" ca="1" si="44"/>
        <v>0</v>
      </c>
    </row>
    <row r="90" spans="2:33" ht="15" thickBot="1" x14ac:dyDescent="0.35">
      <c r="B90" s="102" t="s">
        <v>240</v>
      </c>
      <c r="C90" s="9">
        <f ca="1">IF(C3="-",0,C89)</f>
        <v>10.530326075016998</v>
      </c>
      <c r="D90" s="9">
        <f t="shared" ref="D90:AG90" ca="1" si="45">IF(D3="-",0,D89+C90)</f>
        <v>22.179396867083319</v>
      </c>
      <c r="E90" s="9">
        <f t="shared" ca="1" si="45"/>
        <v>35.193830658574299</v>
      </c>
      <c r="F90" s="9">
        <f t="shared" ca="1" si="45"/>
        <v>48.865692552033622</v>
      </c>
      <c r="G90" s="9">
        <f t="shared" ca="1" si="45"/>
        <v>63.835238356154221</v>
      </c>
      <c r="H90" s="9">
        <f t="shared" ca="1" si="45"/>
        <v>80.114320897384971</v>
      </c>
      <c r="I90" s="9">
        <f t="shared" ca="1" si="45"/>
        <v>99.027281348683601</v>
      </c>
      <c r="J90" s="9">
        <f t="shared" ca="1" si="45"/>
        <v>104.10646241388525</v>
      </c>
      <c r="K90" s="9">
        <f t="shared" ca="1" si="45"/>
        <v>116.37309785729465</v>
      </c>
      <c r="L90" s="9">
        <f t="shared" ca="1" si="45"/>
        <v>129.08843460586115</v>
      </c>
      <c r="M90" s="9">
        <f t="shared" ca="1" si="45"/>
        <v>142.92591496313582</v>
      </c>
      <c r="N90" s="9">
        <f t="shared" ca="1" si="45"/>
        <v>157.83527939254776</v>
      </c>
      <c r="O90" s="9">
        <f t="shared" ca="1" si="45"/>
        <v>173.2773496138546</v>
      </c>
      <c r="P90" s="9">
        <f t="shared" ca="1" si="45"/>
        <v>191.76366014751352</v>
      </c>
      <c r="Q90" s="9">
        <f t="shared" ca="1" si="45"/>
        <v>197.70498469206981</v>
      </c>
      <c r="R90" s="9">
        <f t="shared" si="45"/>
        <v>0</v>
      </c>
      <c r="S90" s="9">
        <f t="shared" si="45"/>
        <v>0</v>
      </c>
      <c r="T90" s="9">
        <f t="shared" si="45"/>
        <v>0</v>
      </c>
      <c r="U90" s="9">
        <f t="shared" si="45"/>
        <v>0</v>
      </c>
      <c r="V90" s="9">
        <f t="shared" si="45"/>
        <v>0</v>
      </c>
      <c r="W90" s="9">
        <f t="shared" si="45"/>
        <v>0</v>
      </c>
      <c r="X90" s="9">
        <f t="shared" si="45"/>
        <v>0</v>
      </c>
      <c r="Y90" s="9">
        <f t="shared" si="45"/>
        <v>0</v>
      </c>
      <c r="Z90" s="9">
        <f t="shared" si="45"/>
        <v>0</v>
      </c>
      <c r="AA90" s="9">
        <f t="shared" si="45"/>
        <v>0</v>
      </c>
      <c r="AB90" s="9">
        <f t="shared" si="45"/>
        <v>0</v>
      </c>
      <c r="AC90" s="9">
        <f t="shared" si="45"/>
        <v>0</v>
      </c>
      <c r="AD90" s="9">
        <f t="shared" si="45"/>
        <v>0</v>
      </c>
      <c r="AE90" s="9">
        <f t="shared" si="45"/>
        <v>0</v>
      </c>
      <c r="AF90" s="9">
        <f t="shared" si="45"/>
        <v>0</v>
      </c>
      <c r="AG90" s="9">
        <f t="shared" si="45"/>
        <v>0</v>
      </c>
    </row>
    <row r="91" spans="2:33" x14ac:dyDescent="0.3">
      <c r="B91" s="101"/>
    </row>
    <row r="93" spans="2:33" ht="23.4" x14ac:dyDescent="0.45">
      <c r="B93" s="103" t="s">
        <v>217</v>
      </c>
    </row>
    <row r="94" spans="2:33" x14ac:dyDescent="0.3">
      <c r="B94" t="s">
        <v>73</v>
      </c>
    </row>
    <row r="95" spans="2:33" x14ac:dyDescent="0.3">
      <c r="B95" t="s">
        <v>218</v>
      </c>
      <c r="C95" s="1">
        <f ca="1">'Project Expenses'!F80</f>
        <v>54.166044222212143</v>
      </c>
      <c r="D95" s="1">
        <f ca="1">'Project Expenses'!G80</f>
        <v>54.166044222212143</v>
      </c>
      <c r="E95" s="1">
        <f ca="1">'Project Expenses'!H80</f>
        <v>54.166044222212143</v>
      </c>
      <c r="F95" s="1">
        <f ca="1">'Project Expenses'!I80</f>
        <v>54.166044222212143</v>
      </c>
      <c r="G95" s="1">
        <f ca="1">'Project Expenses'!J80</f>
        <v>54.166044222212143</v>
      </c>
      <c r="H95" s="1">
        <f ca="1">'Project Expenses'!K80</f>
        <v>54.166044222212143</v>
      </c>
      <c r="I95" s="1">
        <f ca="1">'Project Expenses'!L80</f>
        <v>54.166044222212143</v>
      </c>
      <c r="J95" s="1">
        <f ca="1">'Project Expenses'!M80</f>
        <v>54.166044222212143</v>
      </c>
      <c r="K95" s="1">
        <f ca="1">'Project Expenses'!N80</f>
        <v>54.166044222212143</v>
      </c>
      <c r="L95" s="1">
        <f ca="1">'Project Expenses'!O80</f>
        <v>54.166044222212143</v>
      </c>
      <c r="M95" s="1">
        <f ca="1">'Project Expenses'!P80</f>
        <v>54.166044222212143</v>
      </c>
      <c r="N95" s="1">
        <f ca="1">'Project Expenses'!Q80</f>
        <v>54.166044222212143</v>
      </c>
      <c r="O95" s="1">
        <f ca="1">'Project Expenses'!R80</f>
        <v>54.166044222212143</v>
      </c>
      <c r="P95" s="1">
        <f ca="1">'Project Expenses'!S80</f>
        <v>54.166044222212143</v>
      </c>
      <c r="Q95" s="1">
        <f ca="1">'Project Expenses'!T80</f>
        <v>54.166044222212143</v>
      </c>
      <c r="R95" s="1">
        <f>'Project Expenses'!U80</f>
        <v>0</v>
      </c>
      <c r="S95" s="1">
        <f>'Project Expenses'!V80</f>
        <v>0</v>
      </c>
      <c r="T95" s="1">
        <f>'Project Expenses'!W80</f>
        <v>0</v>
      </c>
      <c r="U95" s="1">
        <f>'Project Expenses'!X80</f>
        <v>0</v>
      </c>
      <c r="V95" s="1">
        <f>'Project Expenses'!Y80</f>
        <v>0</v>
      </c>
      <c r="W95" s="1">
        <f>'Project Expenses'!Z80</f>
        <v>0</v>
      </c>
      <c r="X95" s="1">
        <f>'Project Expenses'!AA80</f>
        <v>0</v>
      </c>
      <c r="Y95" s="1">
        <f>'Project Expenses'!AB80</f>
        <v>0</v>
      </c>
      <c r="Z95" s="1">
        <f>'Project Expenses'!AC80</f>
        <v>0</v>
      </c>
      <c r="AA95" s="1">
        <f>'Project Expenses'!AD80</f>
        <v>0</v>
      </c>
      <c r="AB95" s="1">
        <f>'Project Expenses'!AE80</f>
        <v>0</v>
      </c>
      <c r="AC95" s="1">
        <f>'Project Expenses'!AF80</f>
        <v>0</v>
      </c>
      <c r="AD95" s="1">
        <f>'Project Expenses'!AG80</f>
        <v>0</v>
      </c>
      <c r="AE95" s="1">
        <f>'Project Expenses'!AH80</f>
        <v>0</v>
      </c>
      <c r="AF95" s="1">
        <f>'Project Expenses'!AI80</f>
        <v>0</v>
      </c>
      <c r="AG95" s="1">
        <f>'Project Expenses'!AJ80</f>
        <v>0</v>
      </c>
    </row>
    <row r="96" spans="2:33" x14ac:dyDescent="0.3">
      <c r="B96" t="s">
        <v>241</v>
      </c>
      <c r="C96" s="3">
        <f ca="1">C64</f>
        <v>6.8610322681468734</v>
      </c>
      <c r="D96" s="3">
        <f t="shared" ref="D96:Q96" ca="1" si="46">C96+D64</f>
        <v>13.722064536293747</v>
      </c>
      <c r="E96" s="3">
        <f t="shared" ca="1" si="46"/>
        <v>20.583096804440622</v>
      </c>
      <c r="F96" s="3">
        <f t="shared" ca="1" si="46"/>
        <v>27.444129072587494</v>
      </c>
      <c r="G96" s="3">
        <f t="shared" ca="1" si="46"/>
        <v>34.305161340734365</v>
      </c>
      <c r="H96" s="3">
        <f t="shared" ca="1" si="46"/>
        <v>41.166193608881237</v>
      </c>
      <c r="I96" s="3">
        <f t="shared" ca="1" si="46"/>
        <v>48.027225877028108</v>
      </c>
      <c r="J96" s="3">
        <f ca="1">I96+J64</f>
        <v>51.457742011101544</v>
      </c>
      <c r="K96" s="3">
        <f t="shared" ca="1" si="46"/>
        <v>51.457742011101544</v>
      </c>
      <c r="L96" s="3">
        <f t="shared" ca="1" si="46"/>
        <v>51.457742011101544</v>
      </c>
      <c r="M96" s="3">
        <f t="shared" ca="1" si="46"/>
        <v>51.457742011101544</v>
      </c>
      <c r="N96" s="3">
        <f t="shared" ca="1" si="46"/>
        <v>51.457742011101544</v>
      </c>
      <c r="O96" s="3">
        <f t="shared" ca="1" si="46"/>
        <v>51.457742011101544</v>
      </c>
      <c r="P96" s="3">
        <f t="shared" ca="1" si="46"/>
        <v>51.457742011101544</v>
      </c>
      <c r="Q96" s="3">
        <f t="shared" ca="1" si="46"/>
        <v>51.457742011101544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2:33" x14ac:dyDescent="0.3">
      <c r="B97" t="s">
        <v>219</v>
      </c>
      <c r="C97" s="3">
        <f ca="1">MAX(C95-C96,0)</f>
        <v>47.305011954065272</v>
      </c>
      <c r="D97" s="3">
        <f t="shared" ref="D97:Q97" ca="1" si="47">MAX(D95-D96,0)</f>
        <v>40.443979685918393</v>
      </c>
      <c r="E97" s="3">
        <f t="shared" ca="1" si="47"/>
        <v>33.582947417771521</v>
      </c>
      <c r="F97" s="3">
        <f t="shared" ca="1" si="47"/>
        <v>26.72191514962465</v>
      </c>
      <c r="G97" s="3">
        <f t="shared" ca="1" si="47"/>
        <v>19.860882881477778</v>
      </c>
      <c r="H97" s="3">
        <f t="shared" ca="1" si="47"/>
        <v>12.999850613330906</v>
      </c>
      <c r="I97" s="3">
        <f t="shared" ca="1" si="47"/>
        <v>6.1388183451840348</v>
      </c>
      <c r="J97" s="3">
        <f t="shared" ca="1" si="47"/>
        <v>2.708302211110599</v>
      </c>
      <c r="K97" s="3">
        <f t="shared" ca="1" si="47"/>
        <v>2.708302211110599</v>
      </c>
      <c r="L97" s="3">
        <f t="shared" ca="1" si="47"/>
        <v>2.708302211110599</v>
      </c>
      <c r="M97" s="3">
        <f t="shared" ca="1" si="47"/>
        <v>2.708302211110599</v>
      </c>
      <c r="N97" s="3">
        <f t="shared" ca="1" si="47"/>
        <v>2.708302211110599</v>
      </c>
      <c r="O97" s="3">
        <f t="shared" ca="1" si="47"/>
        <v>2.708302211110599</v>
      </c>
      <c r="P97" s="3">
        <f t="shared" ca="1" si="47"/>
        <v>2.708302211110599</v>
      </c>
      <c r="Q97" s="3">
        <f t="shared" ca="1" si="47"/>
        <v>2.708302211110599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2:33" x14ac:dyDescent="0.3">
      <c r="B98" t="s">
        <v>242</v>
      </c>
      <c r="C98" s="3">
        <f>C73</f>
        <v>-6.16298225797751</v>
      </c>
      <c r="D98" s="3">
        <f t="shared" ref="D98:AG98" si="48">D73</f>
        <v>0.80379280906520534</v>
      </c>
      <c r="E98" s="3">
        <f t="shared" si="48"/>
        <v>0.8334299865047673</v>
      </c>
      <c r="F98" s="3">
        <f t="shared" si="48"/>
        <v>0.86454902281630686</v>
      </c>
      <c r="G98" s="3">
        <f t="shared" si="48"/>
        <v>0.89722401094342352</v>
      </c>
      <c r="H98" s="3">
        <f t="shared" si="48"/>
        <v>0.93153274847689638</v>
      </c>
      <c r="I98" s="3">
        <f t="shared" si="48"/>
        <v>0.7612601804335789</v>
      </c>
      <c r="J98" s="3">
        <f t="shared" si="48"/>
        <v>-5.3973866009819185</v>
      </c>
      <c r="K98" s="3">
        <f t="shared" si="48"/>
        <v>0.88551994769606446</v>
      </c>
      <c r="L98" s="3">
        <f t="shared" si="48"/>
        <v>0.91924348206716922</v>
      </c>
      <c r="M98" s="3">
        <f t="shared" si="48"/>
        <v>0.95465319315682906</v>
      </c>
      <c r="N98" s="3">
        <f t="shared" si="48"/>
        <v>0.9918333898009718</v>
      </c>
      <c r="O98" s="3">
        <f t="shared" si="48"/>
        <v>1.030872596277322</v>
      </c>
      <c r="P98" s="3">
        <f t="shared" si="48"/>
        <v>0.86556702062402568</v>
      </c>
      <c r="Q98" s="3">
        <f t="shared" si="48"/>
        <v>-6.7313513147714215</v>
      </c>
      <c r="R98" s="3">
        <f t="shared" si="48"/>
        <v>0</v>
      </c>
      <c r="S98" s="3">
        <f t="shared" si="48"/>
        <v>0</v>
      </c>
      <c r="T98" s="3">
        <f t="shared" si="48"/>
        <v>0</v>
      </c>
      <c r="U98" s="3">
        <f t="shared" si="48"/>
        <v>0</v>
      </c>
      <c r="V98" s="3">
        <f t="shared" si="48"/>
        <v>0</v>
      </c>
      <c r="W98" s="3">
        <f t="shared" si="48"/>
        <v>0</v>
      </c>
      <c r="X98" s="3">
        <f t="shared" si="48"/>
        <v>0</v>
      </c>
      <c r="Y98" s="3">
        <f t="shared" si="48"/>
        <v>0</v>
      </c>
      <c r="Z98" s="3">
        <f t="shared" si="48"/>
        <v>0</v>
      </c>
      <c r="AA98" s="3">
        <f t="shared" si="48"/>
        <v>0</v>
      </c>
      <c r="AB98" s="3">
        <f t="shared" si="48"/>
        <v>0</v>
      </c>
      <c r="AC98" s="3">
        <f t="shared" si="48"/>
        <v>0</v>
      </c>
      <c r="AD98" s="3">
        <f t="shared" si="48"/>
        <v>0</v>
      </c>
      <c r="AE98" s="3">
        <f t="shared" si="48"/>
        <v>0</v>
      </c>
      <c r="AF98" s="3">
        <f t="shared" si="48"/>
        <v>0</v>
      </c>
      <c r="AG98" s="3">
        <f t="shared" si="48"/>
        <v>0</v>
      </c>
    </row>
    <row r="99" spans="2:33" ht="15" thickBot="1" x14ac:dyDescent="0.35">
      <c r="B99" t="s">
        <v>220</v>
      </c>
      <c r="C99" s="3">
        <f ca="1">C90</f>
        <v>10.530326075016998</v>
      </c>
      <c r="D99" s="3">
        <f t="shared" ref="D99:AG99" ca="1" si="49">D90</f>
        <v>22.179396867083319</v>
      </c>
      <c r="E99" s="3">
        <f t="shared" ca="1" si="49"/>
        <v>35.193830658574299</v>
      </c>
      <c r="F99" s="3">
        <f t="shared" ca="1" si="49"/>
        <v>48.865692552033622</v>
      </c>
      <c r="G99" s="3">
        <f t="shared" ca="1" si="49"/>
        <v>63.835238356154221</v>
      </c>
      <c r="H99" s="3">
        <f ca="1">H90</f>
        <v>80.114320897384971</v>
      </c>
      <c r="I99" s="3">
        <f t="shared" ca="1" si="49"/>
        <v>99.027281348683601</v>
      </c>
      <c r="J99" s="3">
        <f t="shared" ca="1" si="49"/>
        <v>104.10646241388525</v>
      </c>
      <c r="K99" s="3">
        <f t="shared" ca="1" si="49"/>
        <v>116.37309785729465</v>
      </c>
      <c r="L99" s="3">
        <f t="shared" ca="1" si="49"/>
        <v>129.08843460586115</v>
      </c>
      <c r="M99" s="3">
        <f t="shared" ca="1" si="49"/>
        <v>142.92591496313582</v>
      </c>
      <c r="N99" s="3">
        <f t="shared" ca="1" si="49"/>
        <v>157.83527939254776</v>
      </c>
      <c r="O99" s="3">
        <f t="shared" ca="1" si="49"/>
        <v>173.2773496138546</v>
      </c>
      <c r="P99" s="3">
        <f t="shared" ca="1" si="49"/>
        <v>191.76366014751352</v>
      </c>
      <c r="Q99" s="3">
        <f t="shared" ca="1" si="49"/>
        <v>197.70498469206981</v>
      </c>
      <c r="R99" s="3">
        <f t="shared" si="49"/>
        <v>0</v>
      </c>
      <c r="S99" s="3">
        <f t="shared" si="49"/>
        <v>0</v>
      </c>
      <c r="T99" s="3">
        <f t="shared" si="49"/>
        <v>0</v>
      </c>
      <c r="U99" s="3">
        <f t="shared" si="49"/>
        <v>0</v>
      </c>
      <c r="V99" s="3">
        <f t="shared" si="49"/>
        <v>0</v>
      </c>
      <c r="W99" s="3">
        <f t="shared" si="49"/>
        <v>0</v>
      </c>
      <c r="X99" s="3">
        <f t="shared" si="49"/>
        <v>0</v>
      </c>
      <c r="Y99" s="3">
        <f t="shared" si="49"/>
        <v>0</v>
      </c>
      <c r="Z99" s="3">
        <f t="shared" si="49"/>
        <v>0</v>
      </c>
      <c r="AA99" s="3">
        <f t="shared" si="49"/>
        <v>0</v>
      </c>
      <c r="AB99" s="3">
        <f t="shared" si="49"/>
        <v>0</v>
      </c>
      <c r="AC99" s="3">
        <f t="shared" si="49"/>
        <v>0</v>
      </c>
      <c r="AD99" s="3">
        <f t="shared" si="49"/>
        <v>0</v>
      </c>
      <c r="AE99" s="3">
        <f t="shared" si="49"/>
        <v>0</v>
      </c>
      <c r="AF99" s="3">
        <f t="shared" si="49"/>
        <v>0</v>
      </c>
      <c r="AG99" s="3">
        <f t="shared" si="49"/>
        <v>0</v>
      </c>
    </row>
    <row r="100" spans="2:33" ht="15" thickBot="1" x14ac:dyDescent="0.35">
      <c r="B100" s="7" t="s">
        <v>250</v>
      </c>
      <c r="C100" s="9">
        <f ca="1">C97+C98+C99</f>
        <v>51.672355771104762</v>
      </c>
      <c r="D100" s="9">
        <f t="shared" ref="D100:AG100" ca="1" si="50">D97+D98+D99</f>
        <v>63.42716936206692</v>
      </c>
      <c r="E100" s="9">
        <f t="shared" ca="1" si="50"/>
        <v>69.610208062850589</v>
      </c>
      <c r="F100" s="9">
        <f t="shared" ca="1" si="50"/>
        <v>76.452156724474577</v>
      </c>
      <c r="G100" s="9">
        <f t="shared" ca="1" si="50"/>
        <v>84.593345248575417</v>
      </c>
      <c r="H100" s="9">
        <f t="shared" ca="1" si="50"/>
        <v>94.045704259192775</v>
      </c>
      <c r="I100" s="9">
        <f t="shared" ca="1" si="50"/>
        <v>105.92735987430122</v>
      </c>
      <c r="J100" s="9">
        <f t="shared" ca="1" si="50"/>
        <v>101.41737802401393</v>
      </c>
      <c r="K100" s="9">
        <f t="shared" ca="1" si="50"/>
        <v>119.96692001610131</v>
      </c>
      <c r="L100" s="9">
        <f t="shared" ca="1" si="50"/>
        <v>132.71598029903893</v>
      </c>
      <c r="M100" s="9">
        <f t="shared" ca="1" si="50"/>
        <v>146.58887036740325</v>
      </c>
      <c r="N100" s="9">
        <f t="shared" ca="1" si="50"/>
        <v>161.53541499345934</v>
      </c>
      <c r="O100" s="9">
        <f t="shared" ca="1" si="50"/>
        <v>177.01652442124251</v>
      </c>
      <c r="P100" s="9">
        <f t="shared" ca="1" si="50"/>
        <v>195.33752937924814</v>
      </c>
      <c r="Q100" s="9">
        <f t="shared" ca="1" si="50"/>
        <v>193.681935588409</v>
      </c>
      <c r="R100" s="9">
        <f t="shared" si="50"/>
        <v>0</v>
      </c>
      <c r="S100" s="9">
        <f t="shared" si="50"/>
        <v>0</v>
      </c>
      <c r="T100" s="9">
        <f t="shared" si="50"/>
        <v>0</v>
      </c>
      <c r="U100" s="9">
        <f t="shared" si="50"/>
        <v>0</v>
      </c>
      <c r="V100" s="9">
        <f t="shared" si="50"/>
        <v>0</v>
      </c>
      <c r="W100" s="9">
        <f t="shared" si="50"/>
        <v>0</v>
      </c>
      <c r="X100" s="9">
        <f t="shared" si="50"/>
        <v>0</v>
      </c>
      <c r="Y100" s="9">
        <f t="shared" si="50"/>
        <v>0</v>
      </c>
      <c r="Z100" s="9">
        <f t="shared" si="50"/>
        <v>0</v>
      </c>
      <c r="AA100" s="9">
        <f t="shared" si="50"/>
        <v>0</v>
      </c>
      <c r="AB100" s="9">
        <f t="shared" si="50"/>
        <v>0</v>
      </c>
      <c r="AC100" s="9">
        <f t="shared" si="50"/>
        <v>0</v>
      </c>
      <c r="AD100" s="9">
        <f t="shared" si="50"/>
        <v>0</v>
      </c>
      <c r="AE100" s="9">
        <f t="shared" si="50"/>
        <v>0</v>
      </c>
      <c r="AF100" s="9">
        <f t="shared" si="50"/>
        <v>0</v>
      </c>
      <c r="AG100" s="10">
        <f t="shared" si="50"/>
        <v>0</v>
      </c>
    </row>
    <row r="102" spans="2:33" x14ac:dyDescent="0.3">
      <c r="B102" t="s">
        <v>38</v>
      </c>
      <c r="C102" s="1">
        <f ca="1">'Project Cost Details'!G39/10^7</f>
        <v>5.4166044222211715E-11</v>
      </c>
      <c r="D102" s="3">
        <f t="shared" ref="D102:AG102" ca="1" si="51">IF(D3="-",0,C102)</f>
        <v>5.4166044222211715E-11</v>
      </c>
      <c r="E102" s="3">
        <f t="shared" ca="1" si="51"/>
        <v>5.4166044222211715E-11</v>
      </c>
      <c r="F102" s="3">
        <f t="shared" ca="1" si="51"/>
        <v>5.4166044222211715E-11</v>
      </c>
      <c r="G102" s="3">
        <f t="shared" ca="1" si="51"/>
        <v>5.4166044222211715E-11</v>
      </c>
      <c r="H102" s="3">
        <f t="shared" ca="1" si="51"/>
        <v>5.4166044222211715E-11</v>
      </c>
      <c r="I102" s="3">
        <f t="shared" ca="1" si="51"/>
        <v>5.4166044222211715E-11</v>
      </c>
      <c r="J102" s="3">
        <f t="shared" ca="1" si="51"/>
        <v>5.4166044222211715E-11</v>
      </c>
      <c r="K102" s="3">
        <f t="shared" ca="1" si="51"/>
        <v>5.4166044222211715E-11</v>
      </c>
      <c r="L102" s="3">
        <f t="shared" ca="1" si="51"/>
        <v>5.4166044222211715E-11</v>
      </c>
      <c r="M102" s="3">
        <f t="shared" ca="1" si="51"/>
        <v>5.4166044222211715E-11</v>
      </c>
      <c r="N102" s="3">
        <f t="shared" ca="1" si="51"/>
        <v>5.4166044222211715E-11</v>
      </c>
      <c r="O102" s="3">
        <f t="shared" ca="1" si="51"/>
        <v>5.4166044222211715E-11</v>
      </c>
      <c r="P102" s="3">
        <f t="shared" ca="1" si="51"/>
        <v>5.4166044222211715E-11</v>
      </c>
      <c r="Q102" s="3">
        <f t="shared" ca="1" si="51"/>
        <v>5.4166044222211715E-11</v>
      </c>
      <c r="R102" s="3">
        <f t="shared" si="51"/>
        <v>0</v>
      </c>
      <c r="S102" s="3">
        <f t="shared" si="51"/>
        <v>0</v>
      </c>
      <c r="T102" s="3">
        <f t="shared" si="51"/>
        <v>0</v>
      </c>
      <c r="U102" s="3">
        <f t="shared" si="51"/>
        <v>0</v>
      </c>
      <c r="V102" s="3">
        <f t="shared" si="51"/>
        <v>0</v>
      </c>
      <c r="W102" s="3">
        <f t="shared" si="51"/>
        <v>0</v>
      </c>
      <c r="X102" s="3">
        <f t="shared" si="51"/>
        <v>0</v>
      </c>
      <c r="Y102" s="3">
        <f t="shared" si="51"/>
        <v>0</v>
      </c>
      <c r="Z102" s="3">
        <f t="shared" si="51"/>
        <v>0</v>
      </c>
      <c r="AA102" s="3">
        <f t="shared" si="51"/>
        <v>0</v>
      </c>
      <c r="AB102" s="3">
        <f t="shared" si="51"/>
        <v>0</v>
      </c>
      <c r="AC102" s="3">
        <f t="shared" si="51"/>
        <v>0</v>
      </c>
      <c r="AD102" s="3">
        <f t="shared" si="51"/>
        <v>0</v>
      </c>
      <c r="AE102" s="3">
        <f t="shared" si="51"/>
        <v>0</v>
      </c>
      <c r="AF102" s="3">
        <f t="shared" si="51"/>
        <v>0</v>
      </c>
      <c r="AG102" s="3">
        <f t="shared" si="51"/>
        <v>0</v>
      </c>
    </row>
    <row r="103" spans="2:33" x14ac:dyDescent="0.3">
      <c r="B103" t="s">
        <v>243</v>
      </c>
      <c r="C103" s="3">
        <f ca="1">C63</f>
        <v>6.9712121080139706</v>
      </c>
      <c r="D103" s="3">
        <f t="shared" ref="D103:AG103" ca="1" si="52">IF(D3="-",0,D63+C103)</f>
        <v>15.36655932031495</v>
      </c>
      <c r="E103" s="3">
        <f t="shared" ca="1" si="52"/>
        <v>25.386851361192548</v>
      </c>
      <c r="F103" s="3">
        <f t="shared" ca="1" si="52"/>
        <v>36.28521605881761</v>
      </c>
      <c r="G103" s="3">
        <f t="shared" ca="1" si="52"/>
        <v>48.66881253866628</v>
      </c>
      <c r="H103" s="3">
        <f t="shared" ca="1" si="52"/>
        <v>62.521361446453056</v>
      </c>
      <c r="I103" s="3">
        <f t="shared" ca="1" si="52"/>
        <v>79.143291601511493</v>
      </c>
      <c r="J103" s="3">
        <f t="shared" ca="1" si="52"/>
        <v>84.613744040545967</v>
      </c>
      <c r="K103" s="3">
        <f t="shared" ca="1" si="52"/>
        <v>100.49144909876946</v>
      </c>
      <c r="L103" s="3">
        <f t="shared" ca="1" si="52"/>
        <v>116.81785546215009</v>
      </c>
      <c r="M103" s="3">
        <f t="shared" ca="1" si="52"/>
        <v>134.26640543423886</v>
      </c>
      <c r="N103" s="3">
        <f t="shared" ca="1" si="52"/>
        <v>152.78683947846491</v>
      </c>
      <c r="O103" s="3">
        <f t="shared" ca="1" si="52"/>
        <v>171.83997931458586</v>
      </c>
      <c r="P103" s="3">
        <f t="shared" ca="1" si="52"/>
        <v>193.9373594630589</v>
      </c>
      <c r="Q103" s="3">
        <f t="shared" ca="1" si="52"/>
        <v>203.4897536224293</v>
      </c>
      <c r="R103" s="3">
        <f t="shared" si="52"/>
        <v>0</v>
      </c>
      <c r="S103" s="3">
        <f t="shared" si="52"/>
        <v>0</v>
      </c>
      <c r="T103" s="3">
        <f t="shared" si="52"/>
        <v>0</v>
      </c>
      <c r="U103" s="3">
        <f t="shared" si="52"/>
        <v>0</v>
      </c>
      <c r="V103" s="3">
        <f t="shared" si="52"/>
        <v>0</v>
      </c>
      <c r="W103" s="3">
        <f t="shared" si="52"/>
        <v>0</v>
      </c>
      <c r="X103" s="3">
        <f t="shared" si="52"/>
        <v>0</v>
      </c>
      <c r="Y103" s="3">
        <f t="shared" si="52"/>
        <v>0</v>
      </c>
      <c r="Z103" s="3">
        <f t="shared" si="52"/>
        <v>0</v>
      </c>
      <c r="AA103" s="3">
        <f t="shared" si="52"/>
        <v>0</v>
      </c>
      <c r="AB103" s="3">
        <f t="shared" si="52"/>
        <v>0</v>
      </c>
      <c r="AC103" s="3">
        <f t="shared" si="52"/>
        <v>0</v>
      </c>
      <c r="AD103" s="3">
        <f t="shared" si="52"/>
        <v>0</v>
      </c>
      <c r="AE103" s="3">
        <f t="shared" si="52"/>
        <v>0</v>
      </c>
      <c r="AF103" s="3">
        <f t="shared" si="52"/>
        <v>0</v>
      </c>
      <c r="AG103" s="3">
        <f t="shared" si="52"/>
        <v>0</v>
      </c>
    </row>
    <row r="104" spans="2:33" x14ac:dyDescent="0.3">
      <c r="B104" t="s">
        <v>244</v>
      </c>
      <c r="C104" s="3">
        <f>C73</f>
        <v>-6.16298225797751</v>
      </c>
      <c r="D104" s="3">
        <f t="shared" ref="D104:AG104" si="53">D73</f>
        <v>0.80379280906520534</v>
      </c>
      <c r="E104" s="3">
        <f t="shared" si="53"/>
        <v>0.8334299865047673</v>
      </c>
      <c r="F104" s="3">
        <f t="shared" si="53"/>
        <v>0.86454902281630686</v>
      </c>
      <c r="G104" s="3">
        <f t="shared" si="53"/>
        <v>0.89722401094342352</v>
      </c>
      <c r="H104" s="3">
        <f t="shared" si="53"/>
        <v>0.93153274847689638</v>
      </c>
      <c r="I104" s="3">
        <f t="shared" si="53"/>
        <v>0.7612601804335789</v>
      </c>
      <c r="J104" s="3">
        <f t="shared" si="53"/>
        <v>-5.3973866009819185</v>
      </c>
      <c r="K104" s="3">
        <f t="shared" si="53"/>
        <v>0.88551994769606446</v>
      </c>
      <c r="L104" s="3">
        <f t="shared" si="53"/>
        <v>0.91924348206716922</v>
      </c>
      <c r="M104" s="3">
        <f t="shared" si="53"/>
        <v>0.95465319315682906</v>
      </c>
      <c r="N104" s="3">
        <f t="shared" si="53"/>
        <v>0.9918333898009718</v>
      </c>
      <c r="O104" s="3">
        <f t="shared" si="53"/>
        <v>1.030872596277322</v>
      </c>
      <c r="P104" s="3">
        <f t="shared" si="53"/>
        <v>0.86556702062402568</v>
      </c>
      <c r="Q104" s="3">
        <f t="shared" si="53"/>
        <v>-6.7313513147714215</v>
      </c>
      <c r="R104" s="3">
        <f t="shared" si="53"/>
        <v>0</v>
      </c>
      <c r="S104" s="3">
        <f t="shared" si="53"/>
        <v>0</v>
      </c>
      <c r="T104" s="3">
        <f t="shared" si="53"/>
        <v>0</v>
      </c>
      <c r="U104" s="3">
        <f t="shared" si="53"/>
        <v>0</v>
      </c>
      <c r="V104" s="3">
        <f t="shared" si="53"/>
        <v>0</v>
      </c>
      <c r="W104" s="3">
        <f t="shared" si="53"/>
        <v>0</v>
      </c>
      <c r="X104" s="3">
        <f t="shared" si="53"/>
        <v>0</v>
      </c>
      <c r="Y104" s="3">
        <f t="shared" si="53"/>
        <v>0</v>
      </c>
      <c r="Z104" s="3">
        <f t="shared" si="53"/>
        <v>0</v>
      </c>
      <c r="AA104" s="3">
        <f t="shared" si="53"/>
        <v>0</v>
      </c>
      <c r="AB104" s="3">
        <f t="shared" si="53"/>
        <v>0</v>
      </c>
      <c r="AC104" s="3">
        <f t="shared" si="53"/>
        <v>0</v>
      </c>
      <c r="AD104" s="3">
        <f t="shared" si="53"/>
        <v>0</v>
      </c>
      <c r="AE104" s="3">
        <f t="shared" si="53"/>
        <v>0</v>
      </c>
      <c r="AF104" s="3">
        <f t="shared" si="53"/>
        <v>0</v>
      </c>
      <c r="AG104" s="3">
        <f t="shared" si="53"/>
        <v>0</v>
      </c>
    </row>
    <row r="105" spans="2:33" x14ac:dyDescent="0.3">
      <c r="B105" t="s">
        <v>245</v>
      </c>
      <c r="C105" s="3">
        <f ca="1">IF(C3="-",0,0-C46)</f>
        <v>0.30915131367027193</v>
      </c>
      <c r="D105" s="3">
        <f t="shared" ref="D105:AG105" ca="1" si="54">IF(D3="-",0,C105-D46)</f>
        <v>0.31291224010291097</v>
      </c>
      <c r="E105" s="3">
        <f t="shared" ca="1" si="54"/>
        <v>5.709133738357558E-2</v>
      </c>
      <c r="F105" s="3">
        <f t="shared" ca="1" si="54"/>
        <v>-0.41937412011491887</v>
      </c>
      <c r="G105" s="3">
        <f t="shared" ca="1" si="54"/>
        <v>-1.083387449175726</v>
      </c>
      <c r="H105" s="3">
        <f t="shared" ca="1" si="54"/>
        <v>-1.9068164690644978</v>
      </c>
      <c r="I105" s="3">
        <f t="shared" ca="1" si="54"/>
        <v>-2.8657488261570325</v>
      </c>
      <c r="J105" s="3">
        <f t="shared" ca="1" si="54"/>
        <v>-3.0764667192491699</v>
      </c>
      <c r="K105" s="3">
        <f t="shared" ca="1" si="54"/>
        <v>-3.0764667192491699</v>
      </c>
      <c r="L105" s="3">
        <f t="shared" ca="1" si="54"/>
        <v>-3.0764667192491699</v>
      </c>
      <c r="M105" s="3">
        <f t="shared" ca="1" si="54"/>
        <v>-3.0764667192491699</v>
      </c>
      <c r="N105" s="3">
        <f t="shared" ca="1" si="54"/>
        <v>-3.0764667192491699</v>
      </c>
      <c r="O105" s="3">
        <f t="shared" ca="1" si="54"/>
        <v>-3.0764667192491699</v>
      </c>
      <c r="P105" s="3">
        <f t="shared" ca="1" si="54"/>
        <v>-3.0764667192491699</v>
      </c>
      <c r="Q105" s="3">
        <f t="shared" ca="1" si="54"/>
        <v>-3.0764667192491699</v>
      </c>
      <c r="R105" s="3">
        <f t="shared" si="54"/>
        <v>0</v>
      </c>
      <c r="S105" s="3">
        <f t="shared" si="54"/>
        <v>0</v>
      </c>
      <c r="T105" s="3">
        <f t="shared" si="54"/>
        <v>0</v>
      </c>
      <c r="U105" s="3">
        <f t="shared" si="54"/>
        <v>0</v>
      </c>
      <c r="V105" s="3">
        <f t="shared" si="54"/>
        <v>0</v>
      </c>
      <c r="W105" s="3">
        <f t="shared" si="54"/>
        <v>0</v>
      </c>
      <c r="X105" s="3">
        <f t="shared" si="54"/>
        <v>0</v>
      </c>
      <c r="Y105" s="3">
        <f t="shared" si="54"/>
        <v>0</v>
      </c>
      <c r="Z105" s="3">
        <f t="shared" si="54"/>
        <v>0</v>
      </c>
      <c r="AA105" s="3">
        <f t="shared" si="54"/>
        <v>0</v>
      </c>
      <c r="AB105" s="3">
        <f t="shared" si="54"/>
        <v>0</v>
      </c>
      <c r="AC105" s="3">
        <f t="shared" si="54"/>
        <v>0</v>
      </c>
      <c r="AD105" s="3">
        <f t="shared" si="54"/>
        <v>0</v>
      </c>
      <c r="AE105" s="3">
        <f t="shared" si="54"/>
        <v>0</v>
      </c>
      <c r="AF105" s="3">
        <f t="shared" si="54"/>
        <v>0</v>
      </c>
      <c r="AG105" s="3">
        <f t="shared" si="54"/>
        <v>0</v>
      </c>
    </row>
    <row r="106" spans="2:33" x14ac:dyDescent="0.3">
      <c r="B106" t="s">
        <v>248</v>
      </c>
      <c r="C106" s="3">
        <f ca="1">C109</f>
        <v>50.554974607397604</v>
      </c>
      <c r="D106" s="3">
        <f t="shared" ref="D106:AG106" ca="1" si="55">D109</f>
        <v>46.943904992583896</v>
      </c>
      <c r="E106" s="3">
        <f t="shared" ca="1" si="55"/>
        <v>43.332835377769349</v>
      </c>
      <c r="F106" s="3">
        <f t="shared" ca="1" si="55"/>
        <v>39.721765762954838</v>
      </c>
      <c r="G106" s="3">
        <f t="shared" ca="1" si="55"/>
        <v>36.11069614814074</v>
      </c>
      <c r="H106" s="3">
        <f t="shared" ca="1" si="55"/>
        <v>32.499626533327472</v>
      </c>
      <c r="I106" s="3">
        <f t="shared" ca="1" si="55"/>
        <v>28.888556918512926</v>
      </c>
      <c r="J106" s="3">
        <f t="shared" ca="1" si="55"/>
        <v>25.277487303698415</v>
      </c>
      <c r="K106" s="3">
        <f t="shared" ca="1" si="55"/>
        <v>21.66641768888433</v>
      </c>
      <c r="L106" s="3">
        <f t="shared" ca="1" si="55"/>
        <v>18.05534807407026</v>
      </c>
      <c r="M106" s="3">
        <f t="shared" ca="1" si="55"/>
        <v>14.444278459255754</v>
      </c>
      <c r="N106" s="3">
        <f t="shared" ca="1" si="55"/>
        <v>10.833208844441298</v>
      </c>
      <c r="O106" s="3">
        <f t="shared" ca="1" si="55"/>
        <v>7.2221392296288816</v>
      </c>
      <c r="P106" s="3">
        <f t="shared" ca="1" si="55"/>
        <v>3.6110696148147388</v>
      </c>
      <c r="Q106" s="3">
        <f t="shared" ca="1" si="55"/>
        <v>1.8518520050747611E-13</v>
      </c>
      <c r="R106" s="3">
        <f t="shared" ca="1" si="55"/>
        <v>1.8163248682867561E-13</v>
      </c>
      <c r="S106" s="3">
        <f t="shared" ca="1" si="55"/>
        <v>6.1550764485218679E-13</v>
      </c>
      <c r="T106" s="3">
        <f t="shared" ca="1" si="55"/>
        <v>1.8118839761882555E-13</v>
      </c>
      <c r="U106" s="3">
        <f t="shared" ca="1" si="55"/>
        <v>-2.4913404672588513E-13</v>
      </c>
      <c r="V106" s="3">
        <f t="shared" ca="1" si="55"/>
        <v>-2.6423307986078726E-13</v>
      </c>
      <c r="W106" s="3">
        <f t="shared" ca="1" si="55"/>
        <v>6.1195493117338629E-13</v>
      </c>
      <c r="X106" s="3">
        <f t="shared" ca="1" si="55"/>
        <v>1.8030021919912542E-13</v>
      </c>
      <c r="Y106" s="3">
        <f t="shared" ca="1" si="55"/>
        <v>-2.4602542225693469E-13</v>
      </c>
      <c r="Z106" s="3">
        <f t="shared" ca="1" si="55"/>
        <v>-2.4202861936828413E-13</v>
      </c>
      <c r="AA106" s="3">
        <f t="shared" ca="1" si="55"/>
        <v>-2.2737367544323206E-13</v>
      </c>
      <c r="AB106" s="3">
        <f t="shared" ca="1" si="55"/>
        <v>-6.7634786660164536E-13</v>
      </c>
      <c r="AC106" s="3">
        <f t="shared" ca="1" si="55"/>
        <v>-1.1040057756872557E-12</v>
      </c>
      <c r="AD106" s="3">
        <f t="shared" ca="1" si="55"/>
        <v>6.2350125062948791E-13</v>
      </c>
      <c r="AE106" s="3">
        <f t="shared" ca="1" si="55"/>
        <v>6.2438942904918804E-13</v>
      </c>
      <c r="AF106" s="3">
        <f t="shared" ca="1" si="55"/>
        <v>1.8518520050747611E-13</v>
      </c>
      <c r="AG106" s="3">
        <f t="shared" ca="1" si="55"/>
        <v>1.8163248682867561E-13</v>
      </c>
    </row>
    <row r="107" spans="2:33" outlineLevel="1" x14ac:dyDescent="0.3">
      <c r="B107" s="98" t="s">
        <v>252</v>
      </c>
      <c r="C107" s="3">
        <f ca="1">'Term Loan'!C5</f>
        <v>54.166044222211717</v>
      </c>
      <c r="D107" s="3">
        <f ca="1">C109</f>
        <v>50.554974607397604</v>
      </c>
      <c r="E107" s="3">
        <f t="shared" ref="E107:AG107" ca="1" si="56">D109</f>
        <v>46.943904992583896</v>
      </c>
      <c r="F107" s="3">
        <f t="shared" ca="1" si="56"/>
        <v>43.332835377769349</v>
      </c>
      <c r="G107" s="3">
        <f t="shared" ca="1" si="56"/>
        <v>39.721765762954838</v>
      </c>
      <c r="H107" s="3">
        <f t="shared" ca="1" si="56"/>
        <v>36.11069614814074</v>
      </c>
      <c r="I107" s="3">
        <f t="shared" ca="1" si="56"/>
        <v>32.499626533327472</v>
      </c>
      <c r="J107" s="3">
        <f t="shared" ca="1" si="56"/>
        <v>28.888556918512926</v>
      </c>
      <c r="K107" s="3">
        <f t="shared" ca="1" si="56"/>
        <v>25.277487303698415</v>
      </c>
      <c r="L107" s="3">
        <f t="shared" ca="1" si="56"/>
        <v>21.66641768888433</v>
      </c>
      <c r="M107" s="3">
        <f t="shared" ca="1" si="56"/>
        <v>18.05534807407026</v>
      </c>
      <c r="N107" s="3">
        <f t="shared" ca="1" si="56"/>
        <v>14.444278459255754</v>
      </c>
      <c r="O107" s="3">
        <f t="shared" ca="1" si="56"/>
        <v>10.833208844441298</v>
      </c>
      <c r="P107" s="3">
        <f t="shared" ca="1" si="56"/>
        <v>7.2221392296288816</v>
      </c>
      <c r="Q107" s="3">
        <f t="shared" ca="1" si="56"/>
        <v>3.6110696148147388</v>
      </c>
      <c r="R107" s="3">
        <f t="shared" ca="1" si="56"/>
        <v>1.8518520050747611E-13</v>
      </c>
      <c r="S107" s="3">
        <f t="shared" ca="1" si="56"/>
        <v>1.8163248682867561E-13</v>
      </c>
      <c r="T107" s="3">
        <f t="shared" ca="1" si="56"/>
        <v>6.1550764485218679E-13</v>
      </c>
      <c r="U107" s="3">
        <f t="shared" ca="1" si="56"/>
        <v>1.8118839761882555E-13</v>
      </c>
      <c r="V107" s="3">
        <f t="shared" ca="1" si="56"/>
        <v>-2.4913404672588513E-13</v>
      </c>
      <c r="W107" s="3">
        <f t="shared" ca="1" si="56"/>
        <v>-2.6423307986078726E-13</v>
      </c>
      <c r="X107" s="3">
        <f t="shared" ca="1" si="56"/>
        <v>6.1195493117338629E-13</v>
      </c>
      <c r="Y107" s="3">
        <f t="shared" ca="1" si="56"/>
        <v>1.8030021919912542E-13</v>
      </c>
      <c r="Z107" s="3">
        <f t="shared" ca="1" si="56"/>
        <v>-2.4602542225693469E-13</v>
      </c>
      <c r="AA107" s="3">
        <f t="shared" ca="1" si="56"/>
        <v>-2.4202861936828413E-13</v>
      </c>
      <c r="AB107" s="3">
        <f t="shared" ca="1" si="56"/>
        <v>-2.2737367544323206E-13</v>
      </c>
      <c r="AC107" s="3">
        <f t="shared" ca="1" si="56"/>
        <v>-6.7634786660164536E-13</v>
      </c>
      <c r="AD107" s="3">
        <f t="shared" ca="1" si="56"/>
        <v>-1.1040057756872557E-12</v>
      </c>
      <c r="AE107" s="3">
        <f t="shared" ca="1" si="56"/>
        <v>6.2350125062948791E-13</v>
      </c>
      <c r="AF107" s="3">
        <f t="shared" ca="1" si="56"/>
        <v>6.2438942904918804E-13</v>
      </c>
      <c r="AG107" s="3">
        <f t="shared" ca="1" si="56"/>
        <v>1.8518520050747611E-13</v>
      </c>
    </row>
    <row r="108" spans="2:33" outlineLevel="1" x14ac:dyDescent="0.3">
      <c r="B108" s="98" t="s">
        <v>253</v>
      </c>
      <c r="C108" s="3">
        <f ca="1">'Term Loan'!D61</f>
        <v>3.6110696148141144</v>
      </c>
      <c r="D108" s="3">
        <f ca="1">'Term Loan'!E61</f>
        <v>3.6110696148141144</v>
      </c>
      <c r="E108" s="3">
        <f ca="1">'Term Loan'!F61</f>
        <v>3.6110696148141144</v>
      </c>
      <c r="F108" s="3">
        <f ca="1">'Term Loan'!G61</f>
        <v>3.6110696148141144</v>
      </c>
      <c r="G108" s="3">
        <f ca="1">'Term Loan'!H61</f>
        <v>3.6110696148141144</v>
      </c>
      <c r="H108" s="3">
        <f ca="1">'Term Loan'!I61</f>
        <v>3.6110696148141144</v>
      </c>
      <c r="I108" s="3">
        <f ca="1">'Term Loan'!J61</f>
        <v>3.6110696148141144</v>
      </c>
      <c r="J108" s="3">
        <f ca="1">'Term Loan'!K61</f>
        <v>3.6110696148141144</v>
      </c>
      <c r="K108" s="3">
        <f ca="1">'Term Loan'!L61</f>
        <v>3.6110696148141144</v>
      </c>
      <c r="L108" s="3">
        <f ca="1">'Term Loan'!M61</f>
        <v>3.6110696148141144</v>
      </c>
      <c r="M108" s="3">
        <f ca="1">'Term Loan'!N61</f>
        <v>3.6110696148141144</v>
      </c>
      <c r="N108" s="3">
        <f ca="1">'Term Loan'!O61</f>
        <v>3.6110696148141144</v>
      </c>
      <c r="O108" s="3">
        <f ca="1">'Term Loan'!P61</f>
        <v>3.6110696148141144</v>
      </c>
      <c r="P108" s="3">
        <f ca="1">'Term Loan'!Q61</f>
        <v>3.6110696148141144</v>
      </c>
      <c r="Q108" s="3">
        <f ca="1">'Term Loan'!R61</f>
        <v>3.6110696148141144</v>
      </c>
      <c r="R108" s="3">
        <f>'Term Loan'!S61</f>
        <v>0</v>
      </c>
      <c r="S108" s="3">
        <f>'Term Loan'!T61</f>
        <v>0</v>
      </c>
      <c r="T108" s="3">
        <f>'Term Loan'!U61</f>
        <v>0</v>
      </c>
      <c r="U108" s="3">
        <f>'Term Loan'!V61</f>
        <v>0</v>
      </c>
      <c r="V108" s="3">
        <f>'Term Loan'!W61</f>
        <v>0</v>
      </c>
      <c r="W108" s="3">
        <f>'Term Loan'!X61</f>
        <v>0</v>
      </c>
      <c r="X108" s="3">
        <f>'Term Loan'!Y61</f>
        <v>0</v>
      </c>
      <c r="Y108" s="3">
        <f>'Term Loan'!Z61</f>
        <v>0</v>
      </c>
      <c r="Z108" s="3">
        <f>'Term Loan'!AA61</f>
        <v>0</v>
      </c>
      <c r="AA108" s="3">
        <f>'Term Loan'!AB61</f>
        <v>0</v>
      </c>
      <c r="AB108" s="3">
        <f>'Term Loan'!AC61</f>
        <v>0</v>
      </c>
      <c r="AC108" s="3">
        <f>'Term Loan'!AD61</f>
        <v>0</v>
      </c>
      <c r="AD108" s="3">
        <f>'Term Loan'!AE61</f>
        <v>0</v>
      </c>
      <c r="AE108" s="3">
        <f>'Term Loan'!AF61</f>
        <v>0</v>
      </c>
      <c r="AF108" s="3">
        <f>'Term Loan'!AG61</f>
        <v>0</v>
      </c>
      <c r="AG108" s="3">
        <f>'Term Loan'!AH61</f>
        <v>0</v>
      </c>
    </row>
    <row r="109" spans="2:33" ht="15" outlineLevel="1" thickBot="1" x14ac:dyDescent="0.35">
      <c r="B109" s="98" t="s">
        <v>219</v>
      </c>
      <c r="C109" s="3">
        <f ca="1">C107-C108</f>
        <v>50.554974607397604</v>
      </c>
      <c r="D109" s="3">
        <f ca="1">D107-D108</f>
        <v>46.943904992583491</v>
      </c>
      <c r="E109" s="3">
        <f t="shared" ref="E109:AG109" ca="1" si="57">E107-E108</f>
        <v>43.332835377769783</v>
      </c>
      <c r="F109" s="3">
        <f t="shared" ca="1" si="57"/>
        <v>39.721765762955236</v>
      </c>
      <c r="G109" s="3">
        <f t="shared" ca="1" si="57"/>
        <v>36.110696148140725</v>
      </c>
      <c r="H109" s="3">
        <f t="shared" ca="1" si="57"/>
        <v>32.499626533326627</v>
      </c>
      <c r="I109" s="3">
        <f t="shared" ca="1" si="57"/>
        <v>28.888556918513359</v>
      </c>
      <c r="J109" s="3">
        <f t="shared" ca="1" si="57"/>
        <v>25.277487303698813</v>
      </c>
      <c r="K109" s="3">
        <f t="shared" ca="1" si="57"/>
        <v>21.666417688884302</v>
      </c>
      <c r="L109" s="3">
        <f t="shared" ca="1" si="57"/>
        <v>18.055348074070217</v>
      </c>
      <c r="M109" s="3">
        <f t="shared" ca="1" si="57"/>
        <v>14.444278459256145</v>
      </c>
      <c r="N109" s="3">
        <f t="shared" ca="1" si="57"/>
        <v>10.833208844441639</v>
      </c>
      <c r="O109" s="3">
        <f t="shared" ca="1" si="57"/>
        <v>7.2221392296271834</v>
      </c>
      <c r="P109" s="3">
        <f t="shared" ca="1" si="57"/>
        <v>3.6110696148147672</v>
      </c>
      <c r="Q109" s="3">
        <f t="shared" ca="1" si="57"/>
        <v>6.2438942904918804E-13</v>
      </c>
      <c r="R109" s="3">
        <f t="shared" ca="1" si="57"/>
        <v>1.8518520050747611E-13</v>
      </c>
      <c r="S109" s="3">
        <f t="shared" ca="1" si="57"/>
        <v>1.8163248682867561E-13</v>
      </c>
      <c r="T109" s="3">
        <f t="shared" ca="1" si="57"/>
        <v>6.1550764485218679E-13</v>
      </c>
      <c r="U109" s="3">
        <f t="shared" ca="1" si="57"/>
        <v>1.8118839761882555E-13</v>
      </c>
      <c r="V109" s="3">
        <f t="shared" ca="1" si="57"/>
        <v>-2.4913404672588513E-13</v>
      </c>
      <c r="W109" s="3">
        <f t="shared" ca="1" si="57"/>
        <v>-2.6423307986078726E-13</v>
      </c>
      <c r="X109" s="3">
        <f t="shared" ca="1" si="57"/>
        <v>6.1195493117338629E-13</v>
      </c>
      <c r="Y109" s="3">
        <f t="shared" ca="1" si="57"/>
        <v>1.8030021919912542E-13</v>
      </c>
      <c r="Z109" s="3">
        <f t="shared" ca="1" si="57"/>
        <v>-2.4602542225693469E-13</v>
      </c>
      <c r="AA109" s="3">
        <f t="shared" ca="1" si="57"/>
        <v>-2.4202861936828413E-13</v>
      </c>
      <c r="AB109" s="3">
        <f t="shared" ca="1" si="57"/>
        <v>-2.2737367544323206E-13</v>
      </c>
      <c r="AC109" s="3">
        <f t="shared" ca="1" si="57"/>
        <v>-6.7634786660164536E-13</v>
      </c>
      <c r="AD109" s="3">
        <f t="shared" ca="1" si="57"/>
        <v>-1.1040057756872557E-12</v>
      </c>
      <c r="AE109" s="3">
        <f t="shared" ca="1" si="57"/>
        <v>6.2350125062948791E-13</v>
      </c>
      <c r="AF109" s="3">
        <f t="shared" ca="1" si="57"/>
        <v>6.2438942904918804E-13</v>
      </c>
      <c r="AG109" s="3">
        <f t="shared" ca="1" si="57"/>
        <v>1.8518520050747611E-13</v>
      </c>
    </row>
    <row r="110" spans="2:33" ht="15" thickBot="1" x14ac:dyDescent="0.35">
      <c r="B110" s="7" t="s">
        <v>249</v>
      </c>
      <c r="C110" s="9">
        <f ca="1">C102+C103+C105+C106+C104</f>
        <v>51.6723557711585</v>
      </c>
      <c r="D110" s="9">
        <f t="shared" ref="D110:AG110" ca="1" si="58">D102+D103+D105+D106+D104</f>
        <v>63.427169362121127</v>
      </c>
      <c r="E110" s="9">
        <f t="shared" ca="1" si="58"/>
        <v>69.610208062904405</v>
      </c>
      <c r="F110" s="9">
        <f t="shared" ca="1" si="58"/>
        <v>76.45215672452801</v>
      </c>
      <c r="G110" s="9">
        <f t="shared" ca="1" si="58"/>
        <v>84.593345248628879</v>
      </c>
      <c r="H110" s="9">
        <f t="shared" ca="1" si="58"/>
        <v>94.045704259247103</v>
      </c>
      <c r="I110" s="9">
        <f t="shared" ca="1" si="58"/>
        <v>105.92735987435513</v>
      </c>
      <c r="J110" s="9">
        <f t="shared" ca="1" si="58"/>
        <v>101.41737802406746</v>
      </c>
      <c r="K110" s="9">
        <f t="shared" ca="1" si="58"/>
        <v>119.96692001615487</v>
      </c>
      <c r="L110" s="9">
        <f t="shared" ca="1" si="58"/>
        <v>132.71598029909254</v>
      </c>
      <c r="M110" s="9">
        <f t="shared" ca="1" si="58"/>
        <v>146.58887036745642</v>
      </c>
      <c r="N110" s="9">
        <f t="shared" ca="1" si="58"/>
        <v>161.53541499351218</v>
      </c>
      <c r="O110" s="9">
        <f t="shared" ca="1" si="58"/>
        <v>177.01652442129708</v>
      </c>
      <c r="P110" s="9">
        <f t="shared" ca="1" si="58"/>
        <v>195.33752937930265</v>
      </c>
      <c r="Q110" s="9">
        <f t="shared" ca="1" si="58"/>
        <v>193.68193558846309</v>
      </c>
      <c r="R110" s="9">
        <f t="shared" ca="1" si="58"/>
        <v>1.8163248682867561E-13</v>
      </c>
      <c r="S110" s="9">
        <f t="shared" ca="1" si="58"/>
        <v>6.1550764485218679E-13</v>
      </c>
      <c r="T110" s="9">
        <f t="shared" ca="1" si="58"/>
        <v>1.8118839761882555E-13</v>
      </c>
      <c r="U110" s="9">
        <f t="shared" ca="1" si="58"/>
        <v>-2.4913404672588513E-13</v>
      </c>
      <c r="V110" s="9">
        <f t="shared" ca="1" si="58"/>
        <v>-2.6423307986078726E-13</v>
      </c>
      <c r="W110" s="9">
        <f t="shared" ca="1" si="58"/>
        <v>6.1195493117338629E-13</v>
      </c>
      <c r="X110" s="9">
        <f t="shared" ca="1" si="58"/>
        <v>1.8030021919912542E-13</v>
      </c>
      <c r="Y110" s="9">
        <f t="shared" ca="1" si="58"/>
        <v>-2.4602542225693469E-13</v>
      </c>
      <c r="Z110" s="9">
        <f t="shared" ca="1" si="58"/>
        <v>-2.4202861936828413E-13</v>
      </c>
      <c r="AA110" s="9">
        <f t="shared" ca="1" si="58"/>
        <v>-2.2737367544323206E-13</v>
      </c>
      <c r="AB110" s="9">
        <f t="shared" ca="1" si="58"/>
        <v>-6.7634786660164536E-13</v>
      </c>
      <c r="AC110" s="9">
        <f t="shared" ca="1" si="58"/>
        <v>-1.1040057756872557E-12</v>
      </c>
      <c r="AD110" s="9">
        <f t="shared" ca="1" si="58"/>
        <v>6.2350125062948791E-13</v>
      </c>
      <c r="AE110" s="9">
        <f t="shared" ca="1" si="58"/>
        <v>6.2438942904918804E-13</v>
      </c>
      <c r="AF110" s="9">
        <f t="shared" ca="1" si="58"/>
        <v>1.8518520050747611E-13</v>
      </c>
      <c r="AG110" s="10">
        <f t="shared" ca="1" si="58"/>
        <v>1.8163248682867561E-13</v>
      </c>
    </row>
    <row r="111" spans="2:33" ht="15" thickBot="1" x14ac:dyDescent="0.35">
      <c r="C111" s="5"/>
    </row>
    <row r="112" spans="2:33" ht="15" thickBot="1" x14ac:dyDescent="0.35">
      <c r="B112" s="7" t="s">
        <v>251</v>
      </c>
      <c r="C112" s="9">
        <f ca="1">C100-C110</f>
        <v>-5.3738347105536377E-11</v>
      </c>
      <c r="D112" s="9">
        <f t="shared" ref="D112:AG112" ca="1" si="59">D100-D110</f>
        <v>-5.4207305311138043E-11</v>
      </c>
      <c r="E112" s="9">
        <f t="shared" ca="1" si="59"/>
        <v>-5.3816506806469988E-11</v>
      </c>
      <c r="F112" s="9">
        <f t="shared" ca="1" si="59"/>
        <v>-5.3432813729159534E-11</v>
      </c>
      <c r="G112" s="9">
        <f t="shared" ca="1" si="59"/>
        <v>-5.3461235438589938E-11</v>
      </c>
      <c r="H112" s="9">
        <f ca="1">H100-H110</f>
        <v>-5.432809757621726E-11</v>
      </c>
      <c r="I112" s="9">
        <f t="shared" ca="1" si="59"/>
        <v>-5.3915982789476402E-11</v>
      </c>
      <c r="J112" s="9">
        <f t="shared" ca="1" si="59"/>
        <v>-5.3532289712165948E-11</v>
      </c>
      <c r="K112" s="9">
        <f t="shared" ca="1" si="59"/>
        <v>-5.3560711421596352E-11</v>
      </c>
      <c r="L112" s="9">
        <f t="shared" ca="1" si="59"/>
        <v>-5.3603343985741958E-11</v>
      </c>
      <c r="M112" s="9">
        <f t="shared" ca="1" si="59"/>
        <v>-5.3177018344285898E-11</v>
      </c>
      <c r="N112" s="9">
        <f t="shared" ca="1" si="59"/>
        <v>-5.283595783112105E-11</v>
      </c>
      <c r="O112" s="9">
        <f t="shared" ca="1" si="59"/>
        <v>-5.4569682106375694E-11</v>
      </c>
      <c r="P112" s="9">
        <f t="shared" ca="1" si="59"/>
        <v>-5.4512838687514886E-11</v>
      </c>
      <c r="Q112" s="9">
        <f t="shared" ca="1" si="59"/>
        <v>-5.4086513046058826E-11</v>
      </c>
      <c r="R112" s="9">
        <f t="shared" ca="1" si="59"/>
        <v>-1.8163248682867561E-13</v>
      </c>
      <c r="S112" s="9">
        <f t="shared" ca="1" si="59"/>
        <v>-6.1550764485218679E-13</v>
      </c>
      <c r="T112" s="9">
        <f t="shared" ca="1" si="59"/>
        <v>-1.8118839761882555E-13</v>
      </c>
      <c r="U112" s="9">
        <f t="shared" ca="1" si="59"/>
        <v>2.4913404672588513E-13</v>
      </c>
      <c r="V112" s="9">
        <f t="shared" ca="1" si="59"/>
        <v>2.6423307986078726E-13</v>
      </c>
      <c r="W112" s="9">
        <f t="shared" ca="1" si="59"/>
        <v>-6.1195493117338629E-13</v>
      </c>
      <c r="X112" s="9">
        <f t="shared" ca="1" si="59"/>
        <v>-1.8030021919912542E-13</v>
      </c>
      <c r="Y112" s="9">
        <f t="shared" ca="1" si="59"/>
        <v>2.4602542225693469E-13</v>
      </c>
      <c r="Z112" s="9">
        <f t="shared" ca="1" si="59"/>
        <v>2.4202861936828413E-13</v>
      </c>
      <c r="AA112" s="9">
        <f t="shared" ca="1" si="59"/>
        <v>2.2737367544323206E-13</v>
      </c>
      <c r="AB112" s="9">
        <f t="shared" ca="1" si="59"/>
        <v>6.7634786660164536E-13</v>
      </c>
      <c r="AC112" s="9">
        <f t="shared" ca="1" si="59"/>
        <v>1.1040057756872557E-12</v>
      </c>
      <c r="AD112" s="9">
        <f t="shared" ca="1" si="59"/>
        <v>-6.2350125062948791E-13</v>
      </c>
      <c r="AE112" s="9">
        <f t="shared" ca="1" si="59"/>
        <v>-6.2438942904918804E-13</v>
      </c>
      <c r="AF112" s="9">
        <f t="shared" ca="1" si="59"/>
        <v>-1.8518520050747611E-13</v>
      </c>
      <c r="AG112" s="10">
        <f t="shared" ca="1" si="59"/>
        <v>-1.8163248682867561E-13</v>
      </c>
    </row>
    <row r="113" spans="3:17" x14ac:dyDescent="0.3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0F09-B20B-4B81-88EE-372BD43A870E}">
  <sheetPr>
    <tabColor rgb="FFFF0000"/>
  </sheetPr>
  <dimension ref="A2:Y52"/>
  <sheetViews>
    <sheetView workbookViewId="0">
      <pane xSplit="3" ySplit="2" topLeftCell="D33" activePane="bottomRight" state="frozen"/>
      <selection pane="topRight" activeCell="D1" sqref="D1"/>
      <selection pane="bottomLeft" activeCell="A3" sqref="A3"/>
      <selection pane="bottomRight" activeCell="C42" sqref="C42"/>
    </sheetView>
  </sheetViews>
  <sheetFormatPr defaultRowHeight="14.4" x14ac:dyDescent="0.3"/>
  <cols>
    <col min="2" max="2" width="35.33203125" bestFit="1" customWidth="1"/>
    <col min="3" max="3" width="10.6640625" customWidth="1"/>
    <col min="4" max="4" width="12.33203125" bestFit="1" customWidth="1"/>
    <col min="5" max="5" width="15.109375" bestFit="1" customWidth="1"/>
    <col min="6" max="6" width="11.33203125" bestFit="1" customWidth="1"/>
  </cols>
  <sheetData>
    <row r="2" spans="1:25" x14ac:dyDescent="0.3">
      <c r="B2" t="s">
        <v>20</v>
      </c>
      <c r="C2" t="s">
        <v>3</v>
      </c>
      <c r="D2">
        <v>1</v>
      </c>
      <c r="E2">
        <f>IFERROR(IF(D2&lt;Inputs!$D$4,MIN(D2+1,Inputs!$D$4),"-"),"-")</f>
        <v>2</v>
      </c>
      <c r="F2">
        <f>IFERROR(IF(E2&lt;Inputs!$D$4,MIN(E2+1,Inputs!$D$4),"-"),"-")</f>
        <v>3</v>
      </c>
      <c r="G2">
        <f>IFERROR(IF(F2&lt;Inputs!$D$4,MIN(F2+1,Inputs!$D$4),"-"),"-")</f>
        <v>4</v>
      </c>
      <c r="H2">
        <f>IFERROR(IF(G2&lt;Inputs!$D$4,MIN(G2+1,Inputs!$D$4),"-"),"-")</f>
        <v>5</v>
      </c>
      <c r="I2">
        <f>IFERROR(IF(H2&lt;Inputs!$D$4,MIN(H2+1,Inputs!$D$4),"-"),"-")</f>
        <v>6</v>
      </c>
      <c r="J2">
        <f>IFERROR(IF(I2&lt;Inputs!$D$4,MIN(I2+1,Inputs!$D$4),"-"),"-")</f>
        <v>7</v>
      </c>
      <c r="K2">
        <f>IFERROR(IF(J2&lt;Inputs!$D$4,MIN(J2+1,Inputs!$D$4),"-"),"-")</f>
        <v>8</v>
      </c>
      <c r="L2">
        <f>IFERROR(IF(K2&lt;Inputs!$D$4,MIN(K2+1,Inputs!$D$4),"-"),"-")</f>
        <v>9</v>
      </c>
      <c r="M2">
        <f>IFERROR(IF(L2&lt;Inputs!$D$4,MIN(L2+1,Inputs!$D$4),"-"),"-")</f>
        <v>10</v>
      </c>
      <c r="N2">
        <f>IFERROR(IF(M2&lt;Inputs!$D$4,MIN(M2+1,Inputs!$D$4),"-"),"-")</f>
        <v>11</v>
      </c>
      <c r="O2">
        <f>IFERROR(IF(N2&lt;Inputs!$D$4,MIN(N2+1,Inputs!$D$4),"-"),"-")</f>
        <v>12</v>
      </c>
      <c r="P2">
        <f>IFERROR(IF(O2&lt;Inputs!$D$4,MIN(O2+1,Inputs!$D$4),"-"),"-")</f>
        <v>13</v>
      </c>
      <c r="Q2">
        <f>IFERROR(IF(P2&lt;Inputs!$D$4,MIN(P2+1,Inputs!$D$4),"-"),"-")</f>
        <v>14</v>
      </c>
      <c r="R2">
        <f>IFERROR(IF(Q2&lt;Inputs!$D$4,MIN(Q2+1,Inputs!$D$4),"-"),"-")</f>
        <v>15</v>
      </c>
      <c r="S2" t="str">
        <f>IFERROR(IF(R2&lt;Inputs!$D$4,MIN(R2+1,Inputs!$D$4),"-"),"-")</f>
        <v>-</v>
      </c>
      <c r="T2" t="str">
        <f>IFERROR(IF(S2&lt;Inputs!$D$4,MIN(S2+1,Inputs!$D$4),"-"),"-")</f>
        <v>-</v>
      </c>
      <c r="U2" t="str">
        <f>IFERROR(IF(T2&lt;Inputs!$D$4,MIN(T2+1,Inputs!$D$4),"-"),"-")</f>
        <v>-</v>
      </c>
      <c r="V2" t="str">
        <f>IFERROR(IF(U2&lt;Inputs!$D$4,MIN(U2+1,Inputs!$D$4),"-"),"-")</f>
        <v>-</v>
      </c>
      <c r="W2" t="str">
        <f>IFERROR(IF(V2&lt;Inputs!$D$4,MIN(V2+1,Inputs!$D$4),"-"),"-")</f>
        <v>-</v>
      </c>
      <c r="X2" t="str">
        <f>IFERROR(IF(W2&lt;Inputs!$D$4,MIN(W2+1,Inputs!$D$4),"-"),"-")</f>
        <v>-</v>
      </c>
      <c r="Y2" t="str">
        <f>IFERROR(IF(X2&lt;Inputs!$D$4,MIN(X2+1,Inputs!$D$4),"-"),"-")</f>
        <v>-</v>
      </c>
    </row>
    <row r="3" spans="1:25" x14ac:dyDescent="0.3">
      <c r="A3">
        <v>1</v>
      </c>
      <c r="B3" s="6" t="s">
        <v>478</v>
      </c>
    </row>
    <row r="4" spans="1:25" x14ac:dyDescent="0.3">
      <c r="B4" t="s">
        <v>515</v>
      </c>
      <c r="C4" t="s">
        <v>516</v>
      </c>
      <c r="D4" s="2">
        <f>8928*(36)/2/Computations!$C$10</f>
        <v>191334.98624292825</v>
      </c>
      <c r="E4" s="37">
        <f>D4</f>
        <v>191334.98624292825</v>
      </c>
      <c r="F4" s="37">
        <f t="shared" ref="F4:Y4" si="0">E4</f>
        <v>191334.98624292825</v>
      </c>
      <c r="G4" s="37">
        <f t="shared" si="0"/>
        <v>191334.98624292825</v>
      </c>
      <c r="H4" s="37">
        <f t="shared" si="0"/>
        <v>191334.98624292825</v>
      </c>
      <c r="I4" s="37">
        <f t="shared" si="0"/>
        <v>191334.98624292825</v>
      </c>
      <c r="J4" s="37">
        <f t="shared" si="0"/>
        <v>191334.98624292825</v>
      </c>
      <c r="K4" s="37">
        <f t="shared" si="0"/>
        <v>191334.98624292825</v>
      </c>
      <c r="L4" s="37">
        <f t="shared" si="0"/>
        <v>191334.98624292825</v>
      </c>
      <c r="M4" s="37">
        <f t="shared" si="0"/>
        <v>191334.98624292825</v>
      </c>
      <c r="N4" s="37">
        <f t="shared" si="0"/>
        <v>191334.98624292825</v>
      </c>
      <c r="O4" s="37">
        <f t="shared" si="0"/>
        <v>191334.98624292825</v>
      </c>
      <c r="P4" s="37">
        <f t="shared" si="0"/>
        <v>191334.98624292825</v>
      </c>
      <c r="Q4" s="37">
        <f t="shared" si="0"/>
        <v>191334.98624292825</v>
      </c>
      <c r="R4" s="37">
        <f t="shared" si="0"/>
        <v>191334.98624292825</v>
      </c>
      <c r="S4" s="37">
        <f t="shared" si="0"/>
        <v>191334.98624292825</v>
      </c>
      <c r="T4" s="37">
        <f t="shared" si="0"/>
        <v>191334.98624292825</v>
      </c>
      <c r="U4" s="37">
        <f t="shared" si="0"/>
        <v>191334.98624292825</v>
      </c>
      <c r="V4" s="37">
        <f t="shared" si="0"/>
        <v>191334.98624292825</v>
      </c>
      <c r="W4" s="37">
        <f t="shared" si="0"/>
        <v>191334.98624292825</v>
      </c>
      <c r="X4" s="37">
        <f t="shared" si="0"/>
        <v>191334.98624292825</v>
      </c>
      <c r="Y4" s="37">
        <f t="shared" si="0"/>
        <v>191334.98624292825</v>
      </c>
    </row>
    <row r="5" spans="1:25" x14ac:dyDescent="0.3">
      <c r="B5" t="s">
        <v>517</v>
      </c>
      <c r="C5" t="s">
        <v>518</v>
      </c>
      <c r="D5" s="1">
        <v>23</v>
      </c>
      <c r="E5" s="1">
        <f>D5*(1+E6)</f>
        <v>24.150000000000002</v>
      </c>
      <c r="F5" s="1">
        <f>E5*(1+F6)</f>
        <v>25.357500000000002</v>
      </c>
      <c r="G5" s="1">
        <f>D5</f>
        <v>23</v>
      </c>
      <c r="H5" s="1">
        <f>G5*(1+H6)</f>
        <v>24.150000000000002</v>
      </c>
      <c r="I5" s="1">
        <f>H5*(1+I6)</f>
        <v>25.357500000000002</v>
      </c>
      <c r="J5" s="1">
        <f>G5</f>
        <v>23</v>
      </c>
      <c r="K5" s="1">
        <f>J5*(1+K6)</f>
        <v>24.150000000000002</v>
      </c>
      <c r="L5" s="1">
        <f>K5*(1+L6)</f>
        <v>25.357500000000002</v>
      </c>
      <c r="M5" s="1">
        <f>G5</f>
        <v>23</v>
      </c>
      <c r="N5" s="1">
        <f>M5*(1+N6)</f>
        <v>24.150000000000002</v>
      </c>
      <c r="O5" s="1">
        <f>N5*(1+O6)</f>
        <v>25.357500000000002</v>
      </c>
      <c r="P5" s="1">
        <f>M5</f>
        <v>23</v>
      </c>
      <c r="Q5" s="1">
        <f>P5*(1+Q6)</f>
        <v>24.150000000000002</v>
      </c>
      <c r="R5" s="1">
        <f>Q5*(1+R6)</f>
        <v>25.357500000000002</v>
      </c>
    </row>
    <row r="6" spans="1:25" x14ac:dyDescent="0.3">
      <c r="B6" t="s">
        <v>117</v>
      </c>
      <c r="C6" t="s">
        <v>4</v>
      </c>
      <c r="D6" s="22">
        <v>0</v>
      </c>
      <c r="E6" s="22">
        <v>0.05</v>
      </c>
      <c r="F6" s="22">
        <v>0.05</v>
      </c>
      <c r="G6" s="22">
        <v>0</v>
      </c>
      <c r="H6" s="22">
        <v>0.05</v>
      </c>
      <c r="I6" s="22">
        <v>0.05</v>
      </c>
      <c r="J6" s="22">
        <v>0</v>
      </c>
      <c r="K6" s="22">
        <v>0.05</v>
      </c>
      <c r="L6" s="22">
        <v>0.05</v>
      </c>
      <c r="M6" s="22">
        <v>0</v>
      </c>
      <c r="N6" s="22">
        <v>0.05</v>
      </c>
      <c r="O6" s="22">
        <v>0.05</v>
      </c>
      <c r="P6" s="22">
        <v>0</v>
      </c>
      <c r="Q6" s="22">
        <v>0.05</v>
      </c>
      <c r="R6" s="22">
        <v>0.05</v>
      </c>
    </row>
    <row r="7" spans="1:25" ht="15" thickBot="1" x14ac:dyDescent="0.35">
      <c r="B7" t="s">
        <v>83</v>
      </c>
      <c r="C7" t="s">
        <v>520</v>
      </c>
      <c r="D7" s="1">
        <f>D4*D5*3/10^7</f>
        <v>1.320211405076205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3">
        <f>-D7</f>
        <v>-1.320211405076205</v>
      </c>
    </row>
    <row r="8" spans="1:25" ht="15" thickBot="1" x14ac:dyDescent="0.35">
      <c r="B8" s="7" t="s">
        <v>519</v>
      </c>
      <c r="C8" s="8" t="s">
        <v>520</v>
      </c>
      <c r="D8" s="13">
        <f>D4*D5*12/10^7+D7</f>
        <v>6.6010570253810252</v>
      </c>
      <c r="E8" s="13">
        <f t="shared" ref="E8:R8" si="1">E4*E5*12/10^7+E7</f>
        <v>5.5448879013200614</v>
      </c>
      <c r="F8" s="13">
        <f t="shared" si="1"/>
        <v>5.8221322963860649</v>
      </c>
      <c r="G8" s="13">
        <f t="shared" si="1"/>
        <v>5.2808456203048202</v>
      </c>
      <c r="H8" s="13">
        <f t="shared" si="1"/>
        <v>5.5448879013200614</v>
      </c>
      <c r="I8" s="13">
        <f t="shared" si="1"/>
        <v>5.8221322963860649</v>
      </c>
      <c r="J8" s="13">
        <f t="shared" si="1"/>
        <v>5.2808456203048202</v>
      </c>
      <c r="K8" s="13">
        <f t="shared" si="1"/>
        <v>5.5448879013200614</v>
      </c>
      <c r="L8" s="13">
        <f t="shared" si="1"/>
        <v>5.8221322963860649</v>
      </c>
      <c r="M8" s="13">
        <f t="shared" si="1"/>
        <v>5.2808456203048202</v>
      </c>
      <c r="N8" s="13">
        <f t="shared" si="1"/>
        <v>5.5448879013200614</v>
      </c>
      <c r="O8" s="13">
        <f t="shared" si="1"/>
        <v>5.8221322963860649</v>
      </c>
      <c r="P8" s="13">
        <f t="shared" si="1"/>
        <v>5.2808456203048202</v>
      </c>
      <c r="Q8" s="13">
        <f t="shared" si="1"/>
        <v>5.5448879013200614</v>
      </c>
      <c r="R8" s="13">
        <f t="shared" si="1"/>
        <v>4.5019208913098598</v>
      </c>
    </row>
    <row r="10" spans="1:25" x14ac:dyDescent="0.3">
      <c r="A10">
        <v>2</v>
      </c>
      <c r="B10" s="6" t="s">
        <v>462</v>
      </c>
    </row>
    <row r="11" spans="1:25" x14ac:dyDescent="0.3">
      <c r="A11" t="s">
        <v>521</v>
      </c>
      <c r="B11" t="s">
        <v>51</v>
      </c>
    </row>
    <row r="12" spans="1:25" x14ac:dyDescent="0.3">
      <c r="B12" t="s">
        <v>283</v>
      </c>
      <c r="D12" t="s">
        <v>288</v>
      </c>
      <c r="E12" t="s">
        <v>289</v>
      </c>
    </row>
    <row r="13" spans="1:25" x14ac:dyDescent="0.3">
      <c r="B13" t="s">
        <v>284</v>
      </c>
      <c r="C13">
        <v>6</v>
      </c>
      <c r="D13">
        <v>12000</v>
      </c>
      <c r="E13" s="2">
        <f>D13*C13*12</f>
        <v>864000</v>
      </c>
    </row>
    <row r="14" spans="1:25" x14ac:dyDescent="0.3">
      <c r="B14" t="s">
        <v>285</v>
      </c>
      <c r="C14">
        <v>1</v>
      </c>
      <c r="D14">
        <v>50000</v>
      </c>
      <c r="E14" s="2">
        <f t="shared" ref="E14:E16" si="2">D14*C14*12</f>
        <v>600000</v>
      </c>
    </row>
    <row r="15" spans="1:25" x14ac:dyDescent="0.3">
      <c r="B15" t="s">
        <v>286</v>
      </c>
      <c r="C15">
        <v>3</v>
      </c>
      <c r="D15">
        <v>15000</v>
      </c>
      <c r="E15" s="2">
        <f t="shared" si="2"/>
        <v>540000</v>
      </c>
    </row>
    <row r="16" spans="1:25" ht="15" thickBot="1" x14ac:dyDescent="0.35">
      <c r="B16" t="s">
        <v>287</v>
      </c>
      <c r="C16">
        <v>12</v>
      </c>
      <c r="D16">
        <v>10000</v>
      </c>
      <c r="E16" s="2">
        <f t="shared" si="2"/>
        <v>1440000</v>
      </c>
    </row>
    <row r="17" spans="1:18" ht="15" thickBot="1" x14ac:dyDescent="0.35">
      <c r="B17" s="7" t="s">
        <v>2</v>
      </c>
      <c r="C17" s="8"/>
      <c r="D17" s="8"/>
      <c r="E17" s="14">
        <f>SUM(E13:E16)</f>
        <v>3444000</v>
      </c>
      <c r="F17" s="3"/>
    </row>
    <row r="19" spans="1:18" x14ac:dyDescent="0.3">
      <c r="B19" t="s">
        <v>117</v>
      </c>
      <c r="D19" s="22">
        <v>0</v>
      </c>
      <c r="E19" s="22">
        <v>0.05</v>
      </c>
      <c r="F19" s="22">
        <v>0.05</v>
      </c>
      <c r="G19" s="22">
        <v>0.05</v>
      </c>
      <c r="H19" s="22">
        <v>0.05</v>
      </c>
      <c r="I19" s="22">
        <v>0.05</v>
      </c>
      <c r="J19" s="22">
        <v>0.05</v>
      </c>
      <c r="K19" s="22">
        <v>0.05</v>
      </c>
      <c r="L19" s="22">
        <v>0.05</v>
      </c>
      <c r="M19" s="22">
        <v>0.05</v>
      </c>
      <c r="N19" s="22">
        <v>0.05</v>
      </c>
      <c r="O19" s="22">
        <v>0.05</v>
      </c>
      <c r="P19" s="22">
        <v>0.05</v>
      </c>
      <c r="Q19" s="22">
        <v>0.05</v>
      </c>
      <c r="R19" s="22">
        <v>0.05</v>
      </c>
    </row>
    <row r="20" spans="1:18" x14ac:dyDescent="0.3">
      <c r="B20" s="6" t="s">
        <v>522</v>
      </c>
      <c r="C20" s="6" t="s">
        <v>520</v>
      </c>
      <c r="D20" s="72">
        <f>E17/10^7</f>
        <v>0.34439999999999998</v>
      </c>
      <c r="E20" s="72">
        <f>D20*(1+E19)</f>
        <v>0.36162</v>
      </c>
      <c r="F20" s="72">
        <f t="shared" ref="F20:R20" si="3">E20*(1+F19)</f>
        <v>0.37970100000000001</v>
      </c>
      <c r="G20" s="72">
        <f t="shared" si="3"/>
        <v>0.39868605000000001</v>
      </c>
      <c r="H20" s="72">
        <f t="shared" si="3"/>
        <v>0.41862035250000001</v>
      </c>
      <c r="I20" s="72">
        <f t="shared" si="3"/>
        <v>0.43955137012500001</v>
      </c>
      <c r="J20" s="72">
        <f t="shared" si="3"/>
        <v>0.46152893863125005</v>
      </c>
      <c r="K20" s="72">
        <f t="shared" si="3"/>
        <v>0.48460538556281257</v>
      </c>
      <c r="L20" s="72">
        <f t="shared" si="3"/>
        <v>0.50883565484095328</v>
      </c>
      <c r="M20" s="72">
        <f t="shared" si="3"/>
        <v>0.53427743758300095</v>
      </c>
      <c r="N20" s="72">
        <f t="shared" si="3"/>
        <v>0.56099130946215103</v>
      </c>
      <c r="O20" s="72">
        <f t="shared" si="3"/>
        <v>0.58904087493525858</v>
      </c>
      <c r="P20" s="72">
        <f t="shared" si="3"/>
        <v>0.6184929186820215</v>
      </c>
      <c r="Q20" s="72">
        <f t="shared" si="3"/>
        <v>0.64941756461612254</v>
      </c>
      <c r="R20" s="72">
        <f t="shared" si="3"/>
        <v>0.68188844284692873</v>
      </c>
    </row>
    <row r="22" spans="1:18" x14ac:dyDescent="0.3">
      <c r="A22" t="s">
        <v>322</v>
      </c>
      <c r="B22" t="s">
        <v>523</v>
      </c>
    </row>
    <row r="23" spans="1:18" x14ac:dyDescent="0.3">
      <c r="B23" s="6" t="s">
        <v>291</v>
      </c>
      <c r="D23" t="s">
        <v>295</v>
      </c>
      <c r="E23" t="s">
        <v>289</v>
      </c>
    </row>
    <row r="24" spans="1:18" x14ac:dyDescent="0.3">
      <c r="B24" t="s">
        <v>292</v>
      </c>
      <c r="C24">
        <v>1</v>
      </c>
      <c r="D24" s="2">
        <v>5000</v>
      </c>
      <c r="E24" s="2">
        <f>D24*C24*12</f>
        <v>60000</v>
      </c>
    </row>
    <row r="25" spans="1:18" x14ac:dyDescent="0.3">
      <c r="B25" t="s">
        <v>293</v>
      </c>
      <c r="C25">
        <v>4</v>
      </c>
      <c r="D25" s="2">
        <f>100000/12</f>
        <v>8333.3333333333339</v>
      </c>
      <c r="E25" s="2">
        <f>D25*12*C25</f>
        <v>400000</v>
      </c>
    </row>
    <row r="26" spans="1:18" ht="15" thickBot="1" x14ac:dyDescent="0.35">
      <c r="B26" t="s">
        <v>294</v>
      </c>
      <c r="C26">
        <v>1</v>
      </c>
      <c r="D26" s="2">
        <v>1500</v>
      </c>
      <c r="E26" s="2">
        <f>D26*C26*12</f>
        <v>18000</v>
      </c>
    </row>
    <row r="27" spans="1:18" ht="15" thickBot="1" x14ac:dyDescent="0.35">
      <c r="B27" s="7" t="s">
        <v>2</v>
      </c>
      <c r="C27" s="11"/>
      <c r="D27" s="11"/>
      <c r="E27" s="10">
        <f>SUM(E24:E26)</f>
        <v>478000</v>
      </c>
    </row>
    <row r="29" spans="1:18" x14ac:dyDescent="0.3">
      <c r="B29" t="s">
        <v>117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</row>
    <row r="30" spans="1:18" x14ac:dyDescent="0.3">
      <c r="B30" s="6" t="s">
        <v>522</v>
      </c>
      <c r="C30" s="6" t="s">
        <v>520</v>
      </c>
      <c r="D30" s="3">
        <f>E27/10^7</f>
        <v>4.7800000000000002E-2</v>
      </c>
      <c r="E30" s="3">
        <f>D30*(1+E29)</f>
        <v>4.7800000000000002E-2</v>
      </c>
      <c r="F30" s="3">
        <f t="shared" ref="F30:R30" si="4">E30*(1+F29)</f>
        <v>4.7800000000000002E-2</v>
      </c>
      <c r="G30" s="3">
        <f t="shared" si="4"/>
        <v>4.7800000000000002E-2</v>
      </c>
      <c r="H30" s="3">
        <f t="shared" si="4"/>
        <v>4.7800000000000002E-2</v>
      </c>
      <c r="I30" s="3">
        <f t="shared" si="4"/>
        <v>4.7800000000000002E-2</v>
      </c>
      <c r="J30" s="3">
        <f t="shared" si="4"/>
        <v>4.7800000000000002E-2</v>
      </c>
      <c r="K30" s="3">
        <f t="shared" si="4"/>
        <v>4.7800000000000002E-2</v>
      </c>
      <c r="L30" s="3">
        <f t="shared" si="4"/>
        <v>4.7800000000000002E-2</v>
      </c>
      <c r="M30" s="3">
        <f t="shared" si="4"/>
        <v>4.7800000000000002E-2</v>
      </c>
      <c r="N30" s="3">
        <f t="shared" si="4"/>
        <v>4.7800000000000002E-2</v>
      </c>
      <c r="O30" s="3">
        <f t="shared" si="4"/>
        <v>4.7800000000000002E-2</v>
      </c>
      <c r="P30" s="3">
        <f t="shared" si="4"/>
        <v>4.7800000000000002E-2</v>
      </c>
      <c r="Q30" s="3">
        <f t="shared" si="4"/>
        <v>4.7800000000000002E-2</v>
      </c>
      <c r="R30" s="3">
        <f t="shared" si="4"/>
        <v>4.7800000000000002E-2</v>
      </c>
    </row>
    <row r="32" spans="1:18" x14ac:dyDescent="0.3">
      <c r="A32" t="s">
        <v>524</v>
      </c>
      <c r="B32" s="6" t="s">
        <v>296</v>
      </c>
    </row>
    <row r="33" spans="1:18" x14ac:dyDescent="0.3">
      <c r="B33" s="106" t="s">
        <v>290</v>
      </c>
    </row>
    <row r="34" spans="1:18" x14ac:dyDescent="0.3">
      <c r="B34" t="s">
        <v>297</v>
      </c>
      <c r="C34">
        <v>8</v>
      </c>
      <c r="D34" s="3">
        <v>138702.5</v>
      </c>
      <c r="E34" s="3">
        <f>C34*D34*12</f>
        <v>13315440</v>
      </c>
    </row>
    <row r="35" spans="1:18" ht="15" thickBot="1" x14ac:dyDescent="0.35">
      <c r="B35" t="s">
        <v>301</v>
      </c>
      <c r="C35">
        <v>4</v>
      </c>
      <c r="D35" s="3">
        <v>50000</v>
      </c>
      <c r="E35" s="3">
        <f>C35*D35*12</f>
        <v>2400000</v>
      </c>
    </row>
    <row r="36" spans="1:18" ht="15" thickBot="1" x14ac:dyDescent="0.35">
      <c r="B36" s="7" t="s">
        <v>128</v>
      </c>
      <c r="C36" s="8"/>
      <c r="D36" s="9"/>
      <c r="E36" s="10">
        <f>SUM(E34:E35)</f>
        <v>15715440</v>
      </c>
    </row>
    <row r="37" spans="1:18" x14ac:dyDescent="0.3">
      <c r="B37" s="106" t="s">
        <v>300</v>
      </c>
    </row>
    <row r="38" spans="1:18" x14ac:dyDescent="0.3">
      <c r="B38" t="s">
        <v>298</v>
      </c>
      <c r="C38">
        <v>8</v>
      </c>
      <c r="D38" s="105">
        <f>392044*1.18</f>
        <v>462611.92</v>
      </c>
      <c r="E38" s="1">
        <f>C38*D38</f>
        <v>3700895.36</v>
      </c>
    </row>
    <row r="39" spans="1:18" ht="15" thickBot="1" x14ac:dyDescent="0.35">
      <c r="B39" t="s">
        <v>299</v>
      </c>
      <c r="C39">
        <v>8</v>
      </c>
      <c r="D39" s="1">
        <f>16500*1.18</f>
        <v>19470</v>
      </c>
      <c r="E39" s="1">
        <f>C39*D39</f>
        <v>155760</v>
      </c>
    </row>
    <row r="40" spans="1:18" ht="15" thickBot="1" x14ac:dyDescent="0.35">
      <c r="B40" s="7" t="s">
        <v>128</v>
      </c>
      <c r="C40" s="8"/>
      <c r="D40" s="8"/>
      <c r="E40" s="14">
        <f>E38+E39</f>
        <v>3856655.36</v>
      </c>
    </row>
    <row r="42" spans="1:18" x14ac:dyDescent="0.3">
      <c r="B42" s="6" t="s">
        <v>522</v>
      </c>
      <c r="C42" t="s">
        <v>520</v>
      </c>
      <c r="D42" s="3">
        <f>E36/10^7+E40/10^7</f>
        <v>1.9572095360000001</v>
      </c>
      <c r="E42" s="3">
        <f>$E$36/10^7</f>
        <v>1.5715440000000001</v>
      </c>
      <c r="F42" s="3">
        <f t="shared" ref="F42:R42" si="5">$E$36/10^7</f>
        <v>1.5715440000000001</v>
      </c>
      <c r="G42" s="3">
        <f t="shared" si="5"/>
        <v>1.5715440000000001</v>
      </c>
      <c r="H42" s="3">
        <f t="shared" si="5"/>
        <v>1.5715440000000001</v>
      </c>
      <c r="I42" s="3">
        <f t="shared" si="5"/>
        <v>1.5715440000000001</v>
      </c>
      <c r="J42" s="3">
        <f t="shared" si="5"/>
        <v>1.5715440000000001</v>
      </c>
      <c r="K42" s="3">
        <f t="shared" si="5"/>
        <v>1.5715440000000001</v>
      </c>
      <c r="L42" s="3">
        <f t="shared" si="5"/>
        <v>1.5715440000000001</v>
      </c>
      <c r="M42" s="3">
        <f t="shared" si="5"/>
        <v>1.5715440000000001</v>
      </c>
      <c r="N42" s="3">
        <f t="shared" si="5"/>
        <v>1.5715440000000001</v>
      </c>
      <c r="O42" s="3">
        <f t="shared" si="5"/>
        <v>1.5715440000000001</v>
      </c>
      <c r="P42" s="3">
        <f t="shared" si="5"/>
        <v>1.5715440000000001</v>
      </c>
      <c r="Q42" s="3">
        <f t="shared" si="5"/>
        <v>1.5715440000000001</v>
      </c>
      <c r="R42" s="3">
        <f t="shared" si="5"/>
        <v>1.5715440000000001</v>
      </c>
    </row>
    <row r="44" spans="1:18" x14ac:dyDescent="0.3">
      <c r="A44" t="s">
        <v>525</v>
      </c>
      <c r="B44" s="6" t="s">
        <v>526</v>
      </c>
    </row>
    <row r="45" spans="1:18" x14ac:dyDescent="0.3">
      <c r="B45" t="s">
        <v>527</v>
      </c>
    </row>
    <row r="46" spans="1:18" x14ac:dyDescent="0.3">
      <c r="B46" s="6" t="s">
        <v>528</v>
      </c>
      <c r="C46" t="s">
        <v>529</v>
      </c>
    </row>
    <row r="47" spans="1:18" x14ac:dyDescent="0.3">
      <c r="B47" t="s">
        <v>530</v>
      </c>
      <c r="C47" s="67">
        <v>10000</v>
      </c>
    </row>
    <row r="48" spans="1:18" x14ac:dyDescent="0.3">
      <c r="B48" t="s">
        <v>531</v>
      </c>
      <c r="C48">
        <v>15</v>
      </c>
    </row>
    <row r="49" spans="1:19" x14ac:dyDescent="0.3">
      <c r="D49" s="22">
        <v>0</v>
      </c>
      <c r="E49" s="22">
        <v>0.03</v>
      </c>
      <c r="F49" s="22">
        <v>0.03</v>
      </c>
      <c r="G49" s="22">
        <v>0.03</v>
      </c>
      <c r="H49" s="22">
        <v>0.03</v>
      </c>
      <c r="I49" s="22">
        <v>0.03</v>
      </c>
      <c r="J49" s="22">
        <v>0.03</v>
      </c>
      <c r="K49" s="22">
        <v>0.03</v>
      </c>
      <c r="L49" s="22">
        <v>0.03</v>
      </c>
      <c r="M49" s="22">
        <v>0.03</v>
      </c>
      <c r="N49" s="22">
        <v>0.03</v>
      </c>
      <c r="O49" s="22">
        <v>0.03</v>
      </c>
      <c r="P49" s="22">
        <v>0.03</v>
      </c>
      <c r="Q49" s="22">
        <v>0.03</v>
      </c>
      <c r="R49" s="22">
        <v>0.03</v>
      </c>
      <c r="S49" s="22">
        <v>0.03</v>
      </c>
    </row>
    <row r="50" spans="1:19" x14ac:dyDescent="0.3">
      <c r="B50" s="6" t="s">
        <v>48</v>
      </c>
      <c r="D50" s="81">
        <f>C47*C48*365/10^7</f>
        <v>5.4749999999999996</v>
      </c>
      <c r="E50" s="72">
        <f>D50*(1+E49)</f>
        <v>5.6392499999999997</v>
      </c>
      <c r="F50" s="72">
        <f t="shared" ref="F50:S50" si="6">E50*(1+F49)</f>
        <v>5.8084274999999996</v>
      </c>
      <c r="G50" s="72">
        <f t="shared" si="6"/>
        <v>5.9826803249999996</v>
      </c>
      <c r="H50" s="72">
        <f t="shared" si="6"/>
        <v>6.1621607347499996</v>
      </c>
      <c r="I50" s="72">
        <f t="shared" si="6"/>
        <v>6.3470255567924996</v>
      </c>
      <c r="J50" s="72">
        <f t="shared" si="6"/>
        <v>6.5374363234962747</v>
      </c>
      <c r="K50" s="72">
        <f t="shared" si="6"/>
        <v>6.7335594132011627</v>
      </c>
      <c r="L50" s="72">
        <f t="shared" si="6"/>
        <v>6.9355661955971977</v>
      </c>
      <c r="M50" s="72">
        <f t="shared" si="6"/>
        <v>7.1436331814651135</v>
      </c>
      <c r="N50" s="72">
        <f t="shared" si="6"/>
        <v>7.3579421769090674</v>
      </c>
      <c r="O50" s="72">
        <f t="shared" si="6"/>
        <v>7.5786804422163394</v>
      </c>
      <c r="P50" s="72">
        <f t="shared" si="6"/>
        <v>7.8060408554828298</v>
      </c>
      <c r="Q50" s="72">
        <f t="shared" si="6"/>
        <v>8.0402220811473146</v>
      </c>
      <c r="R50" s="72">
        <f t="shared" si="6"/>
        <v>8.2814287435817349</v>
      </c>
      <c r="S50" s="72">
        <f t="shared" si="6"/>
        <v>8.5298716058891877</v>
      </c>
    </row>
    <row r="51" spans="1:19" ht="15" thickBot="1" x14ac:dyDescent="0.35"/>
    <row r="52" spans="1:19" ht="15" thickBot="1" x14ac:dyDescent="0.35">
      <c r="A52">
        <v>3</v>
      </c>
      <c r="B52" s="7" t="s">
        <v>532</v>
      </c>
      <c r="C52" s="8"/>
      <c r="D52" s="9">
        <f>D50+D42+D30+D20+D8</f>
        <v>14.425466561381025</v>
      </c>
      <c r="E52" s="9">
        <f t="shared" ref="E52:R52" si="7">E50+E42+E30+E20+E8</f>
        <v>13.16510190132006</v>
      </c>
      <c r="F52" s="9">
        <f t="shared" si="7"/>
        <v>13.629604796386065</v>
      </c>
      <c r="G52" s="9">
        <f t="shared" si="7"/>
        <v>13.281555995304819</v>
      </c>
      <c r="H52" s="9">
        <f t="shared" si="7"/>
        <v>13.74501298857006</v>
      </c>
      <c r="I52" s="9">
        <f t="shared" si="7"/>
        <v>14.228053223303565</v>
      </c>
      <c r="J52" s="9">
        <f t="shared" si="7"/>
        <v>13.899154882432345</v>
      </c>
      <c r="K52" s="9">
        <f t="shared" si="7"/>
        <v>14.382396700084037</v>
      </c>
      <c r="L52" s="9">
        <f t="shared" si="7"/>
        <v>14.885878146824215</v>
      </c>
      <c r="M52" s="9">
        <f t="shared" si="7"/>
        <v>14.578100239352935</v>
      </c>
      <c r="N52" s="9">
        <f t="shared" si="7"/>
        <v>15.083165387691281</v>
      </c>
      <c r="O52" s="9">
        <f t="shared" si="7"/>
        <v>15.609197613537663</v>
      </c>
      <c r="P52" s="9">
        <f t="shared" si="7"/>
        <v>15.324723394469672</v>
      </c>
      <c r="Q52" s="9">
        <f t="shared" si="7"/>
        <v>15.853871547083498</v>
      </c>
      <c r="R52" s="10">
        <f t="shared" si="7"/>
        <v>15.084582077738522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77DC-E153-4CA3-84C0-139773C5E3E8}">
  <sheetPr>
    <tabColor rgb="FFFF0000"/>
  </sheetPr>
  <dimension ref="A1:BD72"/>
  <sheetViews>
    <sheetView zoomScale="6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69" sqref="D69"/>
    </sheetView>
  </sheetViews>
  <sheetFormatPr defaultRowHeight="14.4" x14ac:dyDescent="0.3"/>
  <cols>
    <col min="2" max="2" width="30.44140625" bestFit="1" customWidth="1"/>
    <col min="3" max="3" width="9" customWidth="1"/>
    <col min="4" max="4" width="8.88671875" customWidth="1"/>
    <col min="43" max="43" width="20" bestFit="1" customWidth="1"/>
    <col min="44" max="44" width="8.6640625" bestFit="1" customWidth="1"/>
  </cols>
  <sheetData>
    <row r="1" spans="1:56" ht="15" thickBot="1" x14ac:dyDescent="0.35"/>
    <row r="2" spans="1:56" x14ac:dyDescent="0.3">
      <c r="B2" s="42" t="s">
        <v>5</v>
      </c>
      <c r="C2" s="43"/>
      <c r="D2" s="43"/>
      <c r="E2" s="62">
        <f>Inputs!G3</f>
        <v>45566</v>
      </c>
      <c r="F2" s="62">
        <f>IFERROR(IF(EOMONTH(E2,0.5)+1&lt;=Inputs!$G$5,EOMONTH(E2,0.5)+1,"-"),"-")</f>
        <v>45597</v>
      </c>
      <c r="G2" s="62">
        <f>IFERROR(IF(EOMONTH(F2,0.5)+1&lt;=Inputs!$G$5,EOMONTH(F2,0.5)+1,"-"),"-")</f>
        <v>45627</v>
      </c>
      <c r="H2" s="62">
        <f>IFERROR(IF(EOMONTH(G2,0.5)+1&lt;=Inputs!$G$5,EOMONTH(G2,0.5)+1,"-"),"-")</f>
        <v>45658</v>
      </c>
      <c r="I2" s="62">
        <f>IFERROR(IF(EOMONTH(H2,0.5)+1&lt;=Inputs!$G$5,EOMONTH(H2,0.5)+1,"-"),"-")</f>
        <v>45689</v>
      </c>
      <c r="J2" s="62">
        <f>IFERROR(IF(EOMONTH(I2,0.5)+1&lt;=Inputs!$G$5,EOMONTH(I2,0.5)+1,"-"),"-")</f>
        <v>45717</v>
      </c>
      <c r="K2" s="62">
        <f>IFERROR(IF(EOMONTH(J2,0.5)+1&lt;=Inputs!$G$5,EOMONTH(J2,0.5)+1,"-"),"-")</f>
        <v>45748</v>
      </c>
      <c r="L2" s="62">
        <f>IFERROR(IF(EOMONTH(K2,0.5)+1&lt;=Inputs!$G$5,EOMONTH(K2,0.5)+1,"-"),"-")</f>
        <v>45778</v>
      </c>
      <c r="M2" s="62">
        <f>IFERROR(IF(EOMONTH(L2,0.5)+1&lt;=Inputs!$G$5,EOMONTH(L2,0.5)+1,"-"),"-")</f>
        <v>45809</v>
      </c>
      <c r="N2" s="62">
        <f>IFERROR(IF(EOMONTH(M2,0.5)+1&lt;=Inputs!$G$5,EOMONTH(M2,0.5)+1,"-"),"-")</f>
        <v>45839</v>
      </c>
      <c r="O2" s="62">
        <f>IFERROR(IF(EOMONTH(N2,0.5)+1&lt;=Inputs!$G$5,EOMONTH(N2,0.5)+1,"-"),"-")</f>
        <v>45870</v>
      </c>
      <c r="P2" s="62">
        <f>IFERROR(IF(EOMONTH(O2,0.5)+1&lt;=Inputs!$G$5,EOMONTH(O2,0.5)+1,"-"),"-")</f>
        <v>45901</v>
      </c>
      <c r="Q2" s="62">
        <f>IFERROR(IF(EOMONTH(P2,0.5)+1&lt;=Inputs!$G$5,EOMONTH(P2,0.5)+1,"-"),"-")</f>
        <v>45931</v>
      </c>
      <c r="R2" s="62">
        <f>IFERROR(IF(EOMONTH(Q2,0.5)+1&lt;=Inputs!$G$5,EOMONTH(Q2,0.5)+1,"-"),"-")</f>
        <v>45962</v>
      </c>
      <c r="S2" s="62" t="str">
        <f>IFERROR(IF(EOMONTH(R2,0.5)+1&lt;=Inputs!$G$5,EOMONTH(R2,0.5)+1,"-"),"-")</f>
        <v>-</v>
      </c>
      <c r="T2" s="62" t="str">
        <f>IFERROR(IF(EOMONTH(S2,0.5)+1&lt;=Inputs!$G$5,EOMONTH(S2,0.5)+1,"-"),"-")</f>
        <v>-</v>
      </c>
      <c r="U2" s="62" t="str">
        <f>IFERROR(IF(EOMONTH(T2,0.5)+1&lt;=Inputs!$G$5,EOMONTH(T2,0.5)+1,"-"),"-")</f>
        <v>-</v>
      </c>
      <c r="V2" s="62" t="str">
        <f>IFERROR(IF(EOMONTH(U2,0.5)+1&lt;=Inputs!$G$5,EOMONTH(U2,0.5)+1,"-"),"-")</f>
        <v>-</v>
      </c>
      <c r="W2" s="62" t="str">
        <f>IFERROR(IF(EOMONTH(V2,0.5)+1&lt;=Inputs!$G$5,EOMONTH(V2,0.5)+1,"-"),"-")</f>
        <v>-</v>
      </c>
      <c r="X2" s="62" t="str">
        <f>IFERROR(IF(EOMONTH(W2,0.5)+1&lt;=Inputs!$G$5,EOMONTH(W2,0.5)+1,"-"),"-")</f>
        <v>-</v>
      </c>
      <c r="Y2" s="62" t="str">
        <f>IFERROR(IF(EOMONTH(X2,0.5)+1&lt;=Inputs!$G$5,EOMONTH(X2,0.5)+1,"-"),"-")</f>
        <v>-</v>
      </c>
      <c r="Z2" s="62" t="str">
        <f>IFERROR(IF(EOMONTH(Y2,0.5)+1&lt;=Inputs!$G$5,EOMONTH(Y2,0.5)+1,"-"),"-")</f>
        <v>-</v>
      </c>
      <c r="AA2" s="62" t="str">
        <f>IFERROR(IF(EOMONTH(Z2,0.5)+1&lt;=Inputs!$G$5,EOMONTH(Z2,0.5)+1,"-"),"-")</f>
        <v>-</v>
      </c>
      <c r="AB2" s="62" t="str">
        <f>IFERROR(IF(EOMONTH(AA2,0.5)+1&lt;=Inputs!$G$5,EOMONTH(AA2,0.5)+1,"-"),"-")</f>
        <v>-</v>
      </c>
      <c r="AC2" s="62" t="str">
        <f>IFERROR(IF(EOMONTH(AB2,0.5)+1&lt;=Inputs!$G$5,EOMONTH(AB2,0.5)+1,"-"),"-")</f>
        <v>-</v>
      </c>
      <c r="AD2" s="62" t="str">
        <f>IFERROR(IF(EOMONTH(AC2,0.5)+1&lt;=Inputs!$G$5,EOMONTH(AC2,0.5)+1,"-"),"-")</f>
        <v>-</v>
      </c>
      <c r="AE2" s="62" t="str">
        <f>IFERROR(IF(EOMONTH(AD2,0.5)+1&lt;=Inputs!$G$5,EOMONTH(AD2,0.5)+1,"-"),"-")</f>
        <v>-</v>
      </c>
      <c r="AF2" s="62" t="str">
        <f>IFERROR(IF(EOMONTH(AE2,0.5)+1&lt;=Inputs!$G$5,EOMONTH(AE2,0.5)+1,"-"),"-")</f>
        <v>-</v>
      </c>
      <c r="AG2" s="62" t="str">
        <f>IFERROR(IF(EOMONTH(AF2,0.5)+1&lt;=Inputs!$G$5,EOMONTH(AF2,0.5)+1,"-"),"-")</f>
        <v>-</v>
      </c>
      <c r="BB2">
        <v>1</v>
      </c>
      <c r="BC2" t="s">
        <v>85</v>
      </c>
      <c r="BD2" t="s">
        <v>97</v>
      </c>
    </row>
    <row r="3" spans="1:56" x14ac:dyDescent="0.3">
      <c r="B3" s="34" t="s">
        <v>46</v>
      </c>
      <c r="C3" s="6"/>
      <c r="D3" s="6"/>
      <c r="E3" s="6" t="str">
        <f>IFERROR((VLOOKUP(MONTH(E2),$BB$2:$BD$13,3,FALSE) &amp; " " &amp; IF(OR(MONTH(E2)=1,MONTH(E2)=2,MONTH(E2)=3),YEAR(E2),YEAR(E2)+1)),"-")</f>
        <v>Q3 2025</v>
      </c>
      <c r="F3" s="6" t="str">
        <f t="shared" ref="F3:AG3" si="0">IFERROR((VLOOKUP(MONTH(F2),$BB$2:$BD$13,3,FALSE) &amp; " " &amp; IF(OR(MONTH(F2)=1,MONTH(F2)=2,MONTH(F2)=3),YEAR(F2),YEAR(F2)+1)),"-")</f>
        <v>Q3 2025</v>
      </c>
      <c r="G3" s="6" t="str">
        <f t="shared" si="0"/>
        <v>Q3 2025</v>
      </c>
      <c r="H3" s="6" t="str">
        <f t="shared" si="0"/>
        <v>Q4 2025</v>
      </c>
      <c r="I3" s="6" t="str">
        <f t="shared" si="0"/>
        <v>Q4 2025</v>
      </c>
      <c r="J3" s="6" t="str">
        <f t="shared" si="0"/>
        <v>Q4 2025</v>
      </c>
      <c r="K3" s="6" t="str">
        <f t="shared" si="0"/>
        <v>Q1 2026</v>
      </c>
      <c r="L3" s="6" t="str">
        <f t="shared" si="0"/>
        <v>Q1 2026</v>
      </c>
      <c r="M3" s="6" t="str">
        <f t="shared" si="0"/>
        <v>Q1 2026</v>
      </c>
      <c r="N3" s="6" t="str">
        <f t="shared" si="0"/>
        <v>Q2 2026</v>
      </c>
      <c r="O3" s="6" t="str">
        <f t="shared" si="0"/>
        <v>Q2 2026</v>
      </c>
      <c r="P3" s="6" t="str">
        <f t="shared" si="0"/>
        <v>Q2 2026</v>
      </c>
      <c r="Q3" s="6" t="str">
        <f t="shared" si="0"/>
        <v>Q3 2026</v>
      </c>
      <c r="R3" s="6" t="str">
        <f t="shared" si="0"/>
        <v>Q3 2026</v>
      </c>
      <c r="S3" s="6" t="str">
        <f t="shared" si="0"/>
        <v>-</v>
      </c>
      <c r="T3" s="6" t="str">
        <f t="shared" si="0"/>
        <v>-</v>
      </c>
      <c r="U3" s="6" t="str">
        <f t="shared" si="0"/>
        <v>-</v>
      </c>
      <c r="V3" s="6" t="str">
        <f t="shared" si="0"/>
        <v>-</v>
      </c>
      <c r="W3" s="6" t="str">
        <f t="shared" si="0"/>
        <v>-</v>
      </c>
      <c r="X3" s="6" t="str">
        <f t="shared" si="0"/>
        <v>-</v>
      </c>
      <c r="Y3" s="6" t="str">
        <f t="shared" si="0"/>
        <v>-</v>
      </c>
      <c r="Z3" s="6" t="str">
        <f t="shared" si="0"/>
        <v>-</v>
      </c>
      <c r="AA3" s="6" t="str">
        <f t="shared" si="0"/>
        <v>-</v>
      </c>
      <c r="AB3" s="6" t="str">
        <f t="shared" si="0"/>
        <v>-</v>
      </c>
      <c r="AC3" s="6" t="str">
        <f t="shared" si="0"/>
        <v>-</v>
      </c>
      <c r="AD3" s="6" t="str">
        <f t="shared" si="0"/>
        <v>-</v>
      </c>
      <c r="AE3" s="6" t="str">
        <f t="shared" si="0"/>
        <v>-</v>
      </c>
      <c r="AF3" s="6" t="str">
        <f t="shared" si="0"/>
        <v>-</v>
      </c>
      <c r="AG3" s="6" t="str">
        <f t="shared" si="0"/>
        <v>-</v>
      </c>
      <c r="BB3">
        <f>BB2+1</f>
        <v>2</v>
      </c>
      <c r="BC3" t="s">
        <v>86</v>
      </c>
      <c r="BD3" t="s">
        <v>97</v>
      </c>
    </row>
    <row r="4" spans="1:56" ht="15" thickBot="1" x14ac:dyDescent="0.35">
      <c r="B4" s="31" t="s">
        <v>20</v>
      </c>
      <c r="C4" s="32"/>
      <c r="D4" s="32"/>
      <c r="E4" s="32" t="str">
        <f>IFERROR(("FY " &amp; YEAR(E2)+1),"-")</f>
        <v>FY 2025</v>
      </c>
      <c r="F4" s="32" t="str">
        <f t="shared" ref="F4:AG4" si="1">IFERROR(("FY " &amp; YEAR(F2)+1),"-")</f>
        <v>FY 2025</v>
      </c>
      <c r="G4" s="32" t="str">
        <f t="shared" si="1"/>
        <v>FY 2025</v>
      </c>
      <c r="H4" s="32" t="str">
        <f t="shared" si="1"/>
        <v>FY 2026</v>
      </c>
      <c r="I4" s="32" t="str">
        <f t="shared" si="1"/>
        <v>FY 2026</v>
      </c>
      <c r="J4" s="32" t="str">
        <f t="shared" si="1"/>
        <v>FY 2026</v>
      </c>
      <c r="K4" s="32" t="str">
        <f t="shared" si="1"/>
        <v>FY 2026</v>
      </c>
      <c r="L4" s="32" t="str">
        <f t="shared" si="1"/>
        <v>FY 2026</v>
      </c>
      <c r="M4" s="32" t="str">
        <f t="shared" si="1"/>
        <v>FY 2026</v>
      </c>
      <c r="N4" s="32" t="str">
        <f t="shared" si="1"/>
        <v>FY 2026</v>
      </c>
      <c r="O4" s="32" t="str">
        <f t="shared" si="1"/>
        <v>FY 2026</v>
      </c>
      <c r="P4" s="32" t="str">
        <f t="shared" si="1"/>
        <v>FY 2026</v>
      </c>
      <c r="Q4" s="32" t="str">
        <f t="shared" si="1"/>
        <v>FY 2026</v>
      </c>
      <c r="R4" s="32" t="str">
        <f t="shared" si="1"/>
        <v>FY 2026</v>
      </c>
      <c r="S4" s="32" t="str">
        <f t="shared" si="1"/>
        <v>-</v>
      </c>
      <c r="T4" s="32" t="str">
        <f t="shared" si="1"/>
        <v>-</v>
      </c>
      <c r="U4" s="32" t="str">
        <f t="shared" si="1"/>
        <v>-</v>
      </c>
      <c r="V4" s="32" t="str">
        <f t="shared" si="1"/>
        <v>-</v>
      </c>
      <c r="W4" s="32" t="str">
        <f t="shared" si="1"/>
        <v>-</v>
      </c>
      <c r="X4" s="32" t="str">
        <f t="shared" si="1"/>
        <v>-</v>
      </c>
      <c r="Y4" s="32" t="str">
        <f t="shared" si="1"/>
        <v>-</v>
      </c>
      <c r="Z4" s="32" t="str">
        <f t="shared" si="1"/>
        <v>-</v>
      </c>
      <c r="AA4" s="32" t="str">
        <f t="shared" si="1"/>
        <v>-</v>
      </c>
      <c r="AB4" s="32" t="str">
        <f t="shared" si="1"/>
        <v>-</v>
      </c>
      <c r="AC4" s="32" t="str">
        <f t="shared" si="1"/>
        <v>-</v>
      </c>
      <c r="AD4" s="32" t="str">
        <f t="shared" si="1"/>
        <v>-</v>
      </c>
      <c r="AE4" s="32" t="str">
        <f t="shared" si="1"/>
        <v>-</v>
      </c>
      <c r="AF4" s="32" t="str">
        <f t="shared" si="1"/>
        <v>-</v>
      </c>
      <c r="AG4" s="63" t="str">
        <f t="shared" si="1"/>
        <v>-</v>
      </c>
      <c r="BB4">
        <f t="shared" ref="BB4:BB13" si="2">BB3+1</f>
        <v>3</v>
      </c>
      <c r="BC4" t="s">
        <v>87</v>
      </c>
      <c r="BD4" t="s">
        <v>97</v>
      </c>
    </row>
    <row r="5" spans="1:56" x14ac:dyDescent="0.3">
      <c r="BB5">
        <f t="shared" si="2"/>
        <v>4</v>
      </c>
      <c r="BC5" t="s">
        <v>88</v>
      </c>
      <c r="BD5" t="s">
        <v>98</v>
      </c>
    </row>
    <row r="6" spans="1:56" ht="18" x14ac:dyDescent="0.35">
      <c r="B6" s="61" t="s">
        <v>114</v>
      </c>
      <c r="C6" s="4">
        <v>3.8135593220338999E-2</v>
      </c>
      <c r="BB6">
        <f t="shared" si="2"/>
        <v>5</v>
      </c>
      <c r="BC6" t="s">
        <v>89</v>
      </c>
      <c r="BD6" t="s">
        <v>98</v>
      </c>
    </row>
    <row r="7" spans="1:56" x14ac:dyDescent="0.3">
      <c r="B7" s="60" t="str">
        <f>'Project Cost Details'!B3</f>
        <v>ASRS</v>
      </c>
      <c r="C7" s="4">
        <f>(1-E8-50%)/2</f>
        <v>3.8135593220338992E-2</v>
      </c>
      <c r="BB7">
        <f t="shared" si="2"/>
        <v>6</v>
      </c>
      <c r="BC7" t="s">
        <v>90</v>
      </c>
      <c r="BD7" t="s">
        <v>98</v>
      </c>
    </row>
    <row r="8" spans="1:56" ht="31.8" thickBot="1" x14ac:dyDescent="0.35">
      <c r="A8" s="51"/>
      <c r="B8" s="55" t="str">
        <f>'Project Cost Details'!B4</f>
        <v xml:space="preserve">   Racking system</v>
      </c>
      <c r="C8" s="275">
        <f>1-E8-L8-M8</f>
        <v>0.40423728813559323</v>
      </c>
      <c r="D8" s="64">
        <f>SUM(E8:AG8)</f>
        <v>1.0000000000000002</v>
      </c>
      <c r="E8" s="4">
        <v>0.42372881355932207</v>
      </c>
      <c r="J8" s="22">
        <v>0</v>
      </c>
      <c r="K8" s="22">
        <v>0</v>
      </c>
      <c r="L8" s="4">
        <v>7.3728813559322037E-2</v>
      </c>
      <c r="M8" s="4">
        <v>9.8305084745762716E-2</v>
      </c>
      <c r="N8" s="4">
        <v>0.14745762711864407</v>
      </c>
      <c r="O8" s="4">
        <v>0.1228813559322034</v>
      </c>
      <c r="P8" s="4">
        <v>4.9152542372881358E-2</v>
      </c>
      <c r="Q8" s="4">
        <f>5%/1.18</f>
        <v>4.2372881355932208E-2</v>
      </c>
      <c r="R8" s="4">
        <f>5%/1.18</f>
        <v>4.2372881355932208E-2</v>
      </c>
      <c r="T8" s="5"/>
      <c r="AP8" s="51">
        <f t="shared" ref="AP8:AP15" si="3">AQ8/$AQ$38</f>
        <v>0.42372881355932202</v>
      </c>
      <c r="AQ8" s="279">
        <v>153000000</v>
      </c>
      <c r="AR8" s="276" t="s">
        <v>497</v>
      </c>
      <c r="AS8" s="277"/>
      <c r="BB8">
        <f t="shared" si="2"/>
        <v>7</v>
      </c>
      <c r="BC8" t="s">
        <v>91</v>
      </c>
      <c r="BD8" t="s">
        <v>99</v>
      </c>
    </row>
    <row r="9" spans="1:56" ht="16.2" thickBot="1" x14ac:dyDescent="0.35">
      <c r="A9" s="51"/>
      <c r="B9" s="55" t="str">
        <f>'Project Cost Details'!B5</f>
        <v xml:space="preserve">   Cladding for high bay</v>
      </c>
      <c r="C9" s="265"/>
      <c r="D9" s="64">
        <f t="shared" ref="D9:D36" si="4">SUM(E9:AG9)</f>
        <v>1</v>
      </c>
      <c r="E9" s="4">
        <v>0.42372881355932202</v>
      </c>
      <c r="J9" s="22">
        <v>0</v>
      </c>
      <c r="K9" s="22">
        <v>0</v>
      </c>
      <c r="L9" s="4">
        <v>7.3728813559322037E-2</v>
      </c>
      <c r="M9" s="4">
        <v>9.8305084745762716E-2</v>
      </c>
      <c r="N9" s="4">
        <v>0.14745762711864407</v>
      </c>
      <c r="O9" s="4">
        <v>0.1228813559322034</v>
      </c>
      <c r="P9" s="4">
        <v>4.9152542372881358E-2</v>
      </c>
      <c r="Q9" s="4">
        <f t="shared" ref="Q9:R14" si="5">5%/1.18</f>
        <v>4.2372881355932208E-2</v>
      </c>
      <c r="R9" s="4">
        <f t="shared" si="5"/>
        <v>4.2372881355932208E-2</v>
      </c>
      <c r="AP9" s="51">
        <f t="shared" si="3"/>
        <v>7.3728813559322037E-2</v>
      </c>
      <c r="AQ9" s="279">
        <v>26622000</v>
      </c>
      <c r="AR9" s="278">
        <v>45778</v>
      </c>
      <c r="AS9" s="277"/>
      <c r="BB9">
        <f t="shared" si="2"/>
        <v>8</v>
      </c>
      <c r="BC9" t="s">
        <v>92</v>
      </c>
      <c r="BD9" t="s">
        <v>99</v>
      </c>
    </row>
    <row r="10" spans="1:56" x14ac:dyDescent="0.3">
      <c r="A10" s="51"/>
      <c r="B10" s="55" t="str">
        <f>'Project Cost Details'!B6</f>
        <v xml:space="preserve">   Double deep Stacker crane</v>
      </c>
      <c r="C10" s="265"/>
      <c r="D10" s="64">
        <f t="shared" si="4"/>
        <v>1</v>
      </c>
      <c r="E10" s="4">
        <v>0.42372881355932202</v>
      </c>
      <c r="J10" s="22">
        <v>0</v>
      </c>
      <c r="K10" s="22">
        <v>0</v>
      </c>
      <c r="L10" s="4">
        <v>7.3728813559322037E-2</v>
      </c>
      <c r="M10" s="4">
        <v>9.8305084745762716E-2</v>
      </c>
      <c r="N10" s="4">
        <v>0.14745762711864407</v>
      </c>
      <c r="O10" s="4">
        <v>0.1228813559322034</v>
      </c>
      <c r="P10" s="4">
        <v>4.9152542372881358E-2</v>
      </c>
      <c r="Q10" s="4">
        <f t="shared" si="5"/>
        <v>4.2372881355932208E-2</v>
      </c>
      <c r="R10" s="4">
        <f t="shared" si="5"/>
        <v>4.2372881355932208E-2</v>
      </c>
      <c r="AP10" s="51">
        <f t="shared" si="3"/>
        <v>9.8305084745762716E-2</v>
      </c>
      <c r="AQ10" s="312">
        <v>35496000</v>
      </c>
      <c r="AR10" s="313">
        <v>45809</v>
      </c>
      <c r="AS10" s="277"/>
      <c r="BB10">
        <f t="shared" si="2"/>
        <v>9</v>
      </c>
      <c r="BC10" t="s">
        <v>93</v>
      </c>
      <c r="BD10" t="s">
        <v>99</v>
      </c>
    </row>
    <row r="11" spans="1:56" ht="15" thickBot="1" x14ac:dyDescent="0.35">
      <c r="A11" s="51"/>
      <c r="B11" s="55" t="str">
        <f>'Project Cost Details'!B7</f>
        <v xml:space="preserve">   Bottom Rail with aisle accessories</v>
      </c>
      <c r="C11" s="265"/>
      <c r="D11" s="64">
        <f t="shared" si="4"/>
        <v>1.0000000000000002</v>
      </c>
      <c r="E11" s="4">
        <v>0.42372881355932207</v>
      </c>
      <c r="J11" s="22">
        <v>0</v>
      </c>
      <c r="K11" s="22">
        <v>0</v>
      </c>
      <c r="L11" s="4">
        <v>7.3728813559322037E-2</v>
      </c>
      <c r="M11" s="4">
        <v>9.8305084745762716E-2</v>
      </c>
      <c r="N11" s="4">
        <v>0.14745762711864407</v>
      </c>
      <c r="O11" s="4">
        <v>0.1228813559322034</v>
      </c>
      <c r="P11" s="4">
        <v>4.9152542372881358E-2</v>
      </c>
      <c r="Q11" s="4">
        <f t="shared" si="5"/>
        <v>4.2372881355932208E-2</v>
      </c>
      <c r="R11" s="4">
        <f t="shared" si="5"/>
        <v>4.2372881355932208E-2</v>
      </c>
      <c r="AP11" s="51">
        <f t="shared" si="3"/>
        <v>0</v>
      </c>
      <c r="AQ11" s="309"/>
      <c r="AR11" s="311"/>
      <c r="AS11" s="277"/>
      <c r="BB11">
        <f t="shared" si="2"/>
        <v>10</v>
      </c>
      <c r="BC11" t="s">
        <v>94</v>
      </c>
      <c r="BD11" t="s">
        <v>100</v>
      </c>
    </row>
    <row r="12" spans="1:56" x14ac:dyDescent="0.3">
      <c r="A12" s="51"/>
      <c r="B12" s="55" t="str">
        <f>'Project Cost Details'!B8</f>
        <v xml:space="preserve">   Conveyor system</v>
      </c>
      <c r="C12" s="265"/>
      <c r="D12" s="64">
        <f t="shared" si="4"/>
        <v>1.0000000000000002</v>
      </c>
      <c r="E12" s="4">
        <v>0.42372881355932207</v>
      </c>
      <c r="J12" s="22">
        <v>0</v>
      </c>
      <c r="K12" s="22">
        <v>0</v>
      </c>
      <c r="L12" s="4">
        <v>7.3728813559322037E-2</v>
      </c>
      <c r="M12" s="4">
        <v>9.8305084745762716E-2</v>
      </c>
      <c r="N12" s="4">
        <v>0.14745762711864407</v>
      </c>
      <c r="O12" s="4">
        <v>0.1228813559322034</v>
      </c>
      <c r="P12" s="4">
        <v>4.9152542372881358E-2</v>
      </c>
      <c r="Q12" s="4">
        <f t="shared" si="5"/>
        <v>4.2372881355932208E-2</v>
      </c>
      <c r="R12" s="4">
        <f t="shared" si="5"/>
        <v>4.2372881355932208E-2</v>
      </c>
      <c r="AP12" s="51">
        <f t="shared" si="3"/>
        <v>0.14745762711864407</v>
      </c>
      <c r="AQ12" s="308">
        <v>53244000</v>
      </c>
      <c r="AR12" s="310">
        <v>45839</v>
      </c>
      <c r="AS12" s="277"/>
      <c r="BB12">
        <f t="shared" si="2"/>
        <v>11</v>
      </c>
      <c r="BC12" t="s">
        <v>95</v>
      </c>
      <c r="BD12" t="s">
        <v>100</v>
      </c>
    </row>
    <row r="13" spans="1:56" x14ac:dyDescent="0.3">
      <c r="A13" s="51"/>
      <c r="B13" s="55" t="str">
        <f>'Project Cost Details'!B9</f>
        <v xml:space="preserve">   Critical spares</v>
      </c>
      <c r="C13" s="265"/>
      <c r="D13" s="64">
        <f t="shared" si="4"/>
        <v>1</v>
      </c>
      <c r="E13" s="4">
        <v>0.42372881355932202</v>
      </c>
      <c r="J13" s="22">
        <v>0</v>
      </c>
      <c r="K13" s="22">
        <v>0</v>
      </c>
      <c r="L13" s="4">
        <v>7.3728813559322037E-2</v>
      </c>
      <c r="M13" s="4">
        <v>9.8305084745762716E-2</v>
      </c>
      <c r="N13" s="4">
        <v>0.14745762711864407</v>
      </c>
      <c r="O13" s="4">
        <v>0.1228813559322034</v>
      </c>
      <c r="P13" s="4">
        <v>4.9152542372881358E-2</v>
      </c>
      <c r="Q13" s="4">
        <f t="shared" si="5"/>
        <v>4.2372881355932208E-2</v>
      </c>
      <c r="R13" s="4">
        <f t="shared" si="5"/>
        <v>4.2372881355932208E-2</v>
      </c>
      <c r="AP13" s="51">
        <f t="shared" si="3"/>
        <v>0</v>
      </c>
      <c r="AQ13" s="314"/>
      <c r="AR13" s="315"/>
      <c r="AS13" s="277"/>
      <c r="BB13">
        <f t="shared" si="2"/>
        <v>12</v>
      </c>
      <c r="BC13" t="s">
        <v>96</v>
      </c>
      <c r="BD13" t="s">
        <v>100</v>
      </c>
    </row>
    <row r="14" spans="1:56" ht="15" thickBot="1" x14ac:dyDescent="0.35">
      <c r="A14" s="51"/>
      <c r="B14" s="55" t="str">
        <f>'Project Cost Details'!B10</f>
        <v xml:space="preserve">   Metal pallets</v>
      </c>
      <c r="C14" s="265"/>
      <c r="D14" s="64">
        <f t="shared" si="4"/>
        <v>1.0000000000000002</v>
      </c>
      <c r="E14" s="4">
        <v>0.42372881355932213</v>
      </c>
      <c r="J14" s="22">
        <v>0</v>
      </c>
      <c r="K14" s="22">
        <v>0</v>
      </c>
      <c r="L14" s="4">
        <v>7.3728813559322037E-2</v>
      </c>
      <c r="M14" s="4">
        <v>9.8305084745762716E-2</v>
      </c>
      <c r="N14" s="4">
        <v>0.14745762711864407</v>
      </c>
      <c r="O14" s="4">
        <v>0.1228813559322034</v>
      </c>
      <c r="P14" s="4">
        <v>4.9152542372881358E-2</v>
      </c>
      <c r="Q14" s="4">
        <f t="shared" si="5"/>
        <v>4.2372881355932208E-2</v>
      </c>
      <c r="R14" s="4">
        <f t="shared" si="5"/>
        <v>4.2372881355932208E-2</v>
      </c>
      <c r="AP14" s="51">
        <f t="shared" si="3"/>
        <v>0</v>
      </c>
      <c r="AQ14" s="309"/>
      <c r="AR14" s="311"/>
      <c r="AS14" s="277"/>
    </row>
    <row r="15" spans="1:56" x14ac:dyDescent="0.3">
      <c r="A15" s="51"/>
      <c r="B15" s="55" t="str">
        <f>'Project Cost Details'!B11</f>
        <v xml:space="preserve">   Discount</v>
      </c>
      <c r="C15" s="265"/>
      <c r="D15" s="64">
        <f t="shared" si="4"/>
        <v>1</v>
      </c>
      <c r="E15" s="4">
        <v>0.42372881355932202</v>
      </c>
      <c r="J15" s="22">
        <v>0</v>
      </c>
      <c r="K15" s="22">
        <v>0</v>
      </c>
      <c r="L15" s="4">
        <v>7.3728813559322037E-2</v>
      </c>
      <c r="M15" s="4">
        <v>9.8305084745762716E-2</v>
      </c>
      <c r="N15" s="4">
        <v>0.14745762711864407</v>
      </c>
      <c r="O15" s="4">
        <v>0.1228813559322034</v>
      </c>
      <c r="P15" s="4">
        <v>4.9152542372881358E-2</v>
      </c>
      <c r="Q15" s="4">
        <f>1-SUM(E15:P15)</f>
        <v>8.4745762711864403E-2</v>
      </c>
      <c r="R15" s="4"/>
      <c r="AP15" s="51">
        <f t="shared" si="3"/>
        <v>0.1228813559322034</v>
      </c>
      <c r="AQ15" s="308">
        <v>44370000</v>
      </c>
      <c r="AR15" s="310">
        <v>45870</v>
      </c>
      <c r="AS15" s="277"/>
    </row>
    <row r="16" spans="1:56" x14ac:dyDescent="0.3">
      <c r="A16" s="51"/>
      <c r="B16" s="60" t="str">
        <f>'Project Cost Details'!B12</f>
        <v>Civil Cost</v>
      </c>
      <c r="C16" s="265"/>
      <c r="D16" s="64"/>
      <c r="E16" s="4"/>
      <c r="J16" s="22"/>
      <c r="K16" s="22"/>
      <c r="L16" s="4"/>
      <c r="M16" s="4"/>
      <c r="N16" s="4"/>
      <c r="O16" s="4"/>
      <c r="P16" s="4"/>
      <c r="Q16" s="4"/>
      <c r="R16" s="4"/>
      <c r="AP16" s="51"/>
      <c r="AQ16" s="314"/>
      <c r="AR16" s="315"/>
      <c r="AS16" s="277"/>
    </row>
    <row r="17" spans="1:45" x14ac:dyDescent="0.3">
      <c r="A17" s="51"/>
      <c r="B17" s="281" t="str">
        <f>'Project Cost Details'!B13</f>
        <v>Earthworks and soiling</v>
      </c>
      <c r="C17" s="265"/>
      <c r="D17" s="64">
        <f t="shared" si="4"/>
        <v>0.99999999999999989</v>
      </c>
      <c r="E17" s="4"/>
      <c r="J17" s="22"/>
      <c r="K17" s="22">
        <f>30%</f>
        <v>0.3</v>
      </c>
      <c r="L17" s="4">
        <v>0.6</v>
      </c>
      <c r="M17" s="4">
        <v>0.1</v>
      </c>
      <c r="N17" s="4"/>
      <c r="O17" s="4"/>
      <c r="P17" s="4"/>
      <c r="Q17" s="4"/>
      <c r="R17" s="4"/>
      <c r="AP17" s="51"/>
      <c r="AQ17" s="314"/>
      <c r="AR17" s="315"/>
      <c r="AS17" s="277"/>
    </row>
    <row r="18" spans="1:45" x14ac:dyDescent="0.3">
      <c r="A18" s="51"/>
      <c r="B18" s="281" t="str">
        <f>'Project Cost Details'!B14</f>
        <v>PCC works</v>
      </c>
      <c r="C18" s="265"/>
      <c r="D18" s="64">
        <f t="shared" si="4"/>
        <v>0.99999999999999989</v>
      </c>
      <c r="E18" s="4"/>
      <c r="J18" s="22"/>
      <c r="K18" s="22">
        <f>30%</f>
        <v>0.3</v>
      </c>
      <c r="L18" s="4">
        <v>0.6</v>
      </c>
      <c r="M18" s="4">
        <v>0.1</v>
      </c>
      <c r="N18" s="4"/>
      <c r="O18" s="4"/>
      <c r="P18" s="4"/>
      <c r="Q18" s="4"/>
      <c r="R18" s="4"/>
      <c r="AP18" s="51"/>
      <c r="AQ18" s="314"/>
      <c r="AR18" s="315"/>
      <c r="AS18" s="277"/>
    </row>
    <row r="19" spans="1:45" x14ac:dyDescent="0.3">
      <c r="A19" s="51"/>
      <c r="B19" s="281" t="str">
        <f>'Project Cost Details'!B15</f>
        <v>RCC works</v>
      </c>
      <c r="C19" s="265"/>
      <c r="D19" s="64">
        <f t="shared" si="4"/>
        <v>0.99999999999999989</v>
      </c>
      <c r="E19" s="4"/>
      <c r="J19" s="22"/>
      <c r="K19" s="22">
        <f>30%</f>
        <v>0.3</v>
      </c>
      <c r="L19" s="4">
        <v>0.6</v>
      </c>
      <c r="M19" s="4">
        <v>0.1</v>
      </c>
      <c r="N19" s="4"/>
      <c r="O19" s="4"/>
      <c r="P19" s="4"/>
      <c r="Q19" s="4"/>
      <c r="R19" s="4"/>
      <c r="AP19" s="51"/>
      <c r="AQ19" s="314"/>
      <c r="AR19" s="315"/>
      <c r="AS19" s="277"/>
    </row>
    <row r="20" spans="1:45" x14ac:dyDescent="0.3">
      <c r="A20" s="51"/>
      <c r="B20" s="281" t="str">
        <f>'Project Cost Details'!B16</f>
        <v>Shuttering</v>
      </c>
      <c r="C20" s="265"/>
      <c r="D20" s="64">
        <f t="shared" si="4"/>
        <v>0.99999999999999989</v>
      </c>
      <c r="E20" s="4"/>
      <c r="J20" s="22"/>
      <c r="K20" s="22">
        <f>30%</f>
        <v>0.3</v>
      </c>
      <c r="L20" s="4">
        <v>0.6</v>
      </c>
      <c r="M20" s="4">
        <v>0.1</v>
      </c>
      <c r="N20" s="4"/>
      <c r="O20" s="4"/>
      <c r="P20" s="4"/>
      <c r="Q20" s="4"/>
      <c r="R20" s="4"/>
      <c r="AP20" s="51"/>
      <c r="AQ20" s="314"/>
      <c r="AR20" s="315"/>
      <c r="AS20" s="277"/>
    </row>
    <row r="21" spans="1:45" x14ac:dyDescent="0.3">
      <c r="A21" s="51"/>
      <c r="B21" s="281" t="str">
        <f>'Project Cost Details'!B17</f>
        <v>TMT bards Fe 500</v>
      </c>
      <c r="C21" s="265"/>
      <c r="D21" s="64">
        <f t="shared" si="4"/>
        <v>0.99999999999999989</v>
      </c>
      <c r="E21" s="4"/>
      <c r="J21" s="22"/>
      <c r="K21" s="22">
        <f>30%</f>
        <v>0.3</v>
      </c>
      <c r="L21" s="4">
        <v>0.6</v>
      </c>
      <c r="M21" s="4">
        <v>0.1</v>
      </c>
      <c r="N21" s="4"/>
      <c r="O21" s="4"/>
      <c r="P21" s="4"/>
      <c r="Q21" s="4"/>
      <c r="R21" s="4"/>
      <c r="AP21" s="51"/>
      <c r="AQ21" s="314"/>
      <c r="AR21" s="315"/>
      <c r="AS21" s="277"/>
    </row>
    <row r="22" spans="1:45" x14ac:dyDescent="0.3">
      <c r="A22" s="51"/>
      <c r="B22" s="281" t="str">
        <f>'Project Cost Details'!B18</f>
        <v>Masonary works</v>
      </c>
      <c r="C22" s="265"/>
      <c r="D22" s="64">
        <f t="shared" si="4"/>
        <v>0.99999999999999989</v>
      </c>
      <c r="E22" s="4"/>
      <c r="J22" s="22"/>
      <c r="K22" s="22">
        <f>30%</f>
        <v>0.3</v>
      </c>
      <c r="L22" s="4">
        <v>0.6</v>
      </c>
      <c r="M22" s="4">
        <v>0.1</v>
      </c>
      <c r="N22" s="4"/>
      <c r="O22" s="4"/>
      <c r="P22" s="4"/>
      <c r="Q22" s="4"/>
      <c r="R22" s="4"/>
      <c r="AP22" s="51"/>
      <c r="AQ22" s="314"/>
      <c r="AR22" s="315"/>
      <c r="AS22" s="277"/>
    </row>
    <row r="23" spans="1:45" x14ac:dyDescent="0.3">
      <c r="A23" s="51"/>
      <c r="B23" s="281" t="str">
        <f>'Project Cost Details'!B19</f>
        <v>Plastering</v>
      </c>
      <c r="C23" s="265"/>
      <c r="D23" s="64">
        <f t="shared" si="4"/>
        <v>0.99999999999999989</v>
      </c>
      <c r="E23" s="4"/>
      <c r="J23" s="22"/>
      <c r="K23" s="22">
        <f>30%</f>
        <v>0.3</v>
      </c>
      <c r="L23" s="4">
        <v>0.6</v>
      </c>
      <c r="M23" s="4">
        <v>0.1</v>
      </c>
      <c r="N23" s="4"/>
      <c r="O23" s="4"/>
      <c r="P23" s="4"/>
      <c r="Q23" s="4"/>
      <c r="R23" s="4"/>
      <c r="AP23" s="51"/>
      <c r="AQ23" s="314"/>
      <c r="AR23" s="315"/>
      <c r="AS23" s="277"/>
    </row>
    <row r="24" spans="1:45" x14ac:dyDescent="0.3">
      <c r="A24" s="51"/>
      <c r="B24" s="281" t="str">
        <f>'Project Cost Details'!B20</f>
        <v>VDF Flooring</v>
      </c>
      <c r="C24" s="265"/>
      <c r="D24" s="64">
        <f t="shared" si="4"/>
        <v>0.99999999999999989</v>
      </c>
      <c r="E24" s="4"/>
      <c r="J24" s="22"/>
      <c r="K24" s="22">
        <f>30%</f>
        <v>0.3</v>
      </c>
      <c r="L24" s="4">
        <v>0.6</v>
      </c>
      <c r="M24" s="4">
        <v>0.1</v>
      </c>
      <c r="N24" s="4"/>
      <c r="O24" s="4"/>
      <c r="P24" s="4"/>
      <c r="Q24" s="4"/>
      <c r="R24" s="4"/>
      <c r="AP24" s="51"/>
      <c r="AQ24" s="314"/>
      <c r="AR24" s="315"/>
      <c r="AS24" s="277"/>
    </row>
    <row r="25" spans="1:45" x14ac:dyDescent="0.3">
      <c r="A25" s="51"/>
      <c r="B25" s="281" t="str">
        <f>'Project Cost Details'!B21</f>
        <v>J BOLTS installation</v>
      </c>
      <c r="C25" s="265"/>
      <c r="D25" s="64">
        <f t="shared" si="4"/>
        <v>0.99999999999999989</v>
      </c>
      <c r="E25" s="4"/>
      <c r="J25" s="22"/>
      <c r="K25" s="22">
        <f>30%</f>
        <v>0.3</v>
      </c>
      <c r="L25" s="4">
        <v>0.6</v>
      </c>
      <c r="M25" s="4">
        <v>0.1</v>
      </c>
      <c r="N25" s="4"/>
      <c r="O25" s="4"/>
      <c r="P25" s="4"/>
      <c r="Q25" s="4"/>
      <c r="R25" s="4"/>
      <c r="AP25" s="51"/>
      <c r="AQ25" s="314"/>
      <c r="AR25" s="315"/>
      <c r="AS25" s="277"/>
    </row>
    <row r="26" spans="1:45" x14ac:dyDescent="0.3">
      <c r="A26" s="51"/>
      <c r="B26" s="281" t="str">
        <f>'Project Cost Details'!B22</f>
        <v>Baseplate Grouting</v>
      </c>
      <c r="C26" s="265"/>
      <c r="D26" s="64">
        <f t="shared" si="4"/>
        <v>0.99999999999999989</v>
      </c>
      <c r="E26" s="4"/>
      <c r="J26" s="22"/>
      <c r="K26" s="22">
        <f>30%</f>
        <v>0.3</v>
      </c>
      <c r="L26" s="4">
        <v>0.6</v>
      </c>
      <c r="M26" s="4">
        <v>0.1</v>
      </c>
      <c r="N26" s="4"/>
      <c r="O26" s="4"/>
      <c r="P26" s="4"/>
      <c r="Q26" s="4"/>
      <c r="R26" s="4"/>
      <c r="AP26" s="51"/>
      <c r="AQ26" s="314"/>
      <c r="AR26" s="315"/>
      <c r="AS26" s="277"/>
    </row>
    <row r="27" spans="1:45" x14ac:dyDescent="0.3">
      <c r="A27" s="51"/>
      <c r="B27" s="281" t="str">
        <f>'Project Cost Details'!B23</f>
        <v>Miscellenous</v>
      </c>
      <c r="C27" s="265"/>
      <c r="D27" s="64">
        <f t="shared" si="4"/>
        <v>0.99999999999999989</v>
      </c>
      <c r="E27" s="4"/>
      <c r="J27" s="22"/>
      <c r="K27" s="22">
        <f>30%</f>
        <v>0.3</v>
      </c>
      <c r="L27" s="4">
        <v>0.6</v>
      </c>
      <c r="M27" s="4">
        <v>0.1</v>
      </c>
      <c r="N27" s="4"/>
      <c r="O27" s="4"/>
      <c r="P27" s="4"/>
      <c r="Q27" s="4"/>
      <c r="R27" s="4"/>
      <c r="AP27" s="51"/>
      <c r="AQ27" s="314"/>
      <c r="AR27" s="315"/>
      <c r="AS27" s="277"/>
    </row>
    <row r="28" spans="1:45" x14ac:dyDescent="0.3">
      <c r="A28" s="51"/>
      <c r="B28" s="60" t="str">
        <f>'Project Cost Details'!B24</f>
        <v>Road</v>
      </c>
      <c r="C28" s="265"/>
      <c r="D28" s="64">
        <f t="shared" si="4"/>
        <v>0.99999999999999989</v>
      </c>
      <c r="E28" s="4"/>
      <c r="J28" s="22"/>
      <c r="K28" s="22"/>
      <c r="L28" s="4"/>
      <c r="M28" s="4">
        <v>0.1</v>
      </c>
      <c r="N28" s="4">
        <v>0.2</v>
      </c>
      <c r="O28" s="4">
        <v>0.2</v>
      </c>
      <c r="P28" s="4">
        <v>0.2</v>
      </c>
      <c r="Q28" s="4">
        <v>0.2</v>
      </c>
      <c r="R28" s="4">
        <v>0.1</v>
      </c>
      <c r="AP28" s="51"/>
      <c r="AQ28" s="314"/>
      <c r="AR28" s="315"/>
      <c r="AS28" s="277"/>
    </row>
    <row r="29" spans="1:45" x14ac:dyDescent="0.3">
      <c r="A29" s="51"/>
      <c r="B29" s="60" t="str">
        <f>'Project Cost Details'!B25</f>
        <v>Electrical</v>
      </c>
      <c r="C29" s="265"/>
      <c r="D29" s="64">
        <f t="shared" si="4"/>
        <v>0</v>
      </c>
      <c r="E29" s="4"/>
      <c r="J29" s="22"/>
      <c r="K29" s="22"/>
      <c r="L29" s="4"/>
      <c r="M29" s="4"/>
      <c r="N29" s="4"/>
      <c r="O29" s="4"/>
      <c r="P29" s="4"/>
      <c r="Q29" s="4"/>
      <c r="R29" s="4"/>
      <c r="AP29" s="51"/>
      <c r="AQ29" s="314"/>
      <c r="AR29" s="315"/>
      <c r="AS29" s="277"/>
    </row>
    <row r="30" spans="1:45" x14ac:dyDescent="0.3">
      <c r="A30" s="51"/>
      <c r="B30" s="60" t="str">
        <f>'Project Cost Details'!B26</f>
        <v>CDA</v>
      </c>
      <c r="C30" s="265"/>
      <c r="D30" s="64">
        <f t="shared" si="4"/>
        <v>0</v>
      </c>
      <c r="E30" s="4"/>
      <c r="J30" s="22"/>
      <c r="K30" s="22"/>
      <c r="L30" s="4"/>
      <c r="M30" s="4"/>
      <c r="N30" s="4"/>
      <c r="O30" s="4"/>
      <c r="P30" s="4"/>
      <c r="Q30" s="4"/>
      <c r="R30" s="4"/>
      <c r="AP30" s="51"/>
      <c r="AQ30" s="314"/>
      <c r="AR30" s="315"/>
      <c r="AS30" s="277"/>
    </row>
    <row r="31" spans="1:45" x14ac:dyDescent="0.3">
      <c r="A31" s="51"/>
      <c r="B31" s="60" t="str">
        <f>'Project Cost Details'!B27</f>
        <v>FHS and FAS for the ASRS</v>
      </c>
      <c r="C31" s="265"/>
      <c r="D31" s="64">
        <f t="shared" si="4"/>
        <v>0</v>
      </c>
      <c r="E31" s="4"/>
      <c r="J31" s="22"/>
      <c r="K31" s="22"/>
      <c r="L31" s="4"/>
      <c r="M31" s="4"/>
      <c r="N31" s="4"/>
      <c r="O31" s="4"/>
      <c r="P31" s="4"/>
      <c r="Q31" s="4"/>
      <c r="R31" s="4"/>
      <c r="AP31" s="51"/>
      <c r="AQ31" s="314"/>
      <c r="AR31" s="315"/>
      <c r="AS31" s="277"/>
    </row>
    <row r="32" spans="1:45" x14ac:dyDescent="0.3">
      <c r="B32" s="60" t="str">
        <f>'Project Cost Details'!B28</f>
        <v>Dock levellers</v>
      </c>
      <c r="C32" s="64"/>
      <c r="D32" s="64">
        <f t="shared" si="4"/>
        <v>1</v>
      </c>
      <c r="I32" s="22">
        <v>0.6</v>
      </c>
      <c r="J32" s="22">
        <v>0.2</v>
      </c>
      <c r="L32" s="22">
        <v>0.1</v>
      </c>
      <c r="M32" s="22">
        <v>0.1</v>
      </c>
      <c r="O32" s="4"/>
      <c r="P32" s="22"/>
      <c r="Q32" s="4">
        <v>0</v>
      </c>
      <c r="R32" s="4">
        <v>0</v>
      </c>
      <c r="AP32" s="51">
        <f t="shared" ref="AP32:AP37" si="6">AQ32/$AQ$38</f>
        <v>0</v>
      </c>
      <c r="AQ32" s="314"/>
      <c r="AR32" s="315"/>
      <c r="AS32" s="277"/>
    </row>
    <row r="33" spans="2:45" ht="15" thickBot="1" x14ac:dyDescent="0.35">
      <c r="B33" s="60" t="str">
        <f>'Project Cost Details'!B29</f>
        <v>Contingency</v>
      </c>
      <c r="C33" s="64"/>
      <c r="D33" s="64">
        <f t="shared" si="4"/>
        <v>1</v>
      </c>
      <c r="J33" s="22">
        <v>0.5</v>
      </c>
      <c r="R33" s="22">
        <v>0.5</v>
      </c>
      <c r="AP33" s="51">
        <f t="shared" si="6"/>
        <v>0</v>
      </c>
      <c r="AQ33" s="309"/>
      <c r="AR33" s="311"/>
      <c r="AS33" s="277"/>
    </row>
    <row r="34" spans="2:45" x14ac:dyDescent="0.3">
      <c r="B34" s="60" t="str">
        <f>'Project Cost Details'!B30</f>
        <v>Pre - operating expenses</v>
      </c>
      <c r="C34" s="64"/>
      <c r="D34" s="64">
        <f t="shared" si="4"/>
        <v>0.99999999999999967</v>
      </c>
      <c r="E34" s="5">
        <f>1/Inputs!$G$4</f>
        <v>7.1428571428571425E-2</v>
      </c>
      <c r="F34" s="5">
        <f>1/Inputs!$G$4</f>
        <v>7.1428571428571425E-2</v>
      </c>
      <c r="G34" s="5">
        <f>1/Inputs!$G$4</f>
        <v>7.1428571428571425E-2</v>
      </c>
      <c r="H34" s="5">
        <f>1/Inputs!$G$4</f>
        <v>7.1428571428571425E-2</v>
      </c>
      <c r="I34" s="5">
        <f>1/Inputs!$G$4</f>
        <v>7.1428571428571425E-2</v>
      </c>
      <c r="J34" s="5">
        <f>1/Inputs!$G$4</f>
        <v>7.1428571428571425E-2</v>
      </c>
      <c r="K34" s="5">
        <f>1/Inputs!$G$4</f>
        <v>7.1428571428571425E-2</v>
      </c>
      <c r="L34" s="5">
        <f>1/Inputs!$G$4</f>
        <v>7.1428571428571425E-2</v>
      </c>
      <c r="M34" s="5">
        <f>1/Inputs!$G$4</f>
        <v>7.1428571428571425E-2</v>
      </c>
      <c r="N34" s="5">
        <f>1/Inputs!$G$4</f>
        <v>7.1428571428571425E-2</v>
      </c>
      <c r="O34" s="5">
        <f>1/Inputs!$G$4</f>
        <v>7.1428571428571425E-2</v>
      </c>
      <c r="P34" s="5">
        <f>1/Inputs!$G$4</f>
        <v>7.1428571428571425E-2</v>
      </c>
      <c r="Q34" s="5">
        <f>1/Inputs!$G$4</f>
        <v>7.1428571428571425E-2</v>
      </c>
      <c r="R34" s="5">
        <f>1/Inputs!$G$4</f>
        <v>7.1428571428571425E-2</v>
      </c>
      <c r="AP34" s="51">
        <f t="shared" si="6"/>
        <v>4.9152542372881358E-2</v>
      </c>
      <c r="AQ34" s="308">
        <v>17748000</v>
      </c>
      <c r="AR34" s="310">
        <v>45901</v>
      </c>
      <c r="AS34" s="277"/>
    </row>
    <row r="35" spans="2:45" ht="15" thickBot="1" x14ac:dyDescent="0.35">
      <c r="B35" s="60" t="str">
        <f>'Project Cost Details'!B31</f>
        <v>IDC</v>
      </c>
      <c r="C35" s="64"/>
      <c r="D35" s="64">
        <f t="shared" si="4"/>
        <v>0.99999999999999967</v>
      </c>
      <c r="E35" s="5">
        <f>1/Inputs!$G$4</f>
        <v>7.1428571428571425E-2</v>
      </c>
      <c r="F35" s="5">
        <f>1/Inputs!$G$4</f>
        <v>7.1428571428571425E-2</v>
      </c>
      <c r="G35" s="5">
        <f>1/Inputs!$G$4</f>
        <v>7.1428571428571425E-2</v>
      </c>
      <c r="H35" s="5">
        <f>1/Inputs!$G$4</f>
        <v>7.1428571428571425E-2</v>
      </c>
      <c r="I35" s="5">
        <f>1/Inputs!$G$4</f>
        <v>7.1428571428571425E-2</v>
      </c>
      <c r="J35" s="5">
        <f>1/Inputs!$G$4</f>
        <v>7.1428571428571425E-2</v>
      </c>
      <c r="K35" s="5">
        <f>1/Inputs!$G$4</f>
        <v>7.1428571428571425E-2</v>
      </c>
      <c r="L35" s="5">
        <f>1/Inputs!$G$4</f>
        <v>7.1428571428571425E-2</v>
      </c>
      <c r="M35" s="5">
        <f>1/Inputs!$G$4</f>
        <v>7.1428571428571425E-2</v>
      </c>
      <c r="N35" s="5">
        <f>1/Inputs!$G$4</f>
        <v>7.1428571428571425E-2</v>
      </c>
      <c r="O35" s="5">
        <f>1/Inputs!$G$4</f>
        <v>7.1428571428571425E-2</v>
      </c>
      <c r="P35" s="5">
        <f>1/Inputs!$G$4</f>
        <v>7.1428571428571425E-2</v>
      </c>
      <c r="Q35" s="5">
        <f>1/Inputs!$G$4</f>
        <v>7.1428571428571425E-2</v>
      </c>
      <c r="R35" s="5">
        <f>1/Inputs!$G$4</f>
        <v>7.1428571428571425E-2</v>
      </c>
      <c r="AP35" s="51">
        <f t="shared" si="6"/>
        <v>0</v>
      </c>
      <c r="AQ35" s="309"/>
      <c r="AR35" s="311"/>
      <c r="AS35" s="277"/>
    </row>
    <row r="36" spans="2:45" ht="16.2" thickBot="1" x14ac:dyDescent="0.35">
      <c r="B36" s="60" t="str">
        <f>'Project Cost Details'!B32</f>
        <v>Finance cost</v>
      </c>
      <c r="C36" s="64"/>
      <c r="D36" s="64">
        <f t="shared" si="4"/>
        <v>0.99999999999999967</v>
      </c>
      <c r="E36" s="5">
        <f>1/Inputs!$G$4</f>
        <v>7.1428571428571425E-2</v>
      </c>
      <c r="F36" s="5">
        <f>1/Inputs!$G$4</f>
        <v>7.1428571428571425E-2</v>
      </c>
      <c r="G36" s="5">
        <f>1/Inputs!$G$4</f>
        <v>7.1428571428571425E-2</v>
      </c>
      <c r="H36" s="5">
        <f>1/Inputs!$G$4</f>
        <v>7.1428571428571425E-2</v>
      </c>
      <c r="I36" s="5">
        <f>1/Inputs!$G$4</f>
        <v>7.1428571428571425E-2</v>
      </c>
      <c r="J36" s="5">
        <f>1/Inputs!$G$4</f>
        <v>7.1428571428571425E-2</v>
      </c>
      <c r="K36" s="5">
        <f>1/Inputs!$G$4</f>
        <v>7.1428571428571425E-2</v>
      </c>
      <c r="L36" s="5">
        <f>1/Inputs!$G$4</f>
        <v>7.1428571428571425E-2</v>
      </c>
      <c r="M36" s="5">
        <f>1/Inputs!$G$4</f>
        <v>7.1428571428571425E-2</v>
      </c>
      <c r="N36" s="5">
        <f>1/Inputs!$G$4</f>
        <v>7.1428571428571425E-2</v>
      </c>
      <c r="O36" s="5">
        <f>1/Inputs!$G$4</f>
        <v>7.1428571428571425E-2</v>
      </c>
      <c r="P36" s="5">
        <f>1/Inputs!$G$4</f>
        <v>7.1428571428571425E-2</v>
      </c>
      <c r="Q36" s="5">
        <f>1/Inputs!$G$4</f>
        <v>7.1428571428571425E-2</v>
      </c>
      <c r="R36" s="5">
        <f>1/Inputs!$G$4</f>
        <v>7.1428571428571425E-2</v>
      </c>
      <c r="AP36" s="51">
        <f t="shared" si="6"/>
        <v>4.2372881355932202E-2</v>
      </c>
      <c r="AQ36" s="279">
        <v>15300000</v>
      </c>
      <c r="AR36" s="278">
        <v>45931</v>
      </c>
      <c r="AS36" s="277"/>
    </row>
    <row r="37" spans="2:45" ht="16.2" thickBot="1" x14ac:dyDescent="0.35">
      <c r="B37" s="7" t="s">
        <v>2</v>
      </c>
      <c r="C37" s="8"/>
      <c r="D37" s="8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48"/>
      <c r="AP37" s="51">
        <f t="shared" si="6"/>
        <v>4.2372881355932202E-2</v>
      </c>
      <c r="AQ37" s="279">
        <v>15300000</v>
      </c>
      <c r="AR37" s="278">
        <v>45962</v>
      </c>
      <c r="AS37" s="277"/>
    </row>
    <row r="38" spans="2:45" x14ac:dyDescent="0.3">
      <c r="K38" s="5"/>
      <c r="AP38" s="22">
        <f>SUM(AP8:AP37)</f>
        <v>1</v>
      </c>
      <c r="AQ38" s="85">
        <f>SUM(AQ8:AQ37)</f>
        <v>361080000</v>
      </c>
    </row>
    <row r="39" spans="2:45" x14ac:dyDescent="0.3">
      <c r="B39" s="60" t="str">
        <f t="shared" ref="B39:B68" si="7">B7</f>
        <v>ASRS</v>
      </c>
      <c r="E39" s="3">
        <f>SUM(E40:E47)</f>
        <v>15.300000000000006</v>
      </c>
      <c r="F39" s="3">
        <f t="shared" ref="F39:R39" si="8">SUM(F40:F47)</f>
        <v>0</v>
      </c>
      <c r="G39" s="3">
        <f t="shared" si="8"/>
        <v>0</v>
      </c>
      <c r="H39" s="3">
        <f t="shared" si="8"/>
        <v>0</v>
      </c>
      <c r="I39" s="3">
        <f t="shared" si="8"/>
        <v>0</v>
      </c>
      <c r="J39" s="3">
        <f t="shared" si="8"/>
        <v>0</v>
      </c>
      <c r="K39" s="3">
        <f t="shared" si="8"/>
        <v>0</v>
      </c>
      <c r="L39" s="3">
        <f t="shared" si="8"/>
        <v>2.6622000000000003</v>
      </c>
      <c r="M39" s="3">
        <f t="shared" si="8"/>
        <v>3.5496000000000003</v>
      </c>
      <c r="N39" s="3">
        <f t="shared" si="8"/>
        <v>5.3244000000000007</v>
      </c>
      <c r="O39" s="3">
        <f t="shared" si="8"/>
        <v>4.4370000000000003</v>
      </c>
      <c r="P39" s="3">
        <f t="shared" si="8"/>
        <v>1.7748000000000002</v>
      </c>
      <c r="Q39" s="3">
        <f t="shared" si="8"/>
        <v>1.5286161600000003</v>
      </c>
      <c r="R39" s="3">
        <f t="shared" si="8"/>
        <v>1.5313838400000004</v>
      </c>
    </row>
    <row r="40" spans="2:45" x14ac:dyDescent="0.3">
      <c r="B40" s="55" t="str">
        <f t="shared" si="7"/>
        <v xml:space="preserve">   Racking system</v>
      </c>
      <c r="C40" s="65">
        <f>'Project Cost Details'!G4/10^7</f>
        <v>15.041930112000001</v>
      </c>
      <c r="D40" s="3">
        <f>SUM(E40:AG40)</f>
        <v>15.041930112000001</v>
      </c>
      <c r="E40" s="3">
        <f t="shared" ref="E40:E47" si="9">$C40*E8</f>
        <v>6.3736992000000008</v>
      </c>
      <c r="F40" s="3">
        <f t="shared" ref="F40:AG40" si="10">$C40*F8</f>
        <v>0</v>
      </c>
      <c r="G40" s="3">
        <f t="shared" si="10"/>
        <v>0</v>
      </c>
      <c r="H40" s="3">
        <f t="shared" si="10"/>
        <v>0</v>
      </c>
      <c r="I40" s="3">
        <f t="shared" si="10"/>
        <v>0</v>
      </c>
      <c r="J40" s="3">
        <f t="shared" si="10"/>
        <v>0</v>
      </c>
      <c r="K40" s="3">
        <f t="shared" si="10"/>
        <v>0</v>
      </c>
      <c r="L40" s="3">
        <f t="shared" si="10"/>
        <v>1.1090236608000001</v>
      </c>
      <c r="M40" s="3">
        <f t="shared" si="10"/>
        <v>1.4786982144000003</v>
      </c>
      <c r="N40" s="3">
        <f t="shared" si="10"/>
        <v>2.2180473216000003</v>
      </c>
      <c r="O40" s="3">
        <f t="shared" si="10"/>
        <v>1.8483727680000002</v>
      </c>
      <c r="P40" s="3">
        <f t="shared" si="10"/>
        <v>0.73934910720000013</v>
      </c>
      <c r="Q40" s="3">
        <f t="shared" si="10"/>
        <v>0.63736992000000015</v>
      </c>
      <c r="R40" s="3">
        <f t="shared" si="10"/>
        <v>0.63736992000000015</v>
      </c>
      <c r="S40" s="3">
        <f t="shared" si="10"/>
        <v>0</v>
      </c>
      <c r="T40" s="3">
        <f t="shared" si="10"/>
        <v>0</v>
      </c>
      <c r="U40" s="3">
        <f t="shared" si="10"/>
        <v>0</v>
      </c>
      <c r="V40" s="3">
        <f t="shared" si="10"/>
        <v>0</v>
      </c>
      <c r="W40" s="3">
        <f t="shared" si="10"/>
        <v>0</v>
      </c>
      <c r="X40" s="3">
        <f t="shared" si="10"/>
        <v>0</v>
      </c>
      <c r="Y40" s="3">
        <f t="shared" si="10"/>
        <v>0</v>
      </c>
      <c r="Z40" s="3">
        <f t="shared" si="10"/>
        <v>0</v>
      </c>
      <c r="AA40" s="3">
        <f t="shared" si="10"/>
        <v>0</v>
      </c>
      <c r="AB40" s="3">
        <f t="shared" si="10"/>
        <v>0</v>
      </c>
      <c r="AC40" s="3">
        <f t="shared" si="10"/>
        <v>0</v>
      </c>
      <c r="AD40" s="3">
        <f t="shared" si="10"/>
        <v>0</v>
      </c>
      <c r="AE40" s="3">
        <f t="shared" si="10"/>
        <v>0</v>
      </c>
      <c r="AF40" s="3">
        <f t="shared" si="10"/>
        <v>0</v>
      </c>
      <c r="AG40" s="3">
        <f t="shared" si="10"/>
        <v>0</v>
      </c>
    </row>
    <row r="41" spans="2:45" x14ac:dyDescent="0.3">
      <c r="B41" s="55" t="str">
        <f t="shared" si="7"/>
        <v xml:space="preserve">   Cladding for high bay</v>
      </c>
      <c r="C41" s="65">
        <f>'Project Cost Details'!G5/10^7</f>
        <v>1.4159999999999999</v>
      </c>
      <c r="D41" s="3">
        <f t="shared" ref="D41:D68" si="11">SUM(E41:AG41)</f>
        <v>1.4159999999999999</v>
      </c>
      <c r="E41" s="3">
        <f t="shared" si="9"/>
        <v>0.6</v>
      </c>
      <c r="F41" s="3">
        <f t="shared" ref="F41:AG41" si="12">$C41*F9</f>
        <v>0</v>
      </c>
      <c r="G41" s="3">
        <f t="shared" si="12"/>
        <v>0</v>
      </c>
      <c r="H41" s="3">
        <f t="shared" si="12"/>
        <v>0</v>
      </c>
      <c r="I41" s="3">
        <f t="shared" si="12"/>
        <v>0</v>
      </c>
      <c r="J41" s="3">
        <f t="shared" si="12"/>
        <v>0</v>
      </c>
      <c r="K41" s="3">
        <f t="shared" si="12"/>
        <v>0</v>
      </c>
      <c r="L41" s="3">
        <f t="shared" si="12"/>
        <v>0.10439999999999999</v>
      </c>
      <c r="M41" s="3">
        <f t="shared" si="12"/>
        <v>0.13919999999999999</v>
      </c>
      <c r="N41" s="3">
        <f t="shared" si="12"/>
        <v>0.20879999999999999</v>
      </c>
      <c r="O41" s="3">
        <f t="shared" si="12"/>
        <v>0.17399999999999999</v>
      </c>
      <c r="P41" s="3">
        <f t="shared" si="12"/>
        <v>6.9599999999999995E-2</v>
      </c>
      <c r="Q41" s="3">
        <f t="shared" si="12"/>
        <v>6.0000000000000005E-2</v>
      </c>
      <c r="R41" s="3">
        <f t="shared" si="12"/>
        <v>6.0000000000000005E-2</v>
      </c>
      <c r="S41" s="3">
        <f t="shared" si="12"/>
        <v>0</v>
      </c>
      <c r="T41" s="3">
        <f t="shared" si="12"/>
        <v>0</v>
      </c>
      <c r="U41" s="3">
        <f t="shared" si="12"/>
        <v>0</v>
      </c>
      <c r="V41" s="3">
        <f t="shared" si="12"/>
        <v>0</v>
      </c>
      <c r="W41" s="3">
        <f t="shared" si="12"/>
        <v>0</v>
      </c>
      <c r="X41" s="3">
        <f t="shared" si="12"/>
        <v>0</v>
      </c>
      <c r="Y41" s="3">
        <f t="shared" si="12"/>
        <v>0</v>
      </c>
      <c r="Z41" s="3">
        <f t="shared" si="12"/>
        <v>0</v>
      </c>
      <c r="AA41" s="3">
        <f t="shared" si="12"/>
        <v>0</v>
      </c>
      <c r="AB41" s="3">
        <f t="shared" si="12"/>
        <v>0</v>
      </c>
      <c r="AC41" s="3">
        <f t="shared" si="12"/>
        <v>0</v>
      </c>
      <c r="AD41" s="3">
        <f t="shared" si="12"/>
        <v>0</v>
      </c>
      <c r="AE41" s="3">
        <f t="shared" si="12"/>
        <v>0</v>
      </c>
      <c r="AF41" s="3">
        <f t="shared" si="12"/>
        <v>0</v>
      </c>
      <c r="AG41" s="3">
        <f t="shared" si="12"/>
        <v>0</v>
      </c>
    </row>
    <row r="42" spans="2:45" x14ac:dyDescent="0.3">
      <c r="B42" s="55" t="str">
        <f t="shared" si="7"/>
        <v xml:space="preserve">   Double deep Stacker crane</v>
      </c>
      <c r="C42" s="65">
        <f>'Project Cost Details'!G6/10^7</f>
        <v>6.5254000000000003</v>
      </c>
      <c r="D42" s="3">
        <f t="shared" si="11"/>
        <v>6.5254000000000012</v>
      </c>
      <c r="E42" s="3">
        <f t="shared" si="9"/>
        <v>2.7650000000000001</v>
      </c>
      <c r="F42" s="3">
        <f t="shared" ref="F42:AG42" si="13">$C42*F10</f>
        <v>0</v>
      </c>
      <c r="G42" s="3">
        <f t="shared" si="13"/>
        <v>0</v>
      </c>
      <c r="H42" s="3">
        <f t="shared" si="13"/>
        <v>0</v>
      </c>
      <c r="I42" s="3">
        <f t="shared" si="13"/>
        <v>0</v>
      </c>
      <c r="J42" s="3">
        <f t="shared" si="13"/>
        <v>0</v>
      </c>
      <c r="K42" s="3">
        <f t="shared" si="13"/>
        <v>0</v>
      </c>
      <c r="L42" s="3">
        <f t="shared" si="13"/>
        <v>0.48111000000000004</v>
      </c>
      <c r="M42" s="3">
        <f t="shared" si="13"/>
        <v>0.64148000000000005</v>
      </c>
      <c r="N42" s="3">
        <f t="shared" si="13"/>
        <v>0.96222000000000008</v>
      </c>
      <c r="O42" s="3">
        <f t="shared" si="13"/>
        <v>0.80185000000000006</v>
      </c>
      <c r="P42" s="3">
        <f t="shared" si="13"/>
        <v>0.32074000000000003</v>
      </c>
      <c r="Q42" s="3">
        <f t="shared" si="13"/>
        <v>0.27650000000000002</v>
      </c>
      <c r="R42" s="3">
        <f t="shared" si="13"/>
        <v>0.27650000000000002</v>
      </c>
      <c r="S42" s="3">
        <f t="shared" si="13"/>
        <v>0</v>
      </c>
      <c r="T42" s="3">
        <f t="shared" si="13"/>
        <v>0</v>
      </c>
      <c r="U42" s="3">
        <f t="shared" si="13"/>
        <v>0</v>
      </c>
      <c r="V42" s="3">
        <f t="shared" si="13"/>
        <v>0</v>
      </c>
      <c r="W42" s="3">
        <f t="shared" si="13"/>
        <v>0</v>
      </c>
      <c r="X42" s="3">
        <f t="shared" si="13"/>
        <v>0</v>
      </c>
      <c r="Y42" s="3">
        <f t="shared" si="13"/>
        <v>0</v>
      </c>
      <c r="Z42" s="3">
        <f t="shared" si="13"/>
        <v>0</v>
      </c>
      <c r="AA42" s="3">
        <f t="shared" si="13"/>
        <v>0</v>
      </c>
      <c r="AB42" s="3">
        <f t="shared" si="13"/>
        <v>0</v>
      </c>
      <c r="AC42" s="3">
        <f t="shared" si="13"/>
        <v>0</v>
      </c>
      <c r="AD42" s="3">
        <f t="shared" si="13"/>
        <v>0</v>
      </c>
      <c r="AE42" s="3">
        <f t="shared" si="13"/>
        <v>0</v>
      </c>
      <c r="AF42" s="3">
        <f t="shared" si="13"/>
        <v>0</v>
      </c>
      <c r="AG42" s="3">
        <f t="shared" si="13"/>
        <v>0</v>
      </c>
    </row>
    <row r="43" spans="2:45" x14ac:dyDescent="0.3">
      <c r="B43" s="55" t="str">
        <f t="shared" si="7"/>
        <v xml:space="preserve">   Bottom Rail with aisle accessories</v>
      </c>
      <c r="C43" s="65">
        <f>'Project Cost Details'!G7/10^7</f>
        <v>1.5871925120000001</v>
      </c>
      <c r="D43" s="3">
        <f t="shared" si="11"/>
        <v>1.5871925120000001</v>
      </c>
      <c r="E43" s="3">
        <f t="shared" si="9"/>
        <v>0.67253920000000011</v>
      </c>
      <c r="F43" s="3">
        <f t="shared" ref="F43:AG43" si="14">$C43*F11</f>
        <v>0</v>
      </c>
      <c r="G43" s="3">
        <f t="shared" si="14"/>
        <v>0</v>
      </c>
      <c r="H43" s="3">
        <f t="shared" si="14"/>
        <v>0</v>
      </c>
      <c r="I43" s="3">
        <f t="shared" si="14"/>
        <v>0</v>
      </c>
      <c r="J43" s="3">
        <f t="shared" si="14"/>
        <v>0</v>
      </c>
      <c r="K43" s="3">
        <f t="shared" si="14"/>
        <v>0</v>
      </c>
      <c r="L43" s="3">
        <f t="shared" si="14"/>
        <v>0.11702182080000001</v>
      </c>
      <c r="M43" s="3">
        <f t="shared" si="14"/>
        <v>0.15602909440000001</v>
      </c>
      <c r="N43" s="3">
        <f t="shared" si="14"/>
        <v>0.23404364160000002</v>
      </c>
      <c r="O43" s="3">
        <f t="shared" si="14"/>
        <v>0.19503636800000002</v>
      </c>
      <c r="P43" s="3">
        <f t="shared" si="14"/>
        <v>7.8014547200000006E-2</v>
      </c>
      <c r="Q43" s="3">
        <f t="shared" si="14"/>
        <v>6.7253920000000009E-2</v>
      </c>
      <c r="R43" s="3">
        <f t="shared" si="14"/>
        <v>6.7253920000000009E-2</v>
      </c>
      <c r="S43" s="3">
        <f t="shared" si="14"/>
        <v>0</v>
      </c>
      <c r="T43" s="3">
        <f t="shared" si="14"/>
        <v>0</v>
      </c>
      <c r="U43" s="3">
        <f t="shared" si="14"/>
        <v>0</v>
      </c>
      <c r="V43" s="3">
        <f t="shared" si="14"/>
        <v>0</v>
      </c>
      <c r="W43" s="3">
        <f t="shared" si="14"/>
        <v>0</v>
      </c>
      <c r="X43" s="3">
        <f t="shared" si="14"/>
        <v>0</v>
      </c>
      <c r="Y43" s="3">
        <f t="shared" si="14"/>
        <v>0</v>
      </c>
      <c r="Z43" s="3">
        <f t="shared" si="14"/>
        <v>0</v>
      </c>
      <c r="AA43" s="3">
        <f t="shared" si="14"/>
        <v>0</v>
      </c>
      <c r="AB43" s="3">
        <f t="shared" si="14"/>
        <v>0</v>
      </c>
      <c r="AC43" s="3">
        <f t="shared" si="14"/>
        <v>0</v>
      </c>
      <c r="AD43" s="3">
        <f t="shared" si="14"/>
        <v>0</v>
      </c>
      <c r="AE43" s="3">
        <f t="shared" si="14"/>
        <v>0</v>
      </c>
      <c r="AF43" s="3">
        <f t="shared" si="14"/>
        <v>0</v>
      </c>
      <c r="AG43" s="3">
        <f t="shared" si="14"/>
        <v>0</v>
      </c>
    </row>
    <row r="44" spans="2:45" x14ac:dyDescent="0.3">
      <c r="B44" s="55" t="str">
        <f t="shared" si="7"/>
        <v xml:space="preserve">   Conveyor system</v>
      </c>
      <c r="C44" s="65">
        <f>'Project Cost Details'!G8/10^7</f>
        <v>1.7582</v>
      </c>
      <c r="D44" s="3">
        <f t="shared" si="11"/>
        <v>1.7582000000000002</v>
      </c>
      <c r="E44" s="3">
        <f t="shared" si="9"/>
        <v>0.74500000000000011</v>
      </c>
      <c r="F44" s="3">
        <f t="shared" ref="F44:AG44" si="15">$C44*F12</f>
        <v>0</v>
      </c>
      <c r="G44" s="3">
        <f t="shared" si="15"/>
        <v>0</v>
      </c>
      <c r="H44" s="3">
        <f t="shared" si="15"/>
        <v>0</v>
      </c>
      <c r="I44" s="3">
        <f t="shared" si="15"/>
        <v>0</v>
      </c>
      <c r="J44" s="3">
        <f t="shared" si="15"/>
        <v>0</v>
      </c>
      <c r="K44" s="3">
        <f t="shared" si="15"/>
        <v>0</v>
      </c>
      <c r="L44" s="3">
        <f t="shared" si="15"/>
        <v>0.12963</v>
      </c>
      <c r="M44" s="3">
        <f t="shared" si="15"/>
        <v>0.17283999999999999</v>
      </c>
      <c r="N44" s="3">
        <f t="shared" si="15"/>
        <v>0.25925999999999999</v>
      </c>
      <c r="O44" s="3">
        <f t="shared" si="15"/>
        <v>0.21605000000000002</v>
      </c>
      <c r="P44" s="3">
        <f t="shared" si="15"/>
        <v>8.6419999999999997E-2</v>
      </c>
      <c r="Q44" s="3">
        <f t="shared" si="15"/>
        <v>7.4500000000000011E-2</v>
      </c>
      <c r="R44" s="3">
        <f t="shared" si="15"/>
        <v>7.4500000000000011E-2</v>
      </c>
      <c r="S44" s="3">
        <f t="shared" si="15"/>
        <v>0</v>
      </c>
      <c r="T44" s="3">
        <f t="shared" si="15"/>
        <v>0</v>
      </c>
      <c r="U44" s="3">
        <f t="shared" si="15"/>
        <v>0</v>
      </c>
      <c r="V44" s="3">
        <f t="shared" si="15"/>
        <v>0</v>
      </c>
      <c r="W44" s="3">
        <f t="shared" si="15"/>
        <v>0</v>
      </c>
      <c r="X44" s="3">
        <f t="shared" si="15"/>
        <v>0</v>
      </c>
      <c r="Y44" s="3">
        <f t="shared" si="15"/>
        <v>0</v>
      </c>
      <c r="Z44" s="3">
        <f t="shared" si="15"/>
        <v>0</v>
      </c>
      <c r="AA44" s="3">
        <f t="shared" si="15"/>
        <v>0</v>
      </c>
      <c r="AB44" s="3">
        <f t="shared" si="15"/>
        <v>0</v>
      </c>
      <c r="AC44" s="3">
        <f t="shared" si="15"/>
        <v>0</v>
      </c>
      <c r="AD44" s="3">
        <f t="shared" si="15"/>
        <v>0</v>
      </c>
      <c r="AE44" s="3">
        <f t="shared" si="15"/>
        <v>0</v>
      </c>
      <c r="AF44" s="3">
        <f t="shared" si="15"/>
        <v>0</v>
      </c>
      <c r="AG44" s="3">
        <f t="shared" si="15"/>
        <v>0</v>
      </c>
    </row>
    <row r="45" spans="2:45" x14ac:dyDescent="0.3">
      <c r="B45" s="55" t="str">
        <f t="shared" si="7"/>
        <v xml:space="preserve">   Critical spares</v>
      </c>
      <c r="C45" s="65">
        <f>'Project Cost Details'!G9/10^7</f>
        <v>0.33040000000000003</v>
      </c>
      <c r="D45" s="3">
        <f t="shared" si="11"/>
        <v>0.33040000000000003</v>
      </c>
      <c r="E45" s="3">
        <f t="shared" si="9"/>
        <v>0.14000000000000001</v>
      </c>
      <c r="F45" s="3">
        <f t="shared" ref="F45:AG45" si="16">$C45*F13</f>
        <v>0</v>
      </c>
      <c r="G45" s="3">
        <f t="shared" si="16"/>
        <v>0</v>
      </c>
      <c r="H45" s="3">
        <f t="shared" si="16"/>
        <v>0</v>
      </c>
      <c r="I45" s="3">
        <f t="shared" si="16"/>
        <v>0</v>
      </c>
      <c r="J45" s="3">
        <f t="shared" si="16"/>
        <v>0</v>
      </c>
      <c r="K45" s="3">
        <f t="shared" si="16"/>
        <v>0</v>
      </c>
      <c r="L45" s="3">
        <f t="shared" si="16"/>
        <v>2.4360000000000003E-2</v>
      </c>
      <c r="M45" s="3">
        <f t="shared" si="16"/>
        <v>3.2480000000000002E-2</v>
      </c>
      <c r="N45" s="3">
        <f t="shared" si="16"/>
        <v>4.8720000000000006E-2</v>
      </c>
      <c r="O45" s="3">
        <f t="shared" si="16"/>
        <v>4.0600000000000004E-2</v>
      </c>
      <c r="P45" s="3">
        <f t="shared" si="16"/>
        <v>1.6240000000000001E-2</v>
      </c>
      <c r="Q45" s="3">
        <f t="shared" si="16"/>
        <v>1.4000000000000002E-2</v>
      </c>
      <c r="R45" s="3">
        <f t="shared" si="16"/>
        <v>1.4000000000000002E-2</v>
      </c>
      <c r="S45" s="3">
        <f t="shared" si="16"/>
        <v>0</v>
      </c>
      <c r="T45" s="3">
        <f t="shared" si="16"/>
        <v>0</v>
      </c>
      <c r="U45" s="3">
        <f t="shared" si="16"/>
        <v>0</v>
      </c>
      <c r="V45" s="3">
        <f t="shared" si="16"/>
        <v>0</v>
      </c>
      <c r="W45" s="3">
        <f t="shared" si="16"/>
        <v>0</v>
      </c>
      <c r="X45" s="3">
        <f t="shared" si="16"/>
        <v>0</v>
      </c>
      <c r="Y45" s="3">
        <f t="shared" si="16"/>
        <v>0</v>
      </c>
      <c r="Z45" s="3">
        <f t="shared" si="16"/>
        <v>0</v>
      </c>
      <c r="AA45" s="3">
        <f t="shared" si="16"/>
        <v>0</v>
      </c>
      <c r="AB45" s="3">
        <f t="shared" si="16"/>
        <v>0</v>
      </c>
      <c r="AC45" s="3">
        <f t="shared" si="16"/>
        <v>0</v>
      </c>
      <c r="AD45" s="3">
        <f t="shared" si="16"/>
        <v>0</v>
      </c>
      <c r="AE45" s="3">
        <f t="shared" si="16"/>
        <v>0</v>
      </c>
      <c r="AF45" s="3">
        <f t="shared" si="16"/>
        <v>0</v>
      </c>
      <c r="AG45" s="3">
        <f t="shared" si="16"/>
        <v>0</v>
      </c>
    </row>
    <row r="46" spans="2:45" x14ac:dyDescent="0.3">
      <c r="B46" s="55" t="str">
        <f t="shared" si="7"/>
        <v xml:space="preserve">   Metal pallets</v>
      </c>
      <c r="C46" s="65">
        <f>'Project Cost Details'!G10/10^7</f>
        <v>9.4815360000000002</v>
      </c>
      <c r="D46" s="3">
        <f t="shared" si="11"/>
        <v>9.4815360000000002</v>
      </c>
      <c r="E46" s="3">
        <f t="shared" si="9"/>
        <v>4.0176000000000007</v>
      </c>
      <c r="F46" s="3">
        <f t="shared" ref="F46:AG46" si="17">$C46*F14</f>
        <v>0</v>
      </c>
      <c r="G46" s="3">
        <f t="shared" si="17"/>
        <v>0</v>
      </c>
      <c r="H46" s="3">
        <f t="shared" si="17"/>
        <v>0</v>
      </c>
      <c r="I46" s="3">
        <f t="shared" si="17"/>
        <v>0</v>
      </c>
      <c r="J46" s="3">
        <f t="shared" si="17"/>
        <v>0</v>
      </c>
      <c r="K46" s="3">
        <f t="shared" si="17"/>
        <v>0</v>
      </c>
      <c r="L46" s="3">
        <f t="shared" si="17"/>
        <v>0.69906240000000008</v>
      </c>
      <c r="M46" s="3">
        <f t="shared" si="17"/>
        <v>0.93208320000000011</v>
      </c>
      <c r="N46" s="3">
        <f t="shared" si="17"/>
        <v>1.3981248000000002</v>
      </c>
      <c r="O46" s="3">
        <f t="shared" si="17"/>
        <v>1.1651040000000001</v>
      </c>
      <c r="P46" s="3">
        <f t="shared" si="17"/>
        <v>0.46604160000000006</v>
      </c>
      <c r="Q46" s="3">
        <f t="shared" si="17"/>
        <v>0.40176000000000006</v>
      </c>
      <c r="R46" s="3">
        <f t="shared" si="17"/>
        <v>0.40176000000000006</v>
      </c>
      <c r="S46" s="3">
        <f t="shared" si="17"/>
        <v>0</v>
      </c>
      <c r="T46" s="3">
        <f t="shared" si="17"/>
        <v>0</v>
      </c>
      <c r="U46" s="3">
        <f t="shared" si="17"/>
        <v>0</v>
      </c>
      <c r="V46" s="3">
        <f t="shared" si="17"/>
        <v>0</v>
      </c>
      <c r="W46" s="3">
        <f t="shared" si="17"/>
        <v>0</v>
      </c>
      <c r="X46" s="3">
        <f t="shared" si="17"/>
        <v>0</v>
      </c>
      <c r="Y46" s="3">
        <f t="shared" si="17"/>
        <v>0</v>
      </c>
      <c r="Z46" s="3">
        <f t="shared" si="17"/>
        <v>0</v>
      </c>
      <c r="AA46" s="3">
        <f t="shared" si="17"/>
        <v>0</v>
      </c>
      <c r="AB46" s="3">
        <f t="shared" si="17"/>
        <v>0</v>
      </c>
      <c r="AC46" s="3">
        <f t="shared" si="17"/>
        <v>0</v>
      </c>
      <c r="AD46" s="3">
        <f t="shared" si="17"/>
        <v>0</v>
      </c>
      <c r="AE46" s="3">
        <f t="shared" si="17"/>
        <v>0</v>
      </c>
      <c r="AF46" s="3">
        <f t="shared" si="17"/>
        <v>0</v>
      </c>
      <c r="AG46" s="3">
        <f t="shared" si="17"/>
        <v>0</v>
      </c>
    </row>
    <row r="47" spans="2:45" x14ac:dyDescent="0.3">
      <c r="B47" s="55" t="str">
        <f t="shared" si="7"/>
        <v xml:space="preserve">   Discount</v>
      </c>
      <c r="C47" s="65">
        <f>'Project Cost Details'!G11/10^7</f>
        <v>-3.2658623999999997E-2</v>
      </c>
      <c r="D47" s="3">
        <f t="shared" si="11"/>
        <v>-3.2658623999999997E-2</v>
      </c>
      <c r="E47" s="3">
        <f t="shared" si="9"/>
        <v>-1.3838399999999999E-2</v>
      </c>
      <c r="F47" s="3">
        <f t="shared" ref="F47:AG47" si="18">$C47*F15</f>
        <v>0</v>
      </c>
      <c r="G47" s="3">
        <f t="shared" si="18"/>
        <v>0</v>
      </c>
      <c r="H47" s="3">
        <f t="shared" si="18"/>
        <v>0</v>
      </c>
      <c r="I47" s="3">
        <f t="shared" si="18"/>
        <v>0</v>
      </c>
      <c r="J47" s="3">
        <f t="shared" si="18"/>
        <v>0</v>
      </c>
      <c r="K47" s="3">
        <f t="shared" si="18"/>
        <v>0</v>
      </c>
      <c r="L47" s="3">
        <f t="shared" si="18"/>
        <v>-2.4078815999999999E-3</v>
      </c>
      <c r="M47" s="3">
        <f t="shared" si="18"/>
        <v>-3.2105087999999998E-3</v>
      </c>
      <c r="N47" s="3">
        <f t="shared" si="18"/>
        <v>-4.8157631999999999E-3</v>
      </c>
      <c r="O47" s="3">
        <f t="shared" si="18"/>
        <v>-4.0131359999999996E-3</v>
      </c>
      <c r="P47" s="3">
        <f t="shared" si="18"/>
        <v>-1.6052543999999999E-3</v>
      </c>
      <c r="Q47" s="3">
        <f>$C47*Q15</f>
        <v>-2.7676799999999998E-3</v>
      </c>
      <c r="R47" s="3">
        <f t="shared" si="18"/>
        <v>0</v>
      </c>
      <c r="S47" s="3">
        <f t="shared" si="18"/>
        <v>0</v>
      </c>
      <c r="T47" s="3">
        <f t="shared" si="18"/>
        <v>0</v>
      </c>
      <c r="U47" s="3">
        <f t="shared" si="18"/>
        <v>0</v>
      </c>
      <c r="V47" s="3">
        <f t="shared" si="18"/>
        <v>0</v>
      </c>
      <c r="W47" s="3">
        <f t="shared" si="18"/>
        <v>0</v>
      </c>
      <c r="X47" s="3">
        <f t="shared" si="18"/>
        <v>0</v>
      </c>
      <c r="Y47" s="3">
        <f t="shared" si="18"/>
        <v>0</v>
      </c>
      <c r="Z47" s="3">
        <f t="shared" si="18"/>
        <v>0</v>
      </c>
      <c r="AA47" s="3">
        <f t="shared" si="18"/>
        <v>0</v>
      </c>
      <c r="AB47" s="3">
        <f t="shared" si="18"/>
        <v>0</v>
      </c>
      <c r="AC47" s="3">
        <f t="shared" si="18"/>
        <v>0</v>
      </c>
      <c r="AD47" s="3">
        <f t="shared" si="18"/>
        <v>0</v>
      </c>
      <c r="AE47" s="3">
        <f t="shared" si="18"/>
        <v>0</v>
      </c>
      <c r="AF47" s="3">
        <f t="shared" si="18"/>
        <v>0</v>
      </c>
      <c r="AG47" s="3">
        <f t="shared" si="18"/>
        <v>0</v>
      </c>
    </row>
    <row r="48" spans="2:45" x14ac:dyDescent="0.3">
      <c r="B48" s="60" t="str">
        <f t="shared" si="7"/>
        <v>Civil Cost</v>
      </c>
      <c r="C48" s="6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2:33" x14ac:dyDescent="0.3">
      <c r="B49" s="281" t="str">
        <f t="shared" si="7"/>
        <v>Earthworks and soiling</v>
      </c>
      <c r="C49" s="65">
        <f>'Project Cost Details'!G13/10^7</f>
        <v>1.593</v>
      </c>
      <c r="D49" s="3">
        <f t="shared" si="11"/>
        <v>1.593</v>
      </c>
      <c r="E49" s="3">
        <f t="shared" ref="E49:AG49" si="19">$C49*E17</f>
        <v>0</v>
      </c>
      <c r="F49" s="3">
        <f t="shared" si="19"/>
        <v>0</v>
      </c>
      <c r="G49" s="3">
        <f t="shared" si="19"/>
        <v>0</v>
      </c>
      <c r="H49" s="3">
        <f t="shared" si="19"/>
        <v>0</v>
      </c>
      <c r="I49" s="3">
        <f t="shared" si="19"/>
        <v>0</v>
      </c>
      <c r="J49" s="3">
        <f t="shared" si="19"/>
        <v>0</v>
      </c>
      <c r="K49" s="3">
        <f t="shared" si="19"/>
        <v>0.47789999999999999</v>
      </c>
      <c r="L49" s="3">
        <f t="shared" si="19"/>
        <v>0.95579999999999998</v>
      </c>
      <c r="M49" s="3">
        <f t="shared" si="19"/>
        <v>0.1593</v>
      </c>
      <c r="N49" s="3">
        <f t="shared" si="19"/>
        <v>0</v>
      </c>
      <c r="O49" s="3">
        <f t="shared" si="19"/>
        <v>0</v>
      </c>
      <c r="P49" s="3">
        <f t="shared" si="19"/>
        <v>0</v>
      </c>
      <c r="Q49" s="3">
        <f t="shared" si="19"/>
        <v>0</v>
      </c>
      <c r="R49" s="3">
        <f t="shared" si="19"/>
        <v>0</v>
      </c>
      <c r="S49" s="3">
        <f t="shared" si="19"/>
        <v>0</v>
      </c>
      <c r="T49" s="3">
        <f t="shared" si="19"/>
        <v>0</v>
      </c>
      <c r="U49" s="3">
        <f t="shared" si="19"/>
        <v>0</v>
      </c>
      <c r="V49" s="3">
        <f t="shared" si="19"/>
        <v>0</v>
      </c>
      <c r="W49" s="3">
        <f t="shared" si="19"/>
        <v>0</v>
      </c>
      <c r="X49" s="3">
        <f t="shared" si="19"/>
        <v>0</v>
      </c>
      <c r="Y49" s="3">
        <f t="shared" si="19"/>
        <v>0</v>
      </c>
      <c r="Z49" s="3">
        <f t="shared" si="19"/>
        <v>0</v>
      </c>
      <c r="AA49" s="3">
        <f t="shared" si="19"/>
        <v>0</v>
      </c>
      <c r="AB49" s="3">
        <f t="shared" si="19"/>
        <v>0</v>
      </c>
      <c r="AC49" s="3">
        <f t="shared" si="19"/>
        <v>0</v>
      </c>
      <c r="AD49" s="3">
        <f t="shared" si="19"/>
        <v>0</v>
      </c>
      <c r="AE49" s="3">
        <f t="shared" si="19"/>
        <v>0</v>
      </c>
      <c r="AF49" s="3">
        <f t="shared" si="19"/>
        <v>0</v>
      </c>
      <c r="AG49" s="3">
        <f t="shared" si="19"/>
        <v>0</v>
      </c>
    </row>
    <row r="50" spans="2:33" x14ac:dyDescent="0.3">
      <c r="B50" s="281" t="str">
        <f t="shared" si="7"/>
        <v>PCC works</v>
      </c>
      <c r="C50" s="65">
        <f>'Project Cost Details'!G14/10^7</f>
        <v>0.53100000000000003</v>
      </c>
      <c r="D50" s="3">
        <f t="shared" si="11"/>
        <v>0.53100000000000003</v>
      </c>
      <c r="E50" s="3">
        <f t="shared" ref="E50:AG50" si="20">$C50*E18</f>
        <v>0</v>
      </c>
      <c r="F50" s="3">
        <f t="shared" si="20"/>
        <v>0</v>
      </c>
      <c r="G50" s="3">
        <f t="shared" si="20"/>
        <v>0</v>
      </c>
      <c r="H50" s="3">
        <f t="shared" si="20"/>
        <v>0</v>
      </c>
      <c r="I50" s="3">
        <f t="shared" si="20"/>
        <v>0</v>
      </c>
      <c r="J50" s="3">
        <f t="shared" si="20"/>
        <v>0</v>
      </c>
      <c r="K50" s="3">
        <f t="shared" si="20"/>
        <v>0.1593</v>
      </c>
      <c r="L50" s="3">
        <f t="shared" si="20"/>
        <v>0.31859999999999999</v>
      </c>
      <c r="M50" s="3">
        <f t="shared" si="20"/>
        <v>5.3100000000000008E-2</v>
      </c>
      <c r="N50" s="3">
        <f t="shared" si="20"/>
        <v>0</v>
      </c>
      <c r="O50" s="3">
        <f t="shared" si="20"/>
        <v>0</v>
      </c>
      <c r="P50" s="3">
        <f t="shared" si="20"/>
        <v>0</v>
      </c>
      <c r="Q50" s="3">
        <f t="shared" si="20"/>
        <v>0</v>
      </c>
      <c r="R50" s="3">
        <f t="shared" si="20"/>
        <v>0</v>
      </c>
      <c r="S50" s="3">
        <f t="shared" si="20"/>
        <v>0</v>
      </c>
      <c r="T50" s="3">
        <f t="shared" si="20"/>
        <v>0</v>
      </c>
      <c r="U50" s="3">
        <f t="shared" si="20"/>
        <v>0</v>
      </c>
      <c r="V50" s="3">
        <f t="shared" si="20"/>
        <v>0</v>
      </c>
      <c r="W50" s="3">
        <f t="shared" si="20"/>
        <v>0</v>
      </c>
      <c r="X50" s="3">
        <f t="shared" si="20"/>
        <v>0</v>
      </c>
      <c r="Y50" s="3">
        <f t="shared" si="20"/>
        <v>0</v>
      </c>
      <c r="Z50" s="3">
        <f t="shared" si="20"/>
        <v>0</v>
      </c>
      <c r="AA50" s="3">
        <f t="shared" si="20"/>
        <v>0</v>
      </c>
      <c r="AB50" s="3">
        <f t="shared" si="20"/>
        <v>0</v>
      </c>
      <c r="AC50" s="3">
        <f t="shared" si="20"/>
        <v>0</v>
      </c>
      <c r="AD50" s="3">
        <f t="shared" si="20"/>
        <v>0</v>
      </c>
      <c r="AE50" s="3">
        <f t="shared" si="20"/>
        <v>0</v>
      </c>
      <c r="AF50" s="3">
        <f t="shared" si="20"/>
        <v>0</v>
      </c>
      <c r="AG50" s="3">
        <f t="shared" si="20"/>
        <v>0</v>
      </c>
    </row>
    <row r="51" spans="2:33" x14ac:dyDescent="0.3">
      <c r="B51" s="281" t="str">
        <f t="shared" si="7"/>
        <v>RCC works</v>
      </c>
      <c r="C51" s="65">
        <f>'Project Cost Details'!G15/10^7</f>
        <v>3.54</v>
      </c>
      <c r="D51" s="3">
        <f t="shared" si="11"/>
        <v>3.54</v>
      </c>
      <c r="E51" s="3">
        <f t="shared" ref="E51:AG51" si="21">$C51*E19</f>
        <v>0</v>
      </c>
      <c r="F51" s="3">
        <f t="shared" si="21"/>
        <v>0</v>
      </c>
      <c r="G51" s="3">
        <f t="shared" si="21"/>
        <v>0</v>
      </c>
      <c r="H51" s="3">
        <f t="shared" si="21"/>
        <v>0</v>
      </c>
      <c r="I51" s="3">
        <f t="shared" si="21"/>
        <v>0</v>
      </c>
      <c r="J51" s="3">
        <f t="shared" si="21"/>
        <v>0</v>
      </c>
      <c r="K51" s="3">
        <f t="shared" si="21"/>
        <v>1.0620000000000001</v>
      </c>
      <c r="L51" s="3">
        <f t="shared" si="21"/>
        <v>2.1240000000000001</v>
      </c>
      <c r="M51" s="3">
        <f t="shared" si="21"/>
        <v>0.35400000000000004</v>
      </c>
      <c r="N51" s="3">
        <f t="shared" si="21"/>
        <v>0</v>
      </c>
      <c r="O51" s="3">
        <f t="shared" si="21"/>
        <v>0</v>
      </c>
      <c r="P51" s="3">
        <f t="shared" si="21"/>
        <v>0</v>
      </c>
      <c r="Q51" s="3">
        <f t="shared" si="21"/>
        <v>0</v>
      </c>
      <c r="R51" s="3">
        <f t="shared" si="21"/>
        <v>0</v>
      </c>
      <c r="S51" s="3">
        <f t="shared" si="21"/>
        <v>0</v>
      </c>
      <c r="T51" s="3">
        <f t="shared" si="21"/>
        <v>0</v>
      </c>
      <c r="U51" s="3">
        <f t="shared" si="21"/>
        <v>0</v>
      </c>
      <c r="V51" s="3">
        <f t="shared" si="21"/>
        <v>0</v>
      </c>
      <c r="W51" s="3">
        <f t="shared" si="21"/>
        <v>0</v>
      </c>
      <c r="X51" s="3">
        <f t="shared" si="21"/>
        <v>0</v>
      </c>
      <c r="Y51" s="3">
        <f t="shared" si="21"/>
        <v>0</v>
      </c>
      <c r="Z51" s="3">
        <f t="shared" si="21"/>
        <v>0</v>
      </c>
      <c r="AA51" s="3">
        <f t="shared" si="21"/>
        <v>0</v>
      </c>
      <c r="AB51" s="3">
        <f t="shared" si="21"/>
        <v>0</v>
      </c>
      <c r="AC51" s="3">
        <f t="shared" si="21"/>
        <v>0</v>
      </c>
      <c r="AD51" s="3">
        <f t="shared" si="21"/>
        <v>0</v>
      </c>
      <c r="AE51" s="3">
        <f t="shared" si="21"/>
        <v>0</v>
      </c>
      <c r="AF51" s="3">
        <f t="shared" si="21"/>
        <v>0</v>
      </c>
      <c r="AG51" s="3">
        <f t="shared" si="21"/>
        <v>0</v>
      </c>
    </row>
    <row r="52" spans="2:33" x14ac:dyDescent="0.3">
      <c r="B52" s="281" t="str">
        <f t="shared" si="7"/>
        <v>Shuttering</v>
      </c>
      <c r="C52" s="65">
        <f>'Project Cost Details'!G16/10^7</f>
        <v>0.14749999999999999</v>
      </c>
      <c r="D52" s="3">
        <f t="shared" si="11"/>
        <v>0.14749999999999996</v>
      </c>
      <c r="E52" s="3">
        <f t="shared" ref="E52:AG52" si="22">$C52*E20</f>
        <v>0</v>
      </c>
      <c r="F52" s="3">
        <f t="shared" si="22"/>
        <v>0</v>
      </c>
      <c r="G52" s="3">
        <f t="shared" si="22"/>
        <v>0</v>
      </c>
      <c r="H52" s="3">
        <f t="shared" si="22"/>
        <v>0</v>
      </c>
      <c r="I52" s="3">
        <f t="shared" si="22"/>
        <v>0</v>
      </c>
      <c r="J52" s="3">
        <f t="shared" si="22"/>
        <v>0</v>
      </c>
      <c r="K52" s="3">
        <f t="shared" si="22"/>
        <v>4.4249999999999998E-2</v>
      </c>
      <c r="L52" s="3">
        <f t="shared" si="22"/>
        <v>8.8499999999999995E-2</v>
      </c>
      <c r="M52" s="3">
        <f t="shared" si="22"/>
        <v>1.4749999999999999E-2</v>
      </c>
      <c r="N52" s="3">
        <f t="shared" si="22"/>
        <v>0</v>
      </c>
      <c r="O52" s="3">
        <f t="shared" si="22"/>
        <v>0</v>
      </c>
      <c r="P52" s="3">
        <f t="shared" si="22"/>
        <v>0</v>
      </c>
      <c r="Q52" s="3">
        <f t="shared" si="22"/>
        <v>0</v>
      </c>
      <c r="R52" s="3">
        <f t="shared" si="22"/>
        <v>0</v>
      </c>
      <c r="S52" s="3">
        <f t="shared" si="22"/>
        <v>0</v>
      </c>
      <c r="T52" s="3">
        <f t="shared" si="22"/>
        <v>0</v>
      </c>
      <c r="U52" s="3">
        <f t="shared" si="22"/>
        <v>0</v>
      </c>
      <c r="V52" s="3">
        <f t="shared" si="22"/>
        <v>0</v>
      </c>
      <c r="W52" s="3">
        <f t="shared" si="22"/>
        <v>0</v>
      </c>
      <c r="X52" s="3">
        <f t="shared" si="22"/>
        <v>0</v>
      </c>
      <c r="Y52" s="3">
        <f t="shared" si="22"/>
        <v>0</v>
      </c>
      <c r="Z52" s="3">
        <f t="shared" si="22"/>
        <v>0</v>
      </c>
      <c r="AA52" s="3">
        <f t="shared" si="22"/>
        <v>0</v>
      </c>
      <c r="AB52" s="3">
        <f t="shared" si="22"/>
        <v>0</v>
      </c>
      <c r="AC52" s="3">
        <f t="shared" si="22"/>
        <v>0</v>
      </c>
      <c r="AD52" s="3">
        <f t="shared" si="22"/>
        <v>0</v>
      </c>
      <c r="AE52" s="3">
        <f t="shared" si="22"/>
        <v>0</v>
      </c>
      <c r="AF52" s="3">
        <f t="shared" si="22"/>
        <v>0</v>
      </c>
      <c r="AG52" s="3">
        <f t="shared" si="22"/>
        <v>0</v>
      </c>
    </row>
    <row r="53" spans="2:33" x14ac:dyDescent="0.3">
      <c r="B53" s="281" t="str">
        <f t="shared" si="7"/>
        <v>TMT bards Fe 500</v>
      </c>
      <c r="C53" s="65">
        <f>'Project Cost Details'!G17/10^7</f>
        <v>2.4780000000000002</v>
      </c>
      <c r="D53" s="3">
        <f t="shared" si="11"/>
        <v>2.4779999999999998</v>
      </c>
      <c r="E53" s="3">
        <f t="shared" ref="E53:AG53" si="23">$C53*E21</f>
        <v>0</v>
      </c>
      <c r="F53" s="3">
        <f t="shared" si="23"/>
        <v>0</v>
      </c>
      <c r="G53" s="3">
        <f t="shared" si="23"/>
        <v>0</v>
      </c>
      <c r="H53" s="3">
        <f t="shared" si="23"/>
        <v>0</v>
      </c>
      <c r="I53" s="3">
        <f t="shared" si="23"/>
        <v>0</v>
      </c>
      <c r="J53" s="3">
        <f t="shared" si="23"/>
        <v>0</v>
      </c>
      <c r="K53" s="3">
        <f t="shared" si="23"/>
        <v>0.74340000000000006</v>
      </c>
      <c r="L53" s="3">
        <f t="shared" si="23"/>
        <v>1.4868000000000001</v>
      </c>
      <c r="M53" s="3">
        <f t="shared" si="23"/>
        <v>0.24780000000000002</v>
      </c>
      <c r="N53" s="3">
        <f t="shared" si="23"/>
        <v>0</v>
      </c>
      <c r="O53" s="3">
        <f t="shared" si="23"/>
        <v>0</v>
      </c>
      <c r="P53" s="3">
        <f t="shared" si="23"/>
        <v>0</v>
      </c>
      <c r="Q53" s="3">
        <f t="shared" si="23"/>
        <v>0</v>
      </c>
      <c r="R53" s="3">
        <f t="shared" si="23"/>
        <v>0</v>
      </c>
      <c r="S53" s="3">
        <f t="shared" si="23"/>
        <v>0</v>
      </c>
      <c r="T53" s="3">
        <f t="shared" si="23"/>
        <v>0</v>
      </c>
      <c r="U53" s="3">
        <f t="shared" si="23"/>
        <v>0</v>
      </c>
      <c r="V53" s="3">
        <f t="shared" si="23"/>
        <v>0</v>
      </c>
      <c r="W53" s="3">
        <f t="shared" si="23"/>
        <v>0</v>
      </c>
      <c r="X53" s="3">
        <f t="shared" si="23"/>
        <v>0</v>
      </c>
      <c r="Y53" s="3">
        <f t="shared" si="23"/>
        <v>0</v>
      </c>
      <c r="Z53" s="3">
        <f t="shared" si="23"/>
        <v>0</v>
      </c>
      <c r="AA53" s="3">
        <f t="shared" si="23"/>
        <v>0</v>
      </c>
      <c r="AB53" s="3">
        <f t="shared" si="23"/>
        <v>0</v>
      </c>
      <c r="AC53" s="3">
        <f t="shared" si="23"/>
        <v>0</v>
      </c>
      <c r="AD53" s="3">
        <f t="shared" si="23"/>
        <v>0</v>
      </c>
      <c r="AE53" s="3">
        <f t="shared" si="23"/>
        <v>0</v>
      </c>
      <c r="AF53" s="3">
        <f t="shared" si="23"/>
        <v>0</v>
      </c>
      <c r="AG53" s="3">
        <f t="shared" si="23"/>
        <v>0</v>
      </c>
    </row>
    <row r="54" spans="2:33" x14ac:dyDescent="0.3">
      <c r="B54" s="281" t="str">
        <f t="shared" si="7"/>
        <v>Masonary works</v>
      </c>
      <c r="C54" s="65">
        <f>'Project Cost Details'!G18/10^7</f>
        <v>7.0800000000000002E-2</v>
      </c>
      <c r="D54" s="3">
        <f t="shared" si="11"/>
        <v>7.0800000000000002E-2</v>
      </c>
      <c r="E54" s="3">
        <f t="shared" ref="E54:AG54" si="24">$C54*E22</f>
        <v>0</v>
      </c>
      <c r="F54" s="3">
        <f t="shared" si="24"/>
        <v>0</v>
      </c>
      <c r="G54" s="3">
        <f t="shared" si="24"/>
        <v>0</v>
      </c>
      <c r="H54" s="3">
        <f t="shared" si="24"/>
        <v>0</v>
      </c>
      <c r="I54" s="3">
        <f t="shared" si="24"/>
        <v>0</v>
      </c>
      <c r="J54" s="3">
        <f t="shared" si="24"/>
        <v>0</v>
      </c>
      <c r="K54" s="3">
        <f t="shared" si="24"/>
        <v>2.1239999999999998E-2</v>
      </c>
      <c r="L54" s="3">
        <f t="shared" si="24"/>
        <v>4.2479999999999997E-2</v>
      </c>
      <c r="M54" s="3">
        <f t="shared" si="24"/>
        <v>7.0800000000000004E-3</v>
      </c>
      <c r="N54" s="3">
        <f t="shared" si="24"/>
        <v>0</v>
      </c>
      <c r="O54" s="3">
        <f t="shared" si="24"/>
        <v>0</v>
      </c>
      <c r="P54" s="3">
        <f t="shared" si="24"/>
        <v>0</v>
      </c>
      <c r="Q54" s="3">
        <f t="shared" si="24"/>
        <v>0</v>
      </c>
      <c r="R54" s="3">
        <f t="shared" si="24"/>
        <v>0</v>
      </c>
      <c r="S54" s="3">
        <f t="shared" si="24"/>
        <v>0</v>
      </c>
      <c r="T54" s="3">
        <f t="shared" si="24"/>
        <v>0</v>
      </c>
      <c r="U54" s="3">
        <f t="shared" si="24"/>
        <v>0</v>
      </c>
      <c r="V54" s="3">
        <f t="shared" si="24"/>
        <v>0</v>
      </c>
      <c r="W54" s="3">
        <f t="shared" si="24"/>
        <v>0</v>
      </c>
      <c r="X54" s="3">
        <f t="shared" si="24"/>
        <v>0</v>
      </c>
      <c r="Y54" s="3">
        <f t="shared" si="24"/>
        <v>0</v>
      </c>
      <c r="Z54" s="3">
        <f t="shared" si="24"/>
        <v>0</v>
      </c>
      <c r="AA54" s="3">
        <f t="shared" si="24"/>
        <v>0</v>
      </c>
      <c r="AB54" s="3">
        <f t="shared" si="24"/>
        <v>0</v>
      </c>
      <c r="AC54" s="3">
        <f t="shared" si="24"/>
        <v>0</v>
      </c>
      <c r="AD54" s="3">
        <f t="shared" si="24"/>
        <v>0</v>
      </c>
      <c r="AE54" s="3">
        <f t="shared" si="24"/>
        <v>0</v>
      </c>
      <c r="AF54" s="3">
        <f t="shared" si="24"/>
        <v>0</v>
      </c>
      <c r="AG54" s="3">
        <f t="shared" si="24"/>
        <v>0</v>
      </c>
    </row>
    <row r="55" spans="2:33" x14ac:dyDescent="0.3">
      <c r="B55" s="281" t="str">
        <f t="shared" si="7"/>
        <v>Plastering</v>
      </c>
      <c r="C55" s="65">
        <f>'Project Cost Details'!G19/10^7</f>
        <v>5.7525E-2</v>
      </c>
      <c r="D55" s="3">
        <f t="shared" si="11"/>
        <v>5.7525E-2</v>
      </c>
      <c r="E55" s="3">
        <f t="shared" ref="E55:AG55" si="25">$C55*E23</f>
        <v>0</v>
      </c>
      <c r="F55" s="3">
        <f t="shared" si="25"/>
        <v>0</v>
      </c>
      <c r="G55" s="3">
        <f t="shared" si="25"/>
        <v>0</v>
      </c>
      <c r="H55" s="3">
        <f t="shared" si="25"/>
        <v>0</v>
      </c>
      <c r="I55" s="3">
        <f t="shared" si="25"/>
        <v>0</v>
      </c>
      <c r="J55" s="3">
        <f t="shared" si="25"/>
        <v>0</v>
      </c>
      <c r="K55" s="3">
        <f t="shared" si="25"/>
        <v>1.7257499999999999E-2</v>
      </c>
      <c r="L55" s="3">
        <f t="shared" si="25"/>
        <v>3.4514999999999997E-2</v>
      </c>
      <c r="M55" s="3">
        <f t="shared" si="25"/>
        <v>5.7525000000000007E-3</v>
      </c>
      <c r="N55" s="3">
        <f t="shared" si="25"/>
        <v>0</v>
      </c>
      <c r="O55" s="3">
        <f t="shared" si="25"/>
        <v>0</v>
      </c>
      <c r="P55" s="3">
        <f t="shared" si="25"/>
        <v>0</v>
      </c>
      <c r="Q55" s="3">
        <f t="shared" si="25"/>
        <v>0</v>
      </c>
      <c r="R55" s="3">
        <f t="shared" si="25"/>
        <v>0</v>
      </c>
      <c r="S55" s="3">
        <f t="shared" si="25"/>
        <v>0</v>
      </c>
      <c r="T55" s="3">
        <f t="shared" si="25"/>
        <v>0</v>
      </c>
      <c r="U55" s="3">
        <f t="shared" si="25"/>
        <v>0</v>
      </c>
      <c r="V55" s="3">
        <f t="shared" si="25"/>
        <v>0</v>
      </c>
      <c r="W55" s="3">
        <f t="shared" si="25"/>
        <v>0</v>
      </c>
      <c r="X55" s="3">
        <f t="shared" si="25"/>
        <v>0</v>
      </c>
      <c r="Y55" s="3">
        <f t="shared" si="25"/>
        <v>0</v>
      </c>
      <c r="Z55" s="3">
        <f t="shared" si="25"/>
        <v>0</v>
      </c>
      <c r="AA55" s="3">
        <f t="shared" si="25"/>
        <v>0</v>
      </c>
      <c r="AB55" s="3">
        <f t="shared" si="25"/>
        <v>0</v>
      </c>
      <c r="AC55" s="3">
        <f t="shared" si="25"/>
        <v>0</v>
      </c>
      <c r="AD55" s="3">
        <f t="shared" si="25"/>
        <v>0</v>
      </c>
      <c r="AE55" s="3">
        <f t="shared" si="25"/>
        <v>0</v>
      </c>
      <c r="AF55" s="3">
        <f t="shared" si="25"/>
        <v>0</v>
      </c>
      <c r="AG55" s="3">
        <f t="shared" si="25"/>
        <v>0</v>
      </c>
    </row>
    <row r="56" spans="2:33" x14ac:dyDescent="0.3">
      <c r="B56" s="281" t="str">
        <f t="shared" si="7"/>
        <v>VDF Flooring</v>
      </c>
      <c r="C56" s="65">
        <f>'Project Cost Details'!G20/10^7</f>
        <v>8.4959999999999994E-2</v>
      </c>
      <c r="D56" s="3">
        <f t="shared" si="11"/>
        <v>8.4959999999999994E-2</v>
      </c>
      <c r="E56" s="3">
        <f t="shared" ref="E56:AG56" si="26">$C56*E24</f>
        <v>0</v>
      </c>
      <c r="F56" s="3">
        <f t="shared" si="26"/>
        <v>0</v>
      </c>
      <c r="G56" s="3">
        <f t="shared" si="26"/>
        <v>0</v>
      </c>
      <c r="H56" s="3">
        <f t="shared" si="26"/>
        <v>0</v>
      </c>
      <c r="I56" s="3">
        <f t="shared" si="26"/>
        <v>0</v>
      </c>
      <c r="J56" s="3">
        <f t="shared" si="26"/>
        <v>0</v>
      </c>
      <c r="K56" s="3">
        <f t="shared" si="26"/>
        <v>2.5487999999999997E-2</v>
      </c>
      <c r="L56" s="3">
        <f t="shared" si="26"/>
        <v>5.0975999999999994E-2</v>
      </c>
      <c r="M56" s="3">
        <f t="shared" si="26"/>
        <v>8.4960000000000001E-3</v>
      </c>
      <c r="N56" s="3">
        <f t="shared" si="26"/>
        <v>0</v>
      </c>
      <c r="O56" s="3">
        <f t="shared" si="26"/>
        <v>0</v>
      </c>
      <c r="P56" s="3">
        <f t="shared" si="26"/>
        <v>0</v>
      </c>
      <c r="Q56" s="3">
        <f t="shared" si="26"/>
        <v>0</v>
      </c>
      <c r="R56" s="3">
        <f t="shared" si="26"/>
        <v>0</v>
      </c>
      <c r="S56" s="3">
        <f t="shared" si="26"/>
        <v>0</v>
      </c>
      <c r="T56" s="3">
        <f t="shared" si="26"/>
        <v>0</v>
      </c>
      <c r="U56" s="3">
        <f t="shared" si="26"/>
        <v>0</v>
      </c>
      <c r="V56" s="3">
        <f t="shared" si="26"/>
        <v>0</v>
      </c>
      <c r="W56" s="3">
        <f t="shared" si="26"/>
        <v>0</v>
      </c>
      <c r="X56" s="3">
        <f t="shared" si="26"/>
        <v>0</v>
      </c>
      <c r="Y56" s="3">
        <f t="shared" si="26"/>
        <v>0</v>
      </c>
      <c r="Z56" s="3">
        <f t="shared" si="26"/>
        <v>0</v>
      </c>
      <c r="AA56" s="3">
        <f t="shared" si="26"/>
        <v>0</v>
      </c>
      <c r="AB56" s="3">
        <f t="shared" si="26"/>
        <v>0</v>
      </c>
      <c r="AC56" s="3">
        <f t="shared" si="26"/>
        <v>0</v>
      </c>
      <c r="AD56" s="3">
        <f t="shared" si="26"/>
        <v>0</v>
      </c>
      <c r="AE56" s="3">
        <f t="shared" si="26"/>
        <v>0</v>
      </c>
      <c r="AF56" s="3">
        <f t="shared" si="26"/>
        <v>0</v>
      </c>
      <c r="AG56" s="3">
        <f t="shared" si="26"/>
        <v>0</v>
      </c>
    </row>
    <row r="57" spans="2:33" x14ac:dyDescent="0.3">
      <c r="B57" s="281" t="str">
        <f t="shared" si="7"/>
        <v>J BOLTS installation</v>
      </c>
      <c r="C57" s="65">
        <f>'Project Cost Details'!G21/10^7</f>
        <v>0.1888</v>
      </c>
      <c r="D57" s="3">
        <f t="shared" si="11"/>
        <v>0.1888</v>
      </c>
      <c r="E57" s="3">
        <f t="shared" ref="E57:AG57" si="27">$C57*E25</f>
        <v>0</v>
      </c>
      <c r="F57" s="3">
        <f t="shared" si="27"/>
        <v>0</v>
      </c>
      <c r="G57" s="3">
        <f t="shared" si="27"/>
        <v>0</v>
      </c>
      <c r="H57" s="3">
        <f t="shared" si="27"/>
        <v>0</v>
      </c>
      <c r="I57" s="3">
        <f t="shared" si="27"/>
        <v>0</v>
      </c>
      <c r="J57" s="3">
        <f t="shared" si="27"/>
        <v>0</v>
      </c>
      <c r="K57" s="3">
        <f t="shared" si="27"/>
        <v>5.6639999999999996E-2</v>
      </c>
      <c r="L57" s="3">
        <f t="shared" si="27"/>
        <v>0.11327999999999999</v>
      </c>
      <c r="M57" s="3">
        <f t="shared" si="27"/>
        <v>1.8880000000000001E-2</v>
      </c>
      <c r="N57" s="3">
        <f t="shared" si="27"/>
        <v>0</v>
      </c>
      <c r="O57" s="3">
        <f t="shared" si="27"/>
        <v>0</v>
      </c>
      <c r="P57" s="3">
        <f t="shared" si="27"/>
        <v>0</v>
      </c>
      <c r="Q57" s="3">
        <f t="shared" si="27"/>
        <v>0</v>
      </c>
      <c r="R57" s="3">
        <f t="shared" si="27"/>
        <v>0</v>
      </c>
      <c r="S57" s="3">
        <f t="shared" si="27"/>
        <v>0</v>
      </c>
      <c r="T57" s="3">
        <f t="shared" si="27"/>
        <v>0</v>
      </c>
      <c r="U57" s="3">
        <f t="shared" si="27"/>
        <v>0</v>
      </c>
      <c r="V57" s="3">
        <f t="shared" si="27"/>
        <v>0</v>
      </c>
      <c r="W57" s="3">
        <f t="shared" si="27"/>
        <v>0</v>
      </c>
      <c r="X57" s="3">
        <f t="shared" si="27"/>
        <v>0</v>
      </c>
      <c r="Y57" s="3">
        <f t="shared" si="27"/>
        <v>0</v>
      </c>
      <c r="Z57" s="3">
        <f t="shared" si="27"/>
        <v>0</v>
      </c>
      <c r="AA57" s="3">
        <f t="shared" si="27"/>
        <v>0</v>
      </c>
      <c r="AB57" s="3">
        <f t="shared" si="27"/>
        <v>0</v>
      </c>
      <c r="AC57" s="3">
        <f t="shared" si="27"/>
        <v>0</v>
      </c>
      <c r="AD57" s="3">
        <f t="shared" si="27"/>
        <v>0</v>
      </c>
      <c r="AE57" s="3">
        <f t="shared" si="27"/>
        <v>0</v>
      </c>
      <c r="AF57" s="3">
        <f t="shared" si="27"/>
        <v>0</v>
      </c>
      <c r="AG57" s="3">
        <f t="shared" si="27"/>
        <v>0</v>
      </c>
    </row>
    <row r="58" spans="2:33" x14ac:dyDescent="0.3">
      <c r="B58" s="281" t="str">
        <f t="shared" si="7"/>
        <v>Baseplate Grouting</v>
      </c>
      <c r="C58" s="65">
        <f>'Project Cost Details'!G22/10^7</f>
        <v>0.10384</v>
      </c>
      <c r="D58" s="3">
        <f t="shared" si="11"/>
        <v>0.10384</v>
      </c>
      <c r="E58" s="3">
        <f t="shared" ref="E58:AG58" si="28">$C58*E26</f>
        <v>0</v>
      </c>
      <c r="F58" s="3">
        <f t="shared" si="28"/>
        <v>0</v>
      </c>
      <c r="G58" s="3">
        <f t="shared" si="28"/>
        <v>0</v>
      </c>
      <c r="H58" s="3">
        <f t="shared" si="28"/>
        <v>0</v>
      </c>
      <c r="I58" s="3">
        <f t="shared" si="28"/>
        <v>0</v>
      </c>
      <c r="J58" s="3">
        <f t="shared" si="28"/>
        <v>0</v>
      </c>
      <c r="K58" s="3">
        <f t="shared" si="28"/>
        <v>3.1151999999999999E-2</v>
      </c>
      <c r="L58" s="3">
        <f t="shared" si="28"/>
        <v>6.2303999999999998E-2</v>
      </c>
      <c r="M58" s="3">
        <f t="shared" si="28"/>
        <v>1.0384000000000001E-2</v>
      </c>
      <c r="N58" s="3">
        <f t="shared" si="28"/>
        <v>0</v>
      </c>
      <c r="O58" s="3">
        <f t="shared" si="28"/>
        <v>0</v>
      </c>
      <c r="P58" s="3">
        <f t="shared" si="28"/>
        <v>0</v>
      </c>
      <c r="Q58" s="3">
        <f t="shared" si="28"/>
        <v>0</v>
      </c>
      <c r="R58" s="3">
        <f t="shared" si="28"/>
        <v>0</v>
      </c>
      <c r="S58" s="3">
        <f t="shared" si="28"/>
        <v>0</v>
      </c>
      <c r="T58" s="3">
        <f t="shared" si="28"/>
        <v>0</v>
      </c>
      <c r="U58" s="3">
        <f t="shared" si="28"/>
        <v>0</v>
      </c>
      <c r="V58" s="3">
        <f t="shared" si="28"/>
        <v>0</v>
      </c>
      <c r="W58" s="3">
        <f t="shared" si="28"/>
        <v>0</v>
      </c>
      <c r="X58" s="3">
        <f t="shared" si="28"/>
        <v>0</v>
      </c>
      <c r="Y58" s="3">
        <f t="shared" si="28"/>
        <v>0</v>
      </c>
      <c r="Z58" s="3">
        <f t="shared" si="28"/>
        <v>0</v>
      </c>
      <c r="AA58" s="3">
        <f t="shared" si="28"/>
        <v>0</v>
      </c>
      <c r="AB58" s="3">
        <f t="shared" si="28"/>
        <v>0</v>
      </c>
      <c r="AC58" s="3">
        <f t="shared" si="28"/>
        <v>0</v>
      </c>
      <c r="AD58" s="3">
        <f t="shared" si="28"/>
        <v>0</v>
      </c>
      <c r="AE58" s="3">
        <f t="shared" si="28"/>
        <v>0</v>
      </c>
      <c r="AF58" s="3">
        <f t="shared" si="28"/>
        <v>0</v>
      </c>
      <c r="AG58" s="3">
        <f t="shared" si="28"/>
        <v>0</v>
      </c>
    </row>
    <row r="59" spans="2:33" x14ac:dyDescent="0.3">
      <c r="B59" s="281" t="str">
        <f t="shared" si="7"/>
        <v>Miscellenous</v>
      </c>
      <c r="C59" s="65">
        <f>'Project Cost Details'!G23/10^7</f>
        <v>0.1416</v>
      </c>
      <c r="D59" s="3">
        <f t="shared" si="11"/>
        <v>0.1416</v>
      </c>
      <c r="E59" s="3">
        <f t="shared" ref="E59:AG59" si="29">$C59*E27</f>
        <v>0</v>
      </c>
      <c r="F59" s="3">
        <f t="shared" si="29"/>
        <v>0</v>
      </c>
      <c r="G59" s="3">
        <f t="shared" si="29"/>
        <v>0</v>
      </c>
      <c r="H59" s="3">
        <f t="shared" si="29"/>
        <v>0</v>
      </c>
      <c r="I59" s="3">
        <f t="shared" si="29"/>
        <v>0</v>
      </c>
      <c r="J59" s="3">
        <f t="shared" si="29"/>
        <v>0</v>
      </c>
      <c r="K59" s="3">
        <f t="shared" si="29"/>
        <v>4.2479999999999997E-2</v>
      </c>
      <c r="L59" s="3">
        <f t="shared" si="29"/>
        <v>8.4959999999999994E-2</v>
      </c>
      <c r="M59" s="3">
        <f t="shared" si="29"/>
        <v>1.4160000000000001E-2</v>
      </c>
      <c r="N59" s="3">
        <f t="shared" si="29"/>
        <v>0</v>
      </c>
      <c r="O59" s="3">
        <f t="shared" si="29"/>
        <v>0</v>
      </c>
      <c r="P59" s="3">
        <f t="shared" si="29"/>
        <v>0</v>
      </c>
      <c r="Q59" s="3">
        <f t="shared" si="29"/>
        <v>0</v>
      </c>
      <c r="R59" s="3">
        <f t="shared" si="29"/>
        <v>0</v>
      </c>
      <c r="S59" s="3">
        <f t="shared" si="29"/>
        <v>0</v>
      </c>
      <c r="T59" s="3">
        <f t="shared" si="29"/>
        <v>0</v>
      </c>
      <c r="U59" s="3">
        <f t="shared" si="29"/>
        <v>0</v>
      </c>
      <c r="V59" s="3">
        <f t="shared" si="29"/>
        <v>0</v>
      </c>
      <c r="W59" s="3">
        <f t="shared" si="29"/>
        <v>0</v>
      </c>
      <c r="X59" s="3">
        <f t="shared" si="29"/>
        <v>0</v>
      </c>
      <c r="Y59" s="3">
        <f t="shared" si="29"/>
        <v>0</v>
      </c>
      <c r="Z59" s="3">
        <f t="shared" si="29"/>
        <v>0</v>
      </c>
      <c r="AA59" s="3">
        <f t="shared" si="29"/>
        <v>0</v>
      </c>
      <c r="AB59" s="3">
        <f t="shared" si="29"/>
        <v>0</v>
      </c>
      <c r="AC59" s="3">
        <f t="shared" si="29"/>
        <v>0</v>
      </c>
      <c r="AD59" s="3">
        <f t="shared" si="29"/>
        <v>0</v>
      </c>
      <c r="AE59" s="3">
        <f t="shared" si="29"/>
        <v>0</v>
      </c>
      <c r="AF59" s="3">
        <f t="shared" si="29"/>
        <v>0</v>
      </c>
      <c r="AG59" s="3">
        <f t="shared" si="29"/>
        <v>0</v>
      </c>
    </row>
    <row r="60" spans="2:33" x14ac:dyDescent="0.3">
      <c r="B60" s="60" t="str">
        <f t="shared" si="7"/>
        <v>Road</v>
      </c>
      <c r="C60" s="65">
        <f>'Project Cost Details'!G24/10^7</f>
        <v>1.6905075300000001</v>
      </c>
      <c r="D60" s="3">
        <f t="shared" si="11"/>
        <v>1.6905075300000003</v>
      </c>
      <c r="E60" s="3">
        <f t="shared" ref="E60:AG60" si="30">$C60*E28</f>
        <v>0</v>
      </c>
      <c r="F60" s="3">
        <f t="shared" si="30"/>
        <v>0</v>
      </c>
      <c r="G60" s="3">
        <f t="shared" si="30"/>
        <v>0</v>
      </c>
      <c r="H60" s="3">
        <f t="shared" si="30"/>
        <v>0</v>
      </c>
      <c r="I60" s="3">
        <f t="shared" si="30"/>
        <v>0</v>
      </c>
      <c r="J60" s="3">
        <f t="shared" si="30"/>
        <v>0</v>
      </c>
      <c r="K60" s="3">
        <f t="shared" si="30"/>
        <v>0</v>
      </c>
      <c r="L60" s="3">
        <f t="shared" si="30"/>
        <v>0</v>
      </c>
      <c r="M60" s="3">
        <f t="shared" si="30"/>
        <v>0.16905075300000003</v>
      </c>
      <c r="N60" s="3">
        <f t="shared" si="30"/>
        <v>0.33810150600000005</v>
      </c>
      <c r="O60" s="3">
        <f t="shared" si="30"/>
        <v>0.33810150600000005</v>
      </c>
      <c r="P60" s="3">
        <f t="shared" si="30"/>
        <v>0.33810150600000005</v>
      </c>
      <c r="Q60" s="3">
        <f t="shared" si="30"/>
        <v>0.33810150600000005</v>
      </c>
      <c r="R60" s="3">
        <f t="shared" si="30"/>
        <v>0.16905075300000003</v>
      </c>
      <c r="S60" s="3">
        <f t="shared" si="30"/>
        <v>0</v>
      </c>
      <c r="T60" s="3">
        <f t="shared" si="30"/>
        <v>0</v>
      </c>
      <c r="U60" s="3">
        <f t="shared" si="30"/>
        <v>0</v>
      </c>
      <c r="V60" s="3">
        <f t="shared" si="30"/>
        <v>0</v>
      </c>
      <c r="W60" s="3">
        <f t="shared" si="30"/>
        <v>0</v>
      </c>
      <c r="X60" s="3">
        <f t="shared" si="30"/>
        <v>0</v>
      </c>
      <c r="Y60" s="3">
        <f t="shared" si="30"/>
        <v>0</v>
      </c>
      <c r="Z60" s="3">
        <f t="shared" si="30"/>
        <v>0</v>
      </c>
      <c r="AA60" s="3">
        <f t="shared" si="30"/>
        <v>0</v>
      </c>
      <c r="AB60" s="3">
        <f t="shared" si="30"/>
        <v>0</v>
      </c>
      <c r="AC60" s="3">
        <f t="shared" si="30"/>
        <v>0</v>
      </c>
      <c r="AD60" s="3">
        <f t="shared" si="30"/>
        <v>0</v>
      </c>
      <c r="AE60" s="3">
        <f t="shared" si="30"/>
        <v>0</v>
      </c>
      <c r="AF60" s="3">
        <f t="shared" si="30"/>
        <v>0</v>
      </c>
      <c r="AG60" s="3">
        <f t="shared" si="30"/>
        <v>0</v>
      </c>
    </row>
    <row r="61" spans="2:33" x14ac:dyDescent="0.3">
      <c r="B61" s="60" t="str">
        <f t="shared" si="7"/>
        <v>Electrical</v>
      </c>
      <c r="C61" s="65">
        <f>'Project Cost Details'!G25/10^7</f>
        <v>0</v>
      </c>
      <c r="D61" s="3">
        <f t="shared" si="11"/>
        <v>0</v>
      </c>
      <c r="E61" s="3">
        <f t="shared" ref="E61:AG61" si="31">$C61*E29</f>
        <v>0</v>
      </c>
      <c r="F61" s="3">
        <f t="shared" si="31"/>
        <v>0</v>
      </c>
      <c r="G61" s="3">
        <f t="shared" si="31"/>
        <v>0</v>
      </c>
      <c r="H61" s="3">
        <f t="shared" si="31"/>
        <v>0</v>
      </c>
      <c r="I61" s="3">
        <f t="shared" si="31"/>
        <v>0</v>
      </c>
      <c r="J61" s="3">
        <f t="shared" si="31"/>
        <v>0</v>
      </c>
      <c r="K61" s="3">
        <f t="shared" si="31"/>
        <v>0</v>
      </c>
      <c r="L61" s="3">
        <f t="shared" si="31"/>
        <v>0</v>
      </c>
      <c r="M61" s="3">
        <f t="shared" si="31"/>
        <v>0</v>
      </c>
      <c r="N61" s="3">
        <f t="shared" si="31"/>
        <v>0</v>
      </c>
      <c r="O61" s="3">
        <f t="shared" si="31"/>
        <v>0</v>
      </c>
      <c r="P61" s="3">
        <f t="shared" si="31"/>
        <v>0</v>
      </c>
      <c r="Q61" s="3">
        <f t="shared" si="31"/>
        <v>0</v>
      </c>
      <c r="R61" s="3">
        <f t="shared" si="31"/>
        <v>0</v>
      </c>
      <c r="S61" s="3">
        <f t="shared" si="31"/>
        <v>0</v>
      </c>
      <c r="T61" s="3">
        <f t="shared" si="31"/>
        <v>0</v>
      </c>
      <c r="U61" s="3">
        <f t="shared" si="31"/>
        <v>0</v>
      </c>
      <c r="V61" s="3">
        <f t="shared" si="31"/>
        <v>0</v>
      </c>
      <c r="W61" s="3">
        <f t="shared" si="31"/>
        <v>0</v>
      </c>
      <c r="X61" s="3">
        <f t="shared" si="31"/>
        <v>0</v>
      </c>
      <c r="Y61" s="3">
        <f t="shared" si="31"/>
        <v>0</v>
      </c>
      <c r="Z61" s="3">
        <f t="shared" si="31"/>
        <v>0</v>
      </c>
      <c r="AA61" s="3">
        <f t="shared" si="31"/>
        <v>0</v>
      </c>
      <c r="AB61" s="3">
        <f t="shared" si="31"/>
        <v>0</v>
      </c>
      <c r="AC61" s="3">
        <f t="shared" si="31"/>
        <v>0</v>
      </c>
      <c r="AD61" s="3">
        <f t="shared" si="31"/>
        <v>0</v>
      </c>
      <c r="AE61" s="3">
        <f t="shared" si="31"/>
        <v>0</v>
      </c>
      <c r="AF61" s="3">
        <f t="shared" si="31"/>
        <v>0</v>
      </c>
      <c r="AG61" s="3">
        <f t="shared" si="31"/>
        <v>0</v>
      </c>
    </row>
    <row r="62" spans="2:33" x14ac:dyDescent="0.3">
      <c r="B62" s="60" t="str">
        <f t="shared" si="7"/>
        <v>CDA</v>
      </c>
      <c r="C62" s="65">
        <f>'Project Cost Details'!G26/10^7</f>
        <v>0</v>
      </c>
      <c r="D62" s="3">
        <f t="shared" si="11"/>
        <v>0</v>
      </c>
      <c r="E62" s="3">
        <f t="shared" ref="E62:AG63" si="32">$C62*E30</f>
        <v>0</v>
      </c>
      <c r="F62" s="3">
        <f t="shared" si="32"/>
        <v>0</v>
      </c>
      <c r="G62" s="3">
        <f t="shared" si="32"/>
        <v>0</v>
      </c>
      <c r="H62" s="3">
        <f t="shared" si="32"/>
        <v>0</v>
      </c>
      <c r="I62" s="3">
        <f t="shared" si="32"/>
        <v>0</v>
      </c>
      <c r="J62" s="3">
        <f t="shared" si="32"/>
        <v>0</v>
      </c>
      <c r="K62" s="3">
        <f t="shared" si="32"/>
        <v>0</v>
      </c>
      <c r="L62" s="3">
        <f t="shared" si="32"/>
        <v>0</v>
      </c>
      <c r="M62" s="3">
        <f t="shared" si="32"/>
        <v>0</v>
      </c>
      <c r="N62" s="3">
        <f t="shared" si="32"/>
        <v>0</v>
      </c>
      <c r="O62" s="3">
        <f t="shared" si="32"/>
        <v>0</v>
      </c>
      <c r="P62" s="3">
        <f t="shared" si="32"/>
        <v>0</v>
      </c>
      <c r="Q62" s="3">
        <f t="shared" si="32"/>
        <v>0</v>
      </c>
      <c r="R62" s="3">
        <f t="shared" si="32"/>
        <v>0</v>
      </c>
      <c r="S62" s="3">
        <f t="shared" si="32"/>
        <v>0</v>
      </c>
      <c r="T62" s="3">
        <f t="shared" si="32"/>
        <v>0</v>
      </c>
      <c r="U62" s="3">
        <f t="shared" si="32"/>
        <v>0</v>
      </c>
      <c r="V62" s="3">
        <f t="shared" si="32"/>
        <v>0</v>
      </c>
      <c r="W62" s="3">
        <f t="shared" si="32"/>
        <v>0</v>
      </c>
      <c r="X62" s="3">
        <f t="shared" si="32"/>
        <v>0</v>
      </c>
      <c r="Y62" s="3">
        <f t="shared" si="32"/>
        <v>0</v>
      </c>
      <c r="Z62" s="3">
        <f t="shared" si="32"/>
        <v>0</v>
      </c>
      <c r="AA62" s="3">
        <f t="shared" si="32"/>
        <v>0</v>
      </c>
      <c r="AB62" s="3">
        <f t="shared" si="32"/>
        <v>0</v>
      </c>
      <c r="AC62" s="3">
        <f t="shared" si="32"/>
        <v>0</v>
      </c>
      <c r="AD62" s="3">
        <f t="shared" si="32"/>
        <v>0</v>
      </c>
      <c r="AE62" s="3">
        <f t="shared" si="32"/>
        <v>0</v>
      </c>
      <c r="AF62" s="3">
        <f t="shared" si="32"/>
        <v>0</v>
      </c>
      <c r="AG62" s="3">
        <f t="shared" si="32"/>
        <v>0</v>
      </c>
    </row>
    <row r="63" spans="2:33" x14ac:dyDescent="0.3">
      <c r="B63" s="60" t="str">
        <f t="shared" si="7"/>
        <v>FHS and FAS for the ASRS</v>
      </c>
      <c r="C63" s="65">
        <f>'Project Cost Details'!G27/10^7</f>
        <v>0</v>
      </c>
      <c r="D63" s="3">
        <f t="shared" ref="D63" si="33">SUM(E63:AG63)</f>
        <v>0</v>
      </c>
      <c r="E63" s="3">
        <f t="shared" si="32"/>
        <v>0</v>
      </c>
      <c r="F63" s="3">
        <f t="shared" si="32"/>
        <v>0</v>
      </c>
      <c r="G63" s="3">
        <f t="shared" si="32"/>
        <v>0</v>
      </c>
      <c r="H63" s="3">
        <f t="shared" si="32"/>
        <v>0</v>
      </c>
      <c r="I63" s="3">
        <f t="shared" si="32"/>
        <v>0</v>
      </c>
      <c r="J63" s="3">
        <f t="shared" si="32"/>
        <v>0</v>
      </c>
      <c r="K63" s="3">
        <f t="shared" si="32"/>
        <v>0</v>
      </c>
      <c r="L63" s="3">
        <f t="shared" si="32"/>
        <v>0</v>
      </c>
      <c r="M63" s="3">
        <f t="shared" si="32"/>
        <v>0</v>
      </c>
      <c r="N63" s="3">
        <f t="shared" si="32"/>
        <v>0</v>
      </c>
      <c r="O63" s="3">
        <f t="shared" si="32"/>
        <v>0</v>
      </c>
      <c r="P63" s="3">
        <f t="shared" si="32"/>
        <v>0</v>
      </c>
      <c r="Q63" s="3">
        <f t="shared" si="32"/>
        <v>0</v>
      </c>
      <c r="R63" s="3">
        <f t="shared" si="32"/>
        <v>0</v>
      </c>
      <c r="S63" s="3">
        <f t="shared" si="32"/>
        <v>0</v>
      </c>
      <c r="T63" s="3">
        <f t="shared" si="32"/>
        <v>0</v>
      </c>
      <c r="U63" s="3">
        <f t="shared" si="32"/>
        <v>0</v>
      </c>
      <c r="V63" s="3">
        <f t="shared" si="32"/>
        <v>0</v>
      </c>
      <c r="W63" s="3">
        <f t="shared" si="32"/>
        <v>0</v>
      </c>
      <c r="X63" s="3">
        <f t="shared" si="32"/>
        <v>0</v>
      </c>
      <c r="Y63" s="3">
        <f t="shared" si="32"/>
        <v>0</v>
      </c>
      <c r="Z63" s="3">
        <f t="shared" si="32"/>
        <v>0</v>
      </c>
      <c r="AA63" s="3">
        <f t="shared" si="32"/>
        <v>0</v>
      </c>
      <c r="AB63" s="3">
        <f t="shared" si="32"/>
        <v>0</v>
      </c>
      <c r="AC63" s="3">
        <f t="shared" si="32"/>
        <v>0</v>
      </c>
      <c r="AD63" s="3">
        <f t="shared" si="32"/>
        <v>0</v>
      </c>
      <c r="AE63" s="3">
        <f t="shared" si="32"/>
        <v>0</v>
      </c>
      <c r="AF63" s="3">
        <f t="shared" si="32"/>
        <v>0</v>
      </c>
      <c r="AG63" s="3">
        <f t="shared" si="32"/>
        <v>0</v>
      </c>
    </row>
    <row r="64" spans="2:33" x14ac:dyDescent="0.3">
      <c r="B64" s="60" t="str">
        <f t="shared" si="7"/>
        <v>Dock levellers</v>
      </c>
      <c r="C64" s="65">
        <f>'Project Cost Details'!G28/10^7</f>
        <v>0.838469888</v>
      </c>
      <c r="D64" s="3">
        <f t="shared" si="11"/>
        <v>0.838469888</v>
      </c>
      <c r="E64" s="3">
        <f>$C64*E32</f>
        <v>0</v>
      </c>
      <c r="F64" s="3">
        <f t="shared" ref="F64:AG64" si="34">$C64*F32</f>
        <v>0</v>
      </c>
      <c r="G64" s="3">
        <f t="shared" si="34"/>
        <v>0</v>
      </c>
      <c r="H64" s="3">
        <f t="shared" si="34"/>
        <v>0</v>
      </c>
      <c r="I64" s="3">
        <f t="shared" si="34"/>
        <v>0.50308193280000002</v>
      </c>
      <c r="J64" s="3">
        <f t="shared" si="34"/>
        <v>0.16769397760000002</v>
      </c>
      <c r="K64" s="3">
        <f t="shared" si="34"/>
        <v>0</v>
      </c>
      <c r="L64" s="3">
        <f t="shared" si="34"/>
        <v>8.3846988800000008E-2</v>
      </c>
      <c r="M64" s="3">
        <f t="shared" si="34"/>
        <v>8.3846988800000008E-2</v>
      </c>
      <c r="N64" s="3">
        <f t="shared" si="34"/>
        <v>0</v>
      </c>
      <c r="O64" s="3">
        <f t="shared" si="34"/>
        <v>0</v>
      </c>
      <c r="P64" s="3">
        <f t="shared" si="34"/>
        <v>0</v>
      </c>
      <c r="Q64" s="3">
        <f t="shared" si="34"/>
        <v>0</v>
      </c>
      <c r="R64" s="3">
        <f t="shared" si="34"/>
        <v>0</v>
      </c>
      <c r="S64" s="3">
        <f t="shared" si="34"/>
        <v>0</v>
      </c>
      <c r="T64" s="3">
        <f t="shared" si="34"/>
        <v>0</v>
      </c>
      <c r="U64" s="3">
        <f t="shared" si="34"/>
        <v>0</v>
      </c>
      <c r="V64" s="3">
        <f t="shared" si="34"/>
        <v>0</v>
      </c>
      <c r="W64" s="3">
        <f t="shared" si="34"/>
        <v>0</v>
      </c>
      <c r="X64" s="3">
        <f t="shared" si="34"/>
        <v>0</v>
      </c>
      <c r="Y64" s="3">
        <f t="shared" si="34"/>
        <v>0</v>
      </c>
      <c r="Z64" s="3">
        <f t="shared" si="34"/>
        <v>0</v>
      </c>
      <c r="AA64" s="3">
        <f t="shared" si="34"/>
        <v>0</v>
      </c>
      <c r="AB64" s="3">
        <f t="shared" si="34"/>
        <v>0</v>
      </c>
      <c r="AC64" s="3">
        <f t="shared" si="34"/>
        <v>0</v>
      </c>
      <c r="AD64" s="3">
        <f t="shared" si="34"/>
        <v>0</v>
      </c>
      <c r="AE64" s="3">
        <f t="shared" si="34"/>
        <v>0</v>
      </c>
      <c r="AF64" s="3">
        <f t="shared" si="34"/>
        <v>0</v>
      </c>
      <c r="AG64" s="3">
        <f t="shared" si="34"/>
        <v>0</v>
      </c>
    </row>
    <row r="65" spans="2:33" x14ac:dyDescent="0.3">
      <c r="B65" s="60" t="str">
        <f t="shared" si="7"/>
        <v>Contingency</v>
      </c>
      <c r="C65" s="65">
        <f>'Project Cost Details'!G29/10^7</f>
        <v>2.3787001209</v>
      </c>
      <c r="D65" s="3">
        <f t="shared" si="11"/>
        <v>2.3787001209</v>
      </c>
      <c r="E65" s="3">
        <f>$C65*E33</f>
        <v>0</v>
      </c>
      <c r="F65" s="3">
        <f t="shared" ref="F65:AG65" si="35">$C65*F33</f>
        <v>0</v>
      </c>
      <c r="G65" s="3">
        <f t="shared" si="35"/>
        <v>0</v>
      </c>
      <c r="H65" s="3">
        <f t="shared" si="35"/>
        <v>0</v>
      </c>
      <c r="I65" s="3">
        <f t="shared" si="35"/>
        <v>0</v>
      </c>
      <c r="J65" s="3">
        <f>$C65*J33</f>
        <v>1.18935006045</v>
      </c>
      <c r="K65" s="3">
        <f>$C65*K33</f>
        <v>0</v>
      </c>
      <c r="L65" s="3">
        <f t="shared" si="35"/>
        <v>0</v>
      </c>
      <c r="M65" s="3">
        <f t="shared" si="35"/>
        <v>0</v>
      </c>
      <c r="N65" s="3">
        <f t="shared" si="35"/>
        <v>0</v>
      </c>
      <c r="O65" s="3">
        <f t="shared" si="35"/>
        <v>0</v>
      </c>
      <c r="P65" s="3">
        <f t="shared" si="35"/>
        <v>0</v>
      </c>
      <c r="Q65" s="3">
        <f t="shared" si="35"/>
        <v>0</v>
      </c>
      <c r="R65" s="3">
        <f t="shared" si="35"/>
        <v>1.18935006045</v>
      </c>
      <c r="S65" s="3">
        <f t="shared" si="35"/>
        <v>0</v>
      </c>
      <c r="T65" s="3">
        <f t="shared" si="35"/>
        <v>0</v>
      </c>
      <c r="U65" s="3">
        <f t="shared" si="35"/>
        <v>0</v>
      </c>
      <c r="V65" s="3">
        <f t="shared" si="35"/>
        <v>0</v>
      </c>
      <c r="W65" s="3">
        <f t="shared" si="35"/>
        <v>0</v>
      </c>
      <c r="X65" s="3">
        <f t="shared" si="35"/>
        <v>0</v>
      </c>
      <c r="Y65" s="3">
        <f t="shared" si="35"/>
        <v>0</v>
      </c>
      <c r="Z65" s="3">
        <f t="shared" si="35"/>
        <v>0</v>
      </c>
      <c r="AA65" s="3">
        <f t="shared" si="35"/>
        <v>0</v>
      </c>
      <c r="AB65" s="3">
        <f t="shared" si="35"/>
        <v>0</v>
      </c>
      <c r="AC65" s="3">
        <f t="shared" si="35"/>
        <v>0</v>
      </c>
      <c r="AD65" s="3">
        <f t="shared" si="35"/>
        <v>0</v>
      </c>
      <c r="AE65" s="3">
        <f t="shared" si="35"/>
        <v>0</v>
      </c>
      <c r="AF65" s="3">
        <f t="shared" si="35"/>
        <v>0</v>
      </c>
      <c r="AG65" s="3">
        <f t="shared" si="35"/>
        <v>0</v>
      </c>
    </row>
    <row r="66" spans="2:33" x14ac:dyDescent="0.3">
      <c r="B66" s="60" t="str">
        <f t="shared" si="7"/>
        <v>Pre - operating expenses</v>
      </c>
      <c r="C66" s="65">
        <f>'Project Cost Details'!G30/10^7</f>
        <v>0.54125170008900003</v>
      </c>
      <c r="D66" s="3">
        <f t="shared" si="11"/>
        <v>0.54125170008899981</v>
      </c>
      <c r="E66" s="3">
        <f>$C66*E34</f>
        <v>3.8660835720642855E-2</v>
      </c>
      <c r="F66" s="3">
        <f t="shared" ref="F66:AG66" si="36">$C66*F34</f>
        <v>3.8660835720642855E-2</v>
      </c>
      <c r="G66" s="3">
        <f t="shared" si="36"/>
        <v>3.8660835720642855E-2</v>
      </c>
      <c r="H66" s="3">
        <f t="shared" si="36"/>
        <v>3.8660835720642855E-2</v>
      </c>
      <c r="I66" s="3">
        <f t="shared" si="36"/>
        <v>3.8660835720642855E-2</v>
      </c>
      <c r="J66" s="3">
        <f t="shared" si="36"/>
        <v>3.8660835720642855E-2</v>
      </c>
      <c r="K66" s="3">
        <f t="shared" si="36"/>
        <v>3.8660835720642855E-2</v>
      </c>
      <c r="L66" s="3">
        <f t="shared" si="36"/>
        <v>3.8660835720642855E-2</v>
      </c>
      <c r="M66" s="3">
        <f t="shared" si="36"/>
        <v>3.8660835720642855E-2</v>
      </c>
      <c r="N66" s="3">
        <f t="shared" si="36"/>
        <v>3.8660835720642855E-2</v>
      </c>
      <c r="O66" s="3">
        <f t="shared" si="36"/>
        <v>3.8660835720642855E-2</v>
      </c>
      <c r="P66" s="3">
        <f t="shared" si="36"/>
        <v>3.8660835720642855E-2</v>
      </c>
      <c r="Q66" s="3">
        <f t="shared" si="36"/>
        <v>3.8660835720642855E-2</v>
      </c>
      <c r="R66" s="3">
        <f t="shared" si="36"/>
        <v>3.8660835720642855E-2</v>
      </c>
      <c r="S66" s="3">
        <f t="shared" si="36"/>
        <v>0</v>
      </c>
      <c r="T66" s="3">
        <f t="shared" si="36"/>
        <v>0</v>
      </c>
      <c r="U66" s="3">
        <f t="shared" si="36"/>
        <v>0</v>
      </c>
      <c r="V66" s="3">
        <f t="shared" si="36"/>
        <v>0</v>
      </c>
      <c r="W66" s="3">
        <f t="shared" si="36"/>
        <v>0</v>
      </c>
      <c r="X66" s="3">
        <f t="shared" si="36"/>
        <v>0</v>
      </c>
      <c r="Y66" s="3">
        <f t="shared" si="36"/>
        <v>0</v>
      </c>
      <c r="Z66" s="3">
        <f t="shared" si="36"/>
        <v>0</v>
      </c>
      <c r="AA66" s="3">
        <f t="shared" si="36"/>
        <v>0</v>
      </c>
      <c r="AB66" s="3">
        <f t="shared" si="36"/>
        <v>0</v>
      </c>
      <c r="AC66" s="3">
        <f t="shared" si="36"/>
        <v>0</v>
      </c>
      <c r="AD66" s="3">
        <f t="shared" si="36"/>
        <v>0</v>
      </c>
      <c r="AE66" s="3">
        <f t="shared" si="36"/>
        <v>0</v>
      </c>
      <c r="AF66" s="3">
        <f t="shared" si="36"/>
        <v>0</v>
      </c>
      <c r="AG66" s="3">
        <f t="shared" si="36"/>
        <v>0</v>
      </c>
    </row>
    <row r="67" spans="2:33" x14ac:dyDescent="0.3">
      <c r="B67" s="60" t="str">
        <f t="shared" si="7"/>
        <v>IDC</v>
      </c>
      <c r="C67" s="65">
        <f ca="1">'Project Cost Details'!G31/10^7</f>
        <v>3.4026071761470376</v>
      </c>
      <c r="D67" s="3">
        <f t="shared" ca="1" si="11"/>
        <v>3.4026071761470353</v>
      </c>
      <c r="E67" s="3">
        <f ca="1">$C67*E35</f>
        <v>0.24304336972478838</v>
      </c>
      <c r="F67" s="3">
        <f t="shared" ref="F67:AG67" ca="1" si="37">$C67*F35</f>
        <v>0.24304336972478838</v>
      </c>
      <c r="G67" s="3">
        <f t="shared" ca="1" si="37"/>
        <v>0.24304336972478838</v>
      </c>
      <c r="H67" s="3">
        <f t="shared" ca="1" si="37"/>
        <v>0.24304336972478838</v>
      </c>
      <c r="I67" s="3">
        <f t="shared" ca="1" si="37"/>
        <v>0.24304336972478838</v>
      </c>
      <c r="J67" s="3">
        <f t="shared" ca="1" si="37"/>
        <v>0.24304336972478838</v>
      </c>
      <c r="K67" s="3">
        <f t="shared" ca="1" si="37"/>
        <v>0.24304336972478838</v>
      </c>
      <c r="L67" s="3">
        <f t="shared" ca="1" si="37"/>
        <v>0.24304336972478838</v>
      </c>
      <c r="M67" s="3">
        <f t="shared" ca="1" si="37"/>
        <v>0.24304336972478838</v>
      </c>
      <c r="N67" s="3">
        <f t="shared" ca="1" si="37"/>
        <v>0.24304336972478838</v>
      </c>
      <c r="O67" s="3">
        <f t="shared" ca="1" si="37"/>
        <v>0.24304336972478838</v>
      </c>
      <c r="P67" s="3">
        <f t="shared" ca="1" si="37"/>
        <v>0.24304336972478838</v>
      </c>
      <c r="Q67" s="3">
        <f t="shared" ca="1" si="37"/>
        <v>0.24304336972478838</v>
      </c>
      <c r="R67" s="3">
        <f t="shared" ca="1" si="37"/>
        <v>0.24304336972478838</v>
      </c>
      <c r="S67" s="3">
        <f t="shared" ca="1" si="37"/>
        <v>0</v>
      </c>
      <c r="T67" s="3">
        <f t="shared" ca="1" si="37"/>
        <v>0</v>
      </c>
      <c r="U67" s="3">
        <f t="shared" ca="1" si="37"/>
        <v>0</v>
      </c>
      <c r="V67" s="3">
        <f t="shared" ca="1" si="37"/>
        <v>0</v>
      </c>
      <c r="W67" s="3">
        <f t="shared" ca="1" si="37"/>
        <v>0</v>
      </c>
      <c r="X67" s="3">
        <f t="shared" ca="1" si="37"/>
        <v>0</v>
      </c>
      <c r="Y67" s="3">
        <f t="shared" ca="1" si="37"/>
        <v>0</v>
      </c>
      <c r="Z67" s="3">
        <f t="shared" ca="1" si="37"/>
        <v>0</v>
      </c>
      <c r="AA67" s="3">
        <f t="shared" ca="1" si="37"/>
        <v>0</v>
      </c>
      <c r="AB67" s="3">
        <f t="shared" ca="1" si="37"/>
        <v>0</v>
      </c>
      <c r="AC67" s="3">
        <f t="shared" ca="1" si="37"/>
        <v>0</v>
      </c>
      <c r="AD67" s="3">
        <f t="shared" ca="1" si="37"/>
        <v>0</v>
      </c>
      <c r="AE67" s="3">
        <f t="shared" ca="1" si="37"/>
        <v>0</v>
      </c>
      <c r="AF67" s="3">
        <f t="shared" ca="1" si="37"/>
        <v>0</v>
      </c>
      <c r="AG67" s="3">
        <f t="shared" ca="1" si="37"/>
        <v>0</v>
      </c>
    </row>
    <row r="68" spans="2:33" ht="15" thickBot="1" x14ac:dyDescent="0.35">
      <c r="B68" s="60" t="str">
        <f t="shared" si="7"/>
        <v>Finance cost</v>
      </c>
      <c r="C68" s="65">
        <f ca="1">'Project Cost Details'!G32/10^7</f>
        <v>0.26948280707568018</v>
      </c>
      <c r="D68" s="3">
        <f t="shared" ca="1" si="11"/>
        <v>0.26948280707568012</v>
      </c>
      <c r="E68" s="3">
        <f ca="1">$C68*E36</f>
        <v>1.9248771933977154E-2</v>
      </c>
      <c r="F68" s="3">
        <f t="shared" ref="F68:AG68" ca="1" si="38">$C68*F36</f>
        <v>1.9248771933977154E-2</v>
      </c>
      <c r="G68" s="3">
        <f t="shared" ca="1" si="38"/>
        <v>1.9248771933977154E-2</v>
      </c>
      <c r="H68" s="3">
        <f t="shared" ca="1" si="38"/>
        <v>1.9248771933977154E-2</v>
      </c>
      <c r="I68" s="3">
        <f t="shared" ca="1" si="38"/>
        <v>1.9248771933977154E-2</v>
      </c>
      <c r="J68" s="3">
        <f t="shared" ca="1" si="38"/>
        <v>1.9248771933977154E-2</v>
      </c>
      <c r="K68" s="3">
        <f t="shared" ca="1" si="38"/>
        <v>1.9248771933977154E-2</v>
      </c>
      <c r="L68" s="3">
        <f t="shared" ca="1" si="38"/>
        <v>1.9248771933977154E-2</v>
      </c>
      <c r="M68" s="3">
        <f t="shared" ca="1" si="38"/>
        <v>1.9248771933977154E-2</v>
      </c>
      <c r="N68" s="3">
        <f t="shared" ca="1" si="38"/>
        <v>1.9248771933977154E-2</v>
      </c>
      <c r="O68" s="3">
        <f t="shared" ca="1" si="38"/>
        <v>1.9248771933977154E-2</v>
      </c>
      <c r="P68" s="3">
        <f t="shared" ca="1" si="38"/>
        <v>1.9248771933977154E-2</v>
      </c>
      <c r="Q68" s="3">
        <f t="shared" ca="1" si="38"/>
        <v>1.9248771933977154E-2</v>
      </c>
      <c r="R68" s="3">
        <f t="shared" ca="1" si="38"/>
        <v>1.9248771933977154E-2</v>
      </c>
      <c r="S68" s="3">
        <f t="shared" ca="1" si="38"/>
        <v>0</v>
      </c>
      <c r="T68" s="3">
        <f t="shared" ca="1" si="38"/>
        <v>0</v>
      </c>
      <c r="U68" s="3">
        <f t="shared" ca="1" si="38"/>
        <v>0</v>
      </c>
      <c r="V68" s="3">
        <f t="shared" ca="1" si="38"/>
        <v>0</v>
      </c>
      <c r="W68" s="3">
        <f t="shared" ca="1" si="38"/>
        <v>0</v>
      </c>
      <c r="X68" s="3">
        <f t="shared" ca="1" si="38"/>
        <v>0</v>
      </c>
      <c r="Y68" s="3">
        <f t="shared" ca="1" si="38"/>
        <v>0</v>
      </c>
      <c r="Z68" s="3">
        <f t="shared" ca="1" si="38"/>
        <v>0</v>
      </c>
      <c r="AA68" s="3">
        <f t="shared" ca="1" si="38"/>
        <v>0</v>
      </c>
      <c r="AB68" s="3">
        <f t="shared" ca="1" si="38"/>
        <v>0</v>
      </c>
      <c r="AC68" s="3">
        <f t="shared" ca="1" si="38"/>
        <v>0</v>
      </c>
      <c r="AD68" s="3">
        <f t="shared" ca="1" si="38"/>
        <v>0</v>
      </c>
      <c r="AE68" s="3">
        <f t="shared" ca="1" si="38"/>
        <v>0</v>
      </c>
      <c r="AF68" s="3">
        <f t="shared" ca="1" si="38"/>
        <v>0</v>
      </c>
      <c r="AG68" s="3">
        <f t="shared" ca="1" si="38"/>
        <v>0</v>
      </c>
    </row>
    <row r="69" spans="2:33" ht="15" thickBot="1" x14ac:dyDescent="0.35">
      <c r="B69" s="7" t="s">
        <v>2</v>
      </c>
      <c r="C69" s="66">
        <f ca="1">SUM(C40:C68)</f>
        <v>54.166044222211717</v>
      </c>
      <c r="D69" s="9">
        <f ca="1">SUM(D40:D68)</f>
        <v>54.166044222211717</v>
      </c>
      <c r="E69" s="9">
        <f ca="1">SUM(E40:E68)</f>
        <v>15.600952977379414</v>
      </c>
      <c r="F69" s="9">
        <f t="shared" ref="F69:AG69" ca="1" si="39">SUM(F40:F68)</f>
        <v>0.3009529773794084</v>
      </c>
      <c r="G69" s="9">
        <f t="shared" ca="1" si="39"/>
        <v>0.3009529773794084</v>
      </c>
      <c r="H69" s="9">
        <f t="shared" ca="1" si="39"/>
        <v>0.3009529773794084</v>
      </c>
      <c r="I69" s="9">
        <f t="shared" ca="1" si="39"/>
        <v>0.80403491017940831</v>
      </c>
      <c r="J69" s="9">
        <f t="shared" ca="1" si="39"/>
        <v>1.6579970154294084</v>
      </c>
      <c r="K69" s="9">
        <f t="shared" ca="1" si="39"/>
        <v>2.9820604773794086</v>
      </c>
      <c r="L69" s="9">
        <f t="shared" ca="1" si="39"/>
        <v>8.4092149661794089</v>
      </c>
      <c r="M69" s="9">
        <f t="shared" ca="1" si="39"/>
        <v>4.9971532191794106</v>
      </c>
      <c r="N69" s="9">
        <f t="shared" ca="1" si="39"/>
        <v>5.9634544833794099</v>
      </c>
      <c r="O69" s="9">
        <f t="shared" ca="1" si="39"/>
        <v>5.0760544833794095</v>
      </c>
      <c r="P69" s="9">
        <f t="shared" ca="1" si="39"/>
        <v>2.4138544833794087</v>
      </c>
      <c r="Q69" s="9">
        <f t="shared" ca="1" si="39"/>
        <v>2.1676706433794091</v>
      </c>
      <c r="R69" s="9">
        <f t="shared" ca="1" si="39"/>
        <v>3.1907376308294091</v>
      </c>
      <c r="S69" s="9">
        <f t="shared" ca="1" si="39"/>
        <v>0</v>
      </c>
      <c r="T69" s="9">
        <f t="shared" ca="1" si="39"/>
        <v>0</v>
      </c>
      <c r="U69" s="9">
        <f t="shared" ca="1" si="39"/>
        <v>0</v>
      </c>
      <c r="V69" s="9">
        <f t="shared" ca="1" si="39"/>
        <v>0</v>
      </c>
      <c r="W69" s="9">
        <f t="shared" ca="1" si="39"/>
        <v>0</v>
      </c>
      <c r="X69" s="9">
        <f t="shared" ca="1" si="39"/>
        <v>0</v>
      </c>
      <c r="Y69" s="9">
        <f t="shared" ca="1" si="39"/>
        <v>0</v>
      </c>
      <c r="Z69" s="9">
        <f t="shared" ca="1" si="39"/>
        <v>0</v>
      </c>
      <c r="AA69" s="9">
        <f t="shared" ca="1" si="39"/>
        <v>0</v>
      </c>
      <c r="AB69" s="9">
        <f t="shared" ca="1" si="39"/>
        <v>0</v>
      </c>
      <c r="AC69" s="9">
        <f t="shared" ca="1" si="39"/>
        <v>0</v>
      </c>
      <c r="AD69" s="9">
        <f t="shared" ca="1" si="39"/>
        <v>0</v>
      </c>
      <c r="AE69" s="9">
        <f t="shared" ca="1" si="39"/>
        <v>0</v>
      </c>
      <c r="AF69" s="9">
        <f t="shared" ca="1" si="39"/>
        <v>0</v>
      </c>
      <c r="AG69" s="10">
        <f t="shared" ca="1" si="39"/>
        <v>0</v>
      </c>
    </row>
    <row r="71" spans="2:33" x14ac:dyDescent="0.3">
      <c r="B71" t="s">
        <v>37</v>
      </c>
      <c r="E71" s="3">
        <f ca="1">'Term Loan'!C40</f>
        <v>15.600952977325248</v>
      </c>
      <c r="F71" s="3">
        <f ca="1">'Term Loan'!D40</f>
        <v>0.30095297737940824</v>
      </c>
      <c r="G71" s="3">
        <f ca="1">'Term Loan'!E40</f>
        <v>0.30095297737940824</v>
      </c>
      <c r="H71" s="3">
        <f ca="1">'Term Loan'!F40</f>
        <v>0.30095297737940824</v>
      </c>
      <c r="I71" s="3">
        <f ca="1">'Term Loan'!G40</f>
        <v>0.8040349101794082</v>
      </c>
      <c r="J71" s="3">
        <f ca="1">'Term Loan'!H40</f>
        <v>1.6579970154294081</v>
      </c>
      <c r="K71" s="3">
        <f ca="1">'Term Loan'!I40</f>
        <v>2.9820604773794086</v>
      </c>
      <c r="L71" s="3">
        <f ca="1">'Term Loan'!J40</f>
        <v>8.4092149661794089</v>
      </c>
      <c r="M71" s="3">
        <f ca="1">'Term Loan'!K40</f>
        <v>4.9971532191794097</v>
      </c>
      <c r="N71" s="3">
        <f ca="1">'Term Loan'!L40</f>
        <v>5.9634544833794099</v>
      </c>
      <c r="O71" s="3">
        <f ca="1">'Term Loan'!M40</f>
        <v>5.0760544833794086</v>
      </c>
      <c r="P71" s="3">
        <f ca="1">'Term Loan'!N40</f>
        <v>2.4138544833794087</v>
      </c>
      <c r="Q71" s="3">
        <f ca="1">'Term Loan'!O40</f>
        <v>2.1676706433794086</v>
      </c>
      <c r="R71" s="3">
        <f ca="1">'Term Loan'!P40</f>
        <v>3.1907376308294091</v>
      </c>
      <c r="S71" s="3">
        <f>'Term Loan'!Q40</f>
        <v>0</v>
      </c>
      <c r="T71" s="3">
        <f>'Term Loan'!R40</f>
        <v>0</v>
      </c>
      <c r="U71" s="3">
        <f>'Term Loan'!S40</f>
        <v>0</v>
      </c>
      <c r="V71" s="3">
        <f>'Term Loan'!T40</f>
        <v>0</v>
      </c>
      <c r="W71" s="3">
        <f>'Term Loan'!U40</f>
        <v>0</v>
      </c>
      <c r="X71" s="3">
        <f>'Term Loan'!V40</f>
        <v>0</v>
      </c>
      <c r="Y71" s="3">
        <f>'Term Loan'!W40</f>
        <v>0</v>
      </c>
      <c r="Z71" s="3">
        <f>'Term Loan'!X40</f>
        <v>0</v>
      </c>
      <c r="AA71" s="3">
        <f>'Term Loan'!Y40</f>
        <v>0</v>
      </c>
      <c r="AB71" s="3">
        <f>'Term Loan'!Z40</f>
        <v>0</v>
      </c>
      <c r="AC71" s="3">
        <f>'Term Loan'!AA40</f>
        <v>0</v>
      </c>
      <c r="AD71" s="3">
        <f>'Term Loan'!AB40</f>
        <v>0</v>
      </c>
      <c r="AE71" s="3">
        <f>'Term Loan'!AC40</f>
        <v>0</v>
      </c>
      <c r="AF71" s="3">
        <f>'Term Loan'!AD40</f>
        <v>0</v>
      </c>
      <c r="AG71" s="3">
        <f>'Term Loan'!AE40</f>
        <v>0</v>
      </c>
    </row>
    <row r="72" spans="2:33" x14ac:dyDescent="0.3">
      <c r="B72" t="s">
        <v>38</v>
      </c>
      <c r="E72" s="3">
        <f ca="1">'Term Loan'!C35</f>
        <v>5.4166044222211715E-11</v>
      </c>
      <c r="F72" s="3">
        <f ca="1">'Term Loan'!D35</f>
        <v>0</v>
      </c>
      <c r="G72" s="3">
        <f ca="1">'Term Loan'!E35</f>
        <v>0</v>
      </c>
      <c r="H72" s="3">
        <f ca="1">'Term Loan'!F35</f>
        <v>0</v>
      </c>
      <c r="I72" s="3">
        <f ca="1">'Term Loan'!G35</f>
        <v>0</v>
      </c>
      <c r="J72" s="3">
        <f ca="1">'Term Loan'!H35</f>
        <v>0</v>
      </c>
      <c r="K72" s="3">
        <f ca="1">'Term Loan'!I35</f>
        <v>0</v>
      </c>
      <c r="L72" s="3">
        <f ca="1">'Term Loan'!J35</f>
        <v>0</v>
      </c>
      <c r="M72" s="3">
        <f ca="1">'Term Loan'!K35</f>
        <v>0</v>
      </c>
      <c r="N72" s="3">
        <f ca="1">'Term Loan'!L35</f>
        <v>0</v>
      </c>
      <c r="O72" s="3">
        <f ca="1">'Term Loan'!M35</f>
        <v>0</v>
      </c>
      <c r="P72" s="3">
        <f ca="1">'Term Loan'!N35</f>
        <v>0</v>
      </c>
      <c r="Q72" s="3">
        <f ca="1">'Term Loan'!O35</f>
        <v>0</v>
      </c>
      <c r="R72" s="3">
        <f ca="1">'Term Loan'!P35</f>
        <v>0</v>
      </c>
      <c r="S72" s="3">
        <f>'Term Loan'!Q35</f>
        <v>0</v>
      </c>
      <c r="T72" s="3">
        <f>'Term Loan'!R35</f>
        <v>0</v>
      </c>
      <c r="U72" s="3">
        <f>'Term Loan'!S35</f>
        <v>0</v>
      </c>
      <c r="V72" s="3">
        <f>'Term Loan'!T35</f>
        <v>0</v>
      </c>
      <c r="W72" s="3">
        <f>'Term Loan'!U35</f>
        <v>0</v>
      </c>
      <c r="X72" s="3">
        <f>'Term Loan'!V35</f>
        <v>0</v>
      </c>
      <c r="Y72" s="3">
        <f>'Term Loan'!W35</f>
        <v>0</v>
      </c>
      <c r="Z72" s="3">
        <f>'Term Loan'!X35</f>
        <v>0</v>
      </c>
      <c r="AA72" s="3">
        <f>'Term Loan'!Y35</f>
        <v>0</v>
      </c>
      <c r="AB72" s="3">
        <f>'Term Loan'!Z35</f>
        <v>0</v>
      </c>
      <c r="AC72" s="3">
        <f>'Term Loan'!AA35</f>
        <v>0</v>
      </c>
      <c r="AD72" s="3">
        <f>'Term Loan'!AB35</f>
        <v>0</v>
      </c>
      <c r="AE72" s="3">
        <f>'Term Loan'!AC35</f>
        <v>0</v>
      </c>
      <c r="AF72" s="3">
        <f>'Term Loan'!AD35</f>
        <v>0</v>
      </c>
      <c r="AG72" s="3">
        <f>'Term Loan'!AE35</f>
        <v>0</v>
      </c>
    </row>
  </sheetData>
  <mergeCells count="8">
    <mergeCell ref="AQ34:AQ35"/>
    <mergeCell ref="AR34:AR35"/>
    <mergeCell ref="AQ10:AQ11"/>
    <mergeCell ref="AR10:AR11"/>
    <mergeCell ref="AQ12:AQ14"/>
    <mergeCell ref="AR12:AR14"/>
    <mergeCell ref="AQ15:AQ33"/>
    <mergeCell ref="AR15:AR33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1928-A2CF-4C08-A90F-10EB28F01072}">
  <sheetPr>
    <tabColor rgb="FFFF0000"/>
  </sheetPr>
  <dimension ref="A2:IC146"/>
  <sheetViews>
    <sheetView zoomScale="66" workbookViewId="0">
      <selection activeCell="C3" sqref="C3"/>
    </sheetView>
  </sheetViews>
  <sheetFormatPr defaultRowHeight="14.4" x14ac:dyDescent="0.3"/>
  <cols>
    <col min="2" max="2" width="19.77734375" bestFit="1" customWidth="1"/>
    <col min="3" max="3" width="10.33203125" bestFit="1" customWidth="1"/>
    <col min="4" max="4" width="8.88671875" bestFit="1" customWidth="1"/>
    <col min="5" max="6" width="15.88671875" bestFit="1" customWidth="1"/>
    <col min="7" max="7" width="11.88671875" bestFit="1" customWidth="1"/>
    <col min="9" max="9" width="13.109375" bestFit="1" customWidth="1"/>
    <col min="15" max="15" width="8" bestFit="1" customWidth="1"/>
  </cols>
  <sheetData>
    <row r="2" spans="2:32" x14ac:dyDescent="0.3">
      <c r="B2" s="317" t="s">
        <v>130</v>
      </c>
      <c r="C2" s="317"/>
      <c r="D2" s="317"/>
      <c r="F2" s="73" t="s">
        <v>5</v>
      </c>
      <c r="G2" s="73" t="s">
        <v>137</v>
      </c>
      <c r="I2" t="s">
        <v>20</v>
      </c>
      <c r="J2">
        <v>0</v>
      </c>
      <c r="K2">
        <v>1</v>
      </c>
      <c r="L2">
        <v>2</v>
      </c>
      <c r="M2">
        <f>L2+1</f>
        <v>3</v>
      </c>
      <c r="N2">
        <f t="shared" ref="N2:AF2" si="0">M2+1</f>
        <v>4</v>
      </c>
      <c r="O2">
        <f t="shared" si="0"/>
        <v>5</v>
      </c>
      <c r="P2">
        <f t="shared" si="0"/>
        <v>6</v>
      </c>
      <c r="Q2">
        <f t="shared" si="0"/>
        <v>7</v>
      </c>
      <c r="R2">
        <f t="shared" si="0"/>
        <v>8</v>
      </c>
      <c r="S2">
        <f t="shared" si="0"/>
        <v>9</v>
      </c>
      <c r="T2">
        <f t="shared" si="0"/>
        <v>10</v>
      </c>
      <c r="U2">
        <f t="shared" si="0"/>
        <v>11</v>
      </c>
      <c r="V2">
        <f t="shared" si="0"/>
        <v>12</v>
      </c>
      <c r="W2">
        <f t="shared" si="0"/>
        <v>13</v>
      </c>
      <c r="X2">
        <f t="shared" si="0"/>
        <v>14</v>
      </c>
      <c r="Y2">
        <f t="shared" si="0"/>
        <v>15</v>
      </c>
      <c r="Z2">
        <f t="shared" si="0"/>
        <v>16</v>
      </c>
      <c r="AA2">
        <f t="shared" si="0"/>
        <v>17</v>
      </c>
      <c r="AB2">
        <f t="shared" si="0"/>
        <v>18</v>
      </c>
      <c r="AC2">
        <f t="shared" si="0"/>
        <v>19</v>
      </c>
      <c r="AD2">
        <f t="shared" si="0"/>
        <v>20</v>
      </c>
      <c r="AE2">
        <f t="shared" si="0"/>
        <v>21</v>
      </c>
      <c r="AF2">
        <f t="shared" si="0"/>
        <v>22</v>
      </c>
    </row>
    <row r="3" spans="2:32" x14ac:dyDescent="0.3">
      <c r="B3" s="6" t="s">
        <v>131</v>
      </c>
      <c r="C3" s="72">
        <f ca="1">'Project Capex'!D69</f>
        <v>54.166044222211717</v>
      </c>
      <c r="D3" t="s">
        <v>134</v>
      </c>
      <c r="F3" s="73">
        <v>1</v>
      </c>
      <c r="G3" s="69" t="s">
        <v>97</v>
      </c>
      <c r="I3" t="s">
        <v>43</v>
      </c>
      <c r="J3" s="4">
        <v>9.5000000000000001E-2</v>
      </c>
      <c r="K3" s="4">
        <v>9.5000000000000001E-2</v>
      </c>
      <c r="L3" s="4">
        <v>9.5000000000000001E-2</v>
      </c>
      <c r="M3" s="4">
        <v>9.5000000000000001E-2</v>
      </c>
      <c r="N3" s="4">
        <v>9.5000000000000001E-2</v>
      </c>
      <c r="O3" s="4">
        <v>9.5000000000000001E-2</v>
      </c>
      <c r="P3" s="4">
        <v>9.5000000000000001E-2</v>
      </c>
      <c r="Q3" s="4">
        <v>9.5000000000000001E-2</v>
      </c>
      <c r="R3" s="4">
        <v>9.5000000000000001E-2</v>
      </c>
      <c r="S3" s="4">
        <v>9.5000000000000001E-2</v>
      </c>
      <c r="T3" s="4">
        <v>9.5000000000000001E-2</v>
      </c>
      <c r="U3" s="4">
        <v>9.5000000000000001E-2</v>
      </c>
      <c r="V3" s="4">
        <v>9.5000000000000001E-2</v>
      </c>
      <c r="W3" s="4">
        <v>9.5000000000000001E-2</v>
      </c>
      <c r="X3" s="4">
        <v>9.5000000000000001E-2</v>
      </c>
      <c r="Y3" s="4">
        <v>9.5000000000000001E-2</v>
      </c>
      <c r="Z3" s="4">
        <v>9.5000000000000001E-2</v>
      </c>
      <c r="AA3" s="4">
        <v>9.5000000000000001E-2</v>
      </c>
      <c r="AB3" s="4">
        <v>9.5000000000000001E-2</v>
      </c>
      <c r="AC3" s="4">
        <v>9.5000000000000001E-2</v>
      </c>
      <c r="AD3" s="4">
        <v>9.5000000000000001E-2</v>
      </c>
      <c r="AE3" s="4">
        <v>9.5000000000000001E-2</v>
      </c>
      <c r="AF3" s="4">
        <v>9.5000000000000001E-2</v>
      </c>
    </row>
    <row r="4" spans="2:32" x14ac:dyDescent="0.3">
      <c r="B4" t="s">
        <v>38</v>
      </c>
      <c r="C4" s="75">
        <f ca="1">'Project Cost Details'!G39/10^7</f>
        <v>5.4166044222212155E-11</v>
      </c>
      <c r="D4" t="s">
        <v>134</v>
      </c>
      <c r="F4" s="69">
        <v>2</v>
      </c>
      <c r="G4" s="69" t="s">
        <v>97</v>
      </c>
      <c r="O4" s="71"/>
      <c r="P4" s="71"/>
    </row>
    <row r="5" spans="2:32" x14ac:dyDescent="0.3">
      <c r="B5" t="s">
        <v>37</v>
      </c>
      <c r="C5" s="75">
        <f ca="1">'Project Cost Details'!G38/10^7</f>
        <v>54.166044222212157</v>
      </c>
      <c r="D5" t="s">
        <v>134</v>
      </c>
      <c r="E5" s="3"/>
      <c r="F5" s="69">
        <v>3</v>
      </c>
      <c r="G5" s="69" t="s">
        <v>97</v>
      </c>
      <c r="O5" s="71"/>
      <c r="P5" s="71"/>
    </row>
    <row r="6" spans="2:32" x14ac:dyDescent="0.3">
      <c r="B6" t="s">
        <v>132</v>
      </c>
      <c r="C6" s="6">
        <f>Inputs!D4</f>
        <v>15</v>
      </c>
      <c r="D6" t="s">
        <v>0</v>
      </c>
      <c r="F6" s="69">
        <f>F5+1</f>
        <v>4</v>
      </c>
      <c r="G6" s="74" t="s">
        <v>98</v>
      </c>
      <c r="O6" s="71"/>
      <c r="P6" s="71"/>
    </row>
    <row r="7" spans="2:32" x14ac:dyDescent="0.3">
      <c r="B7" t="s">
        <v>72</v>
      </c>
      <c r="C7" s="6">
        <f>C6*12</f>
        <v>180</v>
      </c>
      <c r="D7" t="s">
        <v>135</v>
      </c>
      <c r="F7" s="69">
        <f t="shared" ref="F7:F13" si="1">F6+1</f>
        <v>5</v>
      </c>
      <c r="G7" s="74" t="s">
        <v>98</v>
      </c>
      <c r="O7" s="71"/>
      <c r="P7" s="71"/>
    </row>
    <row r="8" spans="2:32" x14ac:dyDescent="0.3">
      <c r="B8" t="s">
        <v>133</v>
      </c>
      <c r="C8" s="6">
        <f>C6*4</f>
        <v>60</v>
      </c>
      <c r="D8" s="3" t="s">
        <v>136</v>
      </c>
      <c r="F8" s="69">
        <f t="shared" si="1"/>
        <v>6</v>
      </c>
      <c r="G8" s="74" t="s">
        <v>98</v>
      </c>
      <c r="O8" s="71"/>
      <c r="P8" s="71"/>
    </row>
    <row r="9" spans="2:32" x14ac:dyDescent="0.3">
      <c r="F9" s="69">
        <f t="shared" si="1"/>
        <v>7</v>
      </c>
      <c r="G9" s="74" t="s">
        <v>99</v>
      </c>
      <c r="O9" s="71"/>
      <c r="P9" s="71"/>
    </row>
    <row r="10" spans="2:32" x14ac:dyDescent="0.3">
      <c r="B10" s="317" t="s">
        <v>144</v>
      </c>
      <c r="C10" s="317"/>
      <c r="D10" s="317"/>
      <c r="F10" s="69">
        <f t="shared" si="1"/>
        <v>8</v>
      </c>
      <c r="G10" s="74" t="s">
        <v>99</v>
      </c>
    </row>
    <row r="11" spans="2:32" x14ac:dyDescent="0.3">
      <c r="B11" t="s">
        <v>145</v>
      </c>
      <c r="C11">
        <f>C6*12-C15</f>
        <v>174</v>
      </c>
      <c r="D11" t="s">
        <v>21</v>
      </c>
      <c r="F11" s="69">
        <f t="shared" si="1"/>
        <v>9</v>
      </c>
      <c r="G11" s="74" t="s">
        <v>99</v>
      </c>
    </row>
    <row r="12" spans="2:32" x14ac:dyDescent="0.3">
      <c r="B12" t="s">
        <v>133</v>
      </c>
      <c r="C12">
        <f>C6*4-ROUNDDOWN(C15/3,0)</f>
        <v>58</v>
      </c>
      <c r="D12" t="s">
        <v>136</v>
      </c>
      <c r="F12" s="69">
        <f t="shared" si="1"/>
        <v>10</v>
      </c>
      <c r="G12" s="74" t="s">
        <v>100</v>
      </c>
    </row>
    <row r="13" spans="2:32" x14ac:dyDescent="0.3">
      <c r="B13" t="s">
        <v>44</v>
      </c>
      <c r="C13" s="3">
        <v>0</v>
      </c>
      <c r="D13" t="s">
        <v>134</v>
      </c>
      <c r="F13" s="69">
        <f t="shared" si="1"/>
        <v>11</v>
      </c>
      <c r="G13" s="74" t="s">
        <v>100</v>
      </c>
      <c r="O13" s="3"/>
      <c r="P13" s="3"/>
    </row>
    <row r="14" spans="2:32" x14ac:dyDescent="0.3">
      <c r="B14" t="s">
        <v>36</v>
      </c>
      <c r="C14" s="3">
        <f ca="1">A31</f>
        <v>3.4026071761513652</v>
      </c>
      <c r="D14" t="s">
        <v>134</v>
      </c>
      <c r="F14" s="69">
        <f>F13+1</f>
        <v>12</v>
      </c>
      <c r="G14" s="74" t="s">
        <v>100</v>
      </c>
    </row>
    <row r="15" spans="2:32" x14ac:dyDescent="0.3">
      <c r="B15" t="s">
        <v>482</v>
      </c>
      <c r="C15">
        <v>6</v>
      </c>
      <c r="D15" t="s">
        <v>21</v>
      </c>
      <c r="F15" s="69"/>
      <c r="G15" s="74"/>
    </row>
    <row r="16" spans="2:32" x14ac:dyDescent="0.3">
      <c r="B16" t="s">
        <v>143</v>
      </c>
      <c r="C16" t="s">
        <v>188</v>
      </c>
      <c r="F16" s="69"/>
      <c r="G16" s="74"/>
    </row>
    <row r="17" spans="1:237" x14ac:dyDescent="0.3">
      <c r="F17" s="69"/>
      <c r="G17" s="74"/>
    </row>
    <row r="18" spans="1:237" ht="15" thickBot="1" x14ac:dyDescent="0.35">
      <c r="F18" s="69"/>
      <c r="G18" s="74"/>
    </row>
    <row r="19" spans="1:237" ht="15" thickBot="1" x14ac:dyDescent="0.35">
      <c r="B19" s="7" t="s">
        <v>138</v>
      </c>
      <c r="C19" s="8" t="str">
        <f>IF(C20&lt;=Inputs!$G$5,"Cons","Beyond Cons")</f>
        <v>Cons</v>
      </c>
      <c r="D19" s="8" t="str">
        <f>IF(D20&lt;=Inputs!$G$5,"Cons","Beyond Cons")</f>
        <v>Cons</v>
      </c>
      <c r="E19" s="8" t="str">
        <f>IF(E20&lt;=Inputs!$G$5,"Cons","Beyond Cons")</f>
        <v>Cons</v>
      </c>
      <c r="F19" s="8" t="str">
        <f>IF(F20&lt;=Inputs!$G$5,"Cons","Beyond Cons")</f>
        <v>Cons</v>
      </c>
      <c r="G19" s="8" t="str">
        <f>IF(G20&lt;=Inputs!$G$5,"Cons","Beyond Cons")</f>
        <v>Cons</v>
      </c>
      <c r="H19" s="8" t="str">
        <f>IF(H20&lt;=Inputs!$G$5,"Cons","Beyond Cons")</f>
        <v>Cons</v>
      </c>
      <c r="I19" s="8" t="str">
        <f>IF(I20&lt;=Inputs!$G$5,"Cons","Beyond Cons")</f>
        <v>Cons</v>
      </c>
      <c r="J19" s="8" t="str">
        <f>IF(J20&lt;=Inputs!$G$5,"Cons","Beyond Cons")</f>
        <v>Cons</v>
      </c>
      <c r="K19" s="8" t="str">
        <f>IF(K20&lt;=Inputs!$G$5,"Cons","Beyond Cons")</f>
        <v>Cons</v>
      </c>
      <c r="L19" s="8" t="str">
        <f>IF(L20&lt;=Inputs!$G$5,"Cons","Beyond Cons")</f>
        <v>Cons</v>
      </c>
      <c r="M19" s="8" t="str">
        <f>IF(M20&lt;=Inputs!$G$5,"Cons","Beyond Cons")</f>
        <v>Cons</v>
      </c>
      <c r="N19" s="8" t="str">
        <f>IF(N20&lt;=Inputs!$G$5,"Cons","Beyond Cons")</f>
        <v>Cons</v>
      </c>
      <c r="O19" s="8" t="str">
        <f>IF(O20&lt;=Inputs!$G$5,"Cons","Beyond Cons")</f>
        <v>Cons</v>
      </c>
      <c r="P19" s="8" t="str">
        <f>IF(P20&lt;=Inputs!$G$5,"Cons","Beyond Cons")</f>
        <v>Cons</v>
      </c>
      <c r="Q19" s="8" t="str">
        <f>IF(Q20&lt;=Inputs!$G$5,"Cons","Beyond Cons")</f>
        <v>Beyond Cons</v>
      </c>
      <c r="R19" s="8" t="str">
        <f>IF(R20&lt;=Inputs!$G$5,"Cons","Beyond Cons")</f>
        <v>Beyond Cons</v>
      </c>
      <c r="S19" s="8" t="str">
        <f>IF(S20&lt;=Inputs!$G$5,"Cons","Beyond Cons")</f>
        <v>Beyond Cons</v>
      </c>
      <c r="T19" s="8" t="str">
        <f>IF(T20&lt;=Inputs!$G$5,"Cons","Beyond Cons")</f>
        <v>Beyond Cons</v>
      </c>
      <c r="U19" s="8" t="str">
        <f>IF(U20&lt;=Inputs!$G$5,"Cons","Beyond Cons")</f>
        <v>Beyond Cons</v>
      </c>
      <c r="V19" s="8" t="str">
        <f>IF(V20&lt;=Inputs!$G$5,"Cons","Beyond Cons")</f>
        <v>Beyond Cons</v>
      </c>
      <c r="W19" s="8" t="str">
        <f>IF(W20&lt;=Inputs!$G$5,"Cons","Beyond Cons")</f>
        <v>Beyond Cons</v>
      </c>
      <c r="X19" s="8" t="str">
        <f>IF(X20&lt;=Inputs!$G$5,"Cons","Beyond Cons")</f>
        <v>Beyond Cons</v>
      </c>
      <c r="Y19" s="8" t="str">
        <f>IF(Y20&lt;=Inputs!$G$5,"Cons","Beyond Cons")</f>
        <v>Beyond Cons</v>
      </c>
      <c r="Z19" s="8" t="str">
        <f>IF(Z20&lt;=Inputs!$G$5,"Cons","Beyond Cons")</f>
        <v>Beyond Cons</v>
      </c>
      <c r="AA19" s="8" t="str">
        <f>IF(AA20&lt;=Inputs!$G$5,"Cons","Beyond Cons")</f>
        <v>Beyond Cons</v>
      </c>
      <c r="AB19" s="8" t="str">
        <f>IF(AB20&lt;=Inputs!$G$5,"Cons","Beyond Cons")</f>
        <v>Beyond Cons</v>
      </c>
      <c r="AC19" s="8" t="str">
        <f>IF(AC20&lt;=Inputs!$G$5,"Cons","Beyond Cons")</f>
        <v>Beyond Cons</v>
      </c>
      <c r="AD19" s="8" t="str">
        <f>IF(AD20&lt;=Inputs!$G$5,"Cons","Beyond Cons")</f>
        <v>Beyond Cons</v>
      </c>
      <c r="AE19" s="8" t="str">
        <f>IF(AE20&lt;=Inputs!$G$5,"Cons","Beyond Cons")</f>
        <v>Beyond Cons</v>
      </c>
      <c r="AF19" s="8" t="str">
        <f>IF(AF20&lt;=Inputs!$G$5,"Cons","Beyond Cons")</f>
        <v>Beyond Cons</v>
      </c>
      <c r="AG19" s="8" t="str">
        <f>IF(AG20&lt;=Inputs!$G$5,"Cons","Beyond Cons")</f>
        <v>Beyond Cons</v>
      </c>
      <c r="AH19" s="8" t="str">
        <f>IF(AH20&lt;=Inputs!$G$5,"Cons","Beyond Cons")</f>
        <v>Beyond Cons</v>
      </c>
      <c r="AI19" s="8" t="str">
        <f>IF(AI20&lt;=Inputs!$G$5,"Cons","Beyond Cons")</f>
        <v>Beyond Cons</v>
      </c>
      <c r="AJ19" s="8" t="str">
        <f>IF(AJ20&lt;=Inputs!$G$5,"Cons","Beyond Cons")</f>
        <v>Beyond Cons</v>
      </c>
      <c r="AK19" s="8" t="str">
        <f>IF(AK20&lt;=Inputs!$G$5,"Cons","Beyond Cons")</f>
        <v>Beyond Cons</v>
      </c>
      <c r="AL19" s="8" t="str">
        <f>IF(AL20&lt;=Inputs!$G$5,"Cons","Beyond Cons")</f>
        <v>Beyond Cons</v>
      </c>
      <c r="AM19" s="8" t="str">
        <f>IF(AM20&lt;=Inputs!$G$5,"Cons","Beyond Cons")</f>
        <v>Beyond Cons</v>
      </c>
      <c r="AN19" s="8" t="str">
        <f>IF(AN20&lt;=Inputs!$G$5,"Cons","Beyond Cons")</f>
        <v>Beyond Cons</v>
      </c>
      <c r="AO19" s="8" t="str">
        <f>IF(AO20&lt;=Inputs!$G$5,"Cons","Beyond Cons")</f>
        <v>Beyond Cons</v>
      </c>
      <c r="AP19" s="8" t="str">
        <f>IF(AP20&lt;=Inputs!$G$5,"Cons","Beyond Cons")</f>
        <v>Beyond Cons</v>
      </c>
      <c r="AQ19" s="8" t="str">
        <f>IF(AQ20&lt;=Inputs!$G$5,"Cons","Beyond Cons")</f>
        <v>Beyond Cons</v>
      </c>
      <c r="AR19" s="8" t="str">
        <f>IF(AR20&lt;=Inputs!$G$5,"Cons","Beyond Cons")</f>
        <v>Beyond Cons</v>
      </c>
      <c r="AS19" s="8" t="str">
        <f>IF(AS20&lt;=Inputs!$G$5,"Cons","Beyond Cons")</f>
        <v>Beyond Cons</v>
      </c>
      <c r="AT19" s="8" t="str">
        <f>IF(AT20&lt;=Inputs!$G$5,"Cons","Beyond Cons")</f>
        <v>Beyond Cons</v>
      </c>
      <c r="AU19" s="8" t="str">
        <f>IF(AU20&lt;=Inputs!$G$5,"Cons","Beyond Cons")</f>
        <v>Beyond Cons</v>
      </c>
      <c r="AV19" s="8" t="str">
        <f>IF(AV20&lt;=Inputs!$G$5,"Cons","Beyond Cons")</f>
        <v>Beyond Cons</v>
      </c>
      <c r="AW19" s="8" t="str">
        <f>IF(AW20&lt;=Inputs!$G$5,"Cons","Beyond Cons")</f>
        <v>Beyond Cons</v>
      </c>
      <c r="AX19" s="8" t="str">
        <f>IF(AX20&lt;=Inputs!$G$5,"Cons","Beyond Cons")</f>
        <v>Beyond Cons</v>
      </c>
      <c r="AY19" s="8" t="str">
        <f>IF(AY20&lt;=Inputs!$G$5,"Cons","Beyond Cons")</f>
        <v>Beyond Cons</v>
      </c>
      <c r="AZ19" s="8" t="str">
        <f>IF(AZ20&lt;=Inputs!$G$5,"Cons","Beyond Cons")</f>
        <v>Beyond Cons</v>
      </c>
      <c r="BA19" s="8" t="str">
        <f>IF(BA20&lt;=Inputs!$G$5,"Cons","Beyond Cons")</f>
        <v>Beyond Cons</v>
      </c>
      <c r="BB19" s="8" t="str">
        <f>IF(BB20&lt;=Inputs!$G$5,"Cons","Beyond Cons")</f>
        <v>Beyond Cons</v>
      </c>
      <c r="BC19" s="8" t="str">
        <f>IF(BC20&lt;=Inputs!$G$5,"Cons","Beyond Cons")</f>
        <v>Beyond Cons</v>
      </c>
      <c r="BD19" s="8" t="str">
        <f>IF(BD20&lt;=Inputs!$G$5,"Cons","Beyond Cons")</f>
        <v>Beyond Cons</v>
      </c>
      <c r="BE19" s="8" t="str">
        <f>IF(BE20&lt;=Inputs!$G$5,"Cons","Beyond Cons")</f>
        <v>Beyond Cons</v>
      </c>
      <c r="BF19" s="8" t="str">
        <f>IF(BF20&lt;=Inputs!$G$5,"Cons","Beyond Cons")</f>
        <v>Beyond Cons</v>
      </c>
      <c r="BG19" s="8" t="str">
        <f>IF(BG20&lt;=Inputs!$G$5,"Cons","Beyond Cons")</f>
        <v>Beyond Cons</v>
      </c>
      <c r="BH19" s="8" t="str">
        <f>IF(BH20&lt;=Inputs!$G$5,"Cons","Beyond Cons")</f>
        <v>Beyond Cons</v>
      </c>
      <c r="BI19" s="8" t="str">
        <f>IF(BI20&lt;=Inputs!$G$5,"Cons","Beyond Cons")</f>
        <v>Beyond Cons</v>
      </c>
      <c r="BJ19" s="8" t="str">
        <f>IF(BJ20&lt;=Inputs!$G$5,"Cons","Beyond Cons")</f>
        <v>Beyond Cons</v>
      </c>
      <c r="BK19" s="8" t="str">
        <f>IF(BK20&lt;=Inputs!$G$5,"Cons","Beyond Cons")</f>
        <v>Beyond Cons</v>
      </c>
      <c r="BL19" s="8" t="str">
        <f>IF(BL20&lt;=Inputs!$G$5,"Cons","Beyond Cons")</f>
        <v>Beyond Cons</v>
      </c>
      <c r="BM19" s="8" t="str">
        <f>IF(BM20&lt;=Inputs!$G$5,"Cons","Beyond Cons")</f>
        <v>Beyond Cons</v>
      </c>
      <c r="BN19" s="8" t="str">
        <f>IF(BN20&lt;=Inputs!$G$5,"Cons","Beyond Cons")</f>
        <v>Beyond Cons</v>
      </c>
      <c r="BO19" s="8" t="str">
        <f>IF(BO20&lt;=Inputs!$G$5,"Cons","Beyond Cons")</f>
        <v>Beyond Cons</v>
      </c>
      <c r="BP19" s="8" t="str">
        <f>IF(BP20&lt;=Inputs!$G$5,"Cons","Beyond Cons")</f>
        <v>Beyond Cons</v>
      </c>
      <c r="BQ19" s="8" t="str">
        <f>IF(BQ20&lt;=Inputs!$G$5,"Cons","Beyond Cons")</f>
        <v>Beyond Cons</v>
      </c>
      <c r="BR19" s="8" t="str">
        <f>IF(BR20&lt;=Inputs!$G$5,"Cons","Beyond Cons")</f>
        <v>Beyond Cons</v>
      </c>
      <c r="BS19" s="8" t="str">
        <f>IF(BS20&lt;=Inputs!$G$5,"Cons","Beyond Cons")</f>
        <v>Beyond Cons</v>
      </c>
      <c r="BT19" s="8" t="str">
        <f>IF(BT20&lt;=Inputs!$G$5,"Cons","Beyond Cons")</f>
        <v>Beyond Cons</v>
      </c>
      <c r="BU19" s="8" t="str">
        <f>IF(BU20&lt;=Inputs!$G$5,"Cons","Beyond Cons")</f>
        <v>Beyond Cons</v>
      </c>
      <c r="BV19" s="8" t="str">
        <f>IF(BV20&lt;=Inputs!$G$5,"Cons","Beyond Cons")</f>
        <v>Beyond Cons</v>
      </c>
      <c r="BW19" s="8" t="str">
        <f>IF(BW20&lt;=Inputs!$G$5,"Cons","Beyond Cons")</f>
        <v>Beyond Cons</v>
      </c>
      <c r="BX19" s="8" t="str">
        <f>IF(BX20&lt;=Inputs!$G$5,"Cons","Beyond Cons")</f>
        <v>Beyond Cons</v>
      </c>
      <c r="BY19" s="8" t="str">
        <f>IF(BY20&lt;=Inputs!$G$5,"Cons","Beyond Cons")</f>
        <v>Beyond Cons</v>
      </c>
      <c r="BZ19" s="8" t="str">
        <f>IF(BZ20&lt;=Inputs!$G$5,"Cons","Beyond Cons")</f>
        <v>Beyond Cons</v>
      </c>
      <c r="CA19" s="8" t="str">
        <f>IF(CA20&lt;=Inputs!$G$5,"Cons","Beyond Cons")</f>
        <v>Beyond Cons</v>
      </c>
      <c r="CB19" s="8" t="str">
        <f>IF(CB20&lt;=Inputs!$G$5,"Cons","Beyond Cons")</f>
        <v>Beyond Cons</v>
      </c>
      <c r="CC19" s="8" t="str">
        <f>IF(CC20&lt;=Inputs!$G$5,"Cons","Beyond Cons")</f>
        <v>Beyond Cons</v>
      </c>
      <c r="CD19" s="8" t="str">
        <f>IF(CD20&lt;=Inputs!$G$5,"Cons","Beyond Cons")</f>
        <v>Beyond Cons</v>
      </c>
      <c r="CE19" s="8" t="str">
        <f>IF(CE20&lt;=Inputs!$G$5,"Cons","Beyond Cons")</f>
        <v>Beyond Cons</v>
      </c>
      <c r="CF19" s="8" t="str">
        <f>IF(CF20&lt;=Inputs!$G$5,"Cons","Beyond Cons")</f>
        <v>Beyond Cons</v>
      </c>
      <c r="CG19" s="8" t="str">
        <f>IF(CG20&lt;=Inputs!$G$5,"Cons","Beyond Cons")</f>
        <v>Beyond Cons</v>
      </c>
      <c r="CH19" s="8" t="str">
        <f>IF(CH20&lt;=Inputs!$G$5,"Cons","Beyond Cons")</f>
        <v>Beyond Cons</v>
      </c>
      <c r="CI19" s="8" t="str">
        <f>IF(CI20&lt;=Inputs!$G$5,"Cons","Beyond Cons")</f>
        <v>Beyond Cons</v>
      </c>
      <c r="CJ19" s="8" t="str">
        <f>IF(CJ20&lt;=Inputs!$G$5,"Cons","Beyond Cons")</f>
        <v>Beyond Cons</v>
      </c>
      <c r="CK19" s="8" t="str">
        <f>IF(CK20&lt;=Inputs!$G$5,"Cons","Beyond Cons")</f>
        <v>Beyond Cons</v>
      </c>
      <c r="CL19" s="8" t="str">
        <f>IF(CL20&lt;=Inputs!$G$5,"Cons","Beyond Cons")</f>
        <v>Beyond Cons</v>
      </c>
      <c r="CM19" s="8" t="str">
        <f>IF(CM20&lt;=Inputs!$G$5,"Cons","Beyond Cons")</f>
        <v>Beyond Cons</v>
      </c>
      <c r="CN19" s="8" t="str">
        <f>IF(CN20&lt;=Inputs!$G$5,"Cons","Beyond Cons")</f>
        <v>Beyond Cons</v>
      </c>
      <c r="CO19" s="8" t="str">
        <f>IF(CO20&lt;=Inputs!$G$5,"Cons","Beyond Cons")</f>
        <v>Beyond Cons</v>
      </c>
      <c r="CP19" s="8" t="str">
        <f>IF(CP20&lt;=Inputs!$G$5,"Cons","Beyond Cons")</f>
        <v>Beyond Cons</v>
      </c>
      <c r="CQ19" s="8" t="str">
        <f>IF(CQ20&lt;=Inputs!$G$5,"Cons","Beyond Cons")</f>
        <v>Beyond Cons</v>
      </c>
      <c r="CR19" s="8" t="str">
        <f>IF(CR20&lt;=Inputs!$G$5,"Cons","Beyond Cons")</f>
        <v>Beyond Cons</v>
      </c>
      <c r="CS19" s="8" t="str">
        <f>IF(CS20&lt;=Inputs!$G$5,"Cons","Beyond Cons")</f>
        <v>Beyond Cons</v>
      </c>
      <c r="CT19" s="8" t="str">
        <f>IF(CT20&lt;=Inputs!$G$5,"Cons","Beyond Cons")</f>
        <v>Beyond Cons</v>
      </c>
      <c r="CU19" s="8" t="str">
        <f>IF(CU20&lt;=Inputs!$G$5,"Cons","Beyond Cons")</f>
        <v>Beyond Cons</v>
      </c>
      <c r="CV19" s="8" t="str">
        <f>IF(CV20&lt;=Inputs!$G$5,"Cons","Beyond Cons")</f>
        <v>Beyond Cons</v>
      </c>
      <c r="CW19" s="8" t="str">
        <f>IF(CW20&lt;=Inputs!$G$5,"Cons","Beyond Cons")</f>
        <v>Beyond Cons</v>
      </c>
      <c r="CX19" s="8" t="str">
        <f>IF(CX20&lt;=Inputs!$G$5,"Cons","Beyond Cons")</f>
        <v>Beyond Cons</v>
      </c>
      <c r="CY19" s="8" t="str">
        <f>IF(CY20&lt;=Inputs!$G$5,"Cons","Beyond Cons")</f>
        <v>Beyond Cons</v>
      </c>
      <c r="CZ19" s="8" t="str">
        <f>IF(CZ20&lt;=Inputs!$G$5,"Cons","Beyond Cons")</f>
        <v>Beyond Cons</v>
      </c>
      <c r="DA19" s="8" t="str">
        <f>IF(DA20&lt;=Inputs!$G$5,"Cons","Beyond Cons")</f>
        <v>Beyond Cons</v>
      </c>
      <c r="DB19" s="8" t="str">
        <f>IF(DB20&lt;=Inputs!$G$5,"Cons","Beyond Cons")</f>
        <v>Beyond Cons</v>
      </c>
      <c r="DC19" s="8" t="str">
        <f>IF(DC20&lt;=Inputs!$G$5,"Cons","Beyond Cons")</f>
        <v>Beyond Cons</v>
      </c>
      <c r="DD19" s="8" t="str">
        <f>IF(DD20&lt;=Inputs!$G$5,"Cons","Beyond Cons")</f>
        <v>Beyond Cons</v>
      </c>
      <c r="DE19" s="8" t="str">
        <f>IF(DE20&lt;=Inputs!$G$5,"Cons","Beyond Cons")</f>
        <v>Beyond Cons</v>
      </c>
      <c r="DF19" s="8" t="str">
        <f>IF(DF20&lt;=Inputs!$G$5,"Cons","Beyond Cons")</f>
        <v>Beyond Cons</v>
      </c>
      <c r="DG19" s="8" t="str">
        <f>IF(DG20&lt;=Inputs!$G$5,"Cons","Beyond Cons")</f>
        <v>Beyond Cons</v>
      </c>
      <c r="DH19" s="8" t="str">
        <f>IF(DH20&lt;=Inputs!$G$5,"Cons","Beyond Cons")</f>
        <v>Beyond Cons</v>
      </c>
      <c r="DI19" s="8" t="str">
        <f>IF(DI20&lt;=Inputs!$G$5,"Cons","Beyond Cons")</f>
        <v>Beyond Cons</v>
      </c>
      <c r="DJ19" s="8" t="str">
        <f>IF(DJ20&lt;=Inputs!$G$5,"Cons","Beyond Cons")</f>
        <v>Beyond Cons</v>
      </c>
      <c r="DK19" s="8" t="str">
        <f>IF(DK20&lt;=Inputs!$G$5,"Cons","Beyond Cons")</f>
        <v>Beyond Cons</v>
      </c>
      <c r="DL19" s="8" t="str">
        <f>IF(DL20&lt;=Inputs!$G$5,"Cons","Beyond Cons")</f>
        <v>Beyond Cons</v>
      </c>
      <c r="DM19" s="8" t="str">
        <f>IF(DM20&lt;=Inputs!$G$5,"Cons","Beyond Cons")</f>
        <v>Beyond Cons</v>
      </c>
      <c r="DN19" s="8" t="str">
        <f>IF(DN20&lt;=Inputs!$G$5,"Cons","Beyond Cons")</f>
        <v>Beyond Cons</v>
      </c>
      <c r="DO19" s="8" t="str">
        <f>IF(DO20&lt;=Inputs!$G$5,"Cons","Beyond Cons")</f>
        <v>Beyond Cons</v>
      </c>
      <c r="DP19" s="8" t="str">
        <f>IF(DP20&lt;=Inputs!$G$5,"Cons","Beyond Cons")</f>
        <v>Beyond Cons</v>
      </c>
      <c r="DQ19" s="8" t="str">
        <f>IF(DQ20&lt;=Inputs!$G$5,"Cons","Beyond Cons")</f>
        <v>Beyond Cons</v>
      </c>
      <c r="DR19" s="8" t="str">
        <f>IF(DR20&lt;=Inputs!$G$5,"Cons","Beyond Cons")</f>
        <v>Beyond Cons</v>
      </c>
      <c r="DS19" s="8" t="str">
        <f>IF(DS20&lt;=Inputs!$G$5,"Cons","Beyond Cons")</f>
        <v>Beyond Cons</v>
      </c>
      <c r="DT19" s="8" t="str">
        <f>IF(DT20&lt;=Inputs!$G$5,"Cons","Beyond Cons")</f>
        <v>Beyond Cons</v>
      </c>
      <c r="DU19" s="8" t="str">
        <f>IF(DU20&lt;=Inputs!$G$5,"Cons","Beyond Cons")</f>
        <v>Beyond Cons</v>
      </c>
      <c r="DV19" s="8" t="str">
        <f>IF(DV20&lt;=Inputs!$G$5,"Cons","Beyond Cons")</f>
        <v>Beyond Cons</v>
      </c>
      <c r="DW19" s="8" t="str">
        <f>IF(DW20&lt;=Inputs!$G$5,"Cons","Beyond Cons")</f>
        <v>Beyond Cons</v>
      </c>
      <c r="DX19" s="8" t="str">
        <f>IF(DX20&lt;=Inputs!$G$5,"Cons","Beyond Cons")</f>
        <v>Beyond Cons</v>
      </c>
      <c r="DY19" s="8" t="str">
        <f>IF(DY20&lt;=Inputs!$G$5,"Cons","Beyond Cons")</f>
        <v>Beyond Cons</v>
      </c>
      <c r="DZ19" s="8" t="str">
        <f>IF(DZ20&lt;=Inputs!$G$5,"Cons","Beyond Cons")</f>
        <v>Beyond Cons</v>
      </c>
      <c r="EA19" s="8" t="str">
        <f>IF(EA20&lt;=Inputs!$G$5,"Cons","Beyond Cons")</f>
        <v>Beyond Cons</v>
      </c>
      <c r="EB19" s="8" t="str">
        <f>IF(EB20&lt;=Inputs!$G$5,"Cons","Beyond Cons")</f>
        <v>Beyond Cons</v>
      </c>
      <c r="EC19" s="8" t="str">
        <f>IF(EC20&lt;=Inputs!$G$5,"Cons","Beyond Cons")</f>
        <v>Beyond Cons</v>
      </c>
      <c r="ED19" s="8" t="str">
        <f>IF(ED20&lt;=Inputs!$G$5,"Cons","Beyond Cons")</f>
        <v>Beyond Cons</v>
      </c>
      <c r="EE19" s="8" t="str">
        <f>IF(EE20&lt;=Inputs!$G$5,"Cons","Beyond Cons")</f>
        <v>Beyond Cons</v>
      </c>
      <c r="EF19" s="8" t="str">
        <f>IF(EF20&lt;=Inputs!$G$5,"Cons","Beyond Cons")</f>
        <v>Beyond Cons</v>
      </c>
      <c r="EG19" s="8" t="str">
        <f>IF(EG20&lt;=Inputs!$G$5,"Cons","Beyond Cons")</f>
        <v>Beyond Cons</v>
      </c>
      <c r="EH19" s="8" t="str">
        <f>IF(EH20&lt;=Inputs!$G$5,"Cons","Beyond Cons")</f>
        <v>Beyond Cons</v>
      </c>
      <c r="EI19" s="8" t="str">
        <f>IF(EI20&lt;=Inputs!$G$5,"Cons","Beyond Cons")</f>
        <v>Beyond Cons</v>
      </c>
      <c r="EJ19" s="8" t="str">
        <f>IF(EJ20&lt;=Inputs!$G$5,"Cons","Beyond Cons")</f>
        <v>Beyond Cons</v>
      </c>
      <c r="EK19" s="8" t="str">
        <f>IF(EK20&lt;=Inputs!$G$5,"Cons","Beyond Cons")</f>
        <v>Beyond Cons</v>
      </c>
      <c r="EL19" s="8" t="str">
        <f>IF(EL20&lt;=Inputs!$G$5,"Cons","Beyond Cons")</f>
        <v>Beyond Cons</v>
      </c>
      <c r="EM19" s="8" t="str">
        <f>IF(EM20&lt;=Inputs!$G$5,"Cons","Beyond Cons")</f>
        <v>Beyond Cons</v>
      </c>
      <c r="EN19" s="8" t="str">
        <f>IF(EN20&lt;=Inputs!$G$5,"Cons","Beyond Cons")</f>
        <v>Beyond Cons</v>
      </c>
      <c r="EO19" s="8" t="str">
        <f>IF(EO20&lt;=Inputs!$G$5,"Cons","Beyond Cons")</f>
        <v>Beyond Cons</v>
      </c>
      <c r="EP19" s="8" t="str">
        <f>IF(EP20&lt;=Inputs!$G$5,"Cons","Beyond Cons")</f>
        <v>Beyond Cons</v>
      </c>
      <c r="EQ19" s="8" t="str">
        <f>IF(EQ20&lt;=Inputs!$G$5,"Cons","Beyond Cons")</f>
        <v>Beyond Cons</v>
      </c>
      <c r="ER19" s="8" t="str">
        <f>IF(ER20&lt;=Inputs!$G$5,"Cons","Beyond Cons")</f>
        <v>Beyond Cons</v>
      </c>
      <c r="ES19" s="8" t="str">
        <f>IF(ES20&lt;=Inputs!$G$5,"Cons","Beyond Cons")</f>
        <v>Beyond Cons</v>
      </c>
      <c r="ET19" s="8" t="str">
        <f>IF(ET20&lt;=Inputs!$G$5,"Cons","Beyond Cons")</f>
        <v>Beyond Cons</v>
      </c>
      <c r="EU19" s="8" t="str">
        <f>IF(EU20&lt;=Inputs!$G$5,"Cons","Beyond Cons")</f>
        <v>Beyond Cons</v>
      </c>
      <c r="EV19" s="8" t="str">
        <f>IF(EV20&lt;=Inputs!$G$5,"Cons","Beyond Cons")</f>
        <v>Beyond Cons</v>
      </c>
      <c r="EW19" s="8" t="str">
        <f>IF(EW20&lt;=Inputs!$G$5,"Cons","Beyond Cons")</f>
        <v>Beyond Cons</v>
      </c>
      <c r="EX19" s="8" t="str">
        <f>IF(EX20&lt;=Inputs!$G$5,"Cons","Beyond Cons")</f>
        <v>Beyond Cons</v>
      </c>
      <c r="EY19" s="8" t="str">
        <f>IF(EY20&lt;=Inputs!$G$5,"Cons","Beyond Cons")</f>
        <v>Beyond Cons</v>
      </c>
      <c r="EZ19" s="8" t="str">
        <f>IF(EZ20&lt;=Inputs!$G$5,"Cons","Beyond Cons")</f>
        <v>Beyond Cons</v>
      </c>
      <c r="FA19" s="8" t="str">
        <f>IF(FA20&lt;=Inputs!$G$5,"Cons","Beyond Cons")</f>
        <v>Beyond Cons</v>
      </c>
      <c r="FB19" s="8" t="str">
        <f>IF(FB20&lt;=Inputs!$G$5,"Cons","Beyond Cons")</f>
        <v>Beyond Cons</v>
      </c>
      <c r="FC19" s="8" t="str">
        <f>IF(FC20&lt;=Inputs!$G$5,"Cons","Beyond Cons")</f>
        <v>Beyond Cons</v>
      </c>
      <c r="FD19" s="8" t="str">
        <f>IF(FD20&lt;=Inputs!$G$5,"Cons","Beyond Cons")</f>
        <v>Beyond Cons</v>
      </c>
      <c r="FE19" s="8" t="str">
        <f>IF(FE20&lt;=Inputs!$G$5,"Cons","Beyond Cons")</f>
        <v>Beyond Cons</v>
      </c>
      <c r="FF19" s="8" t="str">
        <f>IF(FF20&lt;=Inputs!$G$5,"Cons","Beyond Cons")</f>
        <v>Beyond Cons</v>
      </c>
      <c r="FG19" s="8" t="str">
        <f>IF(FG20&lt;=Inputs!$G$5,"Cons","Beyond Cons")</f>
        <v>Beyond Cons</v>
      </c>
      <c r="FH19" s="8" t="str">
        <f>IF(FH20&lt;=Inputs!$G$5,"Cons","Beyond Cons")</f>
        <v>Beyond Cons</v>
      </c>
      <c r="FI19" s="8" t="str">
        <f>IF(FI20&lt;=Inputs!$G$5,"Cons","Beyond Cons")</f>
        <v>Beyond Cons</v>
      </c>
      <c r="FJ19" s="8" t="str">
        <f>IF(FJ20&lt;=Inputs!$G$5,"Cons","Beyond Cons")</f>
        <v>Beyond Cons</v>
      </c>
      <c r="FK19" s="8" t="str">
        <f>IF(FK20&lt;=Inputs!$G$5,"Cons","Beyond Cons")</f>
        <v>Beyond Cons</v>
      </c>
      <c r="FL19" s="8" t="str">
        <f>IF(FL20&lt;=Inputs!$G$5,"Cons","Beyond Cons")</f>
        <v>Beyond Cons</v>
      </c>
      <c r="FM19" s="8" t="str">
        <f>IF(FM20&lt;=Inputs!$G$5,"Cons","Beyond Cons")</f>
        <v>Beyond Cons</v>
      </c>
      <c r="FN19" s="8" t="str">
        <f>IF(FN20&lt;=Inputs!$G$5,"Cons","Beyond Cons")</f>
        <v>Beyond Cons</v>
      </c>
      <c r="FO19" s="8" t="str">
        <f>IF(FO20&lt;=Inputs!$G$5,"Cons","Beyond Cons")</f>
        <v>Beyond Cons</v>
      </c>
      <c r="FP19" s="8" t="str">
        <f>IF(FP20&lt;=Inputs!$G$5,"Cons","Beyond Cons")</f>
        <v>Beyond Cons</v>
      </c>
      <c r="FQ19" s="8" t="str">
        <f>IF(FQ20&lt;=Inputs!$G$5,"Cons","Beyond Cons")</f>
        <v>Beyond Cons</v>
      </c>
      <c r="FR19" s="8" t="str">
        <f>IF(FR20&lt;=Inputs!$G$5,"Cons","Beyond Cons")</f>
        <v>Beyond Cons</v>
      </c>
      <c r="FS19" s="8" t="str">
        <f>IF(FS20&lt;=Inputs!$G$5,"Cons","Beyond Cons")</f>
        <v>Beyond Cons</v>
      </c>
      <c r="FT19" s="8" t="str">
        <f>IF(FT20&lt;=Inputs!$G$5,"Cons","Beyond Cons")</f>
        <v>Beyond Cons</v>
      </c>
      <c r="FU19" s="8" t="str">
        <f>IF(FU20&lt;=Inputs!$G$5,"Cons","Beyond Cons")</f>
        <v>Beyond Cons</v>
      </c>
      <c r="FV19" s="8" t="str">
        <f>IF(FV20&lt;=Inputs!$G$5,"Cons","Beyond Cons")</f>
        <v>Beyond Cons</v>
      </c>
      <c r="FW19" s="8" t="str">
        <f>IF(FW20&lt;=Inputs!$G$5,"Cons","Beyond Cons")</f>
        <v>Beyond Cons</v>
      </c>
      <c r="FX19" s="8" t="str">
        <f>IF(FX20&lt;=Inputs!$G$5,"Cons","Beyond Cons")</f>
        <v>Beyond Cons</v>
      </c>
      <c r="FY19" s="8" t="str">
        <f>IF(FY20&lt;=Inputs!$G$5,"Cons","Beyond Cons")</f>
        <v>Beyond Cons</v>
      </c>
      <c r="FZ19" s="8" t="str">
        <f>IF(FZ20&lt;=Inputs!$G$5,"Cons","Beyond Cons")</f>
        <v>Beyond Cons</v>
      </c>
      <c r="GA19" s="8" t="str">
        <f>IF(GA20&lt;=Inputs!$G$5,"Cons","Beyond Cons")</f>
        <v>Beyond Cons</v>
      </c>
      <c r="GB19" s="8" t="str">
        <f>IF(GB20&lt;=Inputs!$G$5,"Cons","Beyond Cons")</f>
        <v>Beyond Cons</v>
      </c>
      <c r="GC19" s="8" t="str">
        <f>IF(GC20&lt;=Inputs!$G$5,"Cons","Beyond Cons")</f>
        <v>Beyond Cons</v>
      </c>
      <c r="GD19" s="8" t="str">
        <f>IF(GD20&lt;=Inputs!$G$5,"Cons","Beyond Cons")</f>
        <v>Beyond Cons</v>
      </c>
      <c r="GE19" s="8" t="str">
        <f>IF(GE20&lt;=Inputs!$G$5,"Cons","Beyond Cons")</f>
        <v>Beyond Cons</v>
      </c>
      <c r="GF19" s="8" t="str">
        <f>IF(GF20&lt;=Inputs!$G$5,"Cons","Beyond Cons")</f>
        <v>Beyond Cons</v>
      </c>
      <c r="GG19" s="8" t="str">
        <f>IF(GG20&lt;=Inputs!$G$5,"Cons","Beyond Cons")</f>
        <v>Beyond Cons</v>
      </c>
      <c r="GH19" s="8" t="str">
        <f>IF(GH20&lt;=Inputs!$G$5,"Cons","Beyond Cons")</f>
        <v>Beyond Cons</v>
      </c>
      <c r="GI19" s="8" t="str">
        <f>IF(GI20&lt;=Inputs!$G$5,"Cons","Beyond Cons")</f>
        <v>Beyond Cons</v>
      </c>
      <c r="GJ19" s="8" t="str">
        <f>IF(GJ20&lt;=Inputs!$G$5,"Cons","Beyond Cons")</f>
        <v>Beyond Cons</v>
      </c>
      <c r="GK19" s="8" t="str">
        <f>IF(GK20&lt;=Inputs!$G$5,"Cons","Beyond Cons")</f>
        <v>Beyond Cons</v>
      </c>
      <c r="GL19" s="8" t="str">
        <f>IF(GL20&lt;=Inputs!$G$5,"Cons","Beyond Cons")</f>
        <v>Beyond Cons</v>
      </c>
      <c r="GM19" s="8" t="str">
        <f>IF(GM20&lt;=Inputs!$G$5,"Cons","Beyond Cons")</f>
        <v>Beyond Cons</v>
      </c>
      <c r="GN19" s="8" t="str">
        <f>IF(GN20&lt;=Inputs!$G$5,"Cons","Beyond Cons")</f>
        <v>Beyond Cons</v>
      </c>
      <c r="GO19" s="8" t="str">
        <f>IF(GO20&lt;=Inputs!$G$5,"Cons","Beyond Cons")</f>
        <v>Beyond Cons</v>
      </c>
      <c r="GP19" s="8" t="str">
        <f>IF(GP20&lt;=Inputs!$G$5,"Cons","Beyond Cons")</f>
        <v>Beyond Cons</v>
      </c>
      <c r="GQ19" s="8" t="str">
        <f>IF(GQ20&lt;=Inputs!$G$5,"Cons","Beyond Cons")</f>
        <v>Beyond Cons</v>
      </c>
      <c r="GR19" s="8" t="str">
        <f>IF(GR20&lt;=Inputs!$G$5,"Cons","Beyond Cons")</f>
        <v>Beyond Cons</v>
      </c>
      <c r="GS19" s="8" t="str">
        <f>IF(GS20&lt;=Inputs!$G$5,"Cons","Beyond Cons")</f>
        <v>Beyond Cons</v>
      </c>
      <c r="GT19" s="8" t="str">
        <f>IF(GT20&lt;=Inputs!$G$5,"Cons","Beyond Cons")</f>
        <v>Beyond Cons</v>
      </c>
      <c r="GU19" s="8" t="str">
        <f>IF(GU20&lt;=Inputs!$G$5,"Cons","Beyond Cons")</f>
        <v>Beyond Cons</v>
      </c>
      <c r="GV19" s="8" t="str">
        <f>IF(GV20&lt;=Inputs!$G$5,"Cons","Beyond Cons")</f>
        <v>Beyond Cons</v>
      </c>
      <c r="GW19" s="8" t="str">
        <f>IF(GW20&lt;=Inputs!$G$5,"Cons","Beyond Cons")</f>
        <v>Beyond Cons</v>
      </c>
      <c r="GX19" s="8" t="str">
        <f>IF(GX20&lt;=Inputs!$G$5,"Cons","Beyond Cons")</f>
        <v>Beyond Cons</v>
      </c>
      <c r="GY19" s="8" t="str">
        <f>IF(GY20&lt;=Inputs!$G$5,"Cons","Beyond Cons")</f>
        <v>Beyond Cons</v>
      </c>
      <c r="GZ19" s="8" t="str">
        <f>IF(GZ20&lt;=Inputs!$G$5,"Cons","Beyond Cons")</f>
        <v>Beyond Cons</v>
      </c>
      <c r="HA19" s="8" t="str">
        <f>IF(HA20&lt;=Inputs!$G$5,"Cons","Beyond Cons")</f>
        <v>Beyond Cons</v>
      </c>
      <c r="HB19" s="8" t="str">
        <f>IF(HB20&lt;=Inputs!$G$5,"Cons","Beyond Cons")</f>
        <v>Beyond Cons</v>
      </c>
      <c r="HC19" s="8" t="str">
        <f>IF(HC20&lt;=Inputs!$G$5,"Cons","Beyond Cons")</f>
        <v>Beyond Cons</v>
      </c>
      <c r="HD19" s="8" t="str">
        <f>IF(HD20&lt;=Inputs!$G$5,"Cons","Beyond Cons")</f>
        <v>Beyond Cons</v>
      </c>
      <c r="HE19" s="8" t="str">
        <f>IF(HE20&lt;=Inputs!$G$5,"Cons","Beyond Cons")</f>
        <v>Beyond Cons</v>
      </c>
      <c r="HF19" s="8" t="str">
        <f>IF(HF20&lt;=Inputs!$G$5,"Cons","Beyond Cons")</f>
        <v>Beyond Cons</v>
      </c>
      <c r="HG19" s="8" t="str">
        <f>IF(HG20&lt;=Inputs!$G$5,"Cons","Beyond Cons")</f>
        <v>Beyond Cons</v>
      </c>
      <c r="HH19" s="8" t="str">
        <f>IF(HH20&lt;=Inputs!$G$5,"Cons","Beyond Cons")</f>
        <v>Beyond Cons</v>
      </c>
      <c r="HI19" s="8" t="str">
        <f>IF(HI20&lt;=Inputs!$G$5,"Cons","Beyond Cons")</f>
        <v>Beyond Cons</v>
      </c>
      <c r="HJ19" s="8" t="str">
        <f>IF(HJ20&lt;=Inputs!$G$5,"Cons","Beyond Cons")</f>
        <v>Beyond Cons</v>
      </c>
      <c r="HK19" s="8" t="str">
        <f>IF(HK20&lt;=Inputs!$G$5,"Cons","Beyond Cons")</f>
        <v>Beyond Cons</v>
      </c>
      <c r="HL19" s="8" t="str">
        <f>IF(HL20&lt;=Inputs!$G$5,"Cons","Beyond Cons")</f>
        <v>Beyond Cons</v>
      </c>
      <c r="HM19" s="8" t="str">
        <f>IF(HM20&lt;=Inputs!$G$5,"Cons","Beyond Cons")</f>
        <v>Beyond Cons</v>
      </c>
      <c r="HN19" s="8" t="str">
        <f>IF(HN20&lt;=Inputs!$G$5,"Cons","Beyond Cons")</f>
        <v>Beyond Cons</v>
      </c>
      <c r="HO19" s="8" t="str">
        <f>IF(HO20&lt;=Inputs!$G$5,"Cons","Beyond Cons")</f>
        <v>Beyond Cons</v>
      </c>
      <c r="HP19" s="8" t="str">
        <f>IF(HP20&lt;=Inputs!$G$5,"Cons","Beyond Cons")</f>
        <v>Beyond Cons</v>
      </c>
      <c r="HQ19" s="8" t="str">
        <f>IF(HQ20&lt;=Inputs!$G$5,"Cons","Beyond Cons")</f>
        <v>Beyond Cons</v>
      </c>
      <c r="HR19" s="8" t="str">
        <f>IF(HR20&lt;=Inputs!$G$5,"Cons","Beyond Cons")</f>
        <v>Beyond Cons</v>
      </c>
      <c r="HS19" s="8" t="str">
        <f>IF(HS20&lt;=Inputs!$G$5,"Cons","Beyond Cons")</f>
        <v>Beyond Cons</v>
      </c>
      <c r="HT19" s="8" t="str">
        <f>IF(HT20&lt;=Inputs!$G$5,"Cons","Beyond Cons")</f>
        <v>Beyond Cons</v>
      </c>
      <c r="HU19" s="8" t="str">
        <f>IF(HU20&lt;=Inputs!$G$5,"Cons","Beyond Cons")</f>
        <v>Beyond Cons</v>
      </c>
      <c r="HV19" s="8" t="str">
        <f>IF(HV20&lt;=Inputs!$G$5,"Cons","Beyond Cons")</f>
        <v>Beyond Cons</v>
      </c>
      <c r="HW19" s="8" t="str">
        <f>IF(HW20&lt;=Inputs!$G$5,"Cons","Beyond Cons")</f>
        <v>Beyond Cons</v>
      </c>
      <c r="HX19" s="8" t="str">
        <f>IF(HX20&lt;=Inputs!$G$5,"Cons","Beyond Cons")</f>
        <v>Beyond Cons</v>
      </c>
      <c r="HY19" s="8" t="str">
        <f>IF(HY20&lt;=Inputs!$G$5,"Cons","Beyond Cons")</f>
        <v>Beyond Cons</v>
      </c>
      <c r="HZ19" s="8" t="str">
        <f>IF(HZ20&lt;=Inputs!$G$5,"Cons","Beyond Cons")</f>
        <v>Beyond Cons</v>
      </c>
      <c r="IA19" s="8" t="str">
        <f>IF(IA20&lt;=Inputs!$G$5,"Cons","Beyond Cons")</f>
        <v>Beyond Cons</v>
      </c>
      <c r="IB19" s="8" t="str">
        <f>IF(IB20&lt;=Inputs!$G$5,"Cons","Beyond Cons")</f>
        <v>Beyond Cons</v>
      </c>
      <c r="IC19" s="15" t="str">
        <f>IF(IC20&lt;=Inputs!$G$5,"Cons","Beyond Cons")</f>
        <v>Beyond Cons</v>
      </c>
    </row>
    <row r="20" spans="1:237" x14ac:dyDescent="0.3">
      <c r="B20" s="34" t="s">
        <v>5</v>
      </c>
      <c r="C20" s="70">
        <f>Inputs!G3</f>
        <v>45566</v>
      </c>
      <c r="D20" s="70">
        <f>IFERROR(IF(EOMONTH(C20,0.5)+1&lt;=EOMONTH(Inputs!$G$5,$C$7),EOMONTH(C20,0.5)+1,"-"),"-")</f>
        <v>45597</v>
      </c>
      <c r="E20" s="70">
        <f>IFERROR(IF(EOMONTH(D20,0.5)+1&lt;=EOMONTH(Inputs!$G$5,$C$7),EOMONTH(D20,0.5)+1,"-"),"-")</f>
        <v>45627</v>
      </c>
      <c r="F20" s="70">
        <f>IFERROR(IF(EOMONTH(E20,0.5)+1&lt;=EOMONTH(Inputs!$G$5,$C$7),EOMONTH(E20,0.5)+1,"-"),"-")</f>
        <v>45658</v>
      </c>
      <c r="G20" s="70">
        <f>IFERROR(IF(EOMONTH(F20,0.5)+1&lt;=EOMONTH(Inputs!$G$5,$C$7),EOMONTH(F20,0.5)+1,"-"),"-")</f>
        <v>45689</v>
      </c>
      <c r="H20" s="70">
        <f>IFERROR(IF(EOMONTH(G20,0.5)+1&lt;=EOMONTH(Inputs!$G$5,$C$7),EOMONTH(G20,0.5)+1,"-"),"-")</f>
        <v>45717</v>
      </c>
      <c r="I20" s="70">
        <f>IFERROR(IF(EOMONTH(H20,0.5)+1&lt;=EOMONTH(Inputs!$G$5,$C$7),EOMONTH(H20,0.5)+1,"-"),"-")</f>
        <v>45748</v>
      </c>
      <c r="J20" s="70">
        <f>IFERROR(IF(EOMONTH(I20,0.5)+1&lt;=EOMONTH(Inputs!$G$5,$C$7),EOMONTH(I20,0.5)+1,"-"),"-")</f>
        <v>45778</v>
      </c>
      <c r="K20" s="70">
        <f>IFERROR(IF(EOMONTH(J20,0.5)+1&lt;=EOMONTH(Inputs!$G$5,$C$7),EOMONTH(J20,0.5)+1,"-"),"-")</f>
        <v>45809</v>
      </c>
      <c r="L20" s="70">
        <f>IFERROR(IF(EOMONTH(K20,0.5)+1&lt;=EOMONTH(Inputs!$G$5,$C$7),EOMONTH(K20,0.5)+1,"-"),"-")</f>
        <v>45839</v>
      </c>
      <c r="M20" s="70">
        <f>IFERROR(IF(EOMONTH(L20,0.5)+1&lt;=EOMONTH(Inputs!$G$5,$C$7),EOMONTH(L20,0.5)+1,"-"),"-")</f>
        <v>45870</v>
      </c>
      <c r="N20" s="70">
        <f>IFERROR(IF(EOMONTH(M20,0.5)+1&lt;=EOMONTH(Inputs!$G$5,$C$7),EOMONTH(M20,0.5)+1,"-"),"-")</f>
        <v>45901</v>
      </c>
      <c r="O20" s="70">
        <f>IFERROR(IF(EOMONTH(N20,0.5)+1&lt;=EOMONTH(Inputs!$G$5,$C$7),EOMONTH(N20,0.5)+1,"-"),"-")</f>
        <v>45931</v>
      </c>
      <c r="P20" s="70">
        <f>IFERROR(IF(EOMONTH(O20,0.5)+1&lt;=EOMONTH(Inputs!$G$5,$C$7),EOMONTH(O20,0.5)+1,"-"),"-")</f>
        <v>45962</v>
      </c>
      <c r="Q20" s="70">
        <f>IFERROR(IF(EOMONTH(P20,0.5)+1&lt;=EOMONTH(Inputs!$G$5,$C$7),EOMONTH(P20,0.5)+1,"-"),"-")</f>
        <v>45992</v>
      </c>
      <c r="R20" s="70">
        <f>IFERROR(IF(EOMONTH(Q20,0.5)+1&lt;=EOMONTH(Inputs!$G$5,$C$7),EOMONTH(Q20,0.5)+1,"-"),"-")</f>
        <v>46023</v>
      </c>
      <c r="S20" s="70">
        <f>IFERROR(IF(EOMONTH(R20,0.5)+1&lt;=EOMONTH(Inputs!$G$5,$C$7),EOMONTH(R20,0.5)+1,"-"),"-")</f>
        <v>46054</v>
      </c>
      <c r="T20" s="70">
        <f>IFERROR(IF(EOMONTH(S20,0.5)+1&lt;=EOMONTH(Inputs!$G$5,$C$7),EOMONTH(S20,0.5)+1,"-"),"-")</f>
        <v>46082</v>
      </c>
      <c r="U20" s="70">
        <f>IFERROR(IF(EOMONTH(T20,0.5)+1&lt;=EOMONTH(Inputs!$G$5,$C$7),EOMONTH(T20,0.5)+1,"-"),"-")</f>
        <v>46113</v>
      </c>
      <c r="V20" s="70">
        <f>IFERROR(IF(EOMONTH(U20,0.5)+1&lt;=EOMONTH(Inputs!$G$5,$C$7),EOMONTH(U20,0.5)+1,"-"),"-")</f>
        <v>46143</v>
      </c>
      <c r="W20" s="70">
        <f>IFERROR(IF(EOMONTH(V20,0.5)+1&lt;=EOMONTH(Inputs!$G$5,$C$7),EOMONTH(V20,0.5)+1,"-"),"-")</f>
        <v>46174</v>
      </c>
      <c r="X20" s="70">
        <f>IFERROR(IF(EOMONTH(W20,0.5)+1&lt;=EOMONTH(Inputs!$G$5,$C$7),EOMONTH(W20,0.5)+1,"-"),"-")</f>
        <v>46204</v>
      </c>
      <c r="Y20" s="70">
        <f>IFERROR(IF(EOMONTH(X20,0.5)+1&lt;=EOMONTH(Inputs!$G$5,$C$7),EOMONTH(X20,0.5)+1,"-"),"-")</f>
        <v>46235</v>
      </c>
      <c r="Z20" s="70">
        <f>IFERROR(IF(EOMONTH(Y20,0.5)+1&lt;=EOMONTH(Inputs!$G$5,$C$7),EOMONTH(Y20,0.5)+1,"-"),"-")</f>
        <v>46266</v>
      </c>
      <c r="AA20" s="70">
        <f>IFERROR(IF(EOMONTH(Z20,0.5)+1&lt;=EOMONTH(Inputs!$G$5,$C$7),EOMONTH(Z20,0.5)+1,"-"),"-")</f>
        <v>46296</v>
      </c>
      <c r="AB20" s="70">
        <f>IFERROR(IF(EOMONTH(AA20,0.5)+1&lt;=EOMONTH(Inputs!$G$5,$C$7),EOMONTH(AA20,0.5)+1,"-"),"-")</f>
        <v>46327</v>
      </c>
      <c r="AC20" s="70">
        <f>IFERROR(IF(EOMONTH(AB20,0.5)+1&lt;=EOMONTH(Inputs!$G$5,$C$7),EOMONTH(AB20,0.5)+1,"-"),"-")</f>
        <v>46357</v>
      </c>
      <c r="AD20" s="70">
        <f>IFERROR(IF(EOMONTH(AC20,0.5)+1&lt;=EOMONTH(Inputs!$G$5,$C$7),EOMONTH(AC20,0.5)+1,"-"),"-")</f>
        <v>46388</v>
      </c>
      <c r="AE20" s="70">
        <f>IFERROR(IF(EOMONTH(AD20,0.5)+1&lt;=EOMONTH(Inputs!$G$5,$C$7),EOMONTH(AD20,0.5)+1,"-"),"-")</f>
        <v>46419</v>
      </c>
      <c r="AF20" s="70">
        <f>IFERROR(IF(EOMONTH(AE20,0.5)+1&lt;=EOMONTH(Inputs!$G$5,$C$7),EOMONTH(AE20,0.5)+1,"-"),"-")</f>
        <v>46447</v>
      </c>
      <c r="AG20" s="70">
        <f>IFERROR(IF(EOMONTH(AF20,0.5)+1&lt;=EOMONTH(Inputs!$G$5,$C$7),EOMONTH(AF20,0.5)+1,"-"),"-")</f>
        <v>46478</v>
      </c>
      <c r="AH20" s="70">
        <f>IFERROR(IF(EOMONTH(AG20,0.5)+1&lt;=EOMONTH(Inputs!$G$5,$C$7),EOMONTH(AG20,0.5)+1,"-"),"-")</f>
        <v>46508</v>
      </c>
      <c r="AI20" s="70">
        <f>IFERROR(IF(EOMONTH(AH20,0.5)+1&lt;=EOMONTH(Inputs!$G$5,$C$7),EOMONTH(AH20,0.5)+1,"-"),"-")</f>
        <v>46539</v>
      </c>
      <c r="AJ20" s="70">
        <f>IFERROR(IF(EOMONTH(AI20,0.5)+1&lt;=EOMONTH(Inputs!$G$5,$C$7),EOMONTH(AI20,0.5)+1,"-"),"-")</f>
        <v>46569</v>
      </c>
      <c r="AK20" s="70">
        <f>IFERROR(IF(EOMONTH(AJ20,0.5)+1&lt;=EOMONTH(Inputs!$G$5,$C$7),EOMONTH(AJ20,0.5)+1,"-"),"-")</f>
        <v>46600</v>
      </c>
      <c r="AL20" s="70">
        <f>IFERROR(IF(EOMONTH(AK20,0.5)+1&lt;=EOMONTH(Inputs!$G$5,$C$7),EOMONTH(AK20,0.5)+1,"-"),"-")</f>
        <v>46631</v>
      </c>
      <c r="AM20" s="70">
        <f>IFERROR(IF(EOMONTH(AL20,0.5)+1&lt;=EOMONTH(Inputs!$G$5,$C$7),EOMONTH(AL20,0.5)+1,"-"),"-")</f>
        <v>46661</v>
      </c>
      <c r="AN20" s="70">
        <f>IFERROR(IF(EOMONTH(AM20,0.5)+1&lt;=EOMONTH(Inputs!$G$5,$C$7),EOMONTH(AM20,0.5)+1,"-"),"-")</f>
        <v>46692</v>
      </c>
      <c r="AO20" s="70">
        <f>IFERROR(IF(EOMONTH(AN20,0.5)+1&lt;=EOMONTH(Inputs!$G$5,$C$7),EOMONTH(AN20,0.5)+1,"-"),"-")</f>
        <v>46722</v>
      </c>
      <c r="AP20" s="70">
        <f>IFERROR(IF(EOMONTH(AO20,0.5)+1&lt;=EOMONTH(Inputs!$G$5,$C$7),EOMONTH(AO20,0.5)+1,"-"),"-")</f>
        <v>46753</v>
      </c>
      <c r="AQ20" s="70">
        <f>IFERROR(IF(EOMONTH(AP20,0.5)+1&lt;=EOMONTH(Inputs!$G$5,$C$7),EOMONTH(AP20,0.5)+1,"-"),"-")</f>
        <v>46784</v>
      </c>
      <c r="AR20" s="70">
        <f>IFERROR(IF(EOMONTH(AQ20,0.5)+1&lt;=EOMONTH(Inputs!$G$5,$C$7),EOMONTH(AQ20,0.5)+1,"-"),"-")</f>
        <v>46813</v>
      </c>
      <c r="AS20" s="70">
        <f>IFERROR(IF(EOMONTH(AR20,0.5)+1&lt;=EOMONTH(Inputs!$G$5,$C$7),EOMONTH(AR20,0.5)+1,"-"),"-")</f>
        <v>46844</v>
      </c>
      <c r="AT20" s="70">
        <f>IFERROR(IF(EOMONTH(AS20,0.5)+1&lt;=EOMONTH(Inputs!$G$5,$C$7),EOMONTH(AS20,0.5)+1,"-"),"-")</f>
        <v>46874</v>
      </c>
      <c r="AU20" s="70">
        <f>IFERROR(IF(EOMONTH(AT20,0.5)+1&lt;=EOMONTH(Inputs!$G$5,$C$7),EOMONTH(AT20,0.5)+1,"-"),"-")</f>
        <v>46905</v>
      </c>
      <c r="AV20" s="70">
        <f>IFERROR(IF(EOMONTH(AU20,0.5)+1&lt;=EOMONTH(Inputs!$G$5,$C$7),EOMONTH(AU20,0.5)+1,"-"),"-")</f>
        <v>46935</v>
      </c>
      <c r="AW20" s="70">
        <f>IFERROR(IF(EOMONTH(AV20,0.5)+1&lt;=EOMONTH(Inputs!$G$5,$C$7),EOMONTH(AV20,0.5)+1,"-"),"-")</f>
        <v>46966</v>
      </c>
      <c r="AX20" s="70">
        <f>IFERROR(IF(EOMONTH(AW20,0.5)+1&lt;=EOMONTH(Inputs!$G$5,$C$7),EOMONTH(AW20,0.5)+1,"-"),"-")</f>
        <v>46997</v>
      </c>
      <c r="AY20" s="70">
        <f>IFERROR(IF(EOMONTH(AX20,0.5)+1&lt;=EOMONTH(Inputs!$G$5,$C$7),EOMONTH(AX20,0.5)+1,"-"),"-")</f>
        <v>47027</v>
      </c>
      <c r="AZ20" s="70">
        <f>IFERROR(IF(EOMONTH(AY20,0.5)+1&lt;=EOMONTH(Inputs!$G$5,$C$7),EOMONTH(AY20,0.5)+1,"-"),"-")</f>
        <v>47058</v>
      </c>
      <c r="BA20" s="70">
        <f>IFERROR(IF(EOMONTH(AZ20,0.5)+1&lt;=EOMONTH(Inputs!$G$5,$C$7),EOMONTH(AZ20,0.5)+1,"-"),"-")</f>
        <v>47088</v>
      </c>
      <c r="BB20" s="70">
        <f>IFERROR(IF(EOMONTH(BA20,0.5)+1&lt;=EOMONTH(Inputs!$G$5,$C$7),EOMONTH(BA20,0.5)+1,"-"),"-")</f>
        <v>47119</v>
      </c>
      <c r="BC20" s="70">
        <f>IFERROR(IF(EOMONTH(BB20,0.5)+1&lt;=EOMONTH(Inputs!$G$5,$C$7),EOMONTH(BB20,0.5)+1,"-"),"-")</f>
        <v>47150</v>
      </c>
      <c r="BD20" s="70">
        <f>IFERROR(IF(EOMONTH(BC20,0.5)+1&lt;=EOMONTH(Inputs!$G$5,$C$7),EOMONTH(BC20,0.5)+1,"-"),"-")</f>
        <v>47178</v>
      </c>
      <c r="BE20" s="70">
        <f>IFERROR(IF(EOMONTH(BD20,0.5)+1&lt;=EOMONTH(Inputs!$G$5,$C$7),EOMONTH(BD20,0.5)+1,"-"),"-")</f>
        <v>47209</v>
      </c>
      <c r="BF20" s="70">
        <f>IFERROR(IF(EOMONTH(BE20,0.5)+1&lt;=EOMONTH(Inputs!$G$5,$C$7),EOMONTH(BE20,0.5)+1,"-"),"-")</f>
        <v>47239</v>
      </c>
      <c r="BG20" s="70">
        <f>IFERROR(IF(EOMONTH(BF20,0.5)+1&lt;=EOMONTH(Inputs!$G$5,$C$7),EOMONTH(BF20,0.5)+1,"-"),"-")</f>
        <v>47270</v>
      </c>
      <c r="BH20" s="70">
        <f>IFERROR(IF(EOMONTH(BG20,0.5)+1&lt;=EOMONTH(Inputs!$G$5,$C$7),EOMONTH(BG20,0.5)+1,"-"),"-")</f>
        <v>47300</v>
      </c>
      <c r="BI20" s="70">
        <f>IFERROR(IF(EOMONTH(BH20,0.5)+1&lt;=EOMONTH(Inputs!$G$5,$C$7),EOMONTH(BH20,0.5)+1,"-"),"-")</f>
        <v>47331</v>
      </c>
      <c r="BJ20" s="70">
        <f>IFERROR(IF(EOMONTH(BI20,0.5)+1&lt;=EOMONTH(Inputs!$G$5,$C$7),EOMONTH(BI20,0.5)+1,"-"),"-")</f>
        <v>47362</v>
      </c>
      <c r="BK20" s="70">
        <f>IFERROR(IF(EOMONTH(BJ20,0.5)+1&lt;=EOMONTH(Inputs!$G$5,$C$7),EOMONTH(BJ20,0.5)+1,"-"),"-")</f>
        <v>47392</v>
      </c>
      <c r="BL20" s="70">
        <f>IFERROR(IF(EOMONTH(BK20,0.5)+1&lt;=EOMONTH(Inputs!$G$5,$C$7),EOMONTH(BK20,0.5)+1,"-"),"-")</f>
        <v>47423</v>
      </c>
      <c r="BM20" s="70">
        <f>IFERROR(IF(EOMONTH(BL20,0.5)+1&lt;=EOMONTH(Inputs!$G$5,$C$7),EOMONTH(BL20,0.5)+1,"-"),"-")</f>
        <v>47453</v>
      </c>
      <c r="BN20" s="70">
        <f>IFERROR(IF(EOMONTH(BM20,0.5)+1&lt;=EOMONTH(Inputs!$G$5,$C$7),EOMONTH(BM20,0.5)+1,"-"),"-")</f>
        <v>47484</v>
      </c>
      <c r="BO20" s="70">
        <f>IFERROR(IF(EOMONTH(BN20,0.5)+1&lt;=EOMONTH(Inputs!$G$5,$C$7),EOMONTH(BN20,0.5)+1,"-"),"-")</f>
        <v>47515</v>
      </c>
      <c r="BP20" s="70">
        <f>IFERROR(IF(EOMONTH(BO20,0.5)+1&lt;=EOMONTH(Inputs!$G$5,$C$7),EOMONTH(BO20,0.5)+1,"-"),"-")</f>
        <v>47543</v>
      </c>
      <c r="BQ20" s="70">
        <f>IFERROR(IF(EOMONTH(BP20,0.5)+1&lt;=EOMONTH(Inputs!$G$5,$C$7),EOMONTH(BP20,0.5)+1,"-"),"-")</f>
        <v>47574</v>
      </c>
      <c r="BR20" s="70">
        <f>IFERROR(IF(EOMONTH(BQ20,0.5)+1&lt;=EOMONTH(Inputs!$G$5,$C$7),EOMONTH(BQ20,0.5)+1,"-"),"-")</f>
        <v>47604</v>
      </c>
      <c r="BS20" s="70">
        <f>IFERROR(IF(EOMONTH(BR20,0.5)+1&lt;=EOMONTH(Inputs!$G$5,$C$7),EOMONTH(BR20,0.5)+1,"-"),"-")</f>
        <v>47635</v>
      </c>
      <c r="BT20" s="70">
        <f>IFERROR(IF(EOMONTH(BS20,0.5)+1&lt;=EOMONTH(Inputs!$G$5,$C$7),EOMONTH(BS20,0.5)+1,"-"),"-")</f>
        <v>47665</v>
      </c>
      <c r="BU20" s="70">
        <f>IFERROR(IF(EOMONTH(BT20,0.5)+1&lt;=EOMONTH(Inputs!$G$5,$C$7),EOMONTH(BT20,0.5)+1,"-"),"-")</f>
        <v>47696</v>
      </c>
      <c r="BV20" s="70">
        <f>IFERROR(IF(EOMONTH(BU20,0.5)+1&lt;=EOMONTH(Inputs!$G$5,$C$7),EOMONTH(BU20,0.5)+1,"-"),"-")</f>
        <v>47727</v>
      </c>
      <c r="BW20" s="70">
        <f>IFERROR(IF(EOMONTH(BV20,0.5)+1&lt;=EOMONTH(Inputs!$G$5,$C$7),EOMONTH(BV20,0.5)+1,"-"),"-")</f>
        <v>47757</v>
      </c>
      <c r="BX20" s="70">
        <f>IFERROR(IF(EOMONTH(BW20,0.5)+1&lt;=EOMONTH(Inputs!$G$5,$C$7),EOMONTH(BW20,0.5)+1,"-"),"-")</f>
        <v>47788</v>
      </c>
      <c r="BY20" s="70">
        <f>IFERROR(IF(EOMONTH(BX20,0.5)+1&lt;=EOMONTH(Inputs!$G$5,$C$7),EOMONTH(BX20,0.5)+1,"-"),"-")</f>
        <v>47818</v>
      </c>
      <c r="BZ20" s="70">
        <f>IFERROR(IF(EOMONTH(BY20,0.5)+1&lt;=EOMONTH(Inputs!$G$5,$C$7),EOMONTH(BY20,0.5)+1,"-"),"-")</f>
        <v>47849</v>
      </c>
      <c r="CA20" s="70">
        <f>IFERROR(IF(EOMONTH(BZ20,0.5)+1&lt;=EOMONTH(Inputs!$G$5,$C$7),EOMONTH(BZ20,0.5)+1,"-"),"-")</f>
        <v>47880</v>
      </c>
      <c r="CB20" s="70">
        <f>IFERROR(IF(EOMONTH(CA20,0.5)+1&lt;=EOMONTH(Inputs!$G$5,$C$7),EOMONTH(CA20,0.5)+1,"-"),"-")</f>
        <v>47908</v>
      </c>
      <c r="CC20" s="70">
        <f>IFERROR(IF(EOMONTH(CB20,0.5)+1&lt;=EOMONTH(Inputs!$G$5,$C$7),EOMONTH(CB20,0.5)+1,"-"),"-")</f>
        <v>47939</v>
      </c>
      <c r="CD20" s="70">
        <f>IFERROR(IF(EOMONTH(CC20,0.5)+1&lt;=EOMONTH(Inputs!$G$5,$C$7),EOMONTH(CC20,0.5)+1,"-"),"-")</f>
        <v>47969</v>
      </c>
      <c r="CE20" s="70">
        <f>IFERROR(IF(EOMONTH(CD20,0.5)+1&lt;=EOMONTH(Inputs!$G$5,$C$7),EOMONTH(CD20,0.5)+1,"-"),"-")</f>
        <v>48000</v>
      </c>
      <c r="CF20" s="70">
        <f>IFERROR(IF(EOMONTH(CE20,0.5)+1&lt;=EOMONTH(Inputs!$G$5,$C$7),EOMONTH(CE20,0.5)+1,"-"),"-")</f>
        <v>48030</v>
      </c>
      <c r="CG20" s="70">
        <f>IFERROR(IF(EOMONTH(CF20,0.5)+1&lt;=EOMONTH(Inputs!$G$5,$C$7),EOMONTH(CF20,0.5)+1,"-"),"-")</f>
        <v>48061</v>
      </c>
      <c r="CH20" s="70">
        <f>IFERROR(IF(EOMONTH(CG20,0.5)+1&lt;=EOMONTH(Inputs!$G$5,$C$7),EOMONTH(CG20,0.5)+1,"-"),"-")</f>
        <v>48092</v>
      </c>
      <c r="CI20" s="70">
        <f>IFERROR(IF(EOMONTH(CH20,0.5)+1&lt;=EOMONTH(Inputs!$G$5,$C$7),EOMONTH(CH20,0.5)+1,"-"),"-")</f>
        <v>48122</v>
      </c>
      <c r="CJ20" s="70">
        <f>IFERROR(IF(EOMONTH(CI20,0.5)+1&lt;=EOMONTH(Inputs!$G$5,$C$7),EOMONTH(CI20,0.5)+1,"-"),"-")</f>
        <v>48153</v>
      </c>
      <c r="CK20" s="70">
        <f>IFERROR(IF(EOMONTH(CJ20,0.5)+1&lt;=EOMONTH(Inputs!$G$5,$C$7),EOMONTH(CJ20,0.5)+1,"-"),"-")</f>
        <v>48183</v>
      </c>
      <c r="CL20" s="70">
        <f>IFERROR(IF(EOMONTH(CK20,0.5)+1&lt;=EOMONTH(Inputs!$G$5,$C$7),EOMONTH(CK20,0.5)+1,"-"),"-")</f>
        <v>48214</v>
      </c>
      <c r="CM20" s="70">
        <f>IFERROR(IF(EOMONTH(CL20,0.5)+1&lt;=EOMONTH(Inputs!$G$5,$C$7),EOMONTH(CL20,0.5)+1,"-"),"-")</f>
        <v>48245</v>
      </c>
      <c r="CN20" s="70">
        <f>IFERROR(IF(EOMONTH(CM20,0.5)+1&lt;=EOMONTH(Inputs!$G$5,$C$7),EOMONTH(CM20,0.5)+1,"-"),"-")</f>
        <v>48274</v>
      </c>
      <c r="CO20" s="70">
        <f>IFERROR(IF(EOMONTH(CN20,0.5)+1&lt;=EOMONTH(Inputs!$G$5,$C$7),EOMONTH(CN20,0.5)+1,"-"),"-")</f>
        <v>48305</v>
      </c>
      <c r="CP20" s="70">
        <f>IFERROR(IF(EOMONTH(CO20,0.5)+1&lt;=EOMONTH(Inputs!$G$5,$C$7),EOMONTH(CO20,0.5)+1,"-"),"-")</f>
        <v>48335</v>
      </c>
      <c r="CQ20" s="70">
        <f>IFERROR(IF(EOMONTH(CP20,0.5)+1&lt;=EOMONTH(Inputs!$G$5,$C$7),EOMONTH(CP20,0.5)+1,"-"),"-")</f>
        <v>48366</v>
      </c>
      <c r="CR20" s="70">
        <f>IFERROR(IF(EOMONTH(CQ20,0.5)+1&lt;=EOMONTH(Inputs!$G$5,$C$7),EOMONTH(CQ20,0.5)+1,"-"),"-")</f>
        <v>48396</v>
      </c>
      <c r="CS20" s="70">
        <f>IFERROR(IF(EOMONTH(CR20,0.5)+1&lt;=EOMONTH(Inputs!$G$5,$C$7),EOMONTH(CR20,0.5)+1,"-"),"-")</f>
        <v>48427</v>
      </c>
      <c r="CT20" s="70">
        <f>IFERROR(IF(EOMONTH(CS20,0.5)+1&lt;=EOMONTH(Inputs!$G$5,$C$7),EOMONTH(CS20,0.5)+1,"-"),"-")</f>
        <v>48458</v>
      </c>
      <c r="CU20" s="70">
        <f>IFERROR(IF(EOMONTH(CT20,0.5)+1&lt;=EOMONTH(Inputs!$G$5,$C$7),EOMONTH(CT20,0.5)+1,"-"),"-")</f>
        <v>48488</v>
      </c>
      <c r="CV20" s="70">
        <f>IFERROR(IF(EOMONTH(CU20,0.5)+1&lt;=EOMONTH(Inputs!$G$5,$C$7),EOMONTH(CU20,0.5)+1,"-"),"-")</f>
        <v>48519</v>
      </c>
      <c r="CW20" s="70">
        <f>IFERROR(IF(EOMONTH(CV20,0.5)+1&lt;=EOMONTH(Inputs!$G$5,$C$7),EOMONTH(CV20,0.5)+1,"-"),"-")</f>
        <v>48549</v>
      </c>
      <c r="CX20" s="70">
        <f>IFERROR(IF(EOMONTH(CW20,0.5)+1&lt;=EOMONTH(Inputs!$G$5,$C$7),EOMONTH(CW20,0.5)+1,"-"),"-")</f>
        <v>48580</v>
      </c>
      <c r="CY20" s="70">
        <f>IFERROR(IF(EOMONTH(CX20,0.5)+1&lt;=EOMONTH(Inputs!$G$5,$C$7),EOMONTH(CX20,0.5)+1,"-"),"-")</f>
        <v>48611</v>
      </c>
      <c r="CZ20" s="70">
        <f>IFERROR(IF(EOMONTH(CY20,0.5)+1&lt;=EOMONTH(Inputs!$G$5,$C$7),EOMONTH(CY20,0.5)+1,"-"),"-")</f>
        <v>48639</v>
      </c>
      <c r="DA20" s="70">
        <f>IFERROR(IF(EOMONTH(CZ20,0.5)+1&lt;=EOMONTH(Inputs!$G$5,$C$7),EOMONTH(CZ20,0.5)+1,"-"),"-")</f>
        <v>48670</v>
      </c>
      <c r="DB20" s="70">
        <f>IFERROR(IF(EOMONTH(DA20,0.5)+1&lt;=EOMONTH(Inputs!$G$5,$C$7),EOMONTH(DA20,0.5)+1,"-"),"-")</f>
        <v>48700</v>
      </c>
      <c r="DC20" s="70">
        <f>IFERROR(IF(EOMONTH(DB20,0.5)+1&lt;=EOMONTH(Inputs!$G$5,$C$7),EOMONTH(DB20,0.5)+1,"-"),"-")</f>
        <v>48731</v>
      </c>
      <c r="DD20" s="70">
        <f>IFERROR(IF(EOMONTH(DC20,0.5)+1&lt;=EOMONTH(Inputs!$G$5,$C$7),EOMONTH(DC20,0.5)+1,"-"),"-")</f>
        <v>48761</v>
      </c>
      <c r="DE20" s="70">
        <f>IFERROR(IF(EOMONTH(DD20,0.5)+1&lt;=EOMONTH(Inputs!$G$5,$C$7),EOMONTH(DD20,0.5)+1,"-"),"-")</f>
        <v>48792</v>
      </c>
      <c r="DF20" s="70">
        <f>IFERROR(IF(EOMONTH(DE20,0.5)+1&lt;=EOMONTH(Inputs!$G$5,$C$7),EOMONTH(DE20,0.5)+1,"-"),"-")</f>
        <v>48823</v>
      </c>
      <c r="DG20" s="70">
        <f>IFERROR(IF(EOMONTH(DF20,0.5)+1&lt;=EOMONTH(Inputs!$G$5,$C$7),EOMONTH(DF20,0.5)+1,"-"),"-")</f>
        <v>48853</v>
      </c>
      <c r="DH20" s="70">
        <f>IFERROR(IF(EOMONTH(DG20,0.5)+1&lt;=EOMONTH(Inputs!$G$5,$C$7),EOMONTH(DG20,0.5)+1,"-"),"-")</f>
        <v>48884</v>
      </c>
      <c r="DI20" s="70">
        <f>IFERROR(IF(EOMONTH(DH20,0.5)+1&lt;=EOMONTH(Inputs!$G$5,$C$7),EOMONTH(DH20,0.5)+1,"-"),"-")</f>
        <v>48914</v>
      </c>
      <c r="DJ20" s="70">
        <f>IFERROR(IF(EOMONTH(DI20,0.5)+1&lt;=EOMONTH(Inputs!$G$5,$C$7),EOMONTH(DI20,0.5)+1,"-"),"-")</f>
        <v>48945</v>
      </c>
      <c r="DK20" s="70">
        <f>IFERROR(IF(EOMONTH(DJ20,0.5)+1&lt;=EOMONTH(Inputs!$G$5,$C$7),EOMONTH(DJ20,0.5)+1,"-"),"-")</f>
        <v>48976</v>
      </c>
      <c r="DL20" s="70">
        <f>IFERROR(IF(EOMONTH(DK20,0.5)+1&lt;=EOMONTH(Inputs!$G$5,$C$7),EOMONTH(DK20,0.5)+1,"-"),"-")</f>
        <v>49004</v>
      </c>
      <c r="DM20" s="70">
        <f>IFERROR(IF(EOMONTH(DL20,0.5)+1&lt;=EOMONTH(Inputs!$G$5,$C$7),EOMONTH(DL20,0.5)+1,"-"),"-")</f>
        <v>49035</v>
      </c>
      <c r="DN20" s="70">
        <f>IFERROR(IF(EOMONTH(DM20,0.5)+1&lt;=EOMONTH(Inputs!$G$5,$C$7),EOMONTH(DM20,0.5)+1,"-"),"-")</f>
        <v>49065</v>
      </c>
      <c r="DO20" s="70">
        <f>IFERROR(IF(EOMONTH(DN20,0.5)+1&lt;=EOMONTH(Inputs!$G$5,$C$7),EOMONTH(DN20,0.5)+1,"-"),"-")</f>
        <v>49096</v>
      </c>
      <c r="DP20" s="70">
        <f>IFERROR(IF(EOMONTH(DO20,0.5)+1&lt;=EOMONTH(Inputs!$G$5,$C$7),EOMONTH(DO20,0.5)+1,"-"),"-")</f>
        <v>49126</v>
      </c>
      <c r="DQ20" s="70">
        <f>IFERROR(IF(EOMONTH(DP20,0.5)+1&lt;=EOMONTH(Inputs!$G$5,$C$7),EOMONTH(DP20,0.5)+1,"-"),"-")</f>
        <v>49157</v>
      </c>
      <c r="DR20" s="70">
        <f>IFERROR(IF(EOMONTH(DQ20,0.5)+1&lt;=EOMONTH(Inputs!$G$5,$C$7),EOMONTH(DQ20,0.5)+1,"-"),"-")</f>
        <v>49188</v>
      </c>
      <c r="DS20" s="70">
        <f>IFERROR(IF(EOMONTH(DR20,0.5)+1&lt;=EOMONTH(Inputs!$G$5,$C$7),EOMONTH(DR20,0.5)+1,"-"),"-")</f>
        <v>49218</v>
      </c>
      <c r="DT20" s="70">
        <f>IFERROR(IF(EOMONTH(DS20,0.5)+1&lt;=EOMONTH(Inputs!$G$5,$C$7),EOMONTH(DS20,0.5)+1,"-"),"-")</f>
        <v>49249</v>
      </c>
      <c r="DU20" s="70">
        <f>IFERROR(IF(EOMONTH(DT20,0.5)+1&lt;=EOMONTH(Inputs!$G$5,$C$7),EOMONTH(DT20,0.5)+1,"-"),"-")</f>
        <v>49279</v>
      </c>
      <c r="DV20" s="70">
        <f>IFERROR(IF(EOMONTH(DU20,0.5)+1&lt;=EOMONTH(Inputs!$G$5,$C$7),EOMONTH(DU20,0.5)+1,"-"),"-")</f>
        <v>49310</v>
      </c>
      <c r="DW20" s="70">
        <f>IFERROR(IF(EOMONTH(DV20,0.5)+1&lt;=EOMONTH(Inputs!$G$5,$C$7),EOMONTH(DV20,0.5)+1,"-"),"-")</f>
        <v>49341</v>
      </c>
      <c r="DX20" s="70">
        <f>IFERROR(IF(EOMONTH(DW20,0.5)+1&lt;=EOMONTH(Inputs!$G$5,$C$7),EOMONTH(DW20,0.5)+1,"-"),"-")</f>
        <v>49369</v>
      </c>
      <c r="DY20" s="70">
        <f>IFERROR(IF(EOMONTH(DX20,0.5)+1&lt;=EOMONTH(Inputs!$G$5,$C$7),EOMONTH(DX20,0.5)+1,"-"),"-")</f>
        <v>49400</v>
      </c>
      <c r="DZ20" s="70">
        <f>IFERROR(IF(EOMONTH(DY20,0.5)+1&lt;=EOMONTH(Inputs!$G$5,$C$7),EOMONTH(DY20,0.5)+1,"-"),"-")</f>
        <v>49430</v>
      </c>
      <c r="EA20" s="70">
        <f>IFERROR(IF(EOMONTH(DZ20,0.5)+1&lt;=EOMONTH(Inputs!$G$5,$C$7),EOMONTH(DZ20,0.5)+1,"-"),"-")</f>
        <v>49461</v>
      </c>
      <c r="EB20" s="70">
        <f>IFERROR(IF(EOMONTH(EA20,0.5)+1&lt;=EOMONTH(Inputs!$G$5,$C$7),EOMONTH(EA20,0.5)+1,"-"),"-")</f>
        <v>49491</v>
      </c>
      <c r="EC20" s="70">
        <f>IFERROR(IF(EOMONTH(EB20,0.5)+1&lt;=EOMONTH(Inputs!$G$5,$C$7),EOMONTH(EB20,0.5)+1,"-"),"-")</f>
        <v>49522</v>
      </c>
      <c r="ED20" s="70">
        <f>IFERROR(IF(EOMONTH(EC20,0.5)+1&lt;=EOMONTH(Inputs!$G$5,$C$7),EOMONTH(EC20,0.5)+1,"-"),"-")</f>
        <v>49553</v>
      </c>
      <c r="EE20" s="70">
        <f>IFERROR(IF(EOMONTH(ED20,0.5)+1&lt;=EOMONTH(Inputs!$G$5,$C$7),EOMONTH(ED20,0.5)+1,"-"),"-")</f>
        <v>49583</v>
      </c>
      <c r="EF20" s="70">
        <f>IFERROR(IF(EOMONTH(EE20,0.5)+1&lt;=EOMONTH(Inputs!$G$5,$C$7),EOMONTH(EE20,0.5)+1,"-"),"-")</f>
        <v>49614</v>
      </c>
      <c r="EG20" s="70">
        <f>IFERROR(IF(EOMONTH(EF20,0.5)+1&lt;=EOMONTH(Inputs!$G$5,$C$7),EOMONTH(EF20,0.5)+1,"-"),"-")</f>
        <v>49644</v>
      </c>
      <c r="EH20" s="70">
        <f>IFERROR(IF(EOMONTH(EG20,0.5)+1&lt;=EOMONTH(Inputs!$G$5,$C$7),EOMONTH(EG20,0.5)+1,"-"),"-")</f>
        <v>49675</v>
      </c>
      <c r="EI20" s="70">
        <f>IFERROR(IF(EOMONTH(EH20,0.5)+1&lt;=EOMONTH(Inputs!$G$5,$C$7),EOMONTH(EH20,0.5)+1,"-"),"-")</f>
        <v>49706</v>
      </c>
      <c r="EJ20" s="70">
        <f>IFERROR(IF(EOMONTH(EI20,0.5)+1&lt;=EOMONTH(Inputs!$G$5,$C$7),EOMONTH(EI20,0.5)+1,"-"),"-")</f>
        <v>49735</v>
      </c>
      <c r="EK20" s="70">
        <f>IFERROR(IF(EOMONTH(EJ20,0.5)+1&lt;=EOMONTH(Inputs!$G$5,$C$7),EOMONTH(EJ20,0.5)+1,"-"),"-")</f>
        <v>49766</v>
      </c>
      <c r="EL20" s="70">
        <f>IFERROR(IF(EOMONTH(EK20,0.5)+1&lt;=EOMONTH(Inputs!$G$5,$C$7),EOMONTH(EK20,0.5)+1,"-"),"-")</f>
        <v>49796</v>
      </c>
      <c r="EM20" s="70">
        <f>IFERROR(IF(EOMONTH(EL20,0.5)+1&lt;=EOMONTH(Inputs!$G$5,$C$7),EOMONTH(EL20,0.5)+1,"-"),"-")</f>
        <v>49827</v>
      </c>
      <c r="EN20" s="70">
        <f>IFERROR(IF(EOMONTH(EM20,0.5)+1&lt;=EOMONTH(Inputs!$G$5,$C$7),EOMONTH(EM20,0.5)+1,"-"),"-")</f>
        <v>49857</v>
      </c>
      <c r="EO20" s="70">
        <f>IFERROR(IF(EOMONTH(EN20,0.5)+1&lt;=EOMONTH(Inputs!$G$5,$C$7),EOMONTH(EN20,0.5)+1,"-"),"-")</f>
        <v>49888</v>
      </c>
      <c r="EP20" s="70">
        <f>IFERROR(IF(EOMONTH(EO20,0.5)+1&lt;=EOMONTH(Inputs!$G$5,$C$7),EOMONTH(EO20,0.5)+1,"-"),"-")</f>
        <v>49919</v>
      </c>
      <c r="EQ20" s="70">
        <f>IFERROR(IF(EOMONTH(EP20,0.5)+1&lt;=EOMONTH(Inputs!$G$5,$C$7),EOMONTH(EP20,0.5)+1,"-"),"-")</f>
        <v>49949</v>
      </c>
      <c r="ER20" s="70">
        <f>IFERROR(IF(EOMONTH(EQ20,0.5)+1&lt;=EOMONTH(Inputs!$G$5,$C$7),EOMONTH(EQ20,0.5)+1,"-"),"-")</f>
        <v>49980</v>
      </c>
      <c r="ES20" s="70">
        <f>IFERROR(IF(EOMONTH(ER20,0.5)+1&lt;=EOMONTH(Inputs!$G$5,$C$7),EOMONTH(ER20,0.5)+1,"-"),"-")</f>
        <v>50010</v>
      </c>
      <c r="ET20" s="70">
        <f>IFERROR(IF(EOMONTH(ES20,0.5)+1&lt;=EOMONTH(Inputs!$G$5,$C$7),EOMONTH(ES20,0.5)+1,"-"),"-")</f>
        <v>50041</v>
      </c>
      <c r="EU20" s="70">
        <f>IFERROR(IF(EOMONTH(ET20,0.5)+1&lt;=EOMONTH(Inputs!$G$5,$C$7),EOMONTH(ET20,0.5)+1,"-"),"-")</f>
        <v>50072</v>
      </c>
      <c r="EV20" s="70">
        <f>IFERROR(IF(EOMONTH(EU20,0.5)+1&lt;=EOMONTH(Inputs!$G$5,$C$7),EOMONTH(EU20,0.5)+1,"-"),"-")</f>
        <v>50100</v>
      </c>
      <c r="EW20" s="70">
        <f>IFERROR(IF(EOMONTH(EV20,0.5)+1&lt;=EOMONTH(Inputs!$G$5,$C$7),EOMONTH(EV20,0.5)+1,"-"),"-")</f>
        <v>50131</v>
      </c>
      <c r="EX20" s="70">
        <f>IFERROR(IF(EOMONTH(EW20,0.5)+1&lt;=EOMONTH(Inputs!$G$5,$C$7),EOMONTH(EW20,0.5)+1,"-"),"-")</f>
        <v>50161</v>
      </c>
      <c r="EY20" s="70">
        <f>IFERROR(IF(EOMONTH(EX20,0.5)+1&lt;=EOMONTH(Inputs!$G$5,$C$7),EOMONTH(EX20,0.5)+1,"-"),"-")</f>
        <v>50192</v>
      </c>
      <c r="EZ20" s="70">
        <f>IFERROR(IF(EOMONTH(EY20,0.5)+1&lt;=EOMONTH(Inputs!$G$5,$C$7),EOMONTH(EY20,0.5)+1,"-"),"-")</f>
        <v>50222</v>
      </c>
      <c r="FA20" s="70">
        <f>IFERROR(IF(EOMONTH(EZ20,0.5)+1&lt;=EOMONTH(Inputs!$G$5,$C$7),EOMONTH(EZ20,0.5)+1,"-"),"-")</f>
        <v>50253</v>
      </c>
      <c r="FB20" s="70">
        <f>IFERROR(IF(EOMONTH(FA20,0.5)+1&lt;=EOMONTH(Inputs!$G$5,$C$7),EOMONTH(FA20,0.5)+1,"-"),"-")</f>
        <v>50284</v>
      </c>
      <c r="FC20" s="70">
        <f>IFERROR(IF(EOMONTH(FB20,0.5)+1&lt;=EOMONTH(Inputs!$G$5,$C$7),EOMONTH(FB20,0.5)+1,"-"),"-")</f>
        <v>50314</v>
      </c>
      <c r="FD20" s="70">
        <f>IFERROR(IF(EOMONTH(FC20,0.5)+1&lt;=EOMONTH(Inputs!$G$5,$C$7),EOMONTH(FC20,0.5)+1,"-"),"-")</f>
        <v>50345</v>
      </c>
      <c r="FE20" s="70">
        <f>IFERROR(IF(EOMONTH(FD20,0.5)+1&lt;=EOMONTH(Inputs!$G$5,$C$7),EOMONTH(FD20,0.5)+1,"-"),"-")</f>
        <v>50375</v>
      </c>
      <c r="FF20" s="70">
        <f>IFERROR(IF(EOMONTH(FE20,0.5)+1&lt;=EOMONTH(Inputs!$G$5,$C$7),EOMONTH(FE20,0.5)+1,"-"),"-")</f>
        <v>50406</v>
      </c>
      <c r="FG20" s="70">
        <f>IFERROR(IF(EOMONTH(FF20,0.5)+1&lt;=EOMONTH(Inputs!$G$5,$C$7),EOMONTH(FF20,0.5)+1,"-"),"-")</f>
        <v>50437</v>
      </c>
      <c r="FH20" s="70">
        <f>IFERROR(IF(EOMONTH(FG20,0.5)+1&lt;=EOMONTH(Inputs!$G$5,$C$7),EOMONTH(FG20,0.5)+1,"-"),"-")</f>
        <v>50465</v>
      </c>
      <c r="FI20" s="70">
        <f>IFERROR(IF(EOMONTH(FH20,0.5)+1&lt;=EOMONTH(Inputs!$G$5,$C$7),EOMONTH(FH20,0.5)+1,"-"),"-")</f>
        <v>50496</v>
      </c>
      <c r="FJ20" s="70">
        <f>IFERROR(IF(EOMONTH(FI20,0.5)+1&lt;=EOMONTH(Inputs!$G$5,$C$7),EOMONTH(FI20,0.5)+1,"-"),"-")</f>
        <v>50526</v>
      </c>
      <c r="FK20" s="70">
        <f>IFERROR(IF(EOMONTH(FJ20,0.5)+1&lt;=EOMONTH(Inputs!$G$5,$C$7),EOMONTH(FJ20,0.5)+1,"-"),"-")</f>
        <v>50557</v>
      </c>
      <c r="FL20" s="70">
        <f>IFERROR(IF(EOMONTH(FK20,0.5)+1&lt;=EOMONTH(Inputs!$G$5,$C$7),EOMONTH(FK20,0.5)+1,"-"),"-")</f>
        <v>50587</v>
      </c>
      <c r="FM20" s="70">
        <f>IFERROR(IF(EOMONTH(FL20,0.5)+1&lt;=EOMONTH(Inputs!$G$5,$C$7),EOMONTH(FL20,0.5)+1,"-"),"-")</f>
        <v>50618</v>
      </c>
      <c r="FN20" s="70">
        <f>IFERROR(IF(EOMONTH(FM20,0.5)+1&lt;=EOMONTH(Inputs!$G$5,$C$7),EOMONTH(FM20,0.5)+1,"-"),"-")</f>
        <v>50649</v>
      </c>
      <c r="FO20" s="70">
        <f>IFERROR(IF(EOMONTH(FN20,0.5)+1&lt;=EOMONTH(Inputs!$G$5,$C$7),EOMONTH(FN20,0.5)+1,"-"),"-")</f>
        <v>50679</v>
      </c>
      <c r="FP20" s="70">
        <f>IFERROR(IF(EOMONTH(FO20,0.5)+1&lt;=EOMONTH(Inputs!$G$5,$C$7),EOMONTH(FO20,0.5)+1,"-"),"-")</f>
        <v>50710</v>
      </c>
      <c r="FQ20" s="70">
        <f>IFERROR(IF(EOMONTH(FP20,0.5)+1&lt;=EOMONTH(Inputs!$G$5,$C$7),EOMONTH(FP20,0.5)+1,"-"),"-")</f>
        <v>50740</v>
      </c>
      <c r="FR20" s="70">
        <f>IFERROR(IF(EOMONTH(FQ20,0.5)+1&lt;=EOMONTH(Inputs!$G$5,$C$7),EOMONTH(FQ20,0.5)+1,"-"),"-")</f>
        <v>50771</v>
      </c>
      <c r="FS20" s="70">
        <f>IFERROR(IF(EOMONTH(FR20,0.5)+1&lt;=EOMONTH(Inputs!$G$5,$C$7),EOMONTH(FR20,0.5)+1,"-"),"-")</f>
        <v>50802</v>
      </c>
      <c r="FT20" s="70">
        <f>IFERROR(IF(EOMONTH(FS20,0.5)+1&lt;=EOMONTH(Inputs!$G$5,$C$7),EOMONTH(FS20,0.5)+1,"-"),"-")</f>
        <v>50830</v>
      </c>
      <c r="FU20" s="70">
        <f>IFERROR(IF(EOMONTH(FT20,0.5)+1&lt;=EOMONTH(Inputs!$G$5,$C$7),EOMONTH(FT20,0.5)+1,"-"),"-")</f>
        <v>50861</v>
      </c>
      <c r="FV20" s="70">
        <f>IFERROR(IF(EOMONTH(FU20,0.5)+1&lt;=EOMONTH(Inputs!$G$5,$C$7),EOMONTH(FU20,0.5)+1,"-"),"-")</f>
        <v>50891</v>
      </c>
      <c r="FW20" s="70">
        <f>IFERROR(IF(EOMONTH(FV20,0.5)+1&lt;=EOMONTH(Inputs!$G$5,$C$7),EOMONTH(FV20,0.5)+1,"-"),"-")</f>
        <v>50922</v>
      </c>
      <c r="FX20" s="70">
        <f>IFERROR(IF(EOMONTH(FW20,0.5)+1&lt;=EOMONTH(Inputs!$G$5,$C$7),EOMONTH(FW20,0.5)+1,"-"),"-")</f>
        <v>50952</v>
      </c>
      <c r="FY20" s="70">
        <f>IFERROR(IF(EOMONTH(FX20,0.5)+1&lt;=EOMONTH(Inputs!$G$5,$C$7),EOMONTH(FX20,0.5)+1,"-"),"-")</f>
        <v>50983</v>
      </c>
      <c r="FZ20" s="70">
        <f>IFERROR(IF(EOMONTH(FY20,0.5)+1&lt;=EOMONTH(Inputs!$G$5,$C$7),EOMONTH(FY20,0.5)+1,"-"),"-")</f>
        <v>51014</v>
      </c>
      <c r="GA20" s="70">
        <f>IFERROR(IF(EOMONTH(FZ20,0.5)+1&lt;=EOMONTH(Inputs!$G$5,$C$7),EOMONTH(FZ20,0.5)+1,"-"),"-")</f>
        <v>51044</v>
      </c>
      <c r="GB20" s="70">
        <f>IFERROR(IF(EOMONTH(GA20,0.5)+1&lt;=EOMONTH(Inputs!$G$5,$C$7),EOMONTH(GA20,0.5)+1,"-"),"-")</f>
        <v>51075</v>
      </c>
      <c r="GC20" s="70">
        <f>IFERROR(IF(EOMONTH(GB20,0.5)+1&lt;=EOMONTH(Inputs!$G$5,$C$7),EOMONTH(GB20,0.5)+1,"-"),"-")</f>
        <v>51105</v>
      </c>
      <c r="GD20" s="70">
        <f>IFERROR(IF(EOMONTH(GC20,0.5)+1&lt;=EOMONTH(Inputs!$G$5,$C$7),EOMONTH(GC20,0.5)+1,"-"),"-")</f>
        <v>51136</v>
      </c>
      <c r="GE20" s="70">
        <f>IFERROR(IF(EOMONTH(GD20,0.5)+1&lt;=EOMONTH(Inputs!$G$5,$C$7),EOMONTH(GD20,0.5)+1,"-"),"-")</f>
        <v>51167</v>
      </c>
      <c r="GF20" s="70">
        <f>IFERROR(IF(EOMONTH(GE20,0.5)+1&lt;=EOMONTH(Inputs!$G$5,$C$7),EOMONTH(GE20,0.5)+1,"-"),"-")</f>
        <v>51196</v>
      </c>
      <c r="GG20" s="70">
        <f>IFERROR(IF(EOMONTH(GF20,0.5)+1&lt;=EOMONTH(Inputs!$G$5,$C$7),EOMONTH(GF20,0.5)+1,"-"),"-")</f>
        <v>51227</v>
      </c>
      <c r="GH20" s="70">
        <f>IFERROR(IF(EOMONTH(GG20,0.5)+1&lt;=EOMONTH(Inputs!$G$5,$C$7),EOMONTH(GG20,0.5)+1,"-"),"-")</f>
        <v>51257</v>
      </c>
      <c r="GI20" s="70">
        <f>IFERROR(IF(EOMONTH(GH20,0.5)+1&lt;=EOMONTH(Inputs!$G$5,$C$7),EOMONTH(GH20,0.5)+1,"-"),"-")</f>
        <v>51288</v>
      </c>
      <c r="GJ20" s="70">
        <f>IFERROR(IF(EOMONTH(GI20,0.5)+1&lt;=EOMONTH(Inputs!$G$5,$C$7),EOMONTH(GI20,0.5)+1,"-"),"-")</f>
        <v>51318</v>
      </c>
      <c r="GK20" s="70">
        <f>IFERROR(IF(EOMONTH(GJ20,0.5)+1&lt;=EOMONTH(Inputs!$G$5,$C$7),EOMONTH(GJ20,0.5)+1,"-"),"-")</f>
        <v>51349</v>
      </c>
      <c r="GL20" s="70">
        <f>IFERROR(IF(EOMONTH(GK20,0.5)+1&lt;=EOMONTH(Inputs!$G$5,$C$7),EOMONTH(GK20,0.5)+1,"-"),"-")</f>
        <v>51380</v>
      </c>
      <c r="GM20" s="70">
        <f>IFERROR(IF(EOMONTH(GL20,0.5)+1&lt;=EOMONTH(Inputs!$G$5,$C$7),EOMONTH(GL20,0.5)+1,"-"),"-")</f>
        <v>51410</v>
      </c>
      <c r="GN20" s="70">
        <f>IFERROR(IF(EOMONTH(GM20,0.5)+1&lt;=EOMONTH(Inputs!$G$5,$C$7),EOMONTH(GM20,0.5)+1,"-"),"-")</f>
        <v>51441</v>
      </c>
      <c r="GO20" s="70" t="str">
        <f>IFERROR(IF(EOMONTH(GN20,0.5)+1&lt;=EOMONTH(Inputs!$G$5,$C$7),EOMONTH(GN20,0.5)+1,"-"),"-")</f>
        <v>-</v>
      </c>
      <c r="GP20" s="70" t="str">
        <f>IFERROR(IF(EOMONTH(GO20,0.5)+1&lt;=EOMONTH(Inputs!$G$5,$C$7),EOMONTH(GO20,0.5)+1,"-"),"-")</f>
        <v>-</v>
      </c>
      <c r="GQ20" s="70" t="str">
        <f>IFERROR(IF(EOMONTH(GP20,0.5)+1&lt;=EOMONTH(Inputs!$G$5,$C$7),EOMONTH(GP20,0.5)+1,"-"),"-")</f>
        <v>-</v>
      </c>
      <c r="GR20" s="70" t="str">
        <f>IFERROR(IF(EOMONTH(GQ20,0.5)+1&lt;=EOMONTH(Inputs!$G$5,$C$7),EOMONTH(GQ20,0.5)+1,"-"),"-")</f>
        <v>-</v>
      </c>
      <c r="GS20" s="70" t="str">
        <f>IFERROR(IF(EOMONTH(GR20,0.5)+1&lt;=EOMONTH(Inputs!$G$5,$C$7),EOMONTH(GR20,0.5)+1,"-"),"-")</f>
        <v>-</v>
      </c>
      <c r="GT20" s="70" t="str">
        <f>IFERROR(IF(EOMONTH(GS20,0.5)+1&lt;=EOMONTH(Inputs!$G$5,$C$7),EOMONTH(GS20,0.5)+1,"-"),"-")</f>
        <v>-</v>
      </c>
      <c r="GU20" s="70" t="str">
        <f>IFERROR(IF(EOMONTH(GT20,0.5)+1&lt;=EOMONTH(Inputs!$G$5,$C$7),EOMONTH(GT20,0.5)+1,"-"),"-")</f>
        <v>-</v>
      </c>
      <c r="GV20" s="70" t="str">
        <f>IFERROR(IF(EOMONTH(GU20,0.5)+1&lt;=EOMONTH(Inputs!$G$5,$C$7),EOMONTH(GU20,0.5)+1,"-"),"-")</f>
        <v>-</v>
      </c>
      <c r="GW20" s="70" t="str">
        <f>IFERROR(IF(EOMONTH(GV20,0.5)+1&lt;=EOMONTH(Inputs!$G$5,$C$7),EOMONTH(GV20,0.5)+1,"-"),"-")</f>
        <v>-</v>
      </c>
      <c r="GX20" s="70" t="str">
        <f>IFERROR(IF(EOMONTH(GW20,0.5)+1&lt;=EOMONTH(Inputs!$G$5,$C$7),EOMONTH(GW20,0.5)+1,"-"),"-")</f>
        <v>-</v>
      </c>
      <c r="GY20" s="70" t="str">
        <f>IFERROR(IF(EOMONTH(GX20,0.5)+1&lt;=EOMONTH(Inputs!$G$5,$C$7),EOMONTH(GX20,0.5)+1,"-"),"-")</f>
        <v>-</v>
      </c>
      <c r="GZ20" s="70" t="str">
        <f>IFERROR(IF(EOMONTH(GY20,0.5)+1&lt;=EOMONTH(Inputs!$G$5,$C$7),EOMONTH(GY20,0.5)+1,"-"),"-")</f>
        <v>-</v>
      </c>
      <c r="HA20" s="70" t="str">
        <f>IFERROR(IF(EOMONTH(GZ20,0.5)+1&lt;=EOMONTH(Inputs!$G$5,$C$7),EOMONTH(GZ20,0.5)+1,"-"),"-")</f>
        <v>-</v>
      </c>
      <c r="HB20" s="70" t="str">
        <f>IFERROR(IF(EOMONTH(HA20,0.5)+1&lt;=EOMONTH(Inputs!$G$5,$C$7),EOMONTH(HA20,0.5)+1,"-"),"-")</f>
        <v>-</v>
      </c>
      <c r="HC20" s="70" t="str">
        <f>IFERROR(IF(EOMONTH(HB20,0.5)+1&lt;=EOMONTH(Inputs!$G$5,$C$7),EOMONTH(HB20,0.5)+1,"-"),"-")</f>
        <v>-</v>
      </c>
      <c r="HD20" s="70" t="str">
        <f>IFERROR(IF(EOMONTH(HC20,0.5)+1&lt;=EOMONTH(Inputs!$G$5,$C$7),EOMONTH(HC20,0.5)+1,"-"),"-")</f>
        <v>-</v>
      </c>
      <c r="HE20" s="70" t="str">
        <f>IFERROR(IF(EOMONTH(HD20,0.5)+1&lt;=EOMONTH(Inputs!$G$5,$C$7),EOMONTH(HD20,0.5)+1,"-"),"-")</f>
        <v>-</v>
      </c>
      <c r="HF20" s="70" t="str">
        <f>IFERROR(IF(EOMONTH(HE20,0.5)+1&lt;=EOMONTH(Inputs!$G$5,$C$7),EOMONTH(HE20,0.5)+1,"-"),"-")</f>
        <v>-</v>
      </c>
      <c r="HG20" s="70" t="str">
        <f>IFERROR(IF(EOMONTH(HF20,0.5)+1&lt;=EOMONTH(Inputs!$G$5,$C$7),EOMONTH(HF20,0.5)+1,"-"),"-")</f>
        <v>-</v>
      </c>
      <c r="HH20" s="70" t="str">
        <f>IFERROR(IF(EOMONTH(HG20,0.5)+1&lt;=EOMONTH(Inputs!$G$5,$C$7),EOMONTH(HG20,0.5)+1,"-"),"-")</f>
        <v>-</v>
      </c>
      <c r="HI20" s="70" t="str">
        <f>IFERROR(IF(EOMONTH(HH20,0.5)+1&lt;=EOMONTH(Inputs!$G$5,$C$7),EOMONTH(HH20,0.5)+1,"-"),"-")</f>
        <v>-</v>
      </c>
      <c r="HJ20" s="70" t="str">
        <f>IFERROR(IF(EOMONTH(HI20,0.5)+1&lt;=EOMONTH(Inputs!$G$5,$C$7),EOMONTH(HI20,0.5)+1,"-"),"-")</f>
        <v>-</v>
      </c>
      <c r="HK20" s="70" t="str">
        <f>IFERROR(IF(EOMONTH(HJ20,0.5)+1&lt;=EOMONTH(Inputs!$G$5,$C$7),EOMONTH(HJ20,0.5)+1,"-"),"-")</f>
        <v>-</v>
      </c>
      <c r="HL20" s="70" t="str">
        <f>IFERROR(IF(EOMONTH(HK20,0.5)+1&lt;=EOMONTH(Inputs!$G$5,$C$7),EOMONTH(HK20,0.5)+1,"-"),"-")</f>
        <v>-</v>
      </c>
      <c r="HM20" s="70" t="str">
        <f>IFERROR(IF(EOMONTH(HL20,0.5)+1&lt;=EOMONTH(Inputs!$G$5,$C$7),EOMONTH(HL20,0.5)+1,"-"),"-")</f>
        <v>-</v>
      </c>
      <c r="HN20" s="70" t="str">
        <f>IFERROR(IF(EOMONTH(HM20,0.5)+1&lt;=EOMONTH(Inputs!$G$5,$C$7),EOMONTH(HM20,0.5)+1,"-"),"-")</f>
        <v>-</v>
      </c>
      <c r="HO20" s="70" t="str">
        <f>IFERROR(IF(EOMONTH(HN20,0.5)+1&lt;=EOMONTH(Inputs!$G$5,$C$7),EOMONTH(HN20,0.5)+1,"-"),"-")</f>
        <v>-</v>
      </c>
      <c r="HP20" s="70" t="str">
        <f>IFERROR(IF(EOMONTH(HO20,0.5)+1&lt;=EOMONTH(Inputs!$G$5,$C$7),EOMONTH(HO20,0.5)+1,"-"),"-")</f>
        <v>-</v>
      </c>
      <c r="HQ20" s="70" t="str">
        <f>IFERROR(IF(EOMONTH(HP20,0.5)+1&lt;=EOMONTH(Inputs!$G$5,$C$7),EOMONTH(HP20,0.5)+1,"-"),"-")</f>
        <v>-</v>
      </c>
      <c r="HR20" s="70" t="str">
        <f>IFERROR(IF(EOMONTH(HQ20,0.5)+1&lt;=EOMONTH(Inputs!$G$5,$C$7),EOMONTH(HQ20,0.5)+1,"-"),"-")</f>
        <v>-</v>
      </c>
      <c r="HS20" s="70" t="str">
        <f>IFERROR(IF(EOMONTH(HR20,0.5)+1&lt;=EOMONTH(Inputs!$G$5,$C$7),EOMONTH(HR20,0.5)+1,"-"),"-")</f>
        <v>-</v>
      </c>
      <c r="HT20" s="70" t="str">
        <f>IFERROR(IF(EOMONTH(HS20,0.5)+1&lt;=EOMONTH(Inputs!$G$5,$C$7),EOMONTH(HS20,0.5)+1,"-"),"-")</f>
        <v>-</v>
      </c>
      <c r="HU20" s="70" t="str">
        <f>IFERROR(IF(EOMONTH(HT20,0.5)+1&lt;=EOMONTH(Inputs!$G$5,$C$7),EOMONTH(HT20,0.5)+1,"-"),"-")</f>
        <v>-</v>
      </c>
      <c r="HV20" s="70" t="str">
        <f>IFERROR(IF(EOMONTH(HU20,0.5)+1&lt;=EOMONTH(Inputs!$G$5,$C$7),EOMONTH(HU20,0.5)+1,"-"),"-")</f>
        <v>-</v>
      </c>
      <c r="HW20" s="70" t="str">
        <f>IFERROR(IF(EOMONTH(HV20,0.5)+1&lt;=EOMONTH(Inputs!$G$5,$C$7),EOMONTH(HV20,0.5)+1,"-"),"-")</f>
        <v>-</v>
      </c>
      <c r="HX20" s="70" t="str">
        <f>IFERROR(IF(EOMONTH(HW20,0.5)+1&lt;=EOMONTH(Inputs!$G$5,$C$7),EOMONTH(HW20,0.5)+1,"-"),"-")</f>
        <v>-</v>
      </c>
      <c r="HY20" s="70" t="str">
        <f>IFERROR(IF(EOMONTH(HX20,0.5)+1&lt;=EOMONTH(Inputs!$G$5,$C$7),EOMONTH(HX20,0.5)+1,"-"),"-")</f>
        <v>-</v>
      </c>
      <c r="HZ20" s="70" t="str">
        <f>IFERROR(IF(EOMONTH(HY20,0.5)+1&lt;=EOMONTH(Inputs!$G$5,$C$7),EOMONTH(HY20,0.5)+1,"-"),"-")</f>
        <v>-</v>
      </c>
      <c r="IA20" s="70" t="str">
        <f>IFERROR(IF(EOMONTH(HZ20,0.5)+1&lt;=EOMONTH(Inputs!$G$5,$C$7),EOMONTH(HZ20,0.5)+1,"-"),"-")</f>
        <v>-</v>
      </c>
      <c r="IB20" s="70" t="str">
        <f>IFERROR(IF(EOMONTH(IA20,0.5)+1&lt;=EOMONTH(Inputs!$G$5,$C$7),EOMONTH(IA20,0.5)+1,"-"),"-")</f>
        <v>-</v>
      </c>
      <c r="IC20" s="70" t="str">
        <f>IFERROR(IF(EOMONTH(IB20,0.5)+1&lt;=EOMONTH(Inputs!$G$5,$C$7),EOMONTH(IB20,0.5)+1,"-"),"-")</f>
        <v>-</v>
      </c>
    </row>
    <row r="21" spans="1:237" x14ac:dyDescent="0.3">
      <c r="B21" s="34" t="s">
        <v>46</v>
      </c>
      <c r="C21" s="6" t="str">
        <f>IFERROR((VLOOKUP(MONTH(C20),$F$3:$G$14,2,FALSE) &amp; " " &amp; IF(OR(MONTH(C20)=1,MONTH(C20)=2,MONTH(C20)=3),YEAR(C20),YEAR(C20)+1)),"-")</f>
        <v>Q3 2025</v>
      </c>
      <c r="D21" s="6" t="str">
        <f t="shared" ref="D21:BO21" si="2">IFERROR((VLOOKUP(MONTH(D20),$F$3:$G$14,2,FALSE) &amp; " " &amp; IF(OR(MONTH(D20)=1,MONTH(D20)=2,MONTH(D20)=3),YEAR(D20),YEAR(D20)+1)),"-")</f>
        <v>Q3 2025</v>
      </c>
      <c r="E21" s="6" t="str">
        <f t="shared" si="2"/>
        <v>Q3 2025</v>
      </c>
      <c r="F21" s="6" t="str">
        <f t="shared" si="2"/>
        <v>Q4 2025</v>
      </c>
      <c r="G21" s="6" t="str">
        <f t="shared" si="2"/>
        <v>Q4 2025</v>
      </c>
      <c r="H21" s="6" t="str">
        <f t="shared" si="2"/>
        <v>Q4 2025</v>
      </c>
      <c r="I21" s="6" t="str">
        <f t="shared" si="2"/>
        <v>Q1 2026</v>
      </c>
      <c r="J21" s="6" t="str">
        <f t="shared" si="2"/>
        <v>Q1 2026</v>
      </c>
      <c r="K21" s="6" t="str">
        <f t="shared" si="2"/>
        <v>Q1 2026</v>
      </c>
      <c r="L21" s="6" t="str">
        <f t="shared" si="2"/>
        <v>Q2 2026</v>
      </c>
      <c r="M21" s="6" t="str">
        <f t="shared" si="2"/>
        <v>Q2 2026</v>
      </c>
      <c r="N21" s="6" t="str">
        <f t="shared" si="2"/>
        <v>Q2 2026</v>
      </c>
      <c r="O21" s="6" t="str">
        <f t="shared" si="2"/>
        <v>Q3 2026</v>
      </c>
      <c r="P21" s="6" t="str">
        <f t="shared" si="2"/>
        <v>Q3 2026</v>
      </c>
      <c r="Q21" s="6" t="str">
        <f t="shared" si="2"/>
        <v>Q3 2026</v>
      </c>
      <c r="R21" s="6" t="str">
        <f t="shared" si="2"/>
        <v>Q4 2026</v>
      </c>
      <c r="S21" s="6" t="str">
        <f t="shared" si="2"/>
        <v>Q4 2026</v>
      </c>
      <c r="T21" s="6" t="str">
        <f t="shared" si="2"/>
        <v>Q4 2026</v>
      </c>
      <c r="U21" s="6" t="str">
        <f t="shared" si="2"/>
        <v>Q1 2027</v>
      </c>
      <c r="V21" s="6" t="str">
        <f t="shared" si="2"/>
        <v>Q1 2027</v>
      </c>
      <c r="W21" s="6" t="str">
        <f t="shared" si="2"/>
        <v>Q1 2027</v>
      </c>
      <c r="X21" s="6" t="str">
        <f t="shared" si="2"/>
        <v>Q2 2027</v>
      </c>
      <c r="Y21" s="6" t="str">
        <f t="shared" si="2"/>
        <v>Q2 2027</v>
      </c>
      <c r="Z21" s="6" t="str">
        <f t="shared" si="2"/>
        <v>Q2 2027</v>
      </c>
      <c r="AA21" s="6" t="str">
        <f t="shared" si="2"/>
        <v>Q3 2027</v>
      </c>
      <c r="AB21" s="6" t="str">
        <f t="shared" si="2"/>
        <v>Q3 2027</v>
      </c>
      <c r="AC21" s="6" t="str">
        <f t="shared" si="2"/>
        <v>Q3 2027</v>
      </c>
      <c r="AD21" s="6" t="str">
        <f t="shared" si="2"/>
        <v>Q4 2027</v>
      </c>
      <c r="AE21" s="6" t="str">
        <f t="shared" si="2"/>
        <v>Q4 2027</v>
      </c>
      <c r="AF21" s="6" t="str">
        <f t="shared" si="2"/>
        <v>Q4 2027</v>
      </c>
      <c r="AG21" s="6" t="str">
        <f t="shared" si="2"/>
        <v>Q1 2028</v>
      </c>
      <c r="AH21" s="6" t="str">
        <f t="shared" si="2"/>
        <v>Q1 2028</v>
      </c>
      <c r="AI21" s="6" t="str">
        <f t="shared" si="2"/>
        <v>Q1 2028</v>
      </c>
      <c r="AJ21" s="6" t="str">
        <f t="shared" si="2"/>
        <v>Q2 2028</v>
      </c>
      <c r="AK21" s="6" t="str">
        <f t="shared" si="2"/>
        <v>Q2 2028</v>
      </c>
      <c r="AL21" s="6" t="str">
        <f t="shared" si="2"/>
        <v>Q2 2028</v>
      </c>
      <c r="AM21" s="6" t="str">
        <f t="shared" si="2"/>
        <v>Q3 2028</v>
      </c>
      <c r="AN21" s="6" t="str">
        <f t="shared" si="2"/>
        <v>Q3 2028</v>
      </c>
      <c r="AO21" s="6" t="str">
        <f t="shared" si="2"/>
        <v>Q3 2028</v>
      </c>
      <c r="AP21" s="6" t="str">
        <f t="shared" si="2"/>
        <v>Q4 2028</v>
      </c>
      <c r="AQ21" s="6" t="str">
        <f t="shared" si="2"/>
        <v>Q4 2028</v>
      </c>
      <c r="AR21" s="6" t="str">
        <f t="shared" si="2"/>
        <v>Q4 2028</v>
      </c>
      <c r="AS21" s="6" t="str">
        <f t="shared" si="2"/>
        <v>Q1 2029</v>
      </c>
      <c r="AT21" s="6" t="str">
        <f t="shared" si="2"/>
        <v>Q1 2029</v>
      </c>
      <c r="AU21" s="6" t="str">
        <f t="shared" si="2"/>
        <v>Q1 2029</v>
      </c>
      <c r="AV21" s="6" t="str">
        <f t="shared" si="2"/>
        <v>Q2 2029</v>
      </c>
      <c r="AW21" s="6" t="str">
        <f t="shared" si="2"/>
        <v>Q2 2029</v>
      </c>
      <c r="AX21" s="6" t="str">
        <f t="shared" si="2"/>
        <v>Q2 2029</v>
      </c>
      <c r="AY21" s="6" t="str">
        <f t="shared" si="2"/>
        <v>Q3 2029</v>
      </c>
      <c r="AZ21" s="6" t="str">
        <f t="shared" si="2"/>
        <v>Q3 2029</v>
      </c>
      <c r="BA21" s="6" t="str">
        <f t="shared" si="2"/>
        <v>Q3 2029</v>
      </c>
      <c r="BB21" s="6" t="str">
        <f t="shared" si="2"/>
        <v>Q4 2029</v>
      </c>
      <c r="BC21" s="6" t="str">
        <f t="shared" si="2"/>
        <v>Q4 2029</v>
      </c>
      <c r="BD21" s="6" t="str">
        <f t="shared" si="2"/>
        <v>Q4 2029</v>
      </c>
      <c r="BE21" s="6" t="str">
        <f t="shared" si="2"/>
        <v>Q1 2030</v>
      </c>
      <c r="BF21" s="6" t="str">
        <f t="shared" si="2"/>
        <v>Q1 2030</v>
      </c>
      <c r="BG21" s="6" t="str">
        <f t="shared" si="2"/>
        <v>Q1 2030</v>
      </c>
      <c r="BH21" s="6" t="str">
        <f t="shared" si="2"/>
        <v>Q2 2030</v>
      </c>
      <c r="BI21" s="6" t="str">
        <f t="shared" si="2"/>
        <v>Q2 2030</v>
      </c>
      <c r="BJ21" s="6" t="str">
        <f t="shared" si="2"/>
        <v>Q2 2030</v>
      </c>
      <c r="BK21" s="6" t="str">
        <f t="shared" si="2"/>
        <v>Q3 2030</v>
      </c>
      <c r="BL21" s="6" t="str">
        <f t="shared" si="2"/>
        <v>Q3 2030</v>
      </c>
      <c r="BM21" s="6" t="str">
        <f t="shared" si="2"/>
        <v>Q3 2030</v>
      </c>
      <c r="BN21" s="6" t="str">
        <f t="shared" si="2"/>
        <v>Q4 2030</v>
      </c>
      <c r="BO21" s="6" t="str">
        <f t="shared" si="2"/>
        <v>Q4 2030</v>
      </c>
      <c r="BP21" s="6" t="str">
        <f t="shared" ref="BP21:EA21" si="3">IFERROR((VLOOKUP(MONTH(BP20),$F$3:$G$14,2,FALSE) &amp; " " &amp; IF(OR(MONTH(BP20)=1,MONTH(BP20)=2,MONTH(BP20)=3),YEAR(BP20),YEAR(BP20)+1)),"-")</f>
        <v>Q4 2030</v>
      </c>
      <c r="BQ21" s="6" t="str">
        <f t="shared" si="3"/>
        <v>Q1 2031</v>
      </c>
      <c r="BR21" s="6" t="str">
        <f t="shared" si="3"/>
        <v>Q1 2031</v>
      </c>
      <c r="BS21" s="6" t="str">
        <f t="shared" si="3"/>
        <v>Q1 2031</v>
      </c>
      <c r="BT21" s="6" t="str">
        <f t="shared" si="3"/>
        <v>Q2 2031</v>
      </c>
      <c r="BU21" s="6" t="str">
        <f t="shared" si="3"/>
        <v>Q2 2031</v>
      </c>
      <c r="BV21" s="6" t="str">
        <f t="shared" si="3"/>
        <v>Q2 2031</v>
      </c>
      <c r="BW21" s="6" t="str">
        <f t="shared" si="3"/>
        <v>Q3 2031</v>
      </c>
      <c r="BX21" s="6" t="str">
        <f t="shared" si="3"/>
        <v>Q3 2031</v>
      </c>
      <c r="BY21" s="6" t="str">
        <f t="shared" si="3"/>
        <v>Q3 2031</v>
      </c>
      <c r="BZ21" s="6" t="str">
        <f t="shared" si="3"/>
        <v>Q4 2031</v>
      </c>
      <c r="CA21" s="6" t="str">
        <f t="shared" si="3"/>
        <v>Q4 2031</v>
      </c>
      <c r="CB21" s="6" t="str">
        <f t="shared" si="3"/>
        <v>Q4 2031</v>
      </c>
      <c r="CC21" s="6" t="str">
        <f t="shared" si="3"/>
        <v>Q1 2032</v>
      </c>
      <c r="CD21" s="6" t="str">
        <f t="shared" si="3"/>
        <v>Q1 2032</v>
      </c>
      <c r="CE21" s="6" t="str">
        <f t="shared" si="3"/>
        <v>Q1 2032</v>
      </c>
      <c r="CF21" s="6" t="str">
        <f t="shared" si="3"/>
        <v>Q2 2032</v>
      </c>
      <c r="CG21" s="6" t="str">
        <f t="shared" si="3"/>
        <v>Q2 2032</v>
      </c>
      <c r="CH21" s="6" t="str">
        <f t="shared" si="3"/>
        <v>Q2 2032</v>
      </c>
      <c r="CI21" s="6" t="str">
        <f t="shared" si="3"/>
        <v>Q3 2032</v>
      </c>
      <c r="CJ21" s="6" t="str">
        <f t="shared" si="3"/>
        <v>Q3 2032</v>
      </c>
      <c r="CK21" s="6" t="str">
        <f t="shared" si="3"/>
        <v>Q3 2032</v>
      </c>
      <c r="CL21" s="6" t="str">
        <f t="shared" si="3"/>
        <v>Q4 2032</v>
      </c>
      <c r="CM21" s="6" t="str">
        <f t="shared" si="3"/>
        <v>Q4 2032</v>
      </c>
      <c r="CN21" s="6" t="str">
        <f t="shared" si="3"/>
        <v>Q4 2032</v>
      </c>
      <c r="CO21" s="6" t="str">
        <f t="shared" si="3"/>
        <v>Q1 2033</v>
      </c>
      <c r="CP21" s="6" t="str">
        <f t="shared" si="3"/>
        <v>Q1 2033</v>
      </c>
      <c r="CQ21" s="6" t="str">
        <f t="shared" si="3"/>
        <v>Q1 2033</v>
      </c>
      <c r="CR21" s="6" t="str">
        <f t="shared" si="3"/>
        <v>Q2 2033</v>
      </c>
      <c r="CS21" s="6" t="str">
        <f t="shared" si="3"/>
        <v>Q2 2033</v>
      </c>
      <c r="CT21" s="6" t="str">
        <f t="shared" si="3"/>
        <v>Q2 2033</v>
      </c>
      <c r="CU21" s="6" t="str">
        <f t="shared" si="3"/>
        <v>Q3 2033</v>
      </c>
      <c r="CV21" s="6" t="str">
        <f t="shared" si="3"/>
        <v>Q3 2033</v>
      </c>
      <c r="CW21" s="6" t="str">
        <f t="shared" si="3"/>
        <v>Q3 2033</v>
      </c>
      <c r="CX21" s="6" t="str">
        <f t="shared" si="3"/>
        <v>Q4 2033</v>
      </c>
      <c r="CY21" s="6" t="str">
        <f t="shared" si="3"/>
        <v>Q4 2033</v>
      </c>
      <c r="CZ21" s="6" t="str">
        <f t="shared" si="3"/>
        <v>Q4 2033</v>
      </c>
      <c r="DA21" s="6" t="str">
        <f t="shared" si="3"/>
        <v>Q1 2034</v>
      </c>
      <c r="DB21" s="6" t="str">
        <f t="shared" si="3"/>
        <v>Q1 2034</v>
      </c>
      <c r="DC21" s="6" t="str">
        <f t="shared" si="3"/>
        <v>Q1 2034</v>
      </c>
      <c r="DD21" s="6" t="str">
        <f t="shared" si="3"/>
        <v>Q2 2034</v>
      </c>
      <c r="DE21" s="6" t="str">
        <f t="shared" si="3"/>
        <v>Q2 2034</v>
      </c>
      <c r="DF21" s="6" t="str">
        <f t="shared" si="3"/>
        <v>Q2 2034</v>
      </c>
      <c r="DG21" s="6" t="str">
        <f t="shared" si="3"/>
        <v>Q3 2034</v>
      </c>
      <c r="DH21" s="6" t="str">
        <f t="shared" si="3"/>
        <v>Q3 2034</v>
      </c>
      <c r="DI21" s="6" t="str">
        <f t="shared" si="3"/>
        <v>Q3 2034</v>
      </c>
      <c r="DJ21" s="6" t="str">
        <f t="shared" si="3"/>
        <v>Q4 2034</v>
      </c>
      <c r="DK21" s="6" t="str">
        <f t="shared" si="3"/>
        <v>Q4 2034</v>
      </c>
      <c r="DL21" s="6" t="str">
        <f t="shared" si="3"/>
        <v>Q4 2034</v>
      </c>
      <c r="DM21" s="6" t="str">
        <f t="shared" si="3"/>
        <v>Q1 2035</v>
      </c>
      <c r="DN21" s="6" t="str">
        <f t="shared" si="3"/>
        <v>Q1 2035</v>
      </c>
      <c r="DO21" s="6" t="str">
        <f t="shared" si="3"/>
        <v>Q1 2035</v>
      </c>
      <c r="DP21" s="6" t="str">
        <f t="shared" si="3"/>
        <v>Q2 2035</v>
      </c>
      <c r="DQ21" s="6" t="str">
        <f t="shared" si="3"/>
        <v>Q2 2035</v>
      </c>
      <c r="DR21" s="6" t="str">
        <f t="shared" si="3"/>
        <v>Q2 2035</v>
      </c>
      <c r="DS21" s="6" t="str">
        <f t="shared" si="3"/>
        <v>Q3 2035</v>
      </c>
      <c r="DT21" s="6" t="str">
        <f t="shared" si="3"/>
        <v>Q3 2035</v>
      </c>
      <c r="DU21" s="6" t="str">
        <f t="shared" si="3"/>
        <v>Q3 2035</v>
      </c>
      <c r="DV21" s="6" t="str">
        <f t="shared" si="3"/>
        <v>Q4 2035</v>
      </c>
      <c r="DW21" s="6" t="str">
        <f t="shared" si="3"/>
        <v>Q4 2035</v>
      </c>
      <c r="DX21" s="6" t="str">
        <f t="shared" si="3"/>
        <v>Q4 2035</v>
      </c>
      <c r="DY21" s="6" t="str">
        <f t="shared" si="3"/>
        <v>Q1 2036</v>
      </c>
      <c r="DZ21" s="6" t="str">
        <f t="shared" si="3"/>
        <v>Q1 2036</v>
      </c>
      <c r="EA21" s="6" t="str">
        <f t="shared" si="3"/>
        <v>Q1 2036</v>
      </c>
      <c r="EB21" s="6" t="str">
        <f t="shared" ref="EB21:GM21" si="4">IFERROR((VLOOKUP(MONTH(EB20),$F$3:$G$14,2,FALSE) &amp; " " &amp; IF(OR(MONTH(EB20)=1,MONTH(EB20)=2,MONTH(EB20)=3),YEAR(EB20),YEAR(EB20)+1)),"-")</f>
        <v>Q2 2036</v>
      </c>
      <c r="EC21" s="6" t="str">
        <f t="shared" si="4"/>
        <v>Q2 2036</v>
      </c>
      <c r="ED21" s="6" t="str">
        <f t="shared" si="4"/>
        <v>Q2 2036</v>
      </c>
      <c r="EE21" s="6" t="str">
        <f t="shared" si="4"/>
        <v>Q3 2036</v>
      </c>
      <c r="EF21" s="6" t="str">
        <f t="shared" si="4"/>
        <v>Q3 2036</v>
      </c>
      <c r="EG21" s="6" t="str">
        <f t="shared" si="4"/>
        <v>Q3 2036</v>
      </c>
      <c r="EH21" s="6" t="str">
        <f t="shared" si="4"/>
        <v>Q4 2036</v>
      </c>
      <c r="EI21" s="6" t="str">
        <f t="shared" si="4"/>
        <v>Q4 2036</v>
      </c>
      <c r="EJ21" s="6" t="str">
        <f t="shared" si="4"/>
        <v>Q4 2036</v>
      </c>
      <c r="EK21" s="6" t="str">
        <f t="shared" si="4"/>
        <v>Q1 2037</v>
      </c>
      <c r="EL21" s="6" t="str">
        <f t="shared" si="4"/>
        <v>Q1 2037</v>
      </c>
      <c r="EM21" s="6" t="str">
        <f t="shared" si="4"/>
        <v>Q1 2037</v>
      </c>
      <c r="EN21" s="6" t="str">
        <f t="shared" si="4"/>
        <v>Q2 2037</v>
      </c>
      <c r="EO21" s="6" t="str">
        <f t="shared" si="4"/>
        <v>Q2 2037</v>
      </c>
      <c r="EP21" s="6" t="str">
        <f t="shared" si="4"/>
        <v>Q2 2037</v>
      </c>
      <c r="EQ21" s="6" t="str">
        <f t="shared" si="4"/>
        <v>Q3 2037</v>
      </c>
      <c r="ER21" s="6" t="str">
        <f t="shared" si="4"/>
        <v>Q3 2037</v>
      </c>
      <c r="ES21" s="6" t="str">
        <f t="shared" si="4"/>
        <v>Q3 2037</v>
      </c>
      <c r="ET21" s="6" t="str">
        <f t="shared" si="4"/>
        <v>Q4 2037</v>
      </c>
      <c r="EU21" s="6" t="str">
        <f t="shared" si="4"/>
        <v>Q4 2037</v>
      </c>
      <c r="EV21" s="6" t="str">
        <f t="shared" si="4"/>
        <v>Q4 2037</v>
      </c>
      <c r="EW21" s="6" t="str">
        <f t="shared" si="4"/>
        <v>Q1 2038</v>
      </c>
      <c r="EX21" s="6" t="str">
        <f t="shared" si="4"/>
        <v>Q1 2038</v>
      </c>
      <c r="EY21" s="6" t="str">
        <f t="shared" si="4"/>
        <v>Q1 2038</v>
      </c>
      <c r="EZ21" s="6" t="str">
        <f t="shared" si="4"/>
        <v>Q2 2038</v>
      </c>
      <c r="FA21" s="6" t="str">
        <f t="shared" si="4"/>
        <v>Q2 2038</v>
      </c>
      <c r="FB21" s="6" t="str">
        <f t="shared" si="4"/>
        <v>Q2 2038</v>
      </c>
      <c r="FC21" s="6" t="str">
        <f t="shared" si="4"/>
        <v>Q3 2038</v>
      </c>
      <c r="FD21" s="6" t="str">
        <f t="shared" si="4"/>
        <v>Q3 2038</v>
      </c>
      <c r="FE21" s="6" t="str">
        <f t="shared" si="4"/>
        <v>Q3 2038</v>
      </c>
      <c r="FF21" s="6" t="str">
        <f t="shared" si="4"/>
        <v>Q4 2038</v>
      </c>
      <c r="FG21" s="6" t="str">
        <f t="shared" si="4"/>
        <v>Q4 2038</v>
      </c>
      <c r="FH21" s="6" t="str">
        <f t="shared" si="4"/>
        <v>Q4 2038</v>
      </c>
      <c r="FI21" s="6" t="str">
        <f t="shared" si="4"/>
        <v>Q1 2039</v>
      </c>
      <c r="FJ21" s="6" t="str">
        <f t="shared" si="4"/>
        <v>Q1 2039</v>
      </c>
      <c r="FK21" s="6" t="str">
        <f t="shared" si="4"/>
        <v>Q1 2039</v>
      </c>
      <c r="FL21" s="6" t="str">
        <f t="shared" si="4"/>
        <v>Q2 2039</v>
      </c>
      <c r="FM21" s="6" t="str">
        <f t="shared" si="4"/>
        <v>Q2 2039</v>
      </c>
      <c r="FN21" s="6" t="str">
        <f t="shared" si="4"/>
        <v>Q2 2039</v>
      </c>
      <c r="FO21" s="6" t="str">
        <f t="shared" si="4"/>
        <v>Q3 2039</v>
      </c>
      <c r="FP21" s="6" t="str">
        <f t="shared" si="4"/>
        <v>Q3 2039</v>
      </c>
      <c r="FQ21" s="6" t="str">
        <f t="shared" si="4"/>
        <v>Q3 2039</v>
      </c>
      <c r="FR21" s="6" t="str">
        <f t="shared" si="4"/>
        <v>Q4 2039</v>
      </c>
      <c r="FS21" s="6" t="str">
        <f t="shared" si="4"/>
        <v>Q4 2039</v>
      </c>
      <c r="FT21" s="6" t="str">
        <f t="shared" si="4"/>
        <v>Q4 2039</v>
      </c>
      <c r="FU21" s="6" t="str">
        <f t="shared" si="4"/>
        <v>Q1 2040</v>
      </c>
      <c r="FV21" s="6" t="str">
        <f t="shared" si="4"/>
        <v>Q1 2040</v>
      </c>
      <c r="FW21" s="6" t="str">
        <f t="shared" si="4"/>
        <v>Q1 2040</v>
      </c>
      <c r="FX21" s="6" t="str">
        <f t="shared" si="4"/>
        <v>Q2 2040</v>
      </c>
      <c r="FY21" s="6" t="str">
        <f t="shared" si="4"/>
        <v>Q2 2040</v>
      </c>
      <c r="FZ21" s="6" t="str">
        <f t="shared" si="4"/>
        <v>Q2 2040</v>
      </c>
      <c r="GA21" s="6" t="str">
        <f t="shared" si="4"/>
        <v>Q3 2040</v>
      </c>
      <c r="GB21" s="6" t="str">
        <f t="shared" si="4"/>
        <v>Q3 2040</v>
      </c>
      <c r="GC21" s="6" t="str">
        <f t="shared" si="4"/>
        <v>Q3 2040</v>
      </c>
      <c r="GD21" s="6" t="str">
        <f t="shared" si="4"/>
        <v>Q4 2040</v>
      </c>
      <c r="GE21" s="6" t="str">
        <f t="shared" si="4"/>
        <v>Q4 2040</v>
      </c>
      <c r="GF21" s="6" t="str">
        <f t="shared" si="4"/>
        <v>Q4 2040</v>
      </c>
      <c r="GG21" s="6" t="str">
        <f t="shared" si="4"/>
        <v>Q1 2041</v>
      </c>
      <c r="GH21" s="6" t="str">
        <f t="shared" si="4"/>
        <v>Q1 2041</v>
      </c>
      <c r="GI21" s="6" t="str">
        <f t="shared" si="4"/>
        <v>Q1 2041</v>
      </c>
      <c r="GJ21" s="6" t="str">
        <f t="shared" si="4"/>
        <v>Q2 2041</v>
      </c>
      <c r="GK21" s="6" t="str">
        <f t="shared" si="4"/>
        <v>Q2 2041</v>
      </c>
      <c r="GL21" s="6" t="str">
        <f t="shared" si="4"/>
        <v>Q2 2041</v>
      </c>
      <c r="GM21" s="6" t="str">
        <f t="shared" si="4"/>
        <v>Q3 2041</v>
      </c>
      <c r="GN21" s="6" t="str">
        <f t="shared" ref="GN21:IC21" si="5">IFERROR((VLOOKUP(MONTH(GN20),$F$3:$G$14,2,FALSE) &amp; " " &amp; IF(OR(MONTH(GN20)=1,MONTH(GN20)=2,MONTH(GN20)=3),YEAR(GN20),YEAR(GN20)+1)),"-")</f>
        <v>Q3 2041</v>
      </c>
      <c r="GO21" s="6" t="str">
        <f t="shared" si="5"/>
        <v>-</v>
      </c>
      <c r="GP21" s="6" t="str">
        <f t="shared" si="5"/>
        <v>-</v>
      </c>
      <c r="GQ21" s="6" t="str">
        <f t="shared" si="5"/>
        <v>-</v>
      </c>
      <c r="GR21" s="6" t="str">
        <f t="shared" si="5"/>
        <v>-</v>
      </c>
      <c r="GS21" s="6" t="str">
        <f t="shared" si="5"/>
        <v>-</v>
      </c>
      <c r="GT21" s="6" t="str">
        <f t="shared" si="5"/>
        <v>-</v>
      </c>
      <c r="GU21" s="6" t="str">
        <f t="shared" si="5"/>
        <v>-</v>
      </c>
      <c r="GV21" s="6" t="str">
        <f t="shared" si="5"/>
        <v>-</v>
      </c>
      <c r="GW21" s="6" t="str">
        <f t="shared" si="5"/>
        <v>-</v>
      </c>
      <c r="GX21" s="6" t="str">
        <f t="shared" si="5"/>
        <v>-</v>
      </c>
      <c r="GY21" s="6" t="str">
        <f t="shared" si="5"/>
        <v>-</v>
      </c>
      <c r="GZ21" s="6" t="str">
        <f t="shared" si="5"/>
        <v>-</v>
      </c>
      <c r="HA21" s="6" t="str">
        <f t="shared" si="5"/>
        <v>-</v>
      </c>
      <c r="HB21" s="6" t="str">
        <f t="shared" si="5"/>
        <v>-</v>
      </c>
      <c r="HC21" s="6" t="str">
        <f t="shared" si="5"/>
        <v>-</v>
      </c>
      <c r="HD21" s="6" t="str">
        <f t="shared" si="5"/>
        <v>-</v>
      </c>
      <c r="HE21" s="6" t="str">
        <f t="shared" si="5"/>
        <v>-</v>
      </c>
      <c r="HF21" s="6" t="str">
        <f t="shared" si="5"/>
        <v>-</v>
      </c>
      <c r="HG21" s="6" t="str">
        <f t="shared" si="5"/>
        <v>-</v>
      </c>
      <c r="HH21" s="6" t="str">
        <f t="shared" si="5"/>
        <v>-</v>
      </c>
      <c r="HI21" s="6" t="str">
        <f t="shared" si="5"/>
        <v>-</v>
      </c>
      <c r="HJ21" s="6" t="str">
        <f t="shared" si="5"/>
        <v>-</v>
      </c>
      <c r="HK21" s="6" t="str">
        <f t="shared" si="5"/>
        <v>-</v>
      </c>
      <c r="HL21" s="6" t="str">
        <f t="shared" si="5"/>
        <v>-</v>
      </c>
      <c r="HM21" s="6" t="str">
        <f t="shared" si="5"/>
        <v>-</v>
      </c>
      <c r="HN21" s="6" t="str">
        <f t="shared" si="5"/>
        <v>-</v>
      </c>
      <c r="HO21" s="6" t="str">
        <f t="shared" si="5"/>
        <v>-</v>
      </c>
      <c r="HP21" s="6" t="str">
        <f t="shared" si="5"/>
        <v>-</v>
      </c>
      <c r="HQ21" s="6" t="str">
        <f t="shared" si="5"/>
        <v>-</v>
      </c>
      <c r="HR21" s="6" t="str">
        <f t="shared" si="5"/>
        <v>-</v>
      </c>
      <c r="HS21" s="6" t="str">
        <f t="shared" si="5"/>
        <v>-</v>
      </c>
      <c r="HT21" s="6" t="str">
        <f t="shared" si="5"/>
        <v>-</v>
      </c>
      <c r="HU21" s="6" t="str">
        <f t="shared" si="5"/>
        <v>-</v>
      </c>
      <c r="HV21" s="6" t="str">
        <f t="shared" si="5"/>
        <v>-</v>
      </c>
      <c r="HW21" s="6" t="str">
        <f t="shared" si="5"/>
        <v>-</v>
      </c>
      <c r="HX21" s="6" t="str">
        <f t="shared" si="5"/>
        <v>-</v>
      </c>
      <c r="HY21" s="6" t="str">
        <f t="shared" si="5"/>
        <v>-</v>
      </c>
      <c r="HZ21" s="6" t="str">
        <f t="shared" si="5"/>
        <v>-</v>
      </c>
      <c r="IA21" s="6" t="str">
        <f t="shared" si="5"/>
        <v>-</v>
      </c>
      <c r="IB21" s="6" t="str">
        <f t="shared" si="5"/>
        <v>-</v>
      </c>
      <c r="IC21" s="47" t="str">
        <f t="shared" si="5"/>
        <v>-</v>
      </c>
    </row>
    <row r="22" spans="1:237" ht="15" thickBot="1" x14ac:dyDescent="0.35">
      <c r="B22" s="31" t="s">
        <v>20</v>
      </c>
      <c r="C22" s="32" t="str">
        <f>IFERROR(("FY " &amp; IF(OR(MONTH(C20)=1,MONTH(C20)=2,MONTH(C20)=3),YEAR(C20),YEAR(C20)+1)),"-")</f>
        <v>FY 2025</v>
      </c>
      <c r="D22" s="32" t="str">
        <f t="shared" ref="D22:BO22" si="6">IFERROR(("FY " &amp; IF(OR(MONTH(D20)=1,MONTH(D20)=2,MONTH(D20)=3),YEAR(D20),YEAR(D20)+1)),"-")</f>
        <v>FY 2025</v>
      </c>
      <c r="E22" s="32" t="str">
        <f t="shared" si="6"/>
        <v>FY 2025</v>
      </c>
      <c r="F22" s="32" t="str">
        <f t="shared" si="6"/>
        <v>FY 2025</v>
      </c>
      <c r="G22" s="32" t="str">
        <f t="shared" si="6"/>
        <v>FY 2025</v>
      </c>
      <c r="H22" s="32" t="str">
        <f t="shared" si="6"/>
        <v>FY 2025</v>
      </c>
      <c r="I22" s="32" t="str">
        <f t="shared" si="6"/>
        <v>FY 2026</v>
      </c>
      <c r="J22" s="32" t="str">
        <f t="shared" si="6"/>
        <v>FY 2026</v>
      </c>
      <c r="K22" s="32" t="str">
        <f t="shared" si="6"/>
        <v>FY 2026</v>
      </c>
      <c r="L22" s="32" t="str">
        <f t="shared" si="6"/>
        <v>FY 2026</v>
      </c>
      <c r="M22" s="32" t="str">
        <f t="shared" si="6"/>
        <v>FY 2026</v>
      </c>
      <c r="N22" s="32" t="str">
        <f t="shared" si="6"/>
        <v>FY 2026</v>
      </c>
      <c r="O22" s="32" t="str">
        <f t="shared" si="6"/>
        <v>FY 2026</v>
      </c>
      <c r="P22" s="32" t="str">
        <f t="shared" si="6"/>
        <v>FY 2026</v>
      </c>
      <c r="Q22" s="32" t="str">
        <f t="shared" si="6"/>
        <v>FY 2026</v>
      </c>
      <c r="R22" s="32" t="str">
        <f t="shared" si="6"/>
        <v>FY 2026</v>
      </c>
      <c r="S22" s="32" t="str">
        <f t="shared" si="6"/>
        <v>FY 2026</v>
      </c>
      <c r="T22" s="32" t="str">
        <f t="shared" si="6"/>
        <v>FY 2026</v>
      </c>
      <c r="U22" s="32" t="str">
        <f t="shared" si="6"/>
        <v>FY 2027</v>
      </c>
      <c r="V22" s="32" t="str">
        <f t="shared" si="6"/>
        <v>FY 2027</v>
      </c>
      <c r="W22" s="32" t="str">
        <f t="shared" si="6"/>
        <v>FY 2027</v>
      </c>
      <c r="X22" s="32" t="str">
        <f t="shared" si="6"/>
        <v>FY 2027</v>
      </c>
      <c r="Y22" s="32" t="str">
        <f t="shared" si="6"/>
        <v>FY 2027</v>
      </c>
      <c r="Z22" s="32" t="str">
        <f t="shared" si="6"/>
        <v>FY 2027</v>
      </c>
      <c r="AA22" s="32" t="str">
        <f t="shared" si="6"/>
        <v>FY 2027</v>
      </c>
      <c r="AB22" s="32" t="str">
        <f t="shared" si="6"/>
        <v>FY 2027</v>
      </c>
      <c r="AC22" s="32" t="str">
        <f t="shared" si="6"/>
        <v>FY 2027</v>
      </c>
      <c r="AD22" s="32" t="str">
        <f t="shared" si="6"/>
        <v>FY 2027</v>
      </c>
      <c r="AE22" s="32" t="str">
        <f t="shared" si="6"/>
        <v>FY 2027</v>
      </c>
      <c r="AF22" s="32" t="str">
        <f t="shared" si="6"/>
        <v>FY 2027</v>
      </c>
      <c r="AG22" s="32" t="str">
        <f t="shared" si="6"/>
        <v>FY 2028</v>
      </c>
      <c r="AH22" s="32" t="str">
        <f t="shared" si="6"/>
        <v>FY 2028</v>
      </c>
      <c r="AI22" s="32" t="str">
        <f t="shared" si="6"/>
        <v>FY 2028</v>
      </c>
      <c r="AJ22" s="32" t="str">
        <f t="shared" si="6"/>
        <v>FY 2028</v>
      </c>
      <c r="AK22" s="32" t="str">
        <f t="shared" si="6"/>
        <v>FY 2028</v>
      </c>
      <c r="AL22" s="32" t="str">
        <f t="shared" si="6"/>
        <v>FY 2028</v>
      </c>
      <c r="AM22" s="32" t="str">
        <f t="shared" si="6"/>
        <v>FY 2028</v>
      </c>
      <c r="AN22" s="32" t="str">
        <f t="shared" si="6"/>
        <v>FY 2028</v>
      </c>
      <c r="AO22" s="32" t="str">
        <f t="shared" si="6"/>
        <v>FY 2028</v>
      </c>
      <c r="AP22" s="32" t="str">
        <f t="shared" si="6"/>
        <v>FY 2028</v>
      </c>
      <c r="AQ22" s="32" t="str">
        <f t="shared" si="6"/>
        <v>FY 2028</v>
      </c>
      <c r="AR22" s="32" t="str">
        <f t="shared" si="6"/>
        <v>FY 2028</v>
      </c>
      <c r="AS22" s="32" t="str">
        <f t="shared" si="6"/>
        <v>FY 2029</v>
      </c>
      <c r="AT22" s="32" t="str">
        <f t="shared" si="6"/>
        <v>FY 2029</v>
      </c>
      <c r="AU22" s="32" t="str">
        <f t="shared" si="6"/>
        <v>FY 2029</v>
      </c>
      <c r="AV22" s="32" t="str">
        <f t="shared" si="6"/>
        <v>FY 2029</v>
      </c>
      <c r="AW22" s="32" t="str">
        <f t="shared" si="6"/>
        <v>FY 2029</v>
      </c>
      <c r="AX22" s="32" t="str">
        <f t="shared" si="6"/>
        <v>FY 2029</v>
      </c>
      <c r="AY22" s="32" t="str">
        <f t="shared" si="6"/>
        <v>FY 2029</v>
      </c>
      <c r="AZ22" s="32" t="str">
        <f t="shared" si="6"/>
        <v>FY 2029</v>
      </c>
      <c r="BA22" s="32" t="str">
        <f t="shared" si="6"/>
        <v>FY 2029</v>
      </c>
      <c r="BB22" s="32" t="str">
        <f t="shared" si="6"/>
        <v>FY 2029</v>
      </c>
      <c r="BC22" s="32" t="str">
        <f t="shared" si="6"/>
        <v>FY 2029</v>
      </c>
      <c r="BD22" s="32" t="str">
        <f t="shared" si="6"/>
        <v>FY 2029</v>
      </c>
      <c r="BE22" s="32" t="str">
        <f t="shared" si="6"/>
        <v>FY 2030</v>
      </c>
      <c r="BF22" s="32" t="str">
        <f t="shared" si="6"/>
        <v>FY 2030</v>
      </c>
      <c r="BG22" s="32" t="str">
        <f t="shared" si="6"/>
        <v>FY 2030</v>
      </c>
      <c r="BH22" s="32" t="str">
        <f t="shared" si="6"/>
        <v>FY 2030</v>
      </c>
      <c r="BI22" s="32" t="str">
        <f t="shared" si="6"/>
        <v>FY 2030</v>
      </c>
      <c r="BJ22" s="32" t="str">
        <f t="shared" si="6"/>
        <v>FY 2030</v>
      </c>
      <c r="BK22" s="32" t="str">
        <f t="shared" si="6"/>
        <v>FY 2030</v>
      </c>
      <c r="BL22" s="32" t="str">
        <f t="shared" si="6"/>
        <v>FY 2030</v>
      </c>
      <c r="BM22" s="32" t="str">
        <f t="shared" si="6"/>
        <v>FY 2030</v>
      </c>
      <c r="BN22" s="32" t="str">
        <f t="shared" si="6"/>
        <v>FY 2030</v>
      </c>
      <c r="BO22" s="32" t="str">
        <f t="shared" si="6"/>
        <v>FY 2030</v>
      </c>
      <c r="BP22" s="32" t="str">
        <f t="shared" ref="BP22:EA22" si="7">IFERROR(("FY " &amp; IF(OR(MONTH(BP20)=1,MONTH(BP20)=2,MONTH(BP20)=3),YEAR(BP20),YEAR(BP20)+1)),"-")</f>
        <v>FY 2030</v>
      </c>
      <c r="BQ22" s="32" t="str">
        <f t="shared" si="7"/>
        <v>FY 2031</v>
      </c>
      <c r="BR22" s="32" t="str">
        <f t="shared" si="7"/>
        <v>FY 2031</v>
      </c>
      <c r="BS22" s="32" t="str">
        <f t="shared" si="7"/>
        <v>FY 2031</v>
      </c>
      <c r="BT22" s="32" t="str">
        <f t="shared" si="7"/>
        <v>FY 2031</v>
      </c>
      <c r="BU22" s="32" t="str">
        <f t="shared" si="7"/>
        <v>FY 2031</v>
      </c>
      <c r="BV22" s="32" t="str">
        <f t="shared" si="7"/>
        <v>FY 2031</v>
      </c>
      <c r="BW22" s="32" t="str">
        <f t="shared" si="7"/>
        <v>FY 2031</v>
      </c>
      <c r="BX22" s="32" t="str">
        <f t="shared" si="7"/>
        <v>FY 2031</v>
      </c>
      <c r="BY22" s="32" t="str">
        <f t="shared" si="7"/>
        <v>FY 2031</v>
      </c>
      <c r="BZ22" s="32" t="str">
        <f t="shared" si="7"/>
        <v>FY 2031</v>
      </c>
      <c r="CA22" s="32" t="str">
        <f t="shared" si="7"/>
        <v>FY 2031</v>
      </c>
      <c r="CB22" s="32" t="str">
        <f t="shared" si="7"/>
        <v>FY 2031</v>
      </c>
      <c r="CC22" s="32" t="str">
        <f t="shared" si="7"/>
        <v>FY 2032</v>
      </c>
      <c r="CD22" s="32" t="str">
        <f t="shared" si="7"/>
        <v>FY 2032</v>
      </c>
      <c r="CE22" s="32" t="str">
        <f t="shared" si="7"/>
        <v>FY 2032</v>
      </c>
      <c r="CF22" s="32" t="str">
        <f t="shared" si="7"/>
        <v>FY 2032</v>
      </c>
      <c r="CG22" s="32" t="str">
        <f t="shared" si="7"/>
        <v>FY 2032</v>
      </c>
      <c r="CH22" s="32" t="str">
        <f t="shared" si="7"/>
        <v>FY 2032</v>
      </c>
      <c r="CI22" s="32" t="str">
        <f t="shared" si="7"/>
        <v>FY 2032</v>
      </c>
      <c r="CJ22" s="32" t="str">
        <f t="shared" si="7"/>
        <v>FY 2032</v>
      </c>
      <c r="CK22" s="32" t="str">
        <f t="shared" si="7"/>
        <v>FY 2032</v>
      </c>
      <c r="CL22" s="32" t="str">
        <f t="shared" si="7"/>
        <v>FY 2032</v>
      </c>
      <c r="CM22" s="32" t="str">
        <f t="shared" si="7"/>
        <v>FY 2032</v>
      </c>
      <c r="CN22" s="32" t="str">
        <f t="shared" si="7"/>
        <v>FY 2032</v>
      </c>
      <c r="CO22" s="32" t="str">
        <f t="shared" si="7"/>
        <v>FY 2033</v>
      </c>
      <c r="CP22" s="32" t="str">
        <f t="shared" si="7"/>
        <v>FY 2033</v>
      </c>
      <c r="CQ22" s="32" t="str">
        <f t="shared" si="7"/>
        <v>FY 2033</v>
      </c>
      <c r="CR22" s="32" t="str">
        <f t="shared" si="7"/>
        <v>FY 2033</v>
      </c>
      <c r="CS22" s="32" t="str">
        <f t="shared" si="7"/>
        <v>FY 2033</v>
      </c>
      <c r="CT22" s="32" t="str">
        <f t="shared" si="7"/>
        <v>FY 2033</v>
      </c>
      <c r="CU22" s="32" t="str">
        <f t="shared" si="7"/>
        <v>FY 2033</v>
      </c>
      <c r="CV22" s="32" t="str">
        <f t="shared" si="7"/>
        <v>FY 2033</v>
      </c>
      <c r="CW22" s="32" t="str">
        <f t="shared" si="7"/>
        <v>FY 2033</v>
      </c>
      <c r="CX22" s="32" t="str">
        <f t="shared" si="7"/>
        <v>FY 2033</v>
      </c>
      <c r="CY22" s="32" t="str">
        <f t="shared" si="7"/>
        <v>FY 2033</v>
      </c>
      <c r="CZ22" s="32" t="str">
        <f t="shared" si="7"/>
        <v>FY 2033</v>
      </c>
      <c r="DA22" s="32" t="str">
        <f t="shared" si="7"/>
        <v>FY 2034</v>
      </c>
      <c r="DB22" s="32" t="str">
        <f t="shared" si="7"/>
        <v>FY 2034</v>
      </c>
      <c r="DC22" s="32" t="str">
        <f t="shared" si="7"/>
        <v>FY 2034</v>
      </c>
      <c r="DD22" s="32" t="str">
        <f t="shared" si="7"/>
        <v>FY 2034</v>
      </c>
      <c r="DE22" s="32" t="str">
        <f t="shared" si="7"/>
        <v>FY 2034</v>
      </c>
      <c r="DF22" s="32" t="str">
        <f t="shared" si="7"/>
        <v>FY 2034</v>
      </c>
      <c r="DG22" s="32" t="str">
        <f t="shared" si="7"/>
        <v>FY 2034</v>
      </c>
      <c r="DH22" s="32" t="str">
        <f t="shared" si="7"/>
        <v>FY 2034</v>
      </c>
      <c r="DI22" s="32" t="str">
        <f t="shared" si="7"/>
        <v>FY 2034</v>
      </c>
      <c r="DJ22" s="32" t="str">
        <f t="shared" si="7"/>
        <v>FY 2034</v>
      </c>
      <c r="DK22" s="32" t="str">
        <f t="shared" si="7"/>
        <v>FY 2034</v>
      </c>
      <c r="DL22" s="32" t="str">
        <f t="shared" si="7"/>
        <v>FY 2034</v>
      </c>
      <c r="DM22" s="32" t="str">
        <f t="shared" si="7"/>
        <v>FY 2035</v>
      </c>
      <c r="DN22" s="32" t="str">
        <f t="shared" si="7"/>
        <v>FY 2035</v>
      </c>
      <c r="DO22" s="32" t="str">
        <f t="shared" si="7"/>
        <v>FY 2035</v>
      </c>
      <c r="DP22" s="32" t="str">
        <f t="shared" si="7"/>
        <v>FY 2035</v>
      </c>
      <c r="DQ22" s="32" t="str">
        <f t="shared" si="7"/>
        <v>FY 2035</v>
      </c>
      <c r="DR22" s="32" t="str">
        <f t="shared" si="7"/>
        <v>FY 2035</v>
      </c>
      <c r="DS22" s="32" t="str">
        <f t="shared" si="7"/>
        <v>FY 2035</v>
      </c>
      <c r="DT22" s="32" t="str">
        <f t="shared" si="7"/>
        <v>FY 2035</v>
      </c>
      <c r="DU22" s="32" t="str">
        <f t="shared" si="7"/>
        <v>FY 2035</v>
      </c>
      <c r="DV22" s="32" t="str">
        <f t="shared" si="7"/>
        <v>FY 2035</v>
      </c>
      <c r="DW22" s="32" t="str">
        <f t="shared" si="7"/>
        <v>FY 2035</v>
      </c>
      <c r="DX22" s="32" t="str">
        <f t="shared" si="7"/>
        <v>FY 2035</v>
      </c>
      <c r="DY22" s="32" t="str">
        <f t="shared" si="7"/>
        <v>FY 2036</v>
      </c>
      <c r="DZ22" s="32" t="str">
        <f t="shared" si="7"/>
        <v>FY 2036</v>
      </c>
      <c r="EA22" s="32" t="str">
        <f t="shared" si="7"/>
        <v>FY 2036</v>
      </c>
      <c r="EB22" s="32" t="str">
        <f t="shared" ref="EB22:GM22" si="8">IFERROR(("FY " &amp; IF(OR(MONTH(EB20)=1,MONTH(EB20)=2,MONTH(EB20)=3),YEAR(EB20),YEAR(EB20)+1)),"-")</f>
        <v>FY 2036</v>
      </c>
      <c r="EC22" s="32" t="str">
        <f t="shared" si="8"/>
        <v>FY 2036</v>
      </c>
      <c r="ED22" s="32" t="str">
        <f t="shared" si="8"/>
        <v>FY 2036</v>
      </c>
      <c r="EE22" s="32" t="str">
        <f t="shared" si="8"/>
        <v>FY 2036</v>
      </c>
      <c r="EF22" s="32" t="str">
        <f t="shared" si="8"/>
        <v>FY 2036</v>
      </c>
      <c r="EG22" s="32" t="str">
        <f t="shared" si="8"/>
        <v>FY 2036</v>
      </c>
      <c r="EH22" s="32" t="str">
        <f t="shared" si="8"/>
        <v>FY 2036</v>
      </c>
      <c r="EI22" s="32" t="str">
        <f t="shared" si="8"/>
        <v>FY 2036</v>
      </c>
      <c r="EJ22" s="32" t="str">
        <f t="shared" si="8"/>
        <v>FY 2036</v>
      </c>
      <c r="EK22" s="32" t="str">
        <f t="shared" si="8"/>
        <v>FY 2037</v>
      </c>
      <c r="EL22" s="32" t="str">
        <f t="shared" si="8"/>
        <v>FY 2037</v>
      </c>
      <c r="EM22" s="32" t="str">
        <f t="shared" si="8"/>
        <v>FY 2037</v>
      </c>
      <c r="EN22" s="32" t="str">
        <f t="shared" si="8"/>
        <v>FY 2037</v>
      </c>
      <c r="EO22" s="32" t="str">
        <f t="shared" si="8"/>
        <v>FY 2037</v>
      </c>
      <c r="EP22" s="32" t="str">
        <f t="shared" si="8"/>
        <v>FY 2037</v>
      </c>
      <c r="EQ22" s="32" t="str">
        <f t="shared" si="8"/>
        <v>FY 2037</v>
      </c>
      <c r="ER22" s="32" t="str">
        <f t="shared" si="8"/>
        <v>FY 2037</v>
      </c>
      <c r="ES22" s="32" t="str">
        <f t="shared" si="8"/>
        <v>FY 2037</v>
      </c>
      <c r="ET22" s="32" t="str">
        <f t="shared" si="8"/>
        <v>FY 2037</v>
      </c>
      <c r="EU22" s="32" t="str">
        <f t="shared" si="8"/>
        <v>FY 2037</v>
      </c>
      <c r="EV22" s="32" t="str">
        <f t="shared" si="8"/>
        <v>FY 2037</v>
      </c>
      <c r="EW22" s="32" t="str">
        <f t="shared" si="8"/>
        <v>FY 2038</v>
      </c>
      <c r="EX22" s="32" t="str">
        <f t="shared" si="8"/>
        <v>FY 2038</v>
      </c>
      <c r="EY22" s="32" t="str">
        <f t="shared" si="8"/>
        <v>FY 2038</v>
      </c>
      <c r="EZ22" s="32" t="str">
        <f t="shared" si="8"/>
        <v>FY 2038</v>
      </c>
      <c r="FA22" s="32" t="str">
        <f t="shared" si="8"/>
        <v>FY 2038</v>
      </c>
      <c r="FB22" s="32" t="str">
        <f t="shared" si="8"/>
        <v>FY 2038</v>
      </c>
      <c r="FC22" s="32" t="str">
        <f t="shared" si="8"/>
        <v>FY 2038</v>
      </c>
      <c r="FD22" s="32" t="str">
        <f t="shared" si="8"/>
        <v>FY 2038</v>
      </c>
      <c r="FE22" s="32" t="str">
        <f t="shared" si="8"/>
        <v>FY 2038</v>
      </c>
      <c r="FF22" s="32" t="str">
        <f t="shared" si="8"/>
        <v>FY 2038</v>
      </c>
      <c r="FG22" s="32" t="str">
        <f t="shared" si="8"/>
        <v>FY 2038</v>
      </c>
      <c r="FH22" s="32" t="str">
        <f t="shared" si="8"/>
        <v>FY 2038</v>
      </c>
      <c r="FI22" s="32" t="str">
        <f t="shared" si="8"/>
        <v>FY 2039</v>
      </c>
      <c r="FJ22" s="32" t="str">
        <f t="shared" si="8"/>
        <v>FY 2039</v>
      </c>
      <c r="FK22" s="32" t="str">
        <f t="shared" si="8"/>
        <v>FY 2039</v>
      </c>
      <c r="FL22" s="32" t="str">
        <f t="shared" si="8"/>
        <v>FY 2039</v>
      </c>
      <c r="FM22" s="32" t="str">
        <f t="shared" si="8"/>
        <v>FY 2039</v>
      </c>
      <c r="FN22" s="32" t="str">
        <f t="shared" si="8"/>
        <v>FY 2039</v>
      </c>
      <c r="FO22" s="32" t="str">
        <f t="shared" si="8"/>
        <v>FY 2039</v>
      </c>
      <c r="FP22" s="32" t="str">
        <f t="shared" si="8"/>
        <v>FY 2039</v>
      </c>
      <c r="FQ22" s="32" t="str">
        <f t="shared" si="8"/>
        <v>FY 2039</v>
      </c>
      <c r="FR22" s="32" t="str">
        <f t="shared" si="8"/>
        <v>FY 2039</v>
      </c>
      <c r="FS22" s="32" t="str">
        <f t="shared" si="8"/>
        <v>FY 2039</v>
      </c>
      <c r="FT22" s="32" t="str">
        <f t="shared" si="8"/>
        <v>FY 2039</v>
      </c>
      <c r="FU22" s="32" t="str">
        <f t="shared" si="8"/>
        <v>FY 2040</v>
      </c>
      <c r="FV22" s="32" t="str">
        <f t="shared" si="8"/>
        <v>FY 2040</v>
      </c>
      <c r="FW22" s="32" t="str">
        <f t="shared" si="8"/>
        <v>FY 2040</v>
      </c>
      <c r="FX22" s="32" t="str">
        <f t="shared" si="8"/>
        <v>FY 2040</v>
      </c>
      <c r="FY22" s="32" t="str">
        <f t="shared" si="8"/>
        <v>FY 2040</v>
      </c>
      <c r="FZ22" s="32" t="str">
        <f t="shared" si="8"/>
        <v>FY 2040</v>
      </c>
      <c r="GA22" s="32" t="str">
        <f t="shared" si="8"/>
        <v>FY 2040</v>
      </c>
      <c r="GB22" s="32" t="str">
        <f t="shared" si="8"/>
        <v>FY 2040</v>
      </c>
      <c r="GC22" s="32" t="str">
        <f t="shared" si="8"/>
        <v>FY 2040</v>
      </c>
      <c r="GD22" s="32" t="str">
        <f t="shared" si="8"/>
        <v>FY 2040</v>
      </c>
      <c r="GE22" s="32" t="str">
        <f t="shared" si="8"/>
        <v>FY 2040</v>
      </c>
      <c r="GF22" s="32" t="str">
        <f t="shared" si="8"/>
        <v>FY 2040</v>
      </c>
      <c r="GG22" s="32" t="str">
        <f t="shared" si="8"/>
        <v>FY 2041</v>
      </c>
      <c r="GH22" s="32" t="str">
        <f t="shared" si="8"/>
        <v>FY 2041</v>
      </c>
      <c r="GI22" s="32" t="str">
        <f t="shared" si="8"/>
        <v>FY 2041</v>
      </c>
      <c r="GJ22" s="32" t="str">
        <f t="shared" si="8"/>
        <v>FY 2041</v>
      </c>
      <c r="GK22" s="32" t="str">
        <f t="shared" si="8"/>
        <v>FY 2041</v>
      </c>
      <c r="GL22" s="32" t="str">
        <f t="shared" si="8"/>
        <v>FY 2041</v>
      </c>
      <c r="GM22" s="32" t="str">
        <f t="shared" si="8"/>
        <v>FY 2041</v>
      </c>
      <c r="GN22" s="32" t="str">
        <f t="shared" ref="GN22:IC22" si="9">IFERROR(("FY " &amp; IF(OR(MONTH(GN20)=1,MONTH(GN20)=2,MONTH(GN20)=3),YEAR(GN20),YEAR(GN20)+1)),"-")</f>
        <v>FY 2041</v>
      </c>
      <c r="GO22" s="32" t="str">
        <f t="shared" si="9"/>
        <v>-</v>
      </c>
      <c r="GP22" s="32" t="str">
        <f t="shared" si="9"/>
        <v>-</v>
      </c>
      <c r="GQ22" s="32" t="str">
        <f t="shared" si="9"/>
        <v>-</v>
      </c>
      <c r="GR22" s="32" t="str">
        <f t="shared" si="9"/>
        <v>-</v>
      </c>
      <c r="GS22" s="32" t="str">
        <f t="shared" si="9"/>
        <v>-</v>
      </c>
      <c r="GT22" s="32" t="str">
        <f t="shared" si="9"/>
        <v>-</v>
      </c>
      <c r="GU22" s="32" t="str">
        <f t="shared" si="9"/>
        <v>-</v>
      </c>
      <c r="GV22" s="32" t="str">
        <f t="shared" si="9"/>
        <v>-</v>
      </c>
      <c r="GW22" s="32" t="str">
        <f t="shared" si="9"/>
        <v>-</v>
      </c>
      <c r="GX22" s="32" t="str">
        <f t="shared" si="9"/>
        <v>-</v>
      </c>
      <c r="GY22" s="32" t="str">
        <f t="shared" si="9"/>
        <v>-</v>
      </c>
      <c r="GZ22" s="32" t="str">
        <f t="shared" si="9"/>
        <v>-</v>
      </c>
      <c r="HA22" s="32" t="str">
        <f t="shared" si="9"/>
        <v>-</v>
      </c>
      <c r="HB22" s="32" t="str">
        <f t="shared" si="9"/>
        <v>-</v>
      </c>
      <c r="HC22" s="32" t="str">
        <f t="shared" si="9"/>
        <v>-</v>
      </c>
      <c r="HD22" s="32" t="str">
        <f t="shared" si="9"/>
        <v>-</v>
      </c>
      <c r="HE22" s="32" t="str">
        <f t="shared" si="9"/>
        <v>-</v>
      </c>
      <c r="HF22" s="32" t="str">
        <f t="shared" si="9"/>
        <v>-</v>
      </c>
      <c r="HG22" s="32" t="str">
        <f t="shared" si="9"/>
        <v>-</v>
      </c>
      <c r="HH22" s="32" t="str">
        <f t="shared" si="9"/>
        <v>-</v>
      </c>
      <c r="HI22" s="32" t="str">
        <f t="shared" si="9"/>
        <v>-</v>
      </c>
      <c r="HJ22" s="32" t="str">
        <f t="shared" si="9"/>
        <v>-</v>
      </c>
      <c r="HK22" s="32" t="str">
        <f t="shared" si="9"/>
        <v>-</v>
      </c>
      <c r="HL22" s="32" t="str">
        <f t="shared" si="9"/>
        <v>-</v>
      </c>
      <c r="HM22" s="32" t="str">
        <f t="shared" si="9"/>
        <v>-</v>
      </c>
      <c r="HN22" s="32" t="str">
        <f t="shared" si="9"/>
        <v>-</v>
      </c>
      <c r="HO22" s="32" t="str">
        <f t="shared" si="9"/>
        <v>-</v>
      </c>
      <c r="HP22" s="32" t="str">
        <f t="shared" si="9"/>
        <v>-</v>
      </c>
      <c r="HQ22" s="32" t="str">
        <f t="shared" si="9"/>
        <v>-</v>
      </c>
      <c r="HR22" s="32" t="str">
        <f t="shared" si="9"/>
        <v>-</v>
      </c>
      <c r="HS22" s="32" t="str">
        <f t="shared" si="9"/>
        <v>-</v>
      </c>
      <c r="HT22" s="32" t="str">
        <f t="shared" si="9"/>
        <v>-</v>
      </c>
      <c r="HU22" s="32" t="str">
        <f t="shared" si="9"/>
        <v>-</v>
      </c>
      <c r="HV22" s="32" t="str">
        <f t="shared" si="9"/>
        <v>-</v>
      </c>
      <c r="HW22" s="32" t="str">
        <f t="shared" si="9"/>
        <v>-</v>
      </c>
      <c r="HX22" s="32" t="str">
        <f t="shared" si="9"/>
        <v>-</v>
      </c>
      <c r="HY22" s="32" t="str">
        <f t="shared" si="9"/>
        <v>-</v>
      </c>
      <c r="HZ22" s="32" t="str">
        <f t="shared" si="9"/>
        <v>-</v>
      </c>
      <c r="IA22" s="32" t="str">
        <f t="shared" si="9"/>
        <v>-</v>
      </c>
      <c r="IB22" s="32" t="str">
        <f t="shared" si="9"/>
        <v>-</v>
      </c>
      <c r="IC22" s="63" t="str">
        <f t="shared" si="9"/>
        <v>-</v>
      </c>
    </row>
    <row r="23" spans="1:237" x14ac:dyDescent="0.3">
      <c r="B23" s="42" t="s">
        <v>75</v>
      </c>
      <c r="C23" s="40">
        <f>IF(C19="Cons",0,1)</f>
        <v>0</v>
      </c>
      <c r="D23" s="40">
        <f>IF(D19="Cons",0,IF(D20="-",0,C23+1))</f>
        <v>0</v>
      </c>
      <c r="E23" s="40">
        <f t="shared" ref="E23:BP23" si="10">IF(E19="Cons",0,IF(E20="-",0,D23+1))</f>
        <v>0</v>
      </c>
      <c r="F23" s="40">
        <f t="shared" si="10"/>
        <v>0</v>
      </c>
      <c r="G23" s="40">
        <f t="shared" si="10"/>
        <v>0</v>
      </c>
      <c r="H23" s="40">
        <f t="shared" si="10"/>
        <v>0</v>
      </c>
      <c r="I23" s="40">
        <f t="shared" si="10"/>
        <v>0</v>
      </c>
      <c r="J23" s="40">
        <f t="shared" si="10"/>
        <v>0</v>
      </c>
      <c r="K23" s="40">
        <f t="shared" si="10"/>
        <v>0</v>
      </c>
      <c r="L23" s="40">
        <f t="shared" si="10"/>
        <v>0</v>
      </c>
      <c r="M23" s="40">
        <f t="shared" si="10"/>
        <v>0</v>
      </c>
      <c r="N23" s="40">
        <f t="shared" si="10"/>
        <v>0</v>
      </c>
      <c r="O23" s="40">
        <f t="shared" si="10"/>
        <v>0</v>
      </c>
      <c r="P23" s="40">
        <f t="shared" si="10"/>
        <v>0</v>
      </c>
      <c r="Q23" s="40">
        <f t="shared" si="10"/>
        <v>1</v>
      </c>
      <c r="R23" s="40">
        <f t="shared" si="10"/>
        <v>2</v>
      </c>
      <c r="S23" s="40">
        <f t="shared" si="10"/>
        <v>3</v>
      </c>
      <c r="T23" s="40">
        <f t="shared" si="10"/>
        <v>4</v>
      </c>
      <c r="U23" s="40">
        <f t="shared" si="10"/>
        <v>5</v>
      </c>
      <c r="V23" s="40">
        <f t="shared" si="10"/>
        <v>6</v>
      </c>
      <c r="W23" s="40">
        <f t="shared" si="10"/>
        <v>7</v>
      </c>
      <c r="X23" s="40">
        <f t="shared" si="10"/>
        <v>8</v>
      </c>
      <c r="Y23" s="40">
        <f t="shared" si="10"/>
        <v>9</v>
      </c>
      <c r="Z23" s="40">
        <f t="shared" si="10"/>
        <v>10</v>
      </c>
      <c r="AA23" s="40">
        <f t="shared" si="10"/>
        <v>11</v>
      </c>
      <c r="AB23" s="40">
        <f t="shared" si="10"/>
        <v>12</v>
      </c>
      <c r="AC23" s="40">
        <f t="shared" si="10"/>
        <v>13</v>
      </c>
      <c r="AD23" s="40">
        <f t="shared" si="10"/>
        <v>14</v>
      </c>
      <c r="AE23" s="40">
        <f t="shared" si="10"/>
        <v>15</v>
      </c>
      <c r="AF23" s="40">
        <f t="shared" si="10"/>
        <v>16</v>
      </c>
      <c r="AG23" s="40">
        <f t="shared" si="10"/>
        <v>17</v>
      </c>
      <c r="AH23" s="40">
        <f t="shared" si="10"/>
        <v>18</v>
      </c>
      <c r="AI23" s="40">
        <f t="shared" si="10"/>
        <v>19</v>
      </c>
      <c r="AJ23" s="40">
        <f t="shared" si="10"/>
        <v>20</v>
      </c>
      <c r="AK23" s="40">
        <f t="shared" si="10"/>
        <v>21</v>
      </c>
      <c r="AL23" s="40">
        <f t="shared" si="10"/>
        <v>22</v>
      </c>
      <c r="AM23" s="40">
        <f t="shared" si="10"/>
        <v>23</v>
      </c>
      <c r="AN23" s="40">
        <f t="shared" si="10"/>
        <v>24</v>
      </c>
      <c r="AO23" s="40">
        <f t="shared" si="10"/>
        <v>25</v>
      </c>
      <c r="AP23" s="40">
        <f t="shared" si="10"/>
        <v>26</v>
      </c>
      <c r="AQ23" s="40">
        <f t="shared" si="10"/>
        <v>27</v>
      </c>
      <c r="AR23" s="40">
        <f t="shared" si="10"/>
        <v>28</v>
      </c>
      <c r="AS23" s="40">
        <f t="shared" si="10"/>
        <v>29</v>
      </c>
      <c r="AT23" s="40">
        <f t="shared" si="10"/>
        <v>30</v>
      </c>
      <c r="AU23" s="40">
        <f t="shared" si="10"/>
        <v>31</v>
      </c>
      <c r="AV23" s="40">
        <f t="shared" si="10"/>
        <v>32</v>
      </c>
      <c r="AW23" s="40">
        <f t="shared" si="10"/>
        <v>33</v>
      </c>
      <c r="AX23" s="40">
        <f t="shared" si="10"/>
        <v>34</v>
      </c>
      <c r="AY23" s="40">
        <f t="shared" si="10"/>
        <v>35</v>
      </c>
      <c r="AZ23" s="40">
        <f t="shared" si="10"/>
        <v>36</v>
      </c>
      <c r="BA23" s="40">
        <f t="shared" si="10"/>
        <v>37</v>
      </c>
      <c r="BB23" s="40">
        <f t="shared" si="10"/>
        <v>38</v>
      </c>
      <c r="BC23" s="40">
        <f t="shared" si="10"/>
        <v>39</v>
      </c>
      <c r="BD23" s="40">
        <f t="shared" si="10"/>
        <v>40</v>
      </c>
      <c r="BE23" s="40">
        <f t="shared" si="10"/>
        <v>41</v>
      </c>
      <c r="BF23" s="40">
        <f t="shared" si="10"/>
        <v>42</v>
      </c>
      <c r="BG23" s="40">
        <f t="shared" si="10"/>
        <v>43</v>
      </c>
      <c r="BH23" s="40">
        <f t="shared" si="10"/>
        <v>44</v>
      </c>
      <c r="BI23" s="40">
        <f t="shared" si="10"/>
        <v>45</v>
      </c>
      <c r="BJ23" s="40">
        <f t="shared" si="10"/>
        <v>46</v>
      </c>
      <c r="BK23" s="40">
        <f t="shared" si="10"/>
        <v>47</v>
      </c>
      <c r="BL23" s="40">
        <f t="shared" si="10"/>
        <v>48</v>
      </c>
      <c r="BM23" s="40">
        <f t="shared" si="10"/>
        <v>49</v>
      </c>
      <c r="BN23" s="40">
        <f t="shared" si="10"/>
        <v>50</v>
      </c>
      <c r="BO23" s="40">
        <f t="shared" si="10"/>
        <v>51</v>
      </c>
      <c r="BP23" s="40">
        <f t="shared" si="10"/>
        <v>52</v>
      </c>
      <c r="BQ23" s="40">
        <f t="shared" ref="BQ23:EB23" si="11">IF(BQ19="Cons",0,IF(BQ20="-",0,BP23+1))</f>
        <v>53</v>
      </c>
      <c r="BR23" s="40">
        <f t="shared" si="11"/>
        <v>54</v>
      </c>
      <c r="BS23" s="40">
        <f t="shared" si="11"/>
        <v>55</v>
      </c>
      <c r="BT23" s="40">
        <f t="shared" si="11"/>
        <v>56</v>
      </c>
      <c r="BU23" s="40">
        <f t="shared" si="11"/>
        <v>57</v>
      </c>
      <c r="BV23" s="40">
        <f t="shared" si="11"/>
        <v>58</v>
      </c>
      <c r="BW23" s="40">
        <f t="shared" si="11"/>
        <v>59</v>
      </c>
      <c r="BX23" s="40">
        <f t="shared" si="11"/>
        <v>60</v>
      </c>
      <c r="BY23" s="40">
        <f t="shared" si="11"/>
        <v>61</v>
      </c>
      <c r="BZ23" s="40">
        <f t="shared" si="11"/>
        <v>62</v>
      </c>
      <c r="CA23" s="40">
        <f t="shared" si="11"/>
        <v>63</v>
      </c>
      <c r="CB23" s="40">
        <f t="shared" si="11"/>
        <v>64</v>
      </c>
      <c r="CC23" s="40">
        <f t="shared" si="11"/>
        <v>65</v>
      </c>
      <c r="CD23" s="40">
        <f t="shared" si="11"/>
        <v>66</v>
      </c>
      <c r="CE23" s="40">
        <f t="shared" si="11"/>
        <v>67</v>
      </c>
      <c r="CF23" s="40">
        <f t="shared" si="11"/>
        <v>68</v>
      </c>
      <c r="CG23" s="40">
        <f t="shared" si="11"/>
        <v>69</v>
      </c>
      <c r="CH23" s="40">
        <f t="shared" si="11"/>
        <v>70</v>
      </c>
      <c r="CI23" s="40">
        <f t="shared" si="11"/>
        <v>71</v>
      </c>
      <c r="CJ23" s="40">
        <f t="shared" si="11"/>
        <v>72</v>
      </c>
      <c r="CK23" s="40">
        <f t="shared" si="11"/>
        <v>73</v>
      </c>
      <c r="CL23" s="40">
        <f t="shared" si="11"/>
        <v>74</v>
      </c>
      <c r="CM23" s="40">
        <f t="shared" si="11"/>
        <v>75</v>
      </c>
      <c r="CN23" s="40">
        <f t="shared" si="11"/>
        <v>76</v>
      </c>
      <c r="CO23" s="40">
        <f t="shared" si="11"/>
        <v>77</v>
      </c>
      <c r="CP23" s="40">
        <f t="shared" si="11"/>
        <v>78</v>
      </c>
      <c r="CQ23" s="40">
        <f t="shared" si="11"/>
        <v>79</v>
      </c>
      <c r="CR23" s="40">
        <f t="shared" si="11"/>
        <v>80</v>
      </c>
      <c r="CS23" s="40">
        <f t="shared" si="11"/>
        <v>81</v>
      </c>
      <c r="CT23" s="40">
        <f t="shared" si="11"/>
        <v>82</v>
      </c>
      <c r="CU23" s="40">
        <f t="shared" si="11"/>
        <v>83</v>
      </c>
      <c r="CV23" s="40">
        <f t="shared" si="11"/>
        <v>84</v>
      </c>
      <c r="CW23" s="40">
        <f t="shared" si="11"/>
        <v>85</v>
      </c>
      <c r="CX23" s="40">
        <f t="shared" si="11"/>
        <v>86</v>
      </c>
      <c r="CY23" s="40">
        <f t="shared" si="11"/>
        <v>87</v>
      </c>
      <c r="CZ23" s="40">
        <f t="shared" si="11"/>
        <v>88</v>
      </c>
      <c r="DA23" s="40">
        <f t="shared" si="11"/>
        <v>89</v>
      </c>
      <c r="DB23" s="40">
        <f t="shared" si="11"/>
        <v>90</v>
      </c>
      <c r="DC23" s="40">
        <f t="shared" si="11"/>
        <v>91</v>
      </c>
      <c r="DD23" s="40">
        <f t="shared" si="11"/>
        <v>92</v>
      </c>
      <c r="DE23" s="40">
        <f t="shared" si="11"/>
        <v>93</v>
      </c>
      <c r="DF23" s="40">
        <f t="shared" si="11"/>
        <v>94</v>
      </c>
      <c r="DG23" s="40">
        <f t="shared" si="11"/>
        <v>95</v>
      </c>
      <c r="DH23" s="40">
        <f t="shared" si="11"/>
        <v>96</v>
      </c>
      <c r="DI23" s="40">
        <f t="shared" si="11"/>
        <v>97</v>
      </c>
      <c r="DJ23" s="40">
        <f t="shared" si="11"/>
        <v>98</v>
      </c>
      <c r="DK23" s="40">
        <f t="shared" si="11"/>
        <v>99</v>
      </c>
      <c r="DL23" s="40">
        <f t="shared" si="11"/>
        <v>100</v>
      </c>
      <c r="DM23" s="40">
        <f t="shared" si="11"/>
        <v>101</v>
      </c>
      <c r="DN23" s="40">
        <f t="shared" si="11"/>
        <v>102</v>
      </c>
      <c r="DO23" s="40">
        <f t="shared" si="11"/>
        <v>103</v>
      </c>
      <c r="DP23" s="40">
        <f t="shared" si="11"/>
        <v>104</v>
      </c>
      <c r="DQ23" s="40">
        <f t="shared" si="11"/>
        <v>105</v>
      </c>
      <c r="DR23" s="40">
        <f t="shared" si="11"/>
        <v>106</v>
      </c>
      <c r="DS23" s="40">
        <f t="shared" si="11"/>
        <v>107</v>
      </c>
      <c r="DT23" s="40">
        <f t="shared" si="11"/>
        <v>108</v>
      </c>
      <c r="DU23" s="40">
        <f t="shared" si="11"/>
        <v>109</v>
      </c>
      <c r="DV23" s="40">
        <f t="shared" si="11"/>
        <v>110</v>
      </c>
      <c r="DW23" s="40">
        <f t="shared" si="11"/>
        <v>111</v>
      </c>
      <c r="DX23" s="40">
        <f t="shared" si="11"/>
        <v>112</v>
      </c>
      <c r="DY23" s="40">
        <f t="shared" si="11"/>
        <v>113</v>
      </c>
      <c r="DZ23" s="40">
        <f t="shared" si="11"/>
        <v>114</v>
      </c>
      <c r="EA23" s="40">
        <f t="shared" si="11"/>
        <v>115</v>
      </c>
      <c r="EB23" s="40">
        <f t="shared" si="11"/>
        <v>116</v>
      </c>
      <c r="EC23" s="40">
        <f t="shared" ref="EC23:GN23" si="12">IF(EC19="Cons",0,IF(EC20="-",0,EB23+1))</f>
        <v>117</v>
      </c>
      <c r="ED23" s="40">
        <f t="shared" si="12"/>
        <v>118</v>
      </c>
      <c r="EE23" s="40">
        <f t="shared" si="12"/>
        <v>119</v>
      </c>
      <c r="EF23" s="40">
        <f t="shared" si="12"/>
        <v>120</v>
      </c>
      <c r="EG23" s="40">
        <f t="shared" si="12"/>
        <v>121</v>
      </c>
      <c r="EH23" s="40">
        <f t="shared" si="12"/>
        <v>122</v>
      </c>
      <c r="EI23" s="40">
        <f t="shared" si="12"/>
        <v>123</v>
      </c>
      <c r="EJ23" s="40">
        <f t="shared" si="12"/>
        <v>124</v>
      </c>
      <c r="EK23" s="40">
        <f t="shared" si="12"/>
        <v>125</v>
      </c>
      <c r="EL23" s="40">
        <f t="shared" si="12"/>
        <v>126</v>
      </c>
      <c r="EM23" s="40">
        <f t="shared" si="12"/>
        <v>127</v>
      </c>
      <c r="EN23" s="40">
        <f t="shared" si="12"/>
        <v>128</v>
      </c>
      <c r="EO23" s="40">
        <f t="shared" si="12"/>
        <v>129</v>
      </c>
      <c r="EP23" s="40">
        <f t="shared" si="12"/>
        <v>130</v>
      </c>
      <c r="EQ23" s="40">
        <f t="shared" si="12"/>
        <v>131</v>
      </c>
      <c r="ER23" s="40">
        <f t="shared" si="12"/>
        <v>132</v>
      </c>
      <c r="ES23" s="40">
        <f t="shared" si="12"/>
        <v>133</v>
      </c>
      <c r="ET23" s="40">
        <f t="shared" si="12"/>
        <v>134</v>
      </c>
      <c r="EU23" s="40">
        <f t="shared" si="12"/>
        <v>135</v>
      </c>
      <c r="EV23" s="40">
        <f t="shared" si="12"/>
        <v>136</v>
      </c>
      <c r="EW23" s="40">
        <f t="shared" si="12"/>
        <v>137</v>
      </c>
      <c r="EX23" s="40">
        <f t="shared" si="12"/>
        <v>138</v>
      </c>
      <c r="EY23" s="40">
        <f t="shared" si="12"/>
        <v>139</v>
      </c>
      <c r="EZ23" s="40">
        <f t="shared" si="12"/>
        <v>140</v>
      </c>
      <c r="FA23" s="40">
        <f t="shared" si="12"/>
        <v>141</v>
      </c>
      <c r="FB23" s="40">
        <f t="shared" si="12"/>
        <v>142</v>
      </c>
      <c r="FC23" s="40">
        <f t="shared" si="12"/>
        <v>143</v>
      </c>
      <c r="FD23" s="40">
        <f t="shared" si="12"/>
        <v>144</v>
      </c>
      <c r="FE23" s="40">
        <f t="shared" si="12"/>
        <v>145</v>
      </c>
      <c r="FF23" s="40">
        <f t="shared" si="12"/>
        <v>146</v>
      </c>
      <c r="FG23" s="40">
        <f t="shared" si="12"/>
        <v>147</v>
      </c>
      <c r="FH23" s="40">
        <f t="shared" si="12"/>
        <v>148</v>
      </c>
      <c r="FI23" s="40">
        <f t="shared" si="12"/>
        <v>149</v>
      </c>
      <c r="FJ23" s="40">
        <f t="shared" si="12"/>
        <v>150</v>
      </c>
      <c r="FK23" s="40">
        <f t="shared" si="12"/>
        <v>151</v>
      </c>
      <c r="FL23" s="40">
        <f t="shared" si="12"/>
        <v>152</v>
      </c>
      <c r="FM23" s="40">
        <f t="shared" si="12"/>
        <v>153</v>
      </c>
      <c r="FN23" s="40">
        <f t="shared" si="12"/>
        <v>154</v>
      </c>
      <c r="FO23" s="40">
        <f t="shared" si="12"/>
        <v>155</v>
      </c>
      <c r="FP23" s="40">
        <f t="shared" si="12"/>
        <v>156</v>
      </c>
      <c r="FQ23" s="40">
        <f t="shared" si="12"/>
        <v>157</v>
      </c>
      <c r="FR23" s="40">
        <f t="shared" si="12"/>
        <v>158</v>
      </c>
      <c r="FS23" s="40">
        <f t="shared" si="12"/>
        <v>159</v>
      </c>
      <c r="FT23" s="40">
        <f t="shared" si="12"/>
        <v>160</v>
      </c>
      <c r="FU23" s="40">
        <f t="shared" si="12"/>
        <v>161</v>
      </c>
      <c r="FV23" s="40">
        <f t="shared" si="12"/>
        <v>162</v>
      </c>
      <c r="FW23" s="40">
        <f t="shared" si="12"/>
        <v>163</v>
      </c>
      <c r="FX23" s="40">
        <f t="shared" si="12"/>
        <v>164</v>
      </c>
      <c r="FY23" s="40">
        <f t="shared" si="12"/>
        <v>165</v>
      </c>
      <c r="FZ23" s="40">
        <f t="shared" si="12"/>
        <v>166</v>
      </c>
      <c r="GA23" s="40">
        <f t="shared" si="12"/>
        <v>167</v>
      </c>
      <c r="GB23" s="40">
        <f t="shared" si="12"/>
        <v>168</v>
      </c>
      <c r="GC23" s="40">
        <f t="shared" si="12"/>
        <v>169</v>
      </c>
      <c r="GD23" s="40">
        <f t="shared" si="12"/>
        <v>170</v>
      </c>
      <c r="GE23" s="40">
        <f t="shared" si="12"/>
        <v>171</v>
      </c>
      <c r="GF23" s="40">
        <f t="shared" si="12"/>
        <v>172</v>
      </c>
      <c r="GG23" s="40">
        <f t="shared" si="12"/>
        <v>173</v>
      </c>
      <c r="GH23" s="40">
        <f t="shared" si="12"/>
        <v>174</v>
      </c>
      <c r="GI23" s="40">
        <f t="shared" si="12"/>
        <v>175</v>
      </c>
      <c r="GJ23" s="40">
        <f t="shared" si="12"/>
        <v>176</v>
      </c>
      <c r="GK23" s="40">
        <f t="shared" si="12"/>
        <v>177</v>
      </c>
      <c r="GL23" s="40">
        <f t="shared" si="12"/>
        <v>178</v>
      </c>
      <c r="GM23" s="40">
        <f t="shared" si="12"/>
        <v>179</v>
      </c>
      <c r="GN23" s="40">
        <f t="shared" si="12"/>
        <v>180</v>
      </c>
      <c r="GO23" s="40">
        <f t="shared" ref="GO23:IC23" si="13">IF(GO19="Cons",0,IF(GO20="-",0,GN23+1))</f>
        <v>0</v>
      </c>
      <c r="GP23" s="40">
        <f t="shared" si="13"/>
        <v>0</v>
      </c>
      <c r="GQ23" s="40">
        <f t="shared" si="13"/>
        <v>0</v>
      </c>
      <c r="GR23" s="40">
        <f t="shared" si="13"/>
        <v>0</v>
      </c>
      <c r="GS23" s="40">
        <f t="shared" si="13"/>
        <v>0</v>
      </c>
      <c r="GT23" s="40">
        <f t="shared" si="13"/>
        <v>0</v>
      </c>
      <c r="GU23" s="40">
        <f t="shared" si="13"/>
        <v>0</v>
      </c>
      <c r="GV23" s="40">
        <f t="shared" si="13"/>
        <v>0</v>
      </c>
      <c r="GW23" s="40">
        <f t="shared" si="13"/>
        <v>0</v>
      </c>
      <c r="GX23" s="40">
        <f t="shared" si="13"/>
        <v>0</v>
      </c>
      <c r="GY23" s="40">
        <f t="shared" si="13"/>
        <v>0</v>
      </c>
      <c r="GZ23" s="40">
        <f t="shared" si="13"/>
        <v>0</v>
      </c>
      <c r="HA23" s="40">
        <f t="shared" si="13"/>
        <v>0</v>
      </c>
      <c r="HB23" s="40">
        <f t="shared" si="13"/>
        <v>0</v>
      </c>
      <c r="HC23" s="40">
        <f t="shared" si="13"/>
        <v>0</v>
      </c>
      <c r="HD23" s="40">
        <f t="shared" si="13"/>
        <v>0</v>
      </c>
      <c r="HE23" s="40">
        <f t="shared" si="13"/>
        <v>0</v>
      </c>
      <c r="HF23" s="40">
        <f t="shared" si="13"/>
        <v>0</v>
      </c>
      <c r="HG23" s="40">
        <f t="shared" si="13"/>
        <v>0</v>
      </c>
      <c r="HH23" s="40">
        <f t="shared" si="13"/>
        <v>0</v>
      </c>
      <c r="HI23" s="40">
        <f t="shared" si="13"/>
        <v>0</v>
      </c>
      <c r="HJ23" s="40">
        <f t="shared" si="13"/>
        <v>0</v>
      </c>
      <c r="HK23" s="40">
        <f t="shared" si="13"/>
        <v>0</v>
      </c>
      <c r="HL23" s="40">
        <f t="shared" si="13"/>
        <v>0</v>
      </c>
      <c r="HM23" s="40">
        <f t="shared" si="13"/>
        <v>0</v>
      </c>
      <c r="HN23" s="40">
        <f t="shared" si="13"/>
        <v>0</v>
      </c>
      <c r="HO23" s="40">
        <f t="shared" si="13"/>
        <v>0</v>
      </c>
      <c r="HP23" s="40">
        <f t="shared" si="13"/>
        <v>0</v>
      </c>
      <c r="HQ23" s="40">
        <f t="shared" si="13"/>
        <v>0</v>
      </c>
      <c r="HR23" s="40">
        <f t="shared" si="13"/>
        <v>0</v>
      </c>
      <c r="HS23" s="40">
        <f t="shared" si="13"/>
        <v>0</v>
      </c>
      <c r="HT23" s="40">
        <f t="shared" si="13"/>
        <v>0</v>
      </c>
      <c r="HU23" s="40">
        <f t="shared" si="13"/>
        <v>0</v>
      </c>
      <c r="HV23" s="40">
        <f t="shared" si="13"/>
        <v>0</v>
      </c>
      <c r="HW23" s="40">
        <f t="shared" si="13"/>
        <v>0</v>
      </c>
      <c r="HX23" s="40">
        <f t="shared" si="13"/>
        <v>0</v>
      </c>
      <c r="HY23" s="40">
        <f t="shared" si="13"/>
        <v>0</v>
      </c>
      <c r="HZ23" s="40">
        <f t="shared" si="13"/>
        <v>0</v>
      </c>
      <c r="IA23" s="40">
        <f t="shared" si="13"/>
        <v>0</v>
      </c>
      <c r="IB23" s="40">
        <f t="shared" si="13"/>
        <v>0</v>
      </c>
      <c r="IC23" s="40">
        <f t="shared" si="13"/>
        <v>0</v>
      </c>
    </row>
    <row r="24" spans="1:237" ht="15" thickBot="1" x14ac:dyDescent="0.35">
      <c r="B24" s="34" t="s">
        <v>137</v>
      </c>
      <c r="C24">
        <f>IF(C23=0,0,MOD(C23,3))</f>
        <v>0</v>
      </c>
      <c r="D24">
        <f>IF(D23=0,0,ROUNDUP(D23/3,0))</f>
        <v>0</v>
      </c>
      <c r="E24">
        <f t="shared" ref="E24:BP24" si="14">IF(E23=0,0,ROUNDUP(E23/3,0))</f>
        <v>0</v>
      </c>
      <c r="F24">
        <f t="shared" si="14"/>
        <v>0</v>
      </c>
      <c r="G24">
        <f t="shared" si="14"/>
        <v>0</v>
      </c>
      <c r="H24">
        <f t="shared" si="14"/>
        <v>0</v>
      </c>
      <c r="I24">
        <f t="shared" si="14"/>
        <v>0</v>
      </c>
      <c r="J24">
        <f t="shared" si="14"/>
        <v>0</v>
      </c>
      <c r="K24">
        <f t="shared" si="14"/>
        <v>0</v>
      </c>
      <c r="L24">
        <f t="shared" si="14"/>
        <v>0</v>
      </c>
      <c r="M24">
        <f t="shared" si="14"/>
        <v>0</v>
      </c>
      <c r="N24">
        <f t="shared" si="14"/>
        <v>0</v>
      </c>
      <c r="O24">
        <f t="shared" si="14"/>
        <v>0</v>
      </c>
      <c r="P24">
        <f t="shared" si="14"/>
        <v>0</v>
      </c>
      <c r="Q24">
        <f t="shared" si="14"/>
        <v>1</v>
      </c>
      <c r="R24">
        <f t="shared" si="14"/>
        <v>1</v>
      </c>
      <c r="S24">
        <f t="shared" si="14"/>
        <v>1</v>
      </c>
      <c r="T24">
        <f t="shared" si="14"/>
        <v>2</v>
      </c>
      <c r="U24">
        <f t="shared" si="14"/>
        <v>2</v>
      </c>
      <c r="V24">
        <f t="shared" si="14"/>
        <v>2</v>
      </c>
      <c r="W24">
        <f t="shared" si="14"/>
        <v>3</v>
      </c>
      <c r="X24">
        <f t="shared" si="14"/>
        <v>3</v>
      </c>
      <c r="Y24">
        <f t="shared" si="14"/>
        <v>3</v>
      </c>
      <c r="Z24">
        <f t="shared" si="14"/>
        <v>4</v>
      </c>
      <c r="AA24">
        <f t="shared" si="14"/>
        <v>4</v>
      </c>
      <c r="AB24">
        <f t="shared" si="14"/>
        <v>4</v>
      </c>
      <c r="AC24">
        <f t="shared" si="14"/>
        <v>5</v>
      </c>
      <c r="AD24">
        <f t="shared" si="14"/>
        <v>5</v>
      </c>
      <c r="AE24">
        <f t="shared" si="14"/>
        <v>5</v>
      </c>
      <c r="AF24">
        <f t="shared" si="14"/>
        <v>6</v>
      </c>
      <c r="AG24">
        <f t="shared" si="14"/>
        <v>6</v>
      </c>
      <c r="AH24">
        <f t="shared" si="14"/>
        <v>6</v>
      </c>
      <c r="AI24">
        <f t="shared" si="14"/>
        <v>7</v>
      </c>
      <c r="AJ24">
        <f t="shared" si="14"/>
        <v>7</v>
      </c>
      <c r="AK24">
        <f t="shared" si="14"/>
        <v>7</v>
      </c>
      <c r="AL24">
        <f t="shared" si="14"/>
        <v>8</v>
      </c>
      <c r="AM24">
        <f t="shared" si="14"/>
        <v>8</v>
      </c>
      <c r="AN24">
        <f t="shared" si="14"/>
        <v>8</v>
      </c>
      <c r="AO24">
        <f t="shared" si="14"/>
        <v>9</v>
      </c>
      <c r="AP24">
        <f t="shared" si="14"/>
        <v>9</v>
      </c>
      <c r="AQ24">
        <f t="shared" si="14"/>
        <v>9</v>
      </c>
      <c r="AR24">
        <f t="shared" si="14"/>
        <v>10</v>
      </c>
      <c r="AS24">
        <f t="shared" si="14"/>
        <v>10</v>
      </c>
      <c r="AT24">
        <f t="shared" si="14"/>
        <v>10</v>
      </c>
      <c r="AU24">
        <f t="shared" si="14"/>
        <v>11</v>
      </c>
      <c r="AV24">
        <f t="shared" si="14"/>
        <v>11</v>
      </c>
      <c r="AW24">
        <f t="shared" si="14"/>
        <v>11</v>
      </c>
      <c r="AX24">
        <f t="shared" si="14"/>
        <v>12</v>
      </c>
      <c r="AY24">
        <f t="shared" si="14"/>
        <v>12</v>
      </c>
      <c r="AZ24">
        <f t="shared" si="14"/>
        <v>12</v>
      </c>
      <c r="BA24">
        <f t="shared" si="14"/>
        <v>13</v>
      </c>
      <c r="BB24">
        <f t="shared" si="14"/>
        <v>13</v>
      </c>
      <c r="BC24">
        <f t="shared" si="14"/>
        <v>13</v>
      </c>
      <c r="BD24">
        <f t="shared" si="14"/>
        <v>14</v>
      </c>
      <c r="BE24">
        <f t="shared" si="14"/>
        <v>14</v>
      </c>
      <c r="BF24">
        <f t="shared" si="14"/>
        <v>14</v>
      </c>
      <c r="BG24">
        <f t="shared" si="14"/>
        <v>15</v>
      </c>
      <c r="BH24">
        <f t="shared" si="14"/>
        <v>15</v>
      </c>
      <c r="BI24">
        <f t="shared" si="14"/>
        <v>15</v>
      </c>
      <c r="BJ24">
        <f t="shared" si="14"/>
        <v>16</v>
      </c>
      <c r="BK24">
        <f t="shared" si="14"/>
        <v>16</v>
      </c>
      <c r="BL24">
        <f t="shared" si="14"/>
        <v>16</v>
      </c>
      <c r="BM24">
        <f t="shared" si="14"/>
        <v>17</v>
      </c>
      <c r="BN24">
        <f t="shared" si="14"/>
        <v>17</v>
      </c>
      <c r="BO24">
        <f t="shared" si="14"/>
        <v>17</v>
      </c>
      <c r="BP24">
        <f t="shared" si="14"/>
        <v>18</v>
      </c>
      <c r="BQ24">
        <f t="shared" ref="BQ24:EB24" si="15">IF(BQ23=0,0,ROUNDUP(BQ23/3,0))</f>
        <v>18</v>
      </c>
      <c r="BR24">
        <f t="shared" si="15"/>
        <v>18</v>
      </c>
      <c r="BS24">
        <f t="shared" si="15"/>
        <v>19</v>
      </c>
      <c r="BT24">
        <f t="shared" si="15"/>
        <v>19</v>
      </c>
      <c r="BU24">
        <f t="shared" si="15"/>
        <v>19</v>
      </c>
      <c r="BV24">
        <f t="shared" si="15"/>
        <v>20</v>
      </c>
      <c r="BW24">
        <f t="shared" si="15"/>
        <v>20</v>
      </c>
      <c r="BX24">
        <f t="shared" si="15"/>
        <v>20</v>
      </c>
      <c r="BY24">
        <f t="shared" si="15"/>
        <v>21</v>
      </c>
      <c r="BZ24">
        <f t="shared" si="15"/>
        <v>21</v>
      </c>
      <c r="CA24">
        <f t="shared" si="15"/>
        <v>21</v>
      </c>
      <c r="CB24">
        <f t="shared" si="15"/>
        <v>22</v>
      </c>
      <c r="CC24">
        <f t="shared" si="15"/>
        <v>22</v>
      </c>
      <c r="CD24">
        <f t="shared" si="15"/>
        <v>22</v>
      </c>
      <c r="CE24">
        <f t="shared" si="15"/>
        <v>23</v>
      </c>
      <c r="CF24">
        <f t="shared" si="15"/>
        <v>23</v>
      </c>
      <c r="CG24">
        <f t="shared" si="15"/>
        <v>23</v>
      </c>
      <c r="CH24">
        <f t="shared" si="15"/>
        <v>24</v>
      </c>
      <c r="CI24">
        <f t="shared" si="15"/>
        <v>24</v>
      </c>
      <c r="CJ24">
        <f t="shared" si="15"/>
        <v>24</v>
      </c>
      <c r="CK24">
        <f t="shared" si="15"/>
        <v>25</v>
      </c>
      <c r="CL24">
        <f t="shared" si="15"/>
        <v>25</v>
      </c>
      <c r="CM24">
        <f t="shared" si="15"/>
        <v>25</v>
      </c>
      <c r="CN24">
        <f t="shared" si="15"/>
        <v>26</v>
      </c>
      <c r="CO24">
        <f t="shared" si="15"/>
        <v>26</v>
      </c>
      <c r="CP24">
        <f t="shared" si="15"/>
        <v>26</v>
      </c>
      <c r="CQ24">
        <f t="shared" si="15"/>
        <v>27</v>
      </c>
      <c r="CR24">
        <f t="shared" si="15"/>
        <v>27</v>
      </c>
      <c r="CS24">
        <f t="shared" si="15"/>
        <v>27</v>
      </c>
      <c r="CT24">
        <f t="shared" si="15"/>
        <v>28</v>
      </c>
      <c r="CU24">
        <f t="shared" si="15"/>
        <v>28</v>
      </c>
      <c r="CV24">
        <f t="shared" si="15"/>
        <v>28</v>
      </c>
      <c r="CW24">
        <f t="shared" si="15"/>
        <v>29</v>
      </c>
      <c r="CX24">
        <f t="shared" si="15"/>
        <v>29</v>
      </c>
      <c r="CY24">
        <f t="shared" si="15"/>
        <v>29</v>
      </c>
      <c r="CZ24">
        <f t="shared" si="15"/>
        <v>30</v>
      </c>
      <c r="DA24">
        <f t="shared" si="15"/>
        <v>30</v>
      </c>
      <c r="DB24">
        <f t="shared" si="15"/>
        <v>30</v>
      </c>
      <c r="DC24">
        <f t="shared" si="15"/>
        <v>31</v>
      </c>
      <c r="DD24">
        <f t="shared" si="15"/>
        <v>31</v>
      </c>
      <c r="DE24">
        <f t="shared" si="15"/>
        <v>31</v>
      </c>
      <c r="DF24">
        <f t="shared" si="15"/>
        <v>32</v>
      </c>
      <c r="DG24">
        <f t="shared" si="15"/>
        <v>32</v>
      </c>
      <c r="DH24">
        <f t="shared" si="15"/>
        <v>32</v>
      </c>
      <c r="DI24">
        <f t="shared" si="15"/>
        <v>33</v>
      </c>
      <c r="DJ24">
        <f t="shared" si="15"/>
        <v>33</v>
      </c>
      <c r="DK24">
        <f t="shared" si="15"/>
        <v>33</v>
      </c>
      <c r="DL24">
        <f t="shared" si="15"/>
        <v>34</v>
      </c>
      <c r="DM24">
        <f t="shared" si="15"/>
        <v>34</v>
      </c>
      <c r="DN24">
        <f t="shared" si="15"/>
        <v>34</v>
      </c>
      <c r="DO24">
        <f t="shared" si="15"/>
        <v>35</v>
      </c>
      <c r="DP24">
        <f t="shared" si="15"/>
        <v>35</v>
      </c>
      <c r="DQ24">
        <f t="shared" si="15"/>
        <v>35</v>
      </c>
      <c r="DR24">
        <f t="shared" si="15"/>
        <v>36</v>
      </c>
      <c r="DS24">
        <f t="shared" si="15"/>
        <v>36</v>
      </c>
      <c r="DT24">
        <f t="shared" si="15"/>
        <v>36</v>
      </c>
      <c r="DU24">
        <f t="shared" si="15"/>
        <v>37</v>
      </c>
      <c r="DV24">
        <f t="shared" si="15"/>
        <v>37</v>
      </c>
      <c r="DW24">
        <f t="shared" si="15"/>
        <v>37</v>
      </c>
      <c r="DX24">
        <f t="shared" si="15"/>
        <v>38</v>
      </c>
      <c r="DY24">
        <f t="shared" si="15"/>
        <v>38</v>
      </c>
      <c r="DZ24">
        <f t="shared" si="15"/>
        <v>38</v>
      </c>
      <c r="EA24">
        <f t="shared" si="15"/>
        <v>39</v>
      </c>
      <c r="EB24">
        <f t="shared" si="15"/>
        <v>39</v>
      </c>
      <c r="EC24">
        <f t="shared" ref="EC24:GN24" si="16">IF(EC23=0,0,ROUNDUP(EC23/3,0))</f>
        <v>39</v>
      </c>
      <c r="ED24">
        <f t="shared" si="16"/>
        <v>40</v>
      </c>
      <c r="EE24">
        <f t="shared" si="16"/>
        <v>40</v>
      </c>
      <c r="EF24">
        <f t="shared" si="16"/>
        <v>40</v>
      </c>
      <c r="EG24">
        <f t="shared" si="16"/>
        <v>41</v>
      </c>
      <c r="EH24">
        <f t="shared" si="16"/>
        <v>41</v>
      </c>
      <c r="EI24">
        <f t="shared" si="16"/>
        <v>41</v>
      </c>
      <c r="EJ24">
        <f t="shared" si="16"/>
        <v>42</v>
      </c>
      <c r="EK24">
        <f t="shared" si="16"/>
        <v>42</v>
      </c>
      <c r="EL24">
        <f t="shared" si="16"/>
        <v>42</v>
      </c>
      <c r="EM24">
        <f t="shared" si="16"/>
        <v>43</v>
      </c>
      <c r="EN24">
        <f t="shared" si="16"/>
        <v>43</v>
      </c>
      <c r="EO24">
        <f t="shared" si="16"/>
        <v>43</v>
      </c>
      <c r="EP24">
        <f t="shared" si="16"/>
        <v>44</v>
      </c>
      <c r="EQ24">
        <f t="shared" si="16"/>
        <v>44</v>
      </c>
      <c r="ER24">
        <f t="shared" si="16"/>
        <v>44</v>
      </c>
      <c r="ES24">
        <f t="shared" si="16"/>
        <v>45</v>
      </c>
      <c r="ET24">
        <f t="shared" si="16"/>
        <v>45</v>
      </c>
      <c r="EU24">
        <f t="shared" si="16"/>
        <v>45</v>
      </c>
      <c r="EV24">
        <f t="shared" si="16"/>
        <v>46</v>
      </c>
      <c r="EW24">
        <f t="shared" si="16"/>
        <v>46</v>
      </c>
      <c r="EX24">
        <f t="shared" si="16"/>
        <v>46</v>
      </c>
      <c r="EY24">
        <f t="shared" si="16"/>
        <v>47</v>
      </c>
      <c r="EZ24">
        <f t="shared" si="16"/>
        <v>47</v>
      </c>
      <c r="FA24">
        <f t="shared" si="16"/>
        <v>47</v>
      </c>
      <c r="FB24">
        <f t="shared" si="16"/>
        <v>48</v>
      </c>
      <c r="FC24">
        <f t="shared" si="16"/>
        <v>48</v>
      </c>
      <c r="FD24">
        <f t="shared" si="16"/>
        <v>48</v>
      </c>
      <c r="FE24">
        <f t="shared" si="16"/>
        <v>49</v>
      </c>
      <c r="FF24">
        <f t="shared" si="16"/>
        <v>49</v>
      </c>
      <c r="FG24">
        <f t="shared" si="16"/>
        <v>49</v>
      </c>
      <c r="FH24">
        <f t="shared" si="16"/>
        <v>50</v>
      </c>
      <c r="FI24">
        <f t="shared" si="16"/>
        <v>50</v>
      </c>
      <c r="FJ24">
        <f t="shared" si="16"/>
        <v>50</v>
      </c>
      <c r="FK24">
        <f t="shared" si="16"/>
        <v>51</v>
      </c>
      <c r="FL24">
        <f t="shared" si="16"/>
        <v>51</v>
      </c>
      <c r="FM24">
        <f t="shared" si="16"/>
        <v>51</v>
      </c>
      <c r="FN24">
        <f t="shared" si="16"/>
        <v>52</v>
      </c>
      <c r="FO24">
        <f t="shared" si="16"/>
        <v>52</v>
      </c>
      <c r="FP24">
        <f t="shared" si="16"/>
        <v>52</v>
      </c>
      <c r="FQ24">
        <f t="shared" si="16"/>
        <v>53</v>
      </c>
      <c r="FR24">
        <f t="shared" si="16"/>
        <v>53</v>
      </c>
      <c r="FS24">
        <f t="shared" si="16"/>
        <v>53</v>
      </c>
      <c r="FT24">
        <f t="shared" si="16"/>
        <v>54</v>
      </c>
      <c r="FU24">
        <f t="shared" si="16"/>
        <v>54</v>
      </c>
      <c r="FV24">
        <f t="shared" si="16"/>
        <v>54</v>
      </c>
      <c r="FW24">
        <f t="shared" si="16"/>
        <v>55</v>
      </c>
      <c r="FX24">
        <f t="shared" si="16"/>
        <v>55</v>
      </c>
      <c r="FY24">
        <f t="shared" si="16"/>
        <v>55</v>
      </c>
      <c r="FZ24">
        <f t="shared" si="16"/>
        <v>56</v>
      </c>
      <c r="GA24">
        <f t="shared" si="16"/>
        <v>56</v>
      </c>
      <c r="GB24">
        <f t="shared" si="16"/>
        <v>56</v>
      </c>
      <c r="GC24">
        <f t="shared" si="16"/>
        <v>57</v>
      </c>
      <c r="GD24">
        <f t="shared" si="16"/>
        <v>57</v>
      </c>
      <c r="GE24">
        <f t="shared" si="16"/>
        <v>57</v>
      </c>
      <c r="GF24">
        <f t="shared" si="16"/>
        <v>58</v>
      </c>
      <c r="GG24">
        <f t="shared" si="16"/>
        <v>58</v>
      </c>
      <c r="GH24">
        <f t="shared" si="16"/>
        <v>58</v>
      </c>
      <c r="GI24">
        <f t="shared" si="16"/>
        <v>59</v>
      </c>
      <c r="GJ24">
        <f t="shared" si="16"/>
        <v>59</v>
      </c>
      <c r="GK24">
        <f t="shared" si="16"/>
        <v>59</v>
      </c>
      <c r="GL24">
        <f t="shared" si="16"/>
        <v>60</v>
      </c>
      <c r="GM24">
        <f t="shared" si="16"/>
        <v>60</v>
      </c>
      <c r="GN24">
        <f t="shared" si="16"/>
        <v>60</v>
      </c>
      <c r="GO24">
        <f t="shared" ref="GO24:IC24" si="17">IF(GO23=0,0,ROUNDUP(GO23/3,0))</f>
        <v>0</v>
      </c>
      <c r="GP24">
        <f t="shared" si="17"/>
        <v>0</v>
      </c>
      <c r="GQ24">
        <f t="shared" si="17"/>
        <v>0</v>
      </c>
      <c r="GR24">
        <f t="shared" si="17"/>
        <v>0</v>
      </c>
      <c r="GS24">
        <f t="shared" si="17"/>
        <v>0</v>
      </c>
      <c r="GT24">
        <f t="shared" si="17"/>
        <v>0</v>
      </c>
      <c r="GU24">
        <f t="shared" si="17"/>
        <v>0</v>
      </c>
      <c r="GV24">
        <f t="shared" si="17"/>
        <v>0</v>
      </c>
      <c r="GW24">
        <f t="shared" si="17"/>
        <v>0</v>
      </c>
      <c r="GX24">
        <f t="shared" si="17"/>
        <v>0</v>
      </c>
      <c r="GY24">
        <f t="shared" si="17"/>
        <v>0</v>
      </c>
      <c r="GZ24">
        <f t="shared" si="17"/>
        <v>0</v>
      </c>
      <c r="HA24">
        <f t="shared" si="17"/>
        <v>0</v>
      </c>
      <c r="HB24">
        <f t="shared" si="17"/>
        <v>0</v>
      </c>
      <c r="HC24">
        <f t="shared" si="17"/>
        <v>0</v>
      </c>
      <c r="HD24">
        <f t="shared" si="17"/>
        <v>0</v>
      </c>
      <c r="HE24">
        <f t="shared" si="17"/>
        <v>0</v>
      </c>
      <c r="HF24">
        <f t="shared" si="17"/>
        <v>0</v>
      </c>
      <c r="HG24">
        <f t="shared" si="17"/>
        <v>0</v>
      </c>
      <c r="HH24">
        <f t="shared" si="17"/>
        <v>0</v>
      </c>
      <c r="HI24">
        <f t="shared" si="17"/>
        <v>0</v>
      </c>
      <c r="HJ24">
        <f t="shared" si="17"/>
        <v>0</v>
      </c>
      <c r="HK24">
        <f t="shared" si="17"/>
        <v>0</v>
      </c>
      <c r="HL24">
        <f t="shared" si="17"/>
        <v>0</v>
      </c>
      <c r="HM24">
        <f t="shared" si="17"/>
        <v>0</v>
      </c>
      <c r="HN24">
        <f t="shared" si="17"/>
        <v>0</v>
      </c>
      <c r="HO24">
        <f t="shared" si="17"/>
        <v>0</v>
      </c>
      <c r="HP24">
        <f t="shared" si="17"/>
        <v>0</v>
      </c>
      <c r="HQ24">
        <f t="shared" si="17"/>
        <v>0</v>
      </c>
      <c r="HR24">
        <f t="shared" si="17"/>
        <v>0</v>
      </c>
      <c r="HS24">
        <f t="shared" si="17"/>
        <v>0</v>
      </c>
      <c r="HT24">
        <f t="shared" si="17"/>
        <v>0</v>
      </c>
      <c r="HU24">
        <f t="shared" si="17"/>
        <v>0</v>
      </c>
      <c r="HV24">
        <f t="shared" si="17"/>
        <v>0</v>
      </c>
      <c r="HW24">
        <f t="shared" si="17"/>
        <v>0</v>
      </c>
      <c r="HX24">
        <f t="shared" si="17"/>
        <v>0</v>
      </c>
      <c r="HY24">
        <f t="shared" si="17"/>
        <v>0</v>
      </c>
      <c r="HZ24">
        <f t="shared" si="17"/>
        <v>0</v>
      </c>
      <c r="IA24">
        <f t="shared" si="17"/>
        <v>0</v>
      </c>
      <c r="IB24">
        <f t="shared" si="17"/>
        <v>0</v>
      </c>
      <c r="IC24" s="18">
        <f t="shared" si="17"/>
        <v>0</v>
      </c>
    </row>
    <row r="25" spans="1:237" ht="15" thickBot="1" x14ac:dyDescent="0.35">
      <c r="B25" s="31" t="s">
        <v>20</v>
      </c>
      <c r="C25" s="18">
        <f>IF(C23=0,0,MOD(C23,12))</f>
        <v>0</v>
      </c>
      <c r="D25" s="18">
        <f>IF(D23=0,0,ROUNDUP(D23/12,0))</f>
        <v>0</v>
      </c>
      <c r="E25" s="18">
        <f t="shared" ref="E25:BP25" si="18">IF(E23=0,0,ROUNDUP(E23/12,0))</f>
        <v>0</v>
      </c>
      <c r="F25" s="18">
        <f t="shared" si="18"/>
        <v>0</v>
      </c>
      <c r="G25" s="18">
        <f t="shared" si="18"/>
        <v>0</v>
      </c>
      <c r="H25" s="18">
        <f t="shared" si="18"/>
        <v>0</v>
      </c>
      <c r="I25" s="18">
        <f t="shared" si="18"/>
        <v>0</v>
      </c>
      <c r="J25" s="18">
        <f t="shared" si="18"/>
        <v>0</v>
      </c>
      <c r="K25" s="18">
        <f t="shared" si="18"/>
        <v>0</v>
      </c>
      <c r="L25" s="18">
        <f t="shared" si="18"/>
        <v>0</v>
      </c>
      <c r="M25" s="18">
        <f t="shared" si="18"/>
        <v>0</v>
      </c>
      <c r="N25" s="18">
        <f t="shared" si="18"/>
        <v>0</v>
      </c>
      <c r="O25" s="18">
        <f t="shared" si="18"/>
        <v>0</v>
      </c>
      <c r="P25" s="18">
        <f t="shared" si="18"/>
        <v>0</v>
      </c>
      <c r="Q25" s="18">
        <f t="shared" si="18"/>
        <v>1</v>
      </c>
      <c r="R25" s="18">
        <f t="shared" si="18"/>
        <v>1</v>
      </c>
      <c r="S25" s="18">
        <f t="shared" si="18"/>
        <v>1</v>
      </c>
      <c r="T25" s="18">
        <f t="shared" si="18"/>
        <v>1</v>
      </c>
      <c r="U25" s="18">
        <f t="shared" si="18"/>
        <v>1</v>
      </c>
      <c r="V25" s="18">
        <f t="shared" si="18"/>
        <v>1</v>
      </c>
      <c r="W25" s="18">
        <f t="shared" si="18"/>
        <v>1</v>
      </c>
      <c r="X25" s="18">
        <f t="shared" si="18"/>
        <v>1</v>
      </c>
      <c r="Y25" s="18">
        <f t="shared" si="18"/>
        <v>1</v>
      </c>
      <c r="Z25" s="18">
        <f t="shared" si="18"/>
        <v>1</v>
      </c>
      <c r="AA25" s="18">
        <f t="shared" si="18"/>
        <v>1</v>
      </c>
      <c r="AB25" s="18">
        <f t="shared" si="18"/>
        <v>1</v>
      </c>
      <c r="AC25" s="18">
        <f t="shared" si="18"/>
        <v>2</v>
      </c>
      <c r="AD25" s="18">
        <f t="shared" si="18"/>
        <v>2</v>
      </c>
      <c r="AE25" s="18">
        <f t="shared" si="18"/>
        <v>2</v>
      </c>
      <c r="AF25" s="18">
        <f t="shared" si="18"/>
        <v>2</v>
      </c>
      <c r="AG25" s="18">
        <f t="shared" si="18"/>
        <v>2</v>
      </c>
      <c r="AH25" s="18">
        <f t="shared" si="18"/>
        <v>2</v>
      </c>
      <c r="AI25" s="18">
        <f t="shared" si="18"/>
        <v>2</v>
      </c>
      <c r="AJ25" s="18">
        <f>IF(AJ23=0,0,ROUNDUP(AJ23/12,0))</f>
        <v>2</v>
      </c>
      <c r="AK25" s="18">
        <f t="shared" si="18"/>
        <v>2</v>
      </c>
      <c r="AL25" s="18">
        <f t="shared" si="18"/>
        <v>2</v>
      </c>
      <c r="AM25" s="18">
        <f t="shared" si="18"/>
        <v>2</v>
      </c>
      <c r="AN25" s="18">
        <f t="shared" si="18"/>
        <v>2</v>
      </c>
      <c r="AO25" s="18">
        <f t="shared" si="18"/>
        <v>3</v>
      </c>
      <c r="AP25" s="18">
        <f t="shared" si="18"/>
        <v>3</v>
      </c>
      <c r="AQ25" s="18">
        <f t="shared" si="18"/>
        <v>3</v>
      </c>
      <c r="AR25" s="18">
        <f t="shared" si="18"/>
        <v>3</v>
      </c>
      <c r="AS25" s="18">
        <f t="shared" si="18"/>
        <v>3</v>
      </c>
      <c r="AT25" s="18">
        <f t="shared" si="18"/>
        <v>3</v>
      </c>
      <c r="AU25" s="18">
        <f t="shared" si="18"/>
        <v>3</v>
      </c>
      <c r="AV25" s="18">
        <f t="shared" si="18"/>
        <v>3</v>
      </c>
      <c r="AW25" s="18">
        <f t="shared" si="18"/>
        <v>3</v>
      </c>
      <c r="AX25" s="18">
        <f t="shared" si="18"/>
        <v>3</v>
      </c>
      <c r="AY25" s="18">
        <f t="shared" si="18"/>
        <v>3</v>
      </c>
      <c r="AZ25" s="18">
        <f t="shared" si="18"/>
        <v>3</v>
      </c>
      <c r="BA25" s="18">
        <f t="shared" si="18"/>
        <v>4</v>
      </c>
      <c r="BB25" s="18">
        <f t="shared" si="18"/>
        <v>4</v>
      </c>
      <c r="BC25" s="18">
        <f t="shared" si="18"/>
        <v>4</v>
      </c>
      <c r="BD25" s="18">
        <f t="shared" si="18"/>
        <v>4</v>
      </c>
      <c r="BE25" s="18">
        <f t="shared" si="18"/>
        <v>4</v>
      </c>
      <c r="BF25" s="18">
        <f t="shared" si="18"/>
        <v>4</v>
      </c>
      <c r="BG25" s="18">
        <f t="shared" si="18"/>
        <v>4</v>
      </c>
      <c r="BH25" s="18">
        <f t="shared" si="18"/>
        <v>4</v>
      </c>
      <c r="BI25" s="18">
        <f t="shared" si="18"/>
        <v>4</v>
      </c>
      <c r="BJ25" s="18">
        <f t="shared" si="18"/>
        <v>4</v>
      </c>
      <c r="BK25" s="18">
        <f t="shared" si="18"/>
        <v>4</v>
      </c>
      <c r="BL25" s="18">
        <f t="shared" si="18"/>
        <v>4</v>
      </c>
      <c r="BM25" s="18">
        <f t="shared" si="18"/>
        <v>5</v>
      </c>
      <c r="BN25" s="18">
        <f t="shared" si="18"/>
        <v>5</v>
      </c>
      <c r="BO25" s="18">
        <f t="shared" si="18"/>
        <v>5</v>
      </c>
      <c r="BP25" s="18">
        <f t="shared" si="18"/>
        <v>5</v>
      </c>
      <c r="BQ25" s="18">
        <f t="shared" ref="BQ25:EB25" si="19">IF(BQ23=0,0,ROUNDUP(BQ23/12,0))</f>
        <v>5</v>
      </c>
      <c r="BR25" s="18">
        <f t="shared" si="19"/>
        <v>5</v>
      </c>
      <c r="BS25" s="18">
        <f t="shared" si="19"/>
        <v>5</v>
      </c>
      <c r="BT25" s="18">
        <f t="shared" si="19"/>
        <v>5</v>
      </c>
      <c r="BU25" s="18">
        <f t="shared" si="19"/>
        <v>5</v>
      </c>
      <c r="BV25" s="18">
        <f t="shared" si="19"/>
        <v>5</v>
      </c>
      <c r="BW25" s="18">
        <f t="shared" si="19"/>
        <v>5</v>
      </c>
      <c r="BX25" s="18">
        <f t="shared" si="19"/>
        <v>5</v>
      </c>
      <c r="BY25" s="18">
        <f t="shared" si="19"/>
        <v>6</v>
      </c>
      <c r="BZ25" s="18">
        <f t="shared" si="19"/>
        <v>6</v>
      </c>
      <c r="CA25" s="18">
        <f t="shared" si="19"/>
        <v>6</v>
      </c>
      <c r="CB25" s="18">
        <f t="shared" si="19"/>
        <v>6</v>
      </c>
      <c r="CC25" s="18">
        <f t="shared" si="19"/>
        <v>6</v>
      </c>
      <c r="CD25" s="18">
        <f t="shared" si="19"/>
        <v>6</v>
      </c>
      <c r="CE25" s="18">
        <f t="shared" si="19"/>
        <v>6</v>
      </c>
      <c r="CF25" s="18">
        <f t="shared" si="19"/>
        <v>6</v>
      </c>
      <c r="CG25" s="18">
        <f t="shared" si="19"/>
        <v>6</v>
      </c>
      <c r="CH25" s="18">
        <f t="shared" si="19"/>
        <v>6</v>
      </c>
      <c r="CI25" s="18">
        <f t="shared" si="19"/>
        <v>6</v>
      </c>
      <c r="CJ25" s="18">
        <f t="shared" si="19"/>
        <v>6</v>
      </c>
      <c r="CK25" s="18">
        <f t="shared" si="19"/>
        <v>7</v>
      </c>
      <c r="CL25" s="18">
        <f t="shared" si="19"/>
        <v>7</v>
      </c>
      <c r="CM25" s="18">
        <f t="shared" si="19"/>
        <v>7</v>
      </c>
      <c r="CN25" s="18">
        <f t="shared" si="19"/>
        <v>7</v>
      </c>
      <c r="CO25" s="18">
        <f t="shared" si="19"/>
        <v>7</v>
      </c>
      <c r="CP25" s="18">
        <f t="shared" si="19"/>
        <v>7</v>
      </c>
      <c r="CQ25" s="18">
        <f t="shared" si="19"/>
        <v>7</v>
      </c>
      <c r="CR25" s="18">
        <f t="shared" si="19"/>
        <v>7</v>
      </c>
      <c r="CS25" s="18">
        <f t="shared" si="19"/>
        <v>7</v>
      </c>
      <c r="CT25" s="18">
        <f t="shared" si="19"/>
        <v>7</v>
      </c>
      <c r="CU25" s="18">
        <f t="shared" si="19"/>
        <v>7</v>
      </c>
      <c r="CV25" s="18">
        <f t="shared" si="19"/>
        <v>7</v>
      </c>
      <c r="CW25" s="18">
        <f t="shared" si="19"/>
        <v>8</v>
      </c>
      <c r="CX25" s="18">
        <f t="shared" si="19"/>
        <v>8</v>
      </c>
      <c r="CY25" s="18">
        <f t="shared" si="19"/>
        <v>8</v>
      </c>
      <c r="CZ25" s="18">
        <f t="shared" si="19"/>
        <v>8</v>
      </c>
      <c r="DA25" s="18">
        <f t="shared" si="19"/>
        <v>8</v>
      </c>
      <c r="DB25" s="18">
        <f t="shared" si="19"/>
        <v>8</v>
      </c>
      <c r="DC25" s="18">
        <f t="shared" si="19"/>
        <v>8</v>
      </c>
      <c r="DD25" s="18">
        <f t="shared" si="19"/>
        <v>8</v>
      </c>
      <c r="DE25" s="18">
        <f t="shared" si="19"/>
        <v>8</v>
      </c>
      <c r="DF25" s="18">
        <f t="shared" si="19"/>
        <v>8</v>
      </c>
      <c r="DG25" s="18">
        <f t="shared" si="19"/>
        <v>8</v>
      </c>
      <c r="DH25" s="18">
        <f t="shared" si="19"/>
        <v>8</v>
      </c>
      <c r="DI25" s="18">
        <f t="shared" si="19"/>
        <v>9</v>
      </c>
      <c r="DJ25" s="18">
        <f t="shared" si="19"/>
        <v>9</v>
      </c>
      <c r="DK25" s="18">
        <f t="shared" si="19"/>
        <v>9</v>
      </c>
      <c r="DL25" s="18">
        <f t="shared" si="19"/>
        <v>9</v>
      </c>
      <c r="DM25" s="18">
        <f t="shared" si="19"/>
        <v>9</v>
      </c>
      <c r="DN25" s="18">
        <f t="shared" si="19"/>
        <v>9</v>
      </c>
      <c r="DO25" s="18">
        <f t="shared" si="19"/>
        <v>9</v>
      </c>
      <c r="DP25" s="18">
        <f t="shared" si="19"/>
        <v>9</v>
      </c>
      <c r="DQ25" s="18">
        <f t="shared" si="19"/>
        <v>9</v>
      </c>
      <c r="DR25" s="18">
        <f t="shared" si="19"/>
        <v>9</v>
      </c>
      <c r="DS25" s="18">
        <f t="shared" si="19"/>
        <v>9</v>
      </c>
      <c r="DT25" s="18">
        <f t="shared" si="19"/>
        <v>9</v>
      </c>
      <c r="DU25" s="18">
        <f t="shared" si="19"/>
        <v>10</v>
      </c>
      <c r="DV25" s="18">
        <f t="shared" si="19"/>
        <v>10</v>
      </c>
      <c r="DW25" s="18">
        <f t="shared" si="19"/>
        <v>10</v>
      </c>
      <c r="DX25" s="18">
        <f t="shared" si="19"/>
        <v>10</v>
      </c>
      <c r="DY25" s="18">
        <f t="shared" si="19"/>
        <v>10</v>
      </c>
      <c r="DZ25" s="18">
        <f t="shared" si="19"/>
        <v>10</v>
      </c>
      <c r="EA25" s="18">
        <f t="shared" si="19"/>
        <v>10</v>
      </c>
      <c r="EB25" s="18">
        <f t="shared" si="19"/>
        <v>10</v>
      </c>
      <c r="EC25" s="18">
        <f t="shared" ref="EC25:GN25" si="20">IF(EC23=0,0,ROUNDUP(EC23/12,0))</f>
        <v>10</v>
      </c>
      <c r="ED25" s="18">
        <f t="shared" si="20"/>
        <v>10</v>
      </c>
      <c r="EE25" s="18">
        <f t="shared" si="20"/>
        <v>10</v>
      </c>
      <c r="EF25" s="18">
        <f t="shared" si="20"/>
        <v>10</v>
      </c>
      <c r="EG25" s="18">
        <f t="shared" si="20"/>
        <v>11</v>
      </c>
      <c r="EH25" s="18">
        <f t="shared" si="20"/>
        <v>11</v>
      </c>
      <c r="EI25" s="18">
        <f t="shared" si="20"/>
        <v>11</v>
      </c>
      <c r="EJ25" s="18">
        <f t="shared" si="20"/>
        <v>11</v>
      </c>
      <c r="EK25" s="18">
        <f t="shared" si="20"/>
        <v>11</v>
      </c>
      <c r="EL25" s="18">
        <f t="shared" si="20"/>
        <v>11</v>
      </c>
      <c r="EM25" s="18">
        <f t="shared" si="20"/>
        <v>11</v>
      </c>
      <c r="EN25" s="18">
        <f t="shared" si="20"/>
        <v>11</v>
      </c>
      <c r="EO25" s="18">
        <f t="shared" si="20"/>
        <v>11</v>
      </c>
      <c r="EP25" s="18">
        <f t="shared" si="20"/>
        <v>11</v>
      </c>
      <c r="EQ25" s="18">
        <f t="shared" si="20"/>
        <v>11</v>
      </c>
      <c r="ER25" s="18">
        <f t="shared" si="20"/>
        <v>11</v>
      </c>
      <c r="ES25" s="18">
        <f t="shared" si="20"/>
        <v>12</v>
      </c>
      <c r="ET25" s="18">
        <f t="shared" si="20"/>
        <v>12</v>
      </c>
      <c r="EU25" s="18">
        <f t="shared" si="20"/>
        <v>12</v>
      </c>
      <c r="EV25" s="18">
        <f t="shared" si="20"/>
        <v>12</v>
      </c>
      <c r="EW25" s="18">
        <f t="shared" si="20"/>
        <v>12</v>
      </c>
      <c r="EX25" s="18">
        <f t="shared" si="20"/>
        <v>12</v>
      </c>
      <c r="EY25" s="18">
        <f t="shared" si="20"/>
        <v>12</v>
      </c>
      <c r="EZ25" s="18">
        <f t="shared" si="20"/>
        <v>12</v>
      </c>
      <c r="FA25" s="18">
        <f t="shared" si="20"/>
        <v>12</v>
      </c>
      <c r="FB25" s="18">
        <f t="shared" si="20"/>
        <v>12</v>
      </c>
      <c r="FC25" s="18">
        <f t="shared" si="20"/>
        <v>12</v>
      </c>
      <c r="FD25" s="18">
        <f t="shared" si="20"/>
        <v>12</v>
      </c>
      <c r="FE25" s="18">
        <f t="shared" si="20"/>
        <v>13</v>
      </c>
      <c r="FF25" s="18">
        <f t="shared" si="20"/>
        <v>13</v>
      </c>
      <c r="FG25" s="18">
        <f t="shared" si="20"/>
        <v>13</v>
      </c>
      <c r="FH25" s="18">
        <f t="shared" si="20"/>
        <v>13</v>
      </c>
      <c r="FI25" s="18">
        <f t="shared" si="20"/>
        <v>13</v>
      </c>
      <c r="FJ25" s="18">
        <f t="shared" si="20"/>
        <v>13</v>
      </c>
      <c r="FK25" s="18">
        <f t="shared" si="20"/>
        <v>13</v>
      </c>
      <c r="FL25" s="18">
        <f t="shared" si="20"/>
        <v>13</v>
      </c>
      <c r="FM25" s="18">
        <f t="shared" si="20"/>
        <v>13</v>
      </c>
      <c r="FN25" s="18">
        <f t="shared" si="20"/>
        <v>13</v>
      </c>
      <c r="FO25" s="18">
        <f t="shared" si="20"/>
        <v>13</v>
      </c>
      <c r="FP25" s="18">
        <f t="shared" si="20"/>
        <v>13</v>
      </c>
      <c r="FQ25" s="18">
        <f t="shared" si="20"/>
        <v>14</v>
      </c>
      <c r="FR25" s="18">
        <f t="shared" si="20"/>
        <v>14</v>
      </c>
      <c r="FS25" s="18">
        <f t="shared" si="20"/>
        <v>14</v>
      </c>
      <c r="FT25" s="18">
        <f t="shared" si="20"/>
        <v>14</v>
      </c>
      <c r="FU25" s="18">
        <f t="shared" si="20"/>
        <v>14</v>
      </c>
      <c r="FV25" s="18">
        <f t="shared" si="20"/>
        <v>14</v>
      </c>
      <c r="FW25" s="18">
        <f t="shared" si="20"/>
        <v>14</v>
      </c>
      <c r="FX25" s="18">
        <f t="shared" si="20"/>
        <v>14</v>
      </c>
      <c r="FY25" s="18">
        <f t="shared" si="20"/>
        <v>14</v>
      </c>
      <c r="FZ25" s="18">
        <f t="shared" si="20"/>
        <v>14</v>
      </c>
      <c r="GA25" s="18">
        <f t="shared" si="20"/>
        <v>14</v>
      </c>
      <c r="GB25" s="18">
        <f t="shared" si="20"/>
        <v>14</v>
      </c>
      <c r="GC25" s="18">
        <f t="shared" si="20"/>
        <v>15</v>
      </c>
      <c r="GD25" s="18">
        <f t="shared" si="20"/>
        <v>15</v>
      </c>
      <c r="GE25" s="18">
        <f t="shared" si="20"/>
        <v>15</v>
      </c>
      <c r="GF25" s="18">
        <f t="shared" si="20"/>
        <v>15</v>
      </c>
      <c r="GG25" s="18">
        <f t="shared" si="20"/>
        <v>15</v>
      </c>
      <c r="GH25" s="18">
        <f t="shared" si="20"/>
        <v>15</v>
      </c>
      <c r="GI25" s="18">
        <f t="shared" si="20"/>
        <v>15</v>
      </c>
      <c r="GJ25" s="18">
        <f t="shared" si="20"/>
        <v>15</v>
      </c>
      <c r="GK25" s="18">
        <f t="shared" si="20"/>
        <v>15</v>
      </c>
      <c r="GL25" s="18">
        <f t="shared" si="20"/>
        <v>15</v>
      </c>
      <c r="GM25" s="18">
        <f t="shared" si="20"/>
        <v>15</v>
      </c>
      <c r="GN25" s="18">
        <f t="shared" si="20"/>
        <v>15</v>
      </c>
      <c r="GO25" s="18">
        <f t="shared" ref="GO25:IC25" si="21">IF(GO23=0,0,ROUNDUP(GO23/12,0))</f>
        <v>0</v>
      </c>
      <c r="GP25" s="18">
        <f t="shared" si="21"/>
        <v>0</v>
      </c>
      <c r="GQ25" s="18">
        <f t="shared" si="21"/>
        <v>0</v>
      </c>
      <c r="GR25" s="18">
        <f t="shared" si="21"/>
        <v>0</v>
      </c>
      <c r="GS25" s="18">
        <f t="shared" si="21"/>
        <v>0</v>
      </c>
      <c r="GT25" s="18">
        <f t="shared" si="21"/>
        <v>0</v>
      </c>
      <c r="GU25" s="18">
        <f t="shared" si="21"/>
        <v>0</v>
      </c>
      <c r="GV25" s="18">
        <f t="shared" si="21"/>
        <v>0</v>
      </c>
      <c r="GW25" s="18">
        <f t="shared" si="21"/>
        <v>0</v>
      </c>
      <c r="GX25" s="18">
        <f t="shared" si="21"/>
        <v>0</v>
      </c>
      <c r="GY25" s="18">
        <f t="shared" si="21"/>
        <v>0</v>
      </c>
      <c r="GZ25" s="18">
        <f t="shared" si="21"/>
        <v>0</v>
      </c>
      <c r="HA25" s="18">
        <f t="shared" si="21"/>
        <v>0</v>
      </c>
      <c r="HB25" s="18">
        <f t="shared" si="21"/>
        <v>0</v>
      </c>
      <c r="HC25" s="18">
        <f t="shared" si="21"/>
        <v>0</v>
      </c>
      <c r="HD25" s="18">
        <f t="shared" si="21"/>
        <v>0</v>
      </c>
      <c r="HE25" s="18">
        <f t="shared" si="21"/>
        <v>0</v>
      </c>
      <c r="HF25" s="18">
        <f t="shared" si="21"/>
        <v>0</v>
      </c>
      <c r="HG25" s="18">
        <f t="shared" si="21"/>
        <v>0</v>
      </c>
      <c r="HH25" s="18">
        <f t="shared" si="21"/>
        <v>0</v>
      </c>
      <c r="HI25" s="18">
        <f t="shared" si="21"/>
        <v>0</v>
      </c>
      <c r="HJ25" s="18">
        <f t="shared" si="21"/>
        <v>0</v>
      </c>
      <c r="HK25" s="18">
        <f t="shared" si="21"/>
        <v>0</v>
      </c>
      <c r="HL25" s="18">
        <f t="shared" si="21"/>
        <v>0</v>
      </c>
      <c r="HM25" s="18">
        <f t="shared" si="21"/>
        <v>0</v>
      </c>
      <c r="HN25" s="18">
        <f t="shared" si="21"/>
        <v>0</v>
      </c>
      <c r="HO25" s="18">
        <f t="shared" si="21"/>
        <v>0</v>
      </c>
      <c r="HP25" s="18">
        <f t="shared" si="21"/>
        <v>0</v>
      </c>
      <c r="HQ25" s="18">
        <f t="shared" si="21"/>
        <v>0</v>
      </c>
      <c r="HR25" s="18">
        <f t="shared" si="21"/>
        <v>0</v>
      </c>
      <c r="HS25" s="18">
        <f t="shared" si="21"/>
        <v>0</v>
      </c>
      <c r="HT25" s="18">
        <f t="shared" si="21"/>
        <v>0</v>
      </c>
      <c r="HU25" s="18">
        <f t="shared" si="21"/>
        <v>0</v>
      </c>
      <c r="HV25" s="18">
        <f t="shared" si="21"/>
        <v>0</v>
      </c>
      <c r="HW25" s="18">
        <f t="shared" si="21"/>
        <v>0</v>
      </c>
      <c r="HX25" s="18">
        <f t="shared" si="21"/>
        <v>0</v>
      </c>
      <c r="HY25" s="18">
        <f t="shared" si="21"/>
        <v>0</v>
      </c>
      <c r="HZ25" s="18">
        <f t="shared" si="21"/>
        <v>0</v>
      </c>
      <c r="IA25" s="18">
        <f t="shared" si="21"/>
        <v>0</v>
      </c>
      <c r="IB25" s="18">
        <f t="shared" si="21"/>
        <v>0</v>
      </c>
      <c r="IC25" s="24">
        <f t="shared" si="21"/>
        <v>0</v>
      </c>
    </row>
    <row r="26" spans="1:237" x14ac:dyDescent="0.3">
      <c r="G26" s="4"/>
    </row>
    <row r="27" spans="1:237" x14ac:dyDescent="0.3">
      <c r="B27" t="s">
        <v>43</v>
      </c>
      <c r="C27" s="4">
        <f>HLOOKUP(C25,$J$2:$AF$3,2,FALSE)/12</f>
        <v>7.9166666666666673E-3</v>
      </c>
      <c r="D27" s="4">
        <f t="shared" ref="D27:BO27" si="22">HLOOKUP(D25,$J$2:$AF$3,2,FALSE)/12</f>
        <v>7.9166666666666673E-3</v>
      </c>
      <c r="E27" s="4">
        <f t="shared" si="22"/>
        <v>7.9166666666666673E-3</v>
      </c>
      <c r="F27" s="4">
        <f t="shared" si="22"/>
        <v>7.9166666666666673E-3</v>
      </c>
      <c r="G27" s="4">
        <f t="shared" si="22"/>
        <v>7.9166666666666673E-3</v>
      </c>
      <c r="H27" s="4">
        <f t="shared" si="22"/>
        <v>7.9166666666666673E-3</v>
      </c>
      <c r="I27" s="4">
        <f t="shared" si="22"/>
        <v>7.9166666666666673E-3</v>
      </c>
      <c r="J27" s="4">
        <f t="shared" si="22"/>
        <v>7.9166666666666673E-3</v>
      </c>
      <c r="K27" s="4">
        <f t="shared" si="22"/>
        <v>7.9166666666666673E-3</v>
      </c>
      <c r="L27" s="4">
        <f t="shared" si="22"/>
        <v>7.9166666666666673E-3</v>
      </c>
      <c r="M27" s="4">
        <f t="shared" si="22"/>
        <v>7.9166666666666673E-3</v>
      </c>
      <c r="N27" s="4">
        <f t="shared" si="22"/>
        <v>7.9166666666666673E-3</v>
      </c>
      <c r="O27" s="4">
        <f t="shared" si="22"/>
        <v>7.9166666666666673E-3</v>
      </c>
      <c r="P27" s="4">
        <f t="shared" si="22"/>
        <v>7.9166666666666673E-3</v>
      </c>
      <c r="Q27" s="4">
        <f t="shared" si="22"/>
        <v>7.9166666666666673E-3</v>
      </c>
      <c r="R27" s="4">
        <f t="shared" si="22"/>
        <v>7.9166666666666673E-3</v>
      </c>
      <c r="S27" s="4">
        <f t="shared" si="22"/>
        <v>7.9166666666666673E-3</v>
      </c>
      <c r="T27" s="4">
        <f t="shared" si="22"/>
        <v>7.9166666666666673E-3</v>
      </c>
      <c r="U27" s="4">
        <f t="shared" si="22"/>
        <v>7.9166666666666673E-3</v>
      </c>
      <c r="V27" s="4">
        <f t="shared" si="22"/>
        <v>7.9166666666666673E-3</v>
      </c>
      <c r="W27" s="4">
        <f t="shared" si="22"/>
        <v>7.9166666666666673E-3</v>
      </c>
      <c r="X27" s="4">
        <f t="shared" si="22"/>
        <v>7.9166666666666673E-3</v>
      </c>
      <c r="Y27" s="4">
        <f t="shared" si="22"/>
        <v>7.9166666666666673E-3</v>
      </c>
      <c r="Z27" s="4">
        <f t="shared" si="22"/>
        <v>7.9166666666666673E-3</v>
      </c>
      <c r="AA27" s="4">
        <f t="shared" si="22"/>
        <v>7.9166666666666673E-3</v>
      </c>
      <c r="AB27" s="4">
        <f t="shared" si="22"/>
        <v>7.9166666666666673E-3</v>
      </c>
      <c r="AC27" s="4">
        <f t="shared" si="22"/>
        <v>7.9166666666666673E-3</v>
      </c>
      <c r="AD27" s="4">
        <f t="shared" si="22"/>
        <v>7.9166666666666673E-3</v>
      </c>
      <c r="AE27" s="4">
        <f t="shared" si="22"/>
        <v>7.9166666666666673E-3</v>
      </c>
      <c r="AF27" s="4">
        <f t="shared" si="22"/>
        <v>7.9166666666666673E-3</v>
      </c>
      <c r="AG27" s="4">
        <f t="shared" si="22"/>
        <v>7.9166666666666673E-3</v>
      </c>
      <c r="AH27" s="4">
        <f t="shared" si="22"/>
        <v>7.9166666666666673E-3</v>
      </c>
      <c r="AI27" s="4">
        <f t="shared" si="22"/>
        <v>7.9166666666666673E-3</v>
      </c>
      <c r="AJ27" s="4">
        <f t="shared" si="22"/>
        <v>7.9166666666666673E-3</v>
      </c>
      <c r="AK27" s="4">
        <f t="shared" si="22"/>
        <v>7.9166666666666673E-3</v>
      </c>
      <c r="AL27" s="4">
        <f t="shared" si="22"/>
        <v>7.9166666666666673E-3</v>
      </c>
      <c r="AM27" s="4">
        <f t="shared" si="22"/>
        <v>7.9166666666666673E-3</v>
      </c>
      <c r="AN27" s="4">
        <f t="shared" si="22"/>
        <v>7.9166666666666673E-3</v>
      </c>
      <c r="AO27" s="4">
        <f t="shared" si="22"/>
        <v>7.9166666666666673E-3</v>
      </c>
      <c r="AP27" s="4">
        <f t="shared" si="22"/>
        <v>7.9166666666666673E-3</v>
      </c>
      <c r="AQ27" s="4">
        <f t="shared" si="22"/>
        <v>7.9166666666666673E-3</v>
      </c>
      <c r="AR27" s="4">
        <f t="shared" si="22"/>
        <v>7.9166666666666673E-3</v>
      </c>
      <c r="AS27" s="4">
        <f t="shared" si="22"/>
        <v>7.9166666666666673E-3</v>
      </c>
      <c r="AT27" s="4">
        <f t="shared" si="22"/>
        <v>7.9166666666666673E-3</v>
      </c>
      <c r="AU27" s="4">
        <f t="shared" si="22"/>
        <v>7.9166666666666673E-3</v>
      </c>
      <c r="AV27" s="4">
        <f t="shared" si="22"/>
        <v>7.9166666666666673E-3</v>
      </c>
      <c r="AW27" s="4">
        <f t="shared" si="22"/>
        <v>7.9166666666666673E-3</v>
      </c>
      <c r="AX27" s="4">
        <f t="shared" si="22"/>
        <v>7.9166666666666673E-3</v>
      </c>
      <c r="AY27" s="4">
        <f t="shared" si="22"/>
        <v>7.9166666666666673E-3</v>
      </c>
      <c r="AZ27" s="4">
        <f t="shared" si="22"/>
        <v>7.9166666666666673E-3</v>
      </c>
      <c r="BA27" s="4">
        <f t="shared" si="22"/>
        <v>7.9166666666666673E-3</v>
      </c>
      <c r="BB27" s="4">
        <f t="shared" si="22"/>
        <v>7.9166666666666673E-3</v>
      </c>
      <c r="BC27" s="4">
        <f t="shared" si="22"/>
        <v>7.9166666666666673E-3</v>
      </c>
      <c r="BD27" s="4">
        <f t="shared" si="22"/>
        <v>7.9166666666666673E-3</v>
      </c>
      <c r="BE27" s="4">
        <f t="shared" si="22"/>
        <v>7.9166666666666673E-3</v>
      </c>
      <c r="BF27" s="4">
        <f t="shared" si="22"/>
        <v>7.9166666666666673E-3</v>
      </c>
      <c r="BG27" s="4">
        <f t="shared" si="22"/>
        <v>7.9166666666666673E-3</v>
      </c>
      <c r="BH27" s="4">
        <f t="shared" si="22"/>
        <v>7.9166666666666673E-3</v>
      </c>
      <c r="BI27" s="4">
        <f t="shared" si="22"/>
        <v>7.9166666666666673E-3</v>
      </c>
      <c r="BJ27" s="4">
        <f t="shared" si="22"/>
        <v>7.9166666666666673E-3</v>
      </c>
      <c r="BK27" s="4">
        <f t="shared" si="22"/>
        <v>7.9166666666666673E-3</v>
      </c>
      <c r="BL27" s="4">
        <f t="shared" si="22"/>
        <v>7.9166666666666673E-3</v>
      </c>
      <c r="BM27" s="4">
        <f t="shared" si="22"/>
        <v>7.9166666666666673E-3</v>
      </c>
      <c r="BN27" s="4">
        <f t="shared" si="22"/>
        <v>7.9166666666666673E-3</v>
      </c>
      <c r="BO27" s="4">
        <f t="shared" si="22"/>
        <v>7.9166666666666673E-3</v>
      </c>
      <c r="BP27" s="4">
        <f t="shared" ref="BP27:EA27" si="23">HLOOKUP(BP25,$J$2:$AF$3,2,FALSE)/12</f>
        <v>7.9166666666666673E-3</v>
      </c>
      <c r="BQ27" s="4">
        <f t="shared" si="23"/>
        <v>7.9166666666666673E-3</v>
      </c>
      <c r="BR27" s="4">
        <f t="shared" si="23"/>
        <v>7.9166666666666673E-3</v>
      </c>
      <c r="BS27" s="4">
        <f t="shared" si="23"/>
        <v>7.9166666666666673E-3</v>
      </c>
      <c r="BT27" s="4">
        <f t="shared" si="23"/>
        <v>7.9166666666666673E-3</v>
      </c>
      <c r="BU27" s="4">
        <f t="shared" si="23"/>
        <v>7.9166666666666673E-3</v>
      </c>
      <c r="BV27" s="4">
        <f t="shared" si="23"/>
        <v>7.9166666666666673E-3</v>
      </c>
      <c r="BW27" s="4">
        <f t="shared" si="23"/>
        <v>7.9166666666666673E-3</v>
      </c>
      <c r="BX27" s="4">
        <f t="shared" si="23"/>
        <v>7.9166666666666673E-3</v>
      </c>
      <c r="BY27" s="4">
        <f t="shared" si="23"/>
        <v>7.9166666666666673E-3</v>
      </c>
      <c r="BZ27" s="4">
        <f t="shared" si="23"/>
        <v>7.9166666666666673E-3</v>
      </c>
      <c r="CA27" s="4">
        <f t="shared" si="23"/>
        <v>7.9166666666666673E-3</v>
      </c>
      <c r="CB27" s="4">
        <f t="shared" si="23"/>
        <v>7.9166666666666673E-3</v>
      </c>
      <c r="CC27" s="4">
        <f t="shared" si="23"/>
        <v>7.9166666666666673E-3</v>
      </c>
      <c r="CD27" s="4">
        <f t="shared" si="23"/>
        <v>7.9166666666666673E-3</v>
      </c>
      <c r="CE27" s="4">
        <f t="shared" si="23"/>
        <v>7.9166666666666673E-3</v>
      </c>
      <c r="CF27" s="4">
        <f t="shared" si="23"/>
        <v>7.9166666666666673E-3</v>
      </c>
      <c r="CG27" s="4">
        <f t="shared" si="23"/>
        <v>7.9166666666666673E-3</v>
      </c>
      <c r="CH27" s="4">
        <f t="shared" si="23"/>
        <v>7.9166666666666673E-3</v>
      </c>
      <c r="CI27" s="4">
        <f t="shared" si="23"/>
        <v>7.9166666666666673E-3</v>
      </c>
      <c r="CJ27" s="4">
        <f t="shared" si="23"/>
        <v>7.9166666666666673E-3</v>
      </c>
      <c r="CK27" s="4">
        <f t="shared" si="23"/>
        <v>7.9166666666666673E-3</v>
      </c>
      <c r="CL27" s="4">
        <f t="shared" si="23"/>
        <v>7.9166666666666673E-3</v>
      </c>
      <c r="CM27" s="4">
        <f t="shared" si="23"/>
        <v>7.9166666666666673E-3</v>
      </c>
      <c r="CN27" s="4">
        <f t="shared" si="23"/>
        <v>7.9166666666666673E-3</v>
      </c>
      <c r="CO27" s="4">
        <f t="shared" si="23"/>
        <v>7.9166666666666673E-3</v>
      </c>
      <c r="CP27" s="4">
        <f t="shared" si="23"/>
        <v>7.9166666666666673E-3</v>
      </c>
      <c r="CQ27" s="4">
        <f t="shared" si="23"/>
        <v>7.9166666666666673E-3</v>
      </c>
      <c r="CR27" s="4">
        <f t="shared" si="23"/>
        <v>7.9166666666666673E-3</v>
      </c>
      <c r="CS27" s="4">
        <f t="shared" si="23"/>
        <v>7.9166666666666673E-3</v>
      </c>
      <c r="CT27" s="4">
        <f t="shared" si="23"/>
        <v>7.9166666666666673E-3</v>
      </c>
      <c r="CU27" s="4">
        <f t="shared" si="23"/>
        <v>7.9166666666666673E-3</v>
      </c>
      <c r="CV27" s="4">
        <f t="shared" si="23"/>
        <v>7.9166666666666673E-3</v>
      </c>
      <c r="CW27" s="4">
        <f t="shared" si="23"/>
        <v>7.9166666666666673E-3</v>
      </c>
      <c r="CX27" s="4">
        <f t="shared" si="23"/>
        <v>7.9166666666666673E-3</v>
      </c>
      <c r="CY27" s="4">
        <f t="shared" si="23"/>
        <v>7.9166666666666673E-3</v>
      </c>
      <c r="CZ27" s="4">
        <f t="shared" si="23"/>
        <v>7.9166666666666673E-3</v>
      </c>
      <c r="DA27" s="4">
        <f t="shared" si="23"/>
        <v>7.9166666666666673E-3</v>
      </c>
      <c r="DB27" s="4">
        <f t="shared" si="23"/>
        <v>7.9166666666666673E-3</v>
      </c>
      <c r="DC27" s="4">
        <f t="shared" si="23"/>
        <v>7.9166666666666673E-3</v>
      </c>
      <c r="DD27" s="4">
        <f t="shared" si="23"/>
        <v>7.9166666666666673E-3</v>
      </c>
      <c r="DE27" s="4">
        <f t="shared" si="23"/>
        <v>7.9166666666666673E-3</v>
      </c>
      <c r="DF27" s="4">
        <f t="shared" si="23"/>
        <v>7.9166666666666673E-3</v>
      </c>
      <c r="DG27" s="4">
        <f t="shared" si="23"/>
        <v>7.9166666666666673E-3</v>
      </c>
      <c r="DH27" s="4">
        <f t="shared" si="23"/>
        <v>7.9166666666666673E-3</v>
      </c>
      <c r="DI27" s="4">
        <f t="shared" si="23"/>
        <v>7.9166666666666673E-3</v>
      </c>
      <c r="DJ27" s="4">
        <f t="shared" si="23"/>
        <v>7.9166666666666673E-3</v>
      </c>
      <c r="DK27" s="4">
        <f t="shared" si="23"/>
        <v>7.9166666666666673E-3</v>
      </c>
      <c r="DL27" s="4">
        <f t="shared" si="23"/>
        <v>7.9166666666666673E-3</v>
      </c>
      <c r="DM27" s="4">
        <f t="shared" si="23"/>
        <v>7.9166666666666673E-3</v>
      </c>
      <c r="DN27" s="4">
        <f t="shared" si="23"/>
        <v>7.9166666666666673E-3</v>
      </c>
      <c r="DO27" s="4">
        <f t="shared" si="23"/>
        <v>7.9166666666666673E-3</v>
      </c>
      <c r="DP27" s="4">
        <f t="shared" si="23"/>
        <v>7.9166666666666673E-3</v>
      </c>
      <c r="DQ27" s="4">
        <f t="shared" si="23"/>
        <v>7.9166666666666673E-3</v>
      </c>
      <c r="DR27" s="4">
        <f t="shared" si="23"/>
        <v>7.9166666666666673E-3</v>
      </c>
      <c r="DS27" s="4">
        <f t="shared" si="23"/>
        <v>7.9166666666666673E-3</v>
      </c>
      <c r="DT27" s="4">
        <f t="shared" si="23"/>
        <v>7.9166666666666673E-3</v>
      </c>
      <c r="DU27" s="4">
        <f t="shared" si="23"/>
        <v>7.9166666666666673E-3</v>
      </c>
      <c r="DV27" s="4">
        <f t="shared" si="23"/>
        <v>7.9166666666666673E-3</v>
      </c>
      <c r="DW27" s="4">
        <f t="shared" si="23"/>
        <v>7.9166666666666673E-3</v>
      </c>
      <c r="DX27" s="4">
        <f t="shared" si="23"/>
        <v>7.9166666666666673E-3</v>
      </c>
      <c r="DY27" s="4">
        <f t="shared" si="23"/>
        <v>7.9166666666666673E-3</v>
      </c>
      <c r="DZ27" s="4">
        <f t="shared" si="23"/>
        <v>7.9166666666666673E-3</v>
      </c>
      <c r="EA27" s="4">
        <f t="shared" si="23"/>
        <v>7.9166666666666673E-3</v>
      </c>
      <c r="EB27" s="4">
        <f t="shared" ref="EB27:GM27" si="24">HLOOKUP(EB25,$J$2:$AF$3,2,FALSE)/12</f>
        <v>7.9166666666666673E-3</v>
      </c>
      <c r="EC27" s="4">
        <f t="shared" si="24"/>
        <v>7.9166666666666673E-3</v>
      </c>
      <c r="ED27" s="4">
        <f t="shared" si="24"/>
        <v>7.9166666666666673E-3</v>
      </c>
      <c r="EE27" s="4">
        <f t="shared" si="24"/>
        <v>7.9166666666666673E-3</v>
      </c>
      <c r="EF27" s="4">
        <f t="shared" si="24"/>
        <v>7.9166666666666673E-3</v>
      </c>
      <c r="EG27" s="4">
        <f t="shared" si="24"/>
        <v>7.9166666666666673E-3</v>
      </c>
      <c r="EH27" s="4">
        <f t="shared" si="24"/>
        <v>7.9166666666666673E-3</v>
      </c>
      <c r="EI27" s="4">
        <f t="shared" si="24"/>
        <v>7.9166666666666673E-3</v>
      </c>
      <c r="EJ27" s="4">
        <f t="shared" si="24"/>
        <v>7.9166666666666673E-3</v>
      </c>
      <c r="EK27" s="4">
        <f t="shared" si="24"/>
        <v>7.9166666666666673E-3</v>
      </c>
      <c r="EL27" s="4">
        <f t="shared" si="24"/>
        <v>7.9166666666666673E-3</v>
      </c>
      <c r="EM27" s="4">
        <f t="shared" si="24"/>
        <v>7.9166666666666673E-3</v>
      </c>
      <c r="EN27" s="4">
        <f t="shared" si="24"/>
        <v>7.9166666666666673E-3</v>
      </c>
      <c r="EO27" s="4">
        <f t="shared" si="24"/>
        <v>7.9166666666666673E-3</v>
      </c>
      <c r="EP27" s="4">
        <f t="shared" si="24"/>
        <v>7.9166666666666673E-3</v>
      </c>
      <c r="EQ27" s="4">
        <f t="shared" si="24"/>
        <v>7.9166666666666673E-3</v>
      </c>
      <c r="ER27" s="4">
        <f t="shared" si="24"/>
        <v>7.9166666666666673E-3</v>
      </c>
      <c r="ES27" s="4">
        <f t="shared" si="24"/>
        <v>7.9166666666666673E-3</v>
      </c>
      <c r="ET27" s="4">
        <f t="shared" si="24"/>
        <v>7.9166666666666673E-3</v>
      </c>
      <c r="EU27" s="4">
        <f t="shared" si="24"/>
        <v>7.9166666666666673E-3</v>
      </c>
      <c r="EV27" s="4">
        <f t="shared" si="24"/>
        <v>7.9166666666666673E-3</v>
      </c>
      <c r="EW27" s="4">
        <f t="shared" si="24"/>
        <v>7.9166666666666673E-3</v>
      </c>
      <c r="EX27" s="4">
        <f t="shared" si="24"/>
        <v>7.9166666666666673E-3</v>
      </c>
      <c r="EY27" s="4">
        <f t="shared" si="24"/>
        <v>7.9166666666666673E-3</v>
      </c>
      <c r="EZ27" s="4">
        <f t="shared" si="24"/>
        <v>7.9166666666666673E-3</v>
      </c>
      <c r="FA27" s="4">
        <f t="shared" si="24"/>
        <v>7.9166666666666673E-3</v>
      </c>
      <c r="FB27" s="4">
        <f t="shared" si="24"/>
        <v>7.9166666666666673E-3</v>
      </c>
      <c r="FC27" s="4">
        <f t="shared" si="24"/>
        <v>7.9166666666666673E-3</v>
      </c>
      <c r="FD27" s="4">
        <f t="shared" si="24"/>
        <v>7.9166666666666673E-3</v>
      </c>
      <c r="FE27" s="4">
        <f t="shared" si="24"/>
        <v>7.9166666666666673E-3</v>
      </c>
      <c r="FF27" s="4">
        <f t="shared" si="24"/>
        <v>7.9166666666666673E-3</v>
      </c>
      <c r="FG27" s="4">
        <f t="shared" si="24"/>
        <v>7.9166666666666673E-3</v>
      </c>
      <c r="FH27" s="4">
        <f t="shared" si="24"/>
        <v>7.9166666666666673E-3</v>
      </c>
      <c r="FI27" s="4">
        <f t="shared" si="24"/>
        <v>7.9166666666666673E-3</v>
      </c>
      <c r="FJ27" s="4">
        <f t="shared" si="24"/>
        <v>7.9166666666666673E-3</v>
      </c>
      <c r="FK27" s="4">
        <f t="shared" si="24"/>
        <v>7.9166666666666673E-3</v>
      </c>
      <c r="FL27" s="4">
        <f t="shared" si="24"/>
        <v>7.9166666666666673E-3</v>
      </c>
      <c r="FM27" s="4">
        <f t="shared" si="24"/>
        <v>7.9166666666666673E-3</v>
      </c>
      <c r="FN27" s="4">
        <f t="shared" si="24"/>
        <v>7.9166666666666673E-3</v>
      </c>
      <c r="FO27" s="4">
        <f t="shared" si="24"/>
        <v>7.9166666666666673E-3</v>
      </c>
      <c r="FP27" s="4">
        <f t="shared" si="24"/>
        <v>7.9166666666666673E-3</v>
      </c>
      <c r="FQ27" s="4">
        <f t="shared" si="24"/>
        <v>7.9166666666666673E-3</v>
      </c>
      <c r="FR27" s="4">
        <f t="shared" si="24"/>
        <v>7.9166666666666673E-3</v>
      </c>
      <c r="FS27" s="4">
        <f t="shared" si="24"/>
        <v>7.9166666666666673E-3</v>
      </c>
      <c r="FT27" s="4">
        <f t="shared" si="24"/>
        <v>7.9166666666666673E-3</v>
      </c>
      <c r="FU27" s="4">
        <f t="shared" si="24"/>
        <v>7.9166666666666673E-3</v>
      </c>
      <c r="FV27" s="4">
        <f t="shared" si="24"/>
        <v>7.9166666666666673E-3</v>
      </c>
      <c r="FW27" s="4">
        <f t="shared" si="24"/>
        <v>7.9166666666666673E-3</v>
      </c>
      <c r="FX27" s="4">
        <f t="shared" si="24"/>
        <v>7.9166666666666673E-3</v>
      </c>
      <c r="FY27" s="4">
        <f t="shared" si="24"/>
        <v>7.9166666666666673E-3</v>
      </c>
      <c r="FZ27" s="4">
        <f t="shared" si="24"/>
        <v>7.9166666666666673E-3</v>
      </c>
      <c r="GA27" s="4">
        <f t="shared" si="24"/>
        <v>7.9166666666666673E-3</v>
      </c>
      <c r="GB27" s="4">
        <f t="shared" si="24"/>
        <v>7.9166666666666673E-3</v>
      </c>
      <c r="GC27" s="4">
        <f t="shared" si="24"/>
        <v>7.9166666666666673E-3</v>
      </c>
      <c r="GD27" s="4">
        <f t="shared" si="24"/>
        <v>7.9166666666666673E-3</v>
      </c>
      <c r="GE27" s="4">
        <f t="shared" si="24"/>
        <v>7.9166666666666673E-3</v>
      </c>
      <c r="GF27" s="4">
        <f t="shared" si="24"/>
        <v>7.9166666666666673E-3</v>
      </c>
      <c r="GG27" s="4">
        <f t="shared" si="24"/>
        <v>7.9166666666666673E-3</v>
      </c>
      <c r="GH27" s="4">
        <f t="shared" si="24"/>
        <v>7.9166666666666673E-3</v>
      </c>
      <c r="GI27" s="4">
        <f t="shared" si="24"/>
        <v>7.9166666666666673E-3</v>
      </c>
      <c r="GJ27" s="4">
        <f t="shared" si="24"/>
        <v>7.9166666666666673E-3</v>
      </c>
      <c r="GK27" s="4">
        <f t="shared" si="24"/>
        <v>7.9166666666666673E-3</v>
      </c>
      <c r="GL27" s="4">
        <f t="shared" si="24"/>
        <v>7.9166666666666673E-3</v>
      </c>
      <c r="GM27" s="4">
        <f t="shared" si="24"/>
        <v>7.9166666666666673E-3</v>
      </c>
      <c r="GN27" s="4">
        <f t="shared" ref="GN27:IC27" si="25">HLOOKUP(GN25,$J$2:$AF$3,2,FALSE)/12</f>
        <v>7.9166666666666673E-3</v>
      </c>
      <c r="GO27" s="4">
        <f t="shared" si="25"/>
        <v>7.9166666666666673E-3</v>
      </c>
      <c r="GP27" s="4">
        <f t="shared" si="25"/>
        <v>7.9166666666666673E-3</v>
      </c>
      <c r="GQ27" s="4">
        <f t="shared" si="25"/>
        <v>7.9166666666666673E-3</v>
      </c>
      <c r="GR27" s="4">
        <f t="shared" si="25"/>
        <v>7.9166666666666673E-3</v>
      </c>
      <c r="GS27" s="4">
        <f t="shared" si="25"/>
        <v>7.9166666666666673E-3</v>
      </c>
      <c r="GT27" s="4">
        <f t="shared" si="25"/>
        <v>7.9166666666666673E-3</v>
      </c>
      <c r="GU27" s="4">
        <f t="shared" si="25"/>
        <v>7.9166666666666673E-3</v>
      </c>
      <c r="GV27" s="4">
        <f t="shared" si="25"/>
        <v>7.9166666666666673E-3</v>
      </c>
      <c r="GW27" s="4">
        <f t="shared" si="25"/>
        <v>7.9166666666666673E-3</v>
      </c>
      <c r="GX27" s="4">
        <f t="shared" si="25"/>
        <v>7.9166666666666673E-3</v>
      </c>
      <c r="GY27" s="4">
        <f t="shared" si="25"/>
        <v>7.9166666666666673E-3</v>
      </c>
      <c r="GZ27" s="4">
        <f t="shared" si="25"/>
        <v>7.9166666666666673E-3</v>
      </c>
      <c r="HA27" s="4">
        <f t="shared" si="25"/>
        <v>7.9166666666666673E-3</v>
      </c>
      <c r="HB27" s="4">
        <f t="shared" si="25"/>
        <v>7.9166666666666673E-3</v>
      </c>
      <c r="HC27" s="4">
        <f t="shared" si="25"/>
        <v>7.9166666666666673E-3</v>
      </c>
      <c r="HD27" s="4">
        <f t="shared" si="25"/>
        <v>7.9166666666666673E-3</v>
      </c>
      <c r="HE27" s="4">
        <f t="shared" si="25"/>
        <v>7.9166666666666673E-3</v>
      </c>
      <c r="HF27" s="4">
        <f t="shared" si="25"/>
        <v>7.9166666666666673E-3</v>
      </c>
      <c r="HG27" s="4">
        <f t="shared" si="25"/>
        <v>7.9166666666666673E-3</v>
      </c>
      <c r="HH27" s="4">
        <f t="shared" si="25"/>
        <v>7.9166666666666673E-3</v>
      </c>
      <c r="HI27" s="4">
        <f t="shared" si="25"/>
        <v>7.9166666666666673E-3</v>
      </c>
      <c r="HJ27" s="4">
        <f t="shared" si="25"/>
        <v>7.9166666666666673E-3</v>
      </c>
      <c r="HK27" s="4">
        <f t="shared" si="25"/>
        <v>7.9166666666666673E-3</v>
      </c>
      <c r="HL27" s="4">
        <f t="shared" si="25"/>
        <v>7.9166666666666673E-3</v>
      </c>
      <c r="HM27" s="4">
        <f t="shared" si="25"/>
        <v>7.9166666666666673E-3</v>
      </c>
      <c r="HN27" s="4">
        <f t="shared" si="25"/>
        <v>7.9166666666666673E-3</v>
      </c>
      <c r="HO27" s="4">
        <f t="shared" si="25"/>
        <v>7.9166666666666673E-3</v>
      </c>
      <c r="HP27" s="4">
        <f t="shared" si="25"/>
        <v>7.9166666666666673E-3</v>
      </c>
      <c r="HQ27" s="4">
        <f t="shared" si="25"/>
        <v>7.9166666666666673E-3</v>
      </c>
      <c r="HR27" s="4">
        <f t="shared" si="25"/>
        <v>7.9166666666666673E-3</v>
      </c>
      <c r="HS27" s="4">
        <f t="shared" si="25"/>
        <v>7.9166666666666673E-3</v>
      </c>
      <c r="HT27" s="4">
        <f t="shared" si="25"/>
        <v>7.9166666666666673E-3</v>
      </c>
      <c r="HU27" s="4">
        <f t="shared" si="25"/>
        <v>7.9166666666666673E-3</v>
      </c>
      <c r="HV27" s="4">
        <f t="shared" si="25"/>
        <v>7.9166666666666673E-3</v>
      </c>
      <c r="HW27" s="4">
        <f t="shared" si="25"/>
        <v>7.9166666666666673E-3</v>
      </c>
      <c r="HX27" s="4">
        <f t="shared" si="25"/>
        <v>7.9166666666666673E-3</v>
      </c>
      <c r="HY27" s="4">
        <f t="shared" si="25"/>
        <v>7.9166666666666673E-3</v>
      </c>
      <c r="HZ27" s="4">
        <f t="shared" si="25"/>
        <v>7.9166666666666673E-3</v>
      </c>
      <c r="IA27" s="4">
        <f t="shared" si="25"/>
        <v>7.9166666666666673E-3</v>
      </c>
      <c r="IB27" s="4">
        <f t="shared" si="25"/>
        <v>7.9166666666666673E-3</v>
      </c>
      <c r="IC27" s="4">
        <f t="shared" si="25"/>
        <v>7.9166666666666673E-3</v>
      </c>
    </row>
    <row r="28" spans="1:237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</row>
    <row r="29" spans="1:237" x14ac:dyDescent="0.3">
      <c r="B29" t="s">
        <v>141</v>
      </c>
      <c r="C29" s="71">
        <f ca="1">IFERROR(_xlfn.XLOOKUP(C20,'Project Capex'!$E$2:$X$2,'Project Capex'!$E$69:$X$69),0)</f>
        <v>15.600952977379414</v>
      </c>
      <c r="D29" s="71">
        <f ca="1">IFERROR(_xlfn.XLOOKUP(D20,'Project Capex'!$E$2:$X$2,'Project Capex'!$E$69:$X$69),0)</f>
        <v>0.3009529773794084</v>
      </c>
      <c r="E29" s="71">
        <f ca="1">IFERROR(_xlfn.XLOOKUP(E20,'Project Capex'!$E$2:$X$2,'Project Capex'!$E$69:$X$69),0)</f>
        <v>0.3009529773794084</v>
      </c>
      <c r="F29" s="71">
        <f ca="1">IFERROR(_xlfn.XLOOKUP(F20,'Project Capex'!$E$2:$X$2,'Project Capex'!$E$69:$X$69),0)</f>
        <v>0.3009529773794084</v>
      </c>
      <c r="G29" s="71">
        <f ca="1">IFERROR(_xlfn.XLOOKUP(G20,'Project Capex'!$E$2:$X$2,'Project Capex'!$E$69:$X$69),0)</f>
        <v>0.80403491017940831</v>
      </c>
      <c r="H29" s="71">
        <f ca="1">IFERROR(_xlfn.XLOOKUP(H20,'Project Capex'!$E$2:$X$2,'Project Capex'!$E$69:$X$69),0)</f>
        <v>1.6579970154294084</v>
      </c>
      <c r="I29" s="71">
        <f ca="1">IFERROR(_xlfn.XLOOKUP(I20,'Project Capex'!$E$2:$X$2,'Project Capex'!$E$69:$X$69),0)</f>
        <v>2.9820604773794086</v>
      </c>
      <c r="J29" s="71">
        <f ca="1">IFERROR(_xlfn.XLOOKUP(J20,'Project Capex'!$E$2:$X$2,'Project Capex'!$E$69:$X$69),0)</f>
        <v>8.4092149661794089</v>
      </c>
      <c r="K29" s="71">
        <f ca="1">IFERROR(_xlfn.XLOOKUP(K20,'Project Capex'!$E$2:$X$2,'Project Capex'!$E$69:$X$69),0)</f>
        <v>4.9971532191794106</v>
      </c>
      <c r="L29" s="71">
        <f ca="1">IFERROR(_xlfn.XLOOKUP(L20,'Project Capex'!$E$2:$X$2,'Project Capex'!$E$69:$X$69),0)</f>
        <v>5.9634544833794099</v>
      </c>
      <c r="M29" s="71">
        <f ca="1">IFERROR(_xlfn.XLOOKUP(M20,'Project Capex'!$E$2:$X$2,'Project Capex'!$E$69:$X$69),0)</f>
        <v>5.0760544833794095</v>
      </c>
      <c r="N29" s="71">
        <f ca="1">IFERROR(_xlfn.XLOOKUP(N20,'Project Capex'!$E$2:$X$2,'Project Capex'!$E$69:$X$69),0)</f>
        <v>2.4138544833794087</v>
      </c>
      <c r="O29" s="71">
        <f ca="1">IFERROR(_xlfn.XLOOKUP(O20,'Project Capex'!$E$2:$X$2,'Project Capex'!$E$69:$X$69),0)</f>
        <v>2.1676706433794091</v>
      </c>
      <c r="P29" s="71">
        <f ca="1">IFERROR(_xlfn.XLOOKUP(P20,'Project Capex'!$E$2:$X$2,'Project Capex'!$E$69:$X$69),0)</f>
        <v>3.1907376308294091</v>
      </c>
      <c r="Q29" s="71">
        <f>IFERROR(_xlfn.XLOOKUP(Q20,'Project Capex'!$E$2:$X$2,'Project Capex'!$E$69:$X$69),0)</f>
        <v>0</v>
      </c>
      <c r="R29" s="71">
        <f>IFERROR(_xlfn.XLOOKUP(R20,'Project Capex'!$E$2:$X$2,'Project Capex'!$E$69:$X$69),0)</f>
        <v>0</v>
      </c>
      <c r="S29" s="71">
        <f>IFERROR(_xlfn.XLOOKUP(S20,'Project Capex'!$E$2:$X$2,'Project Capex'!$E$69:$X$69),0)</f>
        <v>0</v>
      </c>
      <c r="T29" s="71">
        <f>IFERROR(_xlfn.XLOOKUP(T20,'Project Capex'!$E$2:$X$2,'Project Capex'!$E$69:$X$69),0)</f>
        <v>0</v>
      </c>
      <c r="U29" s="71">
        <f>IFERROR(_xlfn.XLOOKUP(U20,'Project Capex'!$E$2:$X$2,'Project Capex'!$E$69:$X$69),0)</f>
        <v>0</v>
      </c>
      <c r="V29" s="71">
        <f>IFERROR(_xlfn.XLOOKUP(V20,'Project Capex'!$E$2:$X$2,'Project Capex'!$E$69:$X$69),0)</f>
        <v>0</v>
      </c>
      <c r="W29" s="71">
        <f>IFERROR(_xlfn.XLOOKUP(W20,'Project Capex'!$E$2:$X$2,'Project Capex'!$E$69:$X$69),0)</f>
        <v>0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</row>
    <row r="30" spans="1:237" x14ac:dyDescent="0.3">
      <c r="B30" t="s">
        <v>36</v>
      </c>
      <c r="C30" s="3">
        <f ca="1">IF(C29&gt;$C$4,C29-C4,0)</f>
        <v>15.600952977325248</v>
      </c>
      <c r="D30" s="3">
        <f ca="1">IF(SUM($C$29:D29)&lt;=$C$4,0,D29)</f>
        <v>0.3009529773794084</v>
      </c>
      <c r="E30" s="3">
        <f ca="1">IF(SUM($C$29:E29)&lt;=$C$4,0,E29)</f>
        <v>0.3009529773794084</v>
      </c>
      <c r="F30" s="3">
        <f ca="1">IF(SUM($C$29:F29)&lt;=$C$4,0,F29)</f>
        <v>0.3009529773794084</v>
      </c>
      <c r="G30" s="3">
        <f ca="1">IF(SUM($C$29:G29)&lt;=$C$4,0,G29)</f>
        <v>0.80403491017940831</v>
      </c>
      <c r="H30" s="3">
        <f ca="1">IF(SUM($C$29:H29)&lt;=$C$4,0,H29)</f>
        <v>1.6579970154294084</v>
      </c>
      <c r="I30" s="3">
        <f ca="1">IF(SUM($C$29:I29)&lt;=$C$4,0,I29)</f>
        <v>2.9820604773794086</v>
      </c>
      <c r="J30" s="3">
        <f ca="1">IF(SUM($C$29:J29)&lt;=$C$4,0,J29)</f>
        <v>8.4092149661794089</v>
      </c>
      <c r="K30" s="3">
        <f ca="1">IF(SUM($C$29:K29)&lt;=$C$4,0,K29)</f>
        <v>4.9971532191794106</v>
      </c>
      <c r="L30" s="3">
        <f ca="1">IF(SUM($C$29:L29)&lt;=$C$4,0,L29)</f>
        <v>5.9634544833794099</v>
      </c>
      <c r="M30" s="3">
        <f ca="1">IF(SUM($C$29:M29)&lt;=$C$4,0,M29)</f>
        <v>5.0760544833794095</v>
      </c>
      <c r="N30" s="3">
        <f ca="1">IF(SUM($C$29:N29)&lt;=$C$4,0,N29)</f>
        <v>2.4138544833794087</v>
      </c>
      <c r="O30" s="3">
        <f ca="1">IF(SUM($C$29:O29)&lt;=$C$4,0,O29)</f>
        <v>2.1676706433794091</v>
      </c>
      <c r="P30" s="3">
        <f ca="1">IF(SUM($C$29:P29)&lt;=$C$4,0,P29)</f>
        <v>3.1907376308294091</v>
      </c>
      <c r="Q30" s="3">
        <f ca="1">IF(SUM($C$29:Q29)&lt;=$C$4,0,Q29)</f>
        <v>0</v>
      </c>
      <c r="R30" s="3">
        <f ca="1">IF(SUM($C$29:R29)&lt;=$C$4,0,R29)</f>
        <v>0</v>
      </c>
      <c r="S30" s="3">
        <f ca="1">IF(SUM($C$29:S29)&lt;=$C$4,0,S29)</f>
        <v>0</v>
      </c>
      <c r="T30" s="3">
        <f ca="1">IF(SUM($C$29:T29)&lt;=$C$4,0,T29)</f>
        <v>0</v>
      </c>
      <c r="U30" s="3">
        <f ca="1">IF(SUM($C$29:U29)&lt;=$C$4,0,U29)</f>
        <v>0</v>
      </c>
      <c r="V30" s="3">
        <f ca="1">IF(SUM($C$29:V29)&lt;=$C$4,0,V29)</f>
        <v>0</v>
      </c>
      <c r="W30" s="3">
        <f ca="1">IF(SUM($C$29:W29)&lt;=$C$4,0,W29)</f>
        <v>0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</row>
    <row r="31" spans="1:237" x14ac:dyDescent="0.3">
      <c r="A31" s="79">
        <f ca="1">SUM(C31:P31)</f>
        <v>3.402607176151339</v>
      </c>
      <c r="B31" t="s">
        <v>36</v>
      </c>
      <c r="C31" s="3">
        <f ca="1">C30*C27</f>
        <v>0.12350754440382489</v>
      </c>
      <c r="D31" s="3">
        <f ca="1">SUM($C$30:D30)*D27</f>
        <v>0.12589008880807853</v>
      </c>
      <c r="E31" s="3">
        <f ca="1">SUM($C$30:E30)*E27</f>
        <v>0.1282726332123322</v>
      </c>
      <c r="F31" s="3">
        <f ca="1">SUM($C$30:F30)*F27</f>
        <v>0.13065517761658585</v>
      </c>
      <c r="G31" s="3">
        <f ca="1">SUM($C$30:G30)*G27</f>
        <v>0.1370204539888395</v>
      </c>
      <c r="H31" s="3">
        <f ca="1">SUM($C$30:H30)*H27</f>
        <v>0.15014626369432232</v>
      </c>
      <c r="I31" s="3">
        <f ca="1">SUM($C$30:I30)*I27</f>
        <v>0.17375424247357599</v>
      </c>
      <c r="J31" s="3">
        <f ca="1">SUM($C$30:J30)*J27</f>
        <v>0.24032719428916297</v>
      </c>
      <c r="K31" s="3">
        <f ca="1">SUM($C$30:K30)*K27</f>
        <v>0.27988799060766661</v>
      </c>
      <c r="L31" s="3">
        <f ca="1">SUM($C$30:L30)*L27</f>
        <v>0.32709867193442027</v>
      </c>
      <c r="M31" s="3">
        <f ca="1">SUM($C$30:M30)*M27</f>
        <v>0.36728410326117394</v>
      </c>
      <c r="N31" s="3">
        <f ca="1">SUM($C$30:N30)*N27</f>
        <v>0.38639378458792761</v>
      </c>
      <c r="O31" s="3">
        <f ca="1">SUM($C$30:O30)*O27</f>
        <v>0.40355451051468127</v>
      </c>
      <c r="P31" s="3">
        <f ca="1">SUM($C$30:P30)*P27</f>
        <v>0.42881451675874743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</row>
    <row r="32" spans="1:237" ht="21" x14ac:dyDescent="0.4">
      <c r="B32" s="77" t="s">
        <v>146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</row>
    <row r="33" spans="1:237" x14ac:dyDescent="0.3">
      <c r="B33" s="6" t="s">
        <v>139</v>
      </c>
      <c r="G33" s="4"/>
    </row>
    <row r="34" spans="1:237" s="3" customFormat="1" x14ac:dyDescent="0.3">
      <c r="A34"/>
      <c r="B34" t="s">
        <v>69</v>
      </c>
      <c r="C34">
        <v>0</v>
      </c>
      <c r="D34" s="3">
        <f ca="1">IF(D19="Cons",C36,0)</f>
        <v>5.4166044222211715E-11</v>
      </c>
      <c r="E34" s="3">
        <f t="shared" ref="E34:BP34" ca="1" si="26">IF(E19="Cons",D36,0)</f>
        <v>5.4166044222211715E-11</v>
      </c>
      <c r="F34" s="3">
        <f t="shared" ca="1" si="26"/>
        <v>5.4166044222212148E-11</v>
      </c>
      <c r="G34" s="3">
        <f t="shared" ca="1" si="26"/>
        <v>1.0833208844442387E-10</v>
      </c>
      <c r="H34" s="3">
        <f t="shared" ca="1" si="26"/>
        <v>1.08332088444423E-10</v>
      </c>
      <c r="I34" s="3">
        <f t="shared" ca="1" si="26"/>
        <v>1.0833208844442299E-10</v>
      </c>
      <c r="J34" s="3">
        <f t="shared" ca="1" si="26"/>
        <v>5.4166044222212148E-11</v>
      </c>
      <c r="K34" s="3">
        <f t="shared" ca="1" si="26"/>
        <v>1.0833208844442387E-10</v>
      </c>
      <c r="L34" s="3">
        <f t="shared" ca="1" si="26"/>
        <v>1.08332088444423E-10</v>
      </c>
      <c r="M34" s="3">
        <f t="shared" ca="1" si="26"/>
        <v>1.08332088444423E-10</v>
      </c>
      <c r="N34" s="3">
        <f t="shared" ca="1" si="26"/>
        <v>1.0833208844442302E-10</v>
      </c>
      <c r="O34" s="3">
        <f t="shared" ca="1" si="26"/>
        <v>1.0833208844442216E-10</v>
      </c>
      <c r="P34" s="3">
        <f t="shared" ca="1" si="26"/>
        <v>1.0833208844442128E-10</v>
      </c>
      <c r="Q34" s="3">
        <f t="shared" si="26"/>
        <v>0</v>
      </c>
      <c r="R34" s="3">
        <f t="shared" si="26"/>
        <v>0</v>
      </c>
      <c r="S34" s="3">
        <f t="shared" si="26"/>
        <v>0</v>
      </c>
      <c r="T34" s="3">
        <f t="shared" si="26"/>
        <v>0</v>
      </c>
      <c r="U34" s="3">
        <f t="shared" si="26"/>
        <v>0</v>
      </c>
      <c r="V34" s="3">
        <f t="shared" si="26"/>
        <v>0</v>
      </c>
      <c r="W34" s="3">
        <f t="shared" si="26"/>
        <v>0</v>
      </c>
      <c r="X34" s="3">
        <f t="shared" si="26"/>
        <v>0</v>
      </c>
      <c r="Y34" s="3">
        <f t="shared" si="26"/>
        <v>0</v>
      </c>
      <c r="Z34" s="3">
        <f t="shared" si="26"/>
        <v>0</v>
      </c>
      <c r="AA34" s="3">
        <f t="shared" si="26"/>
        <v>0</v>
      </c>
      <c r="AB34" s="3">
        <f t="shared" si="26"/>
        <v>0</v>
      </c>
      <c r="AC34" s="3">
        <f t="shared" si="26"/>
        <v>0</v>
      </c>
      <c r="AD34" s="3">
        <f t="shared" si="26"/>
        <v>0</v>
      </c>
      <c r="AE34" s="3">
        <f t="shared" si="26"/>
        <v>0</v>
      </c>
      <c r="AF34" s="3">
        <f t="shared" si="26"/>
        <v>0</v>
      </c>
      <c r="AG34" s="3">
        <f t="shared" si="26"/>
        <v>0</v>
      </c>
      <c r="AH34" s="3">
        <f t="shared" si="26"/>
        <v>0</v>
      </c>
      <c r="AI34" s="3">
        <f t="shared" si="26"/>
        <v>0</v>
      </c>
      <c r="AJ34" s="3">
        <f t="shared" si="26"/>
        <v>0</v>
      </c>
      <c r="AK34" s="3">
        <f t="shared" si="26"/>
        <v>0</v>
      </c>
      <c r="AL34" s="3">
        <f t="shared" si="26"/>
        <v>0</v>
      </c>
      <c r="AM34" s="3">
        <f t="shared" si="26"/>
        <v>0</v>
      </c>
      <c r="AN34" s="3">
        <f t="shared" si="26"/>
        <v>0</v>
      </c>
      <c r="AO34" s="3">
        <f t="shared" si="26"/>
        <v>0</v>
      </c>
      <c r="AP34" s="3">
        <f t="shared" si="26"/>
        <v>0</v>
      </c>
      <c r="AQ34" s="3">
        <f t="shared" si="26"/>
        <v>0</v>
      </c>
      <c r="AR34" s="3">
        <f t="shared" si="26"/>
        <v>0</v>
      </c>
      <c r="AS34" s="3">
        <f t="shared" si="26"/>
        <v>0</v>
      </c>
      <c r="AT34" s="3">
        <f t="shared" si="26"/>
        <v>0</v>
      </c>
      <c r="AU34" s="3">
        <f t="shared" si="26"/>
        <v>0</v>
      </c>
      <c r="AV34" s="3">
        <f t="shared" si="26"/>
        <v>0</v>
      </c>
      <c r="AW34" s="3">
        <f t="shared" si="26"/>
        <v>0</v>
      </c>
      <c r="AX34" s="3">
        <f t="shared" si="26"/>
        <v>0</v>
      </c>
      <c r="AY34" s="3">
        <f t="shared" si="26"/>
        <v>0</v>
      </c>
      <c r="AZ34" s="3">
        <f t="shared" si="26"/>
        <v>0</v>
      </c>
      <c r="BA34" s="3">
        <f t="shared" si="26"/>
        <v>0</v>
      </c>
      <c r="BB34" s="3">
        <f t="shared" si="26"/>
        <v>0</v>
      </c>
      <c r="BC34" s="3">
        <f t="shared" si="26"/>
        <v>0</v>
      </c>
      <c r="BD34" s="3">
        <f t="shared" si="26"/>
        <v>0</v>
      </c>
      <c r="BE34" s="3">
        <f t="shared" si="26"/>
        <v>0</v>
      </c>
      <c r="BF34" s="3">
        <f t="shared" si="26"/>
        <v>0</v>
      </c>
      <c r="BG34" s="3">
        <f t="shared" si="26"/>
        <v>0</v>
      </c>
      <c r="BH34" s="3">
        <f t="shared" si="26"/>
        <v>0</v>
      </c>
      <c r="BI34" s="3">
        <f t="shared" si="26"/>
        <v>0</v>
      </c>
      <c r="BJ34" s="3">
        <f t="shared" si="26"/>
        <v>0</v>
      </c>
      <c r="BK34" s="3">
        <f t="shared" si="26"/>
        <v>0</v>
      </c>
      <c r="BL34" s="3">
        <f t="shared" si="26"/>
        <v>0</v>
      </c>
      <c r="BM34" s="3">
        <f t="shared" si="26"/>
        <v>0</v>
      </c>
      <c r="BN34" s="3">
        <f t="shared" si="26"/>
        <v>0</v>
      </c>
      <c r="BO34" s="3">
        <f t="shared" si="26"/>
        <v>0</v>
      </c>
      <c r="BP34" s="3">
        <f t="shared" si="26"/>
        <v>0</v>
      </c>
      <c r="BQ34" s="3">
        <f t="shared" ref="BQ34:EB34" si="27">IF(BQ19="Cons",BP36,0)</f>
        <v>0</v>
      </c>
      <c r="BR34" s="3">
        <f t="shared" si="27"/>
        <v>0</v>
      </c>
      <c r="BS34" s="3">
        <f t="shared" si="27"/>
        <v>0</v>
      </c>
      <c r="BT34" s="3">
        <f t="shared" si="27"/>
        <v>0</v>
      </c>
      <c r="BU34" s="3">
        <f t="shared" si="27"/>
        <v>0</v>
      </c>
      <c r="BV34" s="3">
        <f t="shared" si="27"/>
        <v>0</v>
      </c>
      <c r="BW34" s="3">
        <f t="shared" si="27"/>
        <v>0</v>
      </c>
      <c r="BX34" s="3">
        <f t="shared" si="27"/>
        <v>0</v>
      </c>
      <c r="BY34" s="3">
        <f t="shared" si="27"/>
        <v>0</v>
      </c>
      <c r="BZ34" s="3">
        <f t="shared" si="27"/>
        <v>0</v>
      </c>
      <c r="CA34" s="3">
        <f t="shared" si="27"/>
        <v>0</v>
      </c>
      <c r="CB34" s="3">
        <f t="shared" si="27"/>
        <v>0</v>
      </c>
      <c r="CC34" s="3">
        <f t="shared" si="27"/>
        <v>0</v>
      </c>
      <c r="CD34" s="3">
        <f t="shared" si="27"/>
        <v>0</v>
      </c>
      <c r="CE34" s="3">
        <f t="shared" si="27"/>
        <v>0</v>
      </c>
      <c r="CF34" s="3">
        <f t="shared" si="27"/>
        <v>0</v>
      </c>
      <c r="CG34" s="3">
        <f t="shared" si="27"/>
        <v>0</v>
      </c>
      <c r="CH34" s="3">
        <f t="shared" si="27"/>
        <v>0</v>
      </c>
      <c r="CI34" s="3">
        <f t="shared" si="27"/>
        <v>0</v>
      </c>
      <c r="CJ34" s="3">
        <f t="shared" si="27"/>
        <v>0</v>
      </c>
      <c r="CK34" s="3">
        <f t="shared" si="27"/>
        <v>0</v>
      </c>
      <c r="CL34" s="3">
        <f t="shared" si="27"/>
        <v>0</v>
      </c>
      <c r="CM34" s="3">
        <f t="shared" si="27"/>
        <v>0</v>
      </c>
      <c r="CN34" s="3">
        <f t="shared" si="27"/>
        <v>0</v>
      </c>
      <c r="CO34" s="3">
        <f t="shared" si="27"/>
        <v>0</v>
      </c>
      <c r="CP34" s="3">
        <f t="shared" si="27"/>
        <v>0</v>
      </c>
      <c r="CQ34" s="3">
        <f t="shared" si="27"/>
        <v>0</v>
      </c>
      <c r="CR34" s="3">
        <f t="shared" si="27"/>
        <v>0</v>
      </c>
      <c r="CS34" s="3">
        <f t="shared" si="27"/>
        <v>0</v>
      </c>
      <c r="CT34" s="3">
        <f t="shared" si="27"/>
        <v>0</v>
      </c>
      <c r="CU34" s="3">
        <f t="shared" si="27"/>
        <v>0</v>
      </c>
      <c r="CV34" s="3">
        <f t="shared" si="27"/>
        <v>0</v>
      </c>
      <c r="CW34" s="3">
        <f t="shared" si="27"/>
        <v>0</v>
      </c>
      <c r="CX34" s="3">
        <f t="shared" si="27"/>
        <v>0</v>
      </c>
      <c r="CY34" s="3">
        <f t="shared" si="27"/>
        <v>0</v>
      </c>
      <c r="CZ34" s="3">
        <f t="shared" si="27"/>
        <v>0</v>
      </c>
      <c r="DA34" s="3">
        <f t="shared" si="27"/>
        <v>0</v>
      </c>
      <c r="DB34" s="3">
        <f t="shared" si="27"/>
        <v>0</v>
      </c>
      <c r="DC34" s="3">
        <f t="shared" si="27"/>
        <v>0</v>
      </c>
      <c r="DD34" s="3">
        <f t="shared" si="27"/>
        <v>0</v>
      </c>
      <c r="DE34" s="3">
        <f t="shared" si="27"/>
        <v>0</v>
      </c>
      <c r="DF34" s="3">
        <f t="shared" si="27"/>
        <v>0</v>
      </c>
      <c r="DG34" s="3">
        <f t="shared" si="27"/>
        <v>0</v>
      </c>
      <c r="DH34" s="3">
        <f t="shared" si="27"/>
        <v>0</v>
      </c>
      <c r="DI34" s="3">
        <f t="shared" si="27"/>
        <v>0</v>
      </c>
      <c r="DJ34" s="3">
        <f t="shared" si="27"/>
        <v>0</v>
      </c>
      <c r="DK34" s="3">
        <f t="shared" si="27"/>
        <v>0</v>
      </c>
      <c r="DL34" s="3">
        <f t="shared" si="27"/>
        <v>0</v>
      </c>
      <c r="DM34" s="3">
        <f t="shared" si="27"/>
        <v>0</v>
      </c>
      <c r="DN34" s="3">
        <f t="shared" si="27"/>
        <v>0</v>
      </c>
      <c r="DO34" s="3">
        <f t="shared" si="27"/>
        <v>0</v>
      </c>
      <c r="DP34" s="3">
        <f t="shared" si="27"/>
        <v>0</v>
      </c>
      <c r="DQ34" s="3">
        <f t="shared" si="27"/>
        <v>0</v>
      </c>
      <c r="DR34" s="3">
        <f t="shared" si="27"/>
        <v>0</v>
      </c>
      <c r="DS34" s="3">
        <f t="shared" si="27"/>
        <v>0</v>
      </c>
      <c r="DT34" s="3">
        <f t="shared" si="27"/>
        <v>0</v>
      </c>
      <c r="DU34" s="3">
        <f t="shared" si="27"/>
        <v>0</v>
      </c>
      <c r="DV34" s="3">
        <f t="shared" si="27"/>
        <v>0</v>
      </c>
      <c r="DW34" s="3">
        <f t="shared" si="27"/>
        <v>0</v>
      </c>
      <c r="DX34" s="3">
        <f t="shared" si="27"/>
        <v>0</v>
      </c>
      <c r="DY34" s="3">
        <f t="shared" si="27"/>
        <v>0</v>
      </c>
      <c r="DZ34" s="3">
        <f t="shared" si="27"/>
        <v>0</v>
      </c>
      <c r="EA34" s="3">
        <f t="shared" si="27"/>
        <v>0</v>
      </c>
      <c r="EB34" s="3">
        <f t="shared" si="27"/>
        <v>0</v>
      </c>
      <c r="EC34" s="3">
        <f t="shared" ref="EC34:GN34" si="28">IF(EC19="Cons",EB36,0)</f>
        <v>0</v>
      </c>
      <c r="ED34" s="3">
        <f t="shared" si="28"/>
        <v>0</v>
      </c>
      <c r="EE34" s="3">
        <f t="shared" si="28"/>
        <v>0</v>
      </c>
      <c r="EF34" s="3">
        <f t="shared" si="28"/>
        <v>0</v>
      </c>
      <c r="EG34" s="3">
        <f t="shared" si="28"/>
        <v>0</v>
      </c>
      <c r="EH34" s="3">
        <f t="shared" si="28"/>
        <v>0</v>
      </c>
      <c r="EI34" s="3">
        <f t="shared" si="28"/>
        <v>0</v>
      </c>
      <c r="EJ34" s="3">
        <f t="shared" si="28"/>
        <v>0</v>
      </c>
      <c r="EK34" s="3">
        <f t="shared" si="28"/>
        <v>0</v>
      </c>
      <c r="EL34" s="3">
        <f t="shared" si="28"/>
        <v>0</v>
      </c>
      <c r="EM34" s="3">
        <f t="shared" si="28"/>
        <v>0</v>
      </c>
      <c r="EN34" s="3">
        <f t="shared" si="28"/>
        <v>0</v>
      </c>
      <c r="EO34" s="3">
        <f t="shared" si="28"/>
        <v>0</v>
      </c>
      <c r="EP34" s="3">
        <f t="shared" si="28"/>
        <v>0</v>
      </c>
      <c r="EQ34" s="3">
        <f t="shared" si="28"/>
        <v>0</v>
      </c>
      <c r="ER34" s="3">
        <f t="shared" si="28"/>
        <v>0</v>
      </c>
      <c r="ES34" s="3">
        <f t="shared" si="28"/>
        <v>0</v>
      </c>
      <c r="ET34" s="3">
        <f t="shared" si="28"/>
        <v>0</v>
      </c>
      <c r="EU34" s="3">
        <f t="shared" si="28"/>
        <v>0</v>
      </c>
      <c r="EV34" s="3">
        <f t="shared" si="28"/>
        <v>0</v>
      </c>
      <c r="EW34" s="3">
        <f t="shared" si="28"/>
        <v>0</v>
      </c>
      <c r="EX34" s="3">
        <f t="shared" si="28"/>
        <v>0</v>
      </c>
      <c r="EY34" s="3">
        <f t="shared" si="28"/>
        <v>0</v>
      </c>
      <c r="EZ34" s="3">
        <f t="shared" si="28"/>
        <v>0</v>
      </c>
      <c r="FA34" s="3">
        <f t="shared" si="28"/>
        <v>0</v>
      </c>
      <c r="FB34" s="3">
        <f t="shared" si="28"/>
        <v>0</v>
      </c>
      <c r="FC34" s="3">
        <f t="shared" si="28"/>
        <v>0</v>
      </c>
      <c r="FD34" s="3">
        <f t="shared" si="28"/>
        <v>0</v>
      </c>
      <c r="FE34" s="3">
        <f t="shared" si="28"/>
        <v>0</v>
      </c>
      <c r="FF34" s="3">
        <f t="shared" si="28"/>
        <v>0</v>
      </c>
      <c r="FG34" s="3">
        <f t="shared" si="28"/>
        <v>0</v>
      </c>
      <c r="FH34" s="3">
        <f t="shared" si="28"/>
        <v>0</v>
      </c>
      <c r="FI34" s="3">
        <f t="shared" si="28"/>
        <v>0</v>
      </c>
      <c r="FJ34" s="3">
        <f t="shared" si="28"/>
        <v>0</v>
      </c>
      <c r="FK34" s="3">
        <f t="shared" si="28"/>
        <v>0</v>
      </c>
      <c r="FL34" s="3">
        <f t="shared" si="28"/>
        <v>0</v>
      </c>
      <c r="FM34" s="3">
        <f t="shared" si="28"/>
        <v>0</v>
      </c>
      <c r="FN34" s="3">
        <f t="shared" si="28"/>
        <v>0</v>
      </c>
      <c r="FO34" s="3">
        <f t="shared" si="28"/>
        <v>0</v>
      </c>
      <c r="FP34" s="3">
        <f t="shared" si="28"/>
        <v>0</v>
      </c>
      <c r="FQ34" s="3">
        <f t="shared" si="28"/>
        <v>0</v>
      </c>
      <c r="FR34" s="3">
        <f t="shared" si="28"/>
        <v>0</v>
      </c>
      <c r="FS34" s="3">
        <f t="shared" si="28"/>
        <v>0</v>
      </c>
      <c r="FT34" s="3">
        <f t="shared" si="28"/>
        <v>0</v>
      </c>
      <c r="FU34" s="3">
        <f t="shared" si="28"/>
        <v>0</v>
      </c>
      <c r="FV34" s="3">
        <f t="shared" si="28"/>
        <v>0</v>
      </c>
      <c r="FW34" s="3">
        <f t="shared" si="28"/>
        <v>0</v>
      </c>
      <c r="FX34" s="3">
        <f t="shared" si="28"/>
        <v>0</v>
      </c>
      <c r="FY34" s="3">
        <f t="shared" si="28"/>
        <v>0</v>
      </c>
      <c r="FZ34" s="3">
        <f t="shared" si="28"/>
        <v>0</v>
      </c>
      <c r="GA34" s="3">
        <f t="shared" si="28"/>
        <v>0</v>
      </c>
      <c r="GB34" s="3">
        <f t="shared" si="28"/>
        <v>0</v>
      </c>
      <c r="GC34" s="3">
        <f t="shared" si="28"/>
        <v>0</v>
      </c>
      <c r="GD34" s="3">
        <f t="shared" si="28"/>
        <v>0</v>
      </c>
      <c r="GE34" s="3">
        <f t="shared" si="28"/>
        <v>0</v>
      </c>
      <c r="GF34" s="3">
        <f t="shared" si="28"/>
        <v>0</v>
      </c>
      <c r="GG34" s="3">
        <f t="shared" si="28"/>
        <v>0</v>
      </c>
      <c r="GH34" s="3">
        <f t="shared" si="28"/>
        <v>0</v>
      </c>
      <c r="GI34" s="3">
        <f t="shared" si="28"/>
        <v>0</v>
      </c>
      <c r="GJ34" s="3">
        <f t="shared" si="28"/>
        <v>0</v>
      </c>
      <c r="GK34" s="3">
        <f t="shared" si="28"/>
        <v>0</v>
      </c>
      <c r="GL34" s="3">
        <f t="shared" si="28"/>
        <v>0</v>
      </c>
      <c r="GM34" s="3">
        <f t="shared" si="28"/>
        <v>0</v>
      </c>
      <c r="GN34" s="3">
        <f t="shared" si="28"/>
        <v>0</v>
      </c>
      <c r="GO34" s="3">
        <f t="shared" ref="GO34:IC34" si="29">IF(GO19="Cons",GN36,0)</f>
        <v>0</v>
      </c>
      <c r="GP34" s="3">
        <f t="shared" si="29"/>
        <v>0</v>
      </c>
      <c r="GQ34" s="3">
        <f t="shared" si="29"/>
        <v>0</v>
      </c>
      <c r="GR34" s="3">
        <f t="shared" si="29"/>
        <v>0</v>
      </c>
      <c r="GS34" s="3">
        <f t="shared" si="29"/>
        <v>0</v>
      </c>
      <c r="GT34" s="3">
        <f t="shared" si="29"/>
        <v>0</v>
      </c>
      <c r="GU34" s="3">
        <f t="shared" si="29"/>
        <v>0</v>
      </c>
      <c r="GV34" s="3">
        <f t="shared" si="29"/>
        <v>0</v>
      </c>
      <c r="GW34" s="3">
        <f t="shared" si="29"/>
        <v>0</v>
      </c>
      <c r="GX34" s="3">
        <f t="shared" si="29"/>
        <v>0</v>
      </c>
      <c r="GY34" s="3">
        <f t="shared" si="29"/>
        <v>0</v>
      </c>
      <c r="GZ34" s="3">
        <f t="shared" si="29"/>
        <v>0</v>
      </c>
      <c r="HA34" s="3">
        <f t="shared" si="29"/>
        <v>0</v>
      </c>
      <c r="HB34" s="3">
        <f t="shared" si="29"/>
        <v>0</v>
      </c>
      <c r="HC34" s="3">
        <f t="shared" si="29"/>
        <v>0</v>
      </c>
      <c r="HD34" s="3">
        <f t="shared" si="29"/>
        <v>0</v>
      </c>
      <c r="HE34" s="3">
        <f t="shared" si="29"/>
        <v>0</v>
      </c>
      <c r="HF34" s="3">
        <f t="shared" si="29"/>
        <v>0</v>
      </c>
      <c r="HG34" s="3">
        <f t="shared" si="29"/>
        <v>0</v>
      </c>
      <c r="HH34" s="3">
        <f t="shared" si="29"/>
        <v>0</v>
      </c>
      <c r="HI34" s="3">
        <f t="shared" si="29"/>
        <v>0</v>
      </c>
      <c r="HJ34" s="3">
        <f t="shared" si="29"/>
        <v>0</v>
      </c>
      <c r="HK34" s="3">
        <f t="shared" si="29"/>
        <v>0</v>
      </c>
      <c r="HL34" s="3">
        <f t="shared" si="29"/>
        <v>0</v>
      </c>
      <c r="HM34" s="3">
        <f t="shared" si="29"/>
        <v>0</v>
      </c>
      <c r="HN34" s="3">
        <f t="shared" si="29"/>
        <v>0</v>
      </c>
      <c r="HO34" s="3">
        <f t="shared" si="29"/>
        <v>0</v>
      </c>
      <c r="HP34" s="3">
        <f t="shared" si="29"/>
        <v>0</v>
      </c>
      <c r="HQ34" s="3">
        <f t="shared" si="29"/>
        <v>0</v>
      </c>
      <c r="HR34" s="3">
        <f t="shared" si="29"/>
        <v>0</v>
      </c>
      <c r="HS34" s="3">
        <f t="shared" si="29"/>
        <v>0</v>
      </c>
      <c r="HT34" s="3">
        <f t="shared" si="29"/>
        <v>0</v>
      </c>
      <c r="HU34" s="3">
        <f t="shared" si="29"/>
        <v>0</v>
      </c>
      <c r="HV34" s="3">
        <f t="shared" si="29"/>
        <v>0</v>
      </c>
      <c r="HW34" s="3">
        <f t="shared" si="29"/>
        <v>0</v>
      </c>
      <c r="HX34" s="3">
        <f t="shared" si="29"/>
        <v>0</v>
      </c>
      <c r="HY34" s="3">
        <f t="shared" si="29"/>
        <v>0</v>
      </c>
      <c r="HZ34" s="3">
        <f t="shared" si="29"/>
        <v>0</v>
      </c>
      <c r="IA34" s="3">
        <f t="shared" si="29"/>
        <v>0</v>
      </c>
      <c r="IB34" s="3">
        <f t="shared" si="29"/>
        <v>0</v>
      </c>
      <c r="IC34" s="3">
        <f t="shared" si="29"/>
        <v>0</v>
      </c>
    </row>
    <row r="35" spans="1:237" x14ac:dyDescent="0.3">
      <c r="B35" t="s">
        <v>40</v>
      </c>
      <c r="C35" s="3">
        <f ca="1">IF(C19="Cons",MIN(C29,C4),0)</f>
        <v>5.4166044222212155E-11</v>
      </c>
      <c r="D35" s="3">
        <f ca="1">IF(D19="Cons",IF(D34&gt;=$C$4,0,MIN(D29,$C$4)),0)</f>
        <v>5.4166044222212155E-11</v>
      </c>
      <c r="E35" s="3">
        <f t="shared" ref="E35:BP35" ca="1" si="30">IF(E19="Cons",IF(E34&gt;=$C$4,0,MIN(E29,$C$4)),0)</f>
        <v>5.4166044222212155E-11</v>
      </c>
      <c r="F35" s="3">
        <f t="shared" ca="1" si="30"/>
        <v>5.4166044222212155E-11</v>
      </c>
      <c r="G35" s="3">
        <f t="shared" ca="1" si="30"/>
        <v>0</v>
      </c>
      <c r="H35" s="3">
        <f t="shared" ca="1" si="30"/>
        <v>0</v>
      </c>
      <c r="I35" s="3">
        <f t="shared" ca="1" si="30"/>
        <v>0</v>
      </c>
      <c r="J35" s="3">
        <f t="shared" ca="1" si="30"/>
        <v>5.4166044222212155E-11</v>
      </c>
      <c r="K35" s="3">
        <f t="shared" ca="1" si="30"/>
        <v>0</v>
      </c>
      <c r="L35" s="3">
        <f t="shared" ca="1" si="30"/>
        <v>0</v>
      </c>
      <c r="M35" s="3">
        <f t="shared" ca="1" si="30"/>
        <v>0</v>
      </c>
      <c r="N35" s="3">
        <f t="shared" ca="1" si="30"/>
        <v>0</v>
      </c>
      <c r="O35" s="3">
        <f t="shared" ca="1" si="30"/>
        <v>0</v>
      </c>
      <c r="P35" s="3">
        <f t="shared" ca="1" si="30"/>
        <v>0</v>
      </c>
      <c r="Q35" s="3">
        <f t="shared" si="30"/>
        <v>0</v>
      </c>
      <c r="R35" s="3">
        <f t="shared" si="30"/>
        <v>0</v>
      </c>
      <c r="S35" s="3">
        <f t="shared" si="30"/>
        <v>0</v>
      </c>
      <c r="T35" s="3">
        <f t="shared" si="30"/>
        <v>0</v>
      </c>
      <c r="U35" s="3">
        <f t="shared" si="30"/>
        <v>0</v>
      </c>
      <c r="V35" s="3">
        <f t="shared" si="30"/>
        <v>0</v>
      </c>
      <c r="W35" s="3">
        <f t="shared" si="30"/>
        <v>0</v>
      </c>
      <c r="X35" s="3">
        <f t="shared" si="30"/>
        <v>0</v>
      </c>
      <c r="Y35" s="3">
        <f t="shared" si="30"/>
        <v>0</v>
      </c>
      <c r="Z35" s="3">
        <f t="shared" si="30"/>
        <v>0</v>
      </c>
      <c r="AA35" s="3">
        <f t="shared" si="30"/>
        <v>0</v>
      </c>
      <c r="AB35" s="3">
        <f t="shared" si="30"/>
        <v>0</v>
      </c>
      <c r="AC35" s="3">
        <f t="shared" si="30"/>
        <v>0</v>
      </c>
      <c r="AD35" s="3">
        <f t="shared" si="30"/>
        <v>0</v>
      </c>
      <c r="AE35" s="3">
        <f t="shared" si="30"/>
        <v>0</v>
      </c>
      <c r="AF35" s="3">
        <f t="shared" si="30"/>
        <v>0</v>
      </c>
      <c r="AG35" s="3">
        <f t="shared" si="30"/>
        <v>0</v>
      </c>
      <c r="AH35" s="3">
        <f t="shared" si="30"/>
        <v>0</v>
      </c>
      <c r="AI35" s="3">
        <f t="shared" si="30"/>
        <v>0</v>
      </c>
      <c r="AJ35" s="3">
        <f t="shared" si="30"/>
        <v>0</v>
      </c>
      <c r="AK35" s="3">
        <f t="shared" si="30"/>
        <v>0</v>
      </c>
      <c r="AL35" s="3">
        <f t="shared" si="30"/>
        <v>0</v>
      </c>
      <c r="AM35" s="3">
        <f t="shared" si="30"/>
        <v>0</v>
      </c>
      <c r="AN35" s="3">
        <f t="shared" si="30"/>
        <v>0</v>
      </c>
      <c r="AO35" s="3">
        <f t="shared" si="30"/>
        <v>0</v>
      </c>
      <c r="AP35" s="3">
        <f t="shared" si="30"/>
        <v>0</v>
      </c>
      <c r="AQ35" s="3">
        <f t="shared" si="30"/>
        <v>0</v>
      </c>
      <c r="AR35" s="3">
        <f t="shared" si="30"/>
        <v>0</v>
      </c>
      <c r="AS35" s="3">
        <f t="shared" si="30"/>
        <v>0</v>
      </c>
      <c r="AT35" s="3">
        <f t="shared" si="30"/>
        <v>0</v>
      </c>
      <c r="AU35" s="3">
        <f t="shared" si="30"/>
        <v>0</v>
      </c>
      <c r="AV35" s="3">
        <f t="shared" si="30"/>
        <v>0</v>
      </c>
      <c r="AW35" s="3">
        <f t="shared" si="30"/>
        <v>0</v>
      </c>
      <c r="AX35" s="3">
        <f t="shared" si="30"/>
        <v>0</v>
      </c>
      <c r="AY35" s="3">
        <f t="shared" si="30"/>
        <v>0</v>
      </c>
      <c r="AZ35" s="3">
        <f t="shared" si="30"/>
        <v>0</v>
      </c>
      <c r="BA35" s="3">
        <f t="shared" si="30"/>
        <v>0</v>
      </c>
      <c r="BB35" s="3">
        <f t="shared" si="30"/>
        <v>0</v>
      </c>
      <c r="BC35" s="3">
        <f t="shared" si="30"/>
        <v>0</v>
      </c>
      <c r="BD35" s="3">
        <f t="shared" si="30"/>
        <v>0</v>
      </c>
      <c r="BE35" s="3">
        <f t="shared" si="30"/>
        <v>0</v>
      </c>
      <c r="BF35" s="3">
        <f t="shared" si="30"/>
        <v>0</v>
      </c>
      <c r="BG35" s="3">
        <f t="shared" si="30"/>
        <v>0</v>
      </c>
      <c r="BH35" s="3">
        <f t="shared" si="30"/>
        <v>0</v>
      </c>
      <c r="BI35" s="3">
        <f t="shared" si="30"/>
        <v>0</v>
      </c>
      <c r="BJ35" s="3">
        <f t="shared" si="30"/>
        <v>0</v>
      </c>
      <c r="BK35" s="3">
        <f t="shared" si="30"/>
        <v>0</v>
      </c>
      <c r="BL35" s="3">
        <f t="shared" si="30"/>
        <v>0</v>
      </c>
      <c r="BM35" s="3">
        <f t="shared" si="30"/>
        <v>0</v>
      </c>
      <c r="BN35" s="3">
        <f t="shared" si="30"/>
        <v>0</v>
      </c>
      <c r="BO35" s="3">
        <f t="shared" si="30"/>
        <v>0</v>
      </c>
      <c r="BP35" s="3">
        <f t="shared" si="30"/>
        <v>0</v>
      </c>
      <c r="BQ35" s="3">
        <f t="shared" ref="BQ35:EB35" si="31">IF(BQ19="Cons",IF(BQ34&gt;=$C$4,0,MIN(BQ29,$C$4)),0)</f>
        <v>0</v>
      </c>
      <c r="BR35" s="3">
        <f t="shared" si="31"/>
        <v>0</v>
      </c>
      <c r="BS35" s="3">
        <f t="shared" si="31"/>
        <v>0</v>
      </c>
      <c r="BT35" s="3">
        <f t="shared" si="31"/>
        <v>0</v>
      </c>
      <c r="BU35" s="3">
        <f t="shared" si="31"/>
        <v>0</v>
      </c>
      <c r="BV35" s="3">
        <f t="shared" si="31"/>
        <v>0</v>
      </c>
      <c r="BW35" s="3">
        <f t="shared" si="31"/>
        <v>0</v>
      </c>
      <c r="BX35" s="3">
        <f t="shared" si="31"/>
        <v>0</v>
      </c>
      <c r="BY35" s="3">
        <f t="shared" si="31"/>
        <v>0</v>
      </c>
      <c r="BZ35" s="3">
        <f t="shared" si="31"/>
        <v>0</v>
      </c>
      <c r="CA35" s="3">
        <f t="shared" si="31"/>
        <v>0</v>
      </c>
      <c r="CB35" s="3">
        <f t="shared" si="31"/>
        <v>0</v>
      </c>
      <c r="CC35" s="3">
        <f t="shared" si="31"/>
        <v>0</v>
      </c>
      <c r="CD35" s="3">
        <f t="shared" si="31"/>
        <v>0</v>
      </c>
      <c r="CE35" s="3">
        <f t="shared" si="31"/>
        <v>0</v>
      </c>
      <c r="CF35" s="3">
        <f t="shared" si="31"/>
        <v>0</v>
      </c>
      <c r="CG35" s="3">
        <f t="shared" si="31"/>
        <v>0</v>
      </c>
      <c r="CH35" s="3">
        <f t="shared" si="31"/>
        <v>0</v>
      </c>
      <c r="CI35" s="3">
        <f t="shared" si="31"/>
        <v>0</v>
      </c>
      <c r="CJ35" s="3">
        <f t="shared" si="31"/>
        <v>0</v>
      </c>
      <c r="CK35" s="3">
        <f t="shared" si="31"/>
        <v>0</v>
      </c>
      <c r="CL35" s="3">
        <f t="shared" si="31"/>
        <v>0</v>
      </c>
      <c r="CM35" s="3">
        <f t="shared" si="31"/>
        <v>0</v>
      </c>
      <c r="CN35" s="3">
        <f t="shared" si="31"/>
        <v>0</v>
      </c>
      <c r="CO35" s="3">
        <f t="shared" si="31"/>
        <v>0</v>
      </c>
      <c r="CP35" s="3">
        <f t="shared" si="31"/>
        <v>0</v>
      </c>
      <c r="CQ35" s="3">
        <f t="shared" si="31"/>
        <v>0</v>
      </c>
      <c r="CR35" s="3">
        <f t="shared" si="31"/>
        <v>0</v>
      </c>
      <c r="CS35" s="3">
        <f t="shared" si="31"/>
        <v>0</v>
      </c>
      <c r="CT35" s="3">
        <f t="shared" si="31"/>
        <v>0</v>
      </c>
      <c r="CU35" s="3">
        <f t="shared" si="31"/>
        <v>0</v>
      </c>
      <c r="CV35" s="3">
        <f t="shared" si="31"/>
        <v>0</v>
      </c>
      <c r="CW35" s="3">
        <f t="shared" si="31"/>
        <v>0</v>
      </c>
      <c r="CX35" s="3">
        <f t="shared" si="31"/>
        <v>0</v>
      </c>
      <c r="CY35" s="3">
        <f t="shared" si="31"/>
        <v>0</v>
      </c>
      <c r="CZ35" s="3">
        <f t="shared" si="31"/>
        <v>0</v>
      </c>
      <c r="DA35" s="3">
        <f t="shared" si="31"/>
        <v>0</v>
      </c>
      <c r="DB35" s="3">
        <f t="shared" si="31"/>
        <v>0</v>
      </c>
      <c r="DC35" s="3">
        <f t="shared" si="31"/>
        <v>0</v>
      </c>
      <c r="DD35" s="3">
        <f t="shared" si="31"/>
        <v>0</v>
      </c>
      <c r="DE35" s="3">
        <f t="shared" si="31"/>
        <v>0</v>
      </c>
      <c r="DF35" s="3">
        <f t="shared" si="31"/>
        <v>0</v>
      </c>
      <c r="DG35" s="3">
        <f t="shared" si="31"/>
        <v>0</v>
      </c>
      <c r="DH35" s="3">
        <f t="shared" si="31"/>
        <v>0</v>
      </c>
      <c r="DI35" s="3">
        <f t="shared" si="31"/>
        <v>0</v>
      </c>
      <c r="DJ35" s="3">
        <f t="shared" si="31"/>
        <v>0</v>
      </c>
      <c r="DK35" s="3">
        <f t="shared" si="31"/>
        <v>0</v>
      </c>
      <c r="DL35" s="3">
        <f t="shared" si="31"/>
        <v>0</v>
      </c>
      <c r="DM35" s="3">
        <f t="shared" si="31"/>
        <v>0</v>
      </c>
      <c r="DN35" s="3">
        <f t="shared" si="31"/>
        <v>0</v>
      </c>
      <c r="DO35" s="3">
        <f t="shared" si="31"/>
        <v>0</v>
      </c>
      <c r="DP35" s="3">
        <f t="shared" si="31"/>
        <v>0</v>
      </c>
      <c r="DQ35" s="3">
        <f t="shared" si="31"/>
        <v>0</v>
      </c>
      <c r="DR35" s="3">
        <f t="shared" si="31"/>
        <v>0</v>
      </c>
      <c r="DS35" s="3">
        <f t="shared" si="31"/>
        <v>0</v>
      </c>
      <c r="DT35" s="3">
        <f t="shared" si="31"/>
        <v>0</v>
      </c>
      <c r="DU35" s="3">
        <f t="shared" si="31"/>
        <v>0</v>
      </c>
      <c r="DV35" s="3">
        <f t="shared" si="31"/>
        <v>0</v>
      </c>
      <c r="DW35" s="3">
        <f t="shared" si="31"/>
        <v>0</v>
      </c>
      <c r="DX35" s="3">
        <f t="shared" si="31"/>
        <v>0</v>
      </c>
      <c r="DY35" s="3">
        <f t="shared" si="31"/>
        <v>0</v>
      </c>
      <c r="DZ35" s="3">
        <f t="shared" si="31"/>
        <v>0</v>
      </c>
      <c r="EA35" s="3">
        <f t="shared" si="31"/>
        <v>0</v>
      </c>
      <c r="EB35" s="3">
        <f t="shared" si="31"/>
        <v>0</v>
      </c>
      <c r="EC35" s="3">
        <f t="shared" ref="EC35:GN35" si="32">IF(EC19="Cons",IF(EC34&gt;=$C$4,0,MIN(EC29,$C$4)),0)</f>
        <v>0</v>
      </c>
      <c r="ED35" s="3">
        <f t="shared" si="32"/>
        <v>0</v>
      </c>
      <c r="EE35" s="3">
        <f t="shared" si="32"/>
        <v>0</v>
      </c>
      <c r="EF35" s="3">
        <f t="shared" si="32"/>
        <v>0</v>
      </c>
      <c r="EG35" s="3">
        <f t="shared" si="32"/>
        <v>0</v>
      </c>
      <c r="EH35" s="3">
        <f t="shared" si="32"/>
        <v>0</v>
      </c>
      <c r="EI35" s="3">
        <f t="shared" si="32"/>
        <v>0</v>
      </c>
      <c r="EJ35" s="3">
        <f t="shared" si="32"/>
        <v>0</v>
      </c>
      <c r="EK35" s="3">
        <f t="shared" si="32"/>
        <v>0</v>
      </c>
      <c r="EL35" s="3">
        <f t="shared" si="32"/>
        <v>0</v>
      </c>
      <c r="EM35" s="3">
        <f t="shared" si="32"/>
        <v>0</v>
      </c>
      <c r="EN35" s="3">
        <f t="shared" si="32"/>
        <v>0</v>
      </c>
      <c r="EO35" s="3">
        <f t="shared" si="32"/>
        <v>0</v>
      </c>
      <c r="EP35" s="3">
        <f t="shared" si="32"/>
        <v>0</v>
      </c>
      <c r="EQ35" s="3">
        <f t="shared" si="32"/>
        <v>0</v>
      </c>
      <c r="ER35" s="3">
        <f t="shared" si="32"/>
        <v>0</v>
      </c>
      <c r="ES35" s="3">
        <f t="shared" si="32"/>
        <v>0</v>
      </c>
      <c r="ET35" s="3">
        <f t="shared" si="32"/>
        <v>0</v>
      </c>
      <c r="EU35" s="3">
        <f t="shared" si="32"/>
        <v>0</v>
      </c>
      <c r="EV35" s="3">
        <f t="shared" si="32"/>
        <v>0</v>
      </c>
      <c r="EW35" s="3">
        <f t="shared" si="32"/>
        <v>0</v>
      </c>
      <c r="EX35" s="3">
        <f t="shared" si="32"/>
        <v>0</v>
      </c>
      <c r="EY35" s="3">
        <f t="shared" si="32"/>
        <v>0</v>
      </c>
      <c r="EZ35" s="3">
        <f t="shared" si="32"/>
        <v>0</v>
      </c>
      <c r="FA35" s="3">
        <f t="shared" si="32"/>
        <v>0</v>
      </c>
      <c r="FB35" s="3">
        <f t="shared" si="32"/>
        <v>0</v>
      </c>
      <c r="FC35" s="3">
        <f t="shared" si="32"/>
        <v>0</v>
      </c>
      <c r="FD35" s="3">
        <f t="shared" si="32"/>
        <v>0</v>
      </c>
      <c r="FE35" s="3">
        <f t="shared" si="32"/>
        <v>0</v>
      </c>
      <c r="FF35" s="3">
        <f t="shared" si="32"/>
        <v>0</v>
      </c>
      <c r="FG35" s="3">
        <f t="shared" si="32"/>
        <v>0</v>
      </c>
      <c r="FH35" s="3">
        <f t="shared" si="32"/>
        <v>0</v>
      </c>
      <c r="FI35" s="3">
        <f t="shared" si="32"/>
        <v>0</v>
      </c>
      <c r="FJ35" s="3">
        <f t="shared" si="32"/>
        <v>0</v>
      </c>
      <c r="FK35" s="3">
        <f t="shared" si="32"/>
        <v>0</v>
      </c>
      <c r="FL35" s="3">
        <f t="shared" si="32"/>
        <v>0</v>
      </c>
      <c r="FM35" s="3">
        <f t="shared" si="32"/>
        <v>0</v>
      </c>
      <c r="FN35" s="3">
        <f t="shared" si="32"/>
        <v>0</v>
      </c>
      <c r="FO35" s="3">
        <f t="shared" si="32"/>
        <v>0</v>
      </c>
      <c r="FP35" s="3">
        <f t="shared" si="32"/>
        <v>0</v>
      </c>
      <c r="FQ35" s="3">
        <f t="shared" si="32"/>
        <v>0</v>
      </c>
      <c r="FR35" s="3">
        <f t="shared" si="32"/>
        <v>0</v>
      </c>
      <c r="FS35" s="3">
        <f t="shared" si="32"/>
        <v>0</v>
      </c>
      <c r="FT35" s="3">
        <f t="shared" si="32"/>
        <v>0</v>
      </c>
      <c r="FU35" s="3">
        <f t="shared" si="32"/>
        <v>0</v>
      </c>
      <c r="FV35" s="3">
        <f t="shared" si="32"/>
        <v>0</v>
      </c>
      <c r="FW35" s="3">
        <f t="shared" si="32"/>
        <v>0</v>
      </c>
      <c r="FX35" s="3">
        <f t="shared" si="32"/>
        <v>0</v>
      </c>
      <c r="FY35" s="3">
        <f t="shared" si="32"/>
        <v>0</v>
      </c>
      <c r="FZ35" s="3">
        <f t="shared" si="32"/>
        <v>0</v>
      </c>
      <c r="GA35" s="3">
        <f t="shared" si="32"/>
        <v>0</v>
      </c>
      <c r="GB35" s="3">
        <f t="shared" si="32"/>
        <v>0</v>
      </c>
      <c r="GC35" s="3">
        <f t="shared" si="32"/>
        <v>0</v>
      </c>
      <c r="GD35" s="3">
        <f t="shared" si="32"/>
        <v>0</v>
      </c>
      <c r="GE35" s="3">
        <f t="shared" si="32"/>
        <v>0</v>
      </c>
      <c r="GF35" s="3">
        <f t="shared" si="32"/>
        <v>0</v>
      </c>
      <c r="GG35" s="3">
        <f t="shared" si="32"/>
        <v>0</v>
      </c>
      <c r="GH35" s="3">
        <f t="shared" si="32"/>
        <v>0</v>
      </c>
      <c r="GI35" s="3">
        <f t="shared" si="32"/>
        <v>0</v>
      </c>
      <c r="GJ35" s="3">
        <f t="shared" si="32"/>
        <v>0</v>
      </c>
      <c r="GK35" s="3">
        <f t="shared" si="32"/>
        <v>0</v>
      </c>
      <c r="GL35" s="3">
        <f t="shared" si="32"/>
        <v>0</v>
      </c>
      <c r="GM35" s="3">
        <f t="shared" si="32"/>
        <v>0</v>
      </c>
      <c r="GN35" s="3">
        <f t="shared" si="32"/>
        <v>0</v>
      </c>
      <c r="GO35" s="3">
        <f t="shared" ref="GO35:IC35" si="33">IF(GO19="Cons",IF(GO34&gt;=$C$4,0,MIN(GO29,$C$4)),0)</f>
        <v>0</v>
      </c>
      <c r="GP35" s="3">
        <f t="shared" si="33"/>
        <v>0</v>
      </c>
      <c r="GQ35" s="3">
        <f t="shared" si="33"/>
        <v>0</v>
      </c>
      <c r="GR35" s="3">
        <f t="shared" si="33"/>
        <v>0</v>
      </c>
      <c r="GS35" s="3">
        <f t="shared" si="33"/>
        <v>0</v>
      </c>
      <c r="GT35" s="3">
        <f t="shared" si="33"/>
        <v>0</v>
      </c>
      <c r="GU35" s="3">
        <f t="shared" si="33"/>
        <v>0</v>
      </c>
      <c r="GV35" s="3">
        <f t="shared" si="33"/>
        <v>0</v>
      </c>
      <c r="GW35" s="3">
        <f t="shared" si="33"/>
        <v>0</v>
      </c>
      <c r="GX35" s="3">
        <f t="shared" si="33"/>
        <v>0</v>
      </c>
      <c r="GY35" s="3">
        <f t="shared" si="33"/>
        <v>0</v>
      </c>
      <c r="GZ35" s="3">
        <f t="shared" si="33"/>
        <v>0</v>
      </c>
      <c r="HA35" s="3">
        <f t="shared" si="33"/>
        <v>0</v>
      </c>
      <c r="HB35" s="3">
        <f t="shared" si="33"/>
        <v>0</v>
      </c>
      <c r="HC35" s="3">
        <f t="shared" si="33"/>
        <v>0</v>
      </c>
      <c r="HD35" s="3">
        <f t="shared" si="33"/>
        <v>0</v>
      </c>
      <c r="HE35" s="3">
        <f t="shared" si="33"/>
        <v>0</v>
      </c>
      <c r="HF35" s="3">
        <f t="shared" si="33"/>
        <v>0</v>
      </c>
      <c r="HG35" s="3">
        <f t="shared" si="33"/>
        <v>0</v>
      </c>
      <c r="HH35" s="3">
        <f t="shared" si="33"/>
        <v>0</v>
      </c>
      <c r="HI35" s="3">
        <f t="shared" si="33"/>
        <v>0</v>
      </c>
      <c r="HJ35" s="3">
        <f t="shared" si="33"/>
        <v>0</v>
      </c>
      <c r="HK35" s="3">
        <f t="shared" si="33"/>
        <v>0</v>
      </c>
      <c r="HL35" s="3">
        <f t="shared" si="33"/>
        <v>0</v>
      </c>
      <c r="HM35" s="3">
        <f t="shared" si="33"/>
        <v>0</v>
      </c>
      <c r="HN35" s="3">
        <f t="shared" si="33"/>
        <v>0</v>
      </c>
      <c r="HO35" s="3">
        <f t="shared" si="33"/>
        <v>0</v>
      </c>
      <c r="HP35" s="3">
        <f t="shared" si="33"/>
        <v>0</v>
      </c>
      <c r="HQ35" s="3">
        <f t="shared" si="33"/>
        <v>0</v>
      </c>
      <c r="HR35" s="3">
        <f t="shared" si="33"/>
        <v>0</v>
      </c>
      <c r="HS35" s="3">
        <f t="shared" si="33"/>
        <v>0</v>
      </c>
      <c r="HT35" s="3">
        <f t="shared" si="33"/>
        <v>0</v>
      </c>
      <c r="HU35" s="3">
        <f t="shared" si="33"/>
        <v>0</v>
      </c>
      <c r="HV35" s="3">
        <f t="shared" si="33"/>
        <v>0</v>
      </c>
      <c r="HW35" s="3">
        <f t="shared" si="33"/>
        <v>0</v>
      </c>
      <c r="HX35" s="3">
        <f t="shared" si="33"/>
        <v>0</v>
      </c>
      <c r="HY35" s="3">
        <f t="shared" si="33"/>
        <v>0</v>
      </c>
      <c r="HZ35" s="3">
        <f t="shared" si="33"/>
        <v>0</v>
      </c>
      <c r="IA35" s="3">
        <f t="shared" si="33"/>
        <v>0</v>
      </c>
      <c r="IB35" s="3">
        <f t="shared" si="33"/>
        <v>0</v>
      </c>
      <c r="IC35" s="3">
        <f t="shared" si="33"/>
        <v>0</v>
      </c>
    </row>
    <row r="36" spans="1:237" x14ac:dyDescent="0.3">
      <c r="B36" t="s">
        <v>45</v>
      </c>
      <c r="C36" s="72">
        <f ca="1">C35+C34</f>
        <v>5.4166044222212155E-11</v>
      </c>
      <c r="D36" s="72">
        <f t="shared" ref="D36:BO36" ca="1" si="34">D35+D34</f>
        <v>1.0833208844442387E-10</v>
      </c>
      <c r="E36" s="72">
        <f t="shared" ca="1" si="34"/>
        <v>1.0833208844442387E-10</v>
      </c>
      <c r="F36" s="72">
        <f t="shared" ca="1" si="34"/>
        <v>1.0833208844442431E-10</v>
      </c>
      <c r="G36" s="72">
        <f t="shared" ca="1" si="34"/>
        <v>1.0833208844442387E-10</v>
      </c>
      <c r="H36" s="72">
        <f t="shared" ca="1" si="34"/>
        <v>1.08332088444423E-10</v>
      </c>
      <c r="I36" s="72">
        <f t="shared" ca="1" si="34"/>
        <v>1.0833208844442299E-10</v>
      </c>
      <c r="J36" s="72">
        <f t="shared" ca="1" si="34"/>
        <v>1.0833208844442431E-10</v>
      </c>
      <c r="K36" s="72">
        <f t="shared" ca="1" si="34"/>
        <v>1.0833208844442387E-10</v>
      </c>
      <c r="L36" s="72">
        <f t="shared" ca="1" si="34"/>
        <v>1.08332088444423E-10</v>
      </c>
      <c r="M36" s="72">
        <f t="shared" ca="1" si="34"/>
        <v>1.08332088444423E-10</v>
      </c>
      <c r="N36" s="72">
        <f t="shared" ca="1" si="34"/>
        <v>1.0833208844442302E-10</v>
      </c>
      <c r="O36" s="72">
        <f t="shared" ca="1" si="34"/>
        <v>1.0833208844442216E-10</v>
      </c>
      <c r="P36" s="72">
        <f t="shared" ca="1" si="34"/>
        <v>1.0833208844442128E-10</v>
      </c>
      <c r="Q36" s="72">
        <f t="shared" si="34"/>
        <v>0</v>
      </c>
      <c r="R36" s="72">
        <f t="shared" si="34"/>
        <v>0</v>
      </c>
      <c r="S36" s="72">
        <f t="shared" si="34"/>
        <v>0</v>
      </c>
      <c r="T36" s="72">
        <f t="shared" si="34"/>
        <v>0</v>
      </c>
      <c r="U36" s="72">
        <f t="shared" si="34"/>
        <v>0</v>
      </c>
      <c r="V36" s="72">
        <f t="shared" si="34"/>
        <v>0</v>
      </c>
      <c r="W36" s="72">
        <f t="shared" si="34"/>
        <v>0</v>
      </c>
      <c r="X36" s="72">
        <f t="shared" si="34"/>
        <v>0</v>
      </c>
      <c r="Y36" s="72">
        <f t="shared" si="34"/>
        <v>0</v>
      </c>
      <c r="Z36" s="72">
        <f t="shared" si="34"/>
        <v>0</v>
      </c>
      <c r="AA36" s="72">
        <f t="shared" si="34"/>
        <v>0</v>
      </c>
      <c r="AB36" s="72">
        <f t="shared" si="34"/>
        <v>0</v>
      </c>
      <c r="AC36" s="72">
        <f t="shared" si="34"/>
        <v>0</v>
      </c>
      <c r="AD36" s="72">
        <f t="shared" si="34"/>
        <v>0</v>
      </c>
      <c r="AE36" s="72">
        <f t="shared" si="34"/>
        <v>0</v>
      </c>
      <c r="AF36" s="72">
        <f t="shared" si="34"/>
        <v>0</v>
      </c>
      <c r="AG36" s="72">
        <f t="shared" si="34"/>
        <v>0</v>
      </c>
      <c r="AH36" s="72">
        <f t="shared" si="34"/>
        <v>0</v>
      </c>
      <c r="AI36" s="72">
        <f t="shared" si="34"/>
        <v>0</v>
      </c>
      <c r="AJ36" s="72">
        <f t="shared" si="34"/>
        <v>0</v>
      </c>
      <c r="AK36" s="72">
        <f t="shared" si="34"/>
        <v>0</v>
      </c>
      <c r="AL36" s="72">
        <f t="shared" si="34"/>
        <v>0</v>
      </c>
      <c r="AM36" s="72">
        <f t="shared" si="34"/>
        <v>0</v>
      </c>
      <c r="AN36" s="72">
        <f t="shared" si="34"/>
        <v>0</v>
      </c>
      <c r="AO36" s="72">
        <f t="shared" si="34"/>
        <v>0</v>
      </c>
      <c r="AP36" s="72">
        <f t="shared" si="34"/>
        <v>0</v>
      </c>
      <c r="AQ36" s="72">
        <f t="shared" si="34"/>
        <v>0</v>
      </c>
      <c r="AR36" s="72">
        <f t="shared" si="34"/>
        <v>0</v>
      </c>
      <c r="AS36" s="72">
        <f t="shared" si="34"/>
        <v>0</v>
      </c>
      <c r="AT36" s="72">
        <f t="shared" si="34"/>
        <v>0</v>
      </c>
      <c r="AU36" s="72">
        <f t="shared" si="34"/>
        <v>0</v>
      </c>
      <c r="AV36" s="72">
        <f t="shared" si="34"/>
        <v>0</v>
      </c>
      <c r="AW36" s="72">
        <f t="shared" si="34"/>
        <v>0</v>
      </c>
      <c r="AX36" s="72">
        <f t="shared" si="34"/>
        <v>0</v>
      </c>
      <c r="AY36" s="72">
        <f t="shared" si="34"/>
        <v>0</v>
      </c>
      <c r="AZ36" s="72">
        <f t="shared" si="34"/>
        <v>0</v>
      </c>
      <c r="BA36" s="72">
        <f t="shared" si="34"/>
        <v>0</v>
      </c>
      <c r="BB36" s="72">
        <f t="shared" si="34"/>
        <v>0</v>
      </c>
      <c r="BC36" s="72">
        <f t="shared" si="34"/>
        <v>0</v>
      </c>
      <c r="BD36" s="72">
        <f t="shared" si="34"/>
        <v>0</v>
      </c>
      <c r="BE36" s="72">
        <f t="shared" si="34"/>
        <v>0</v>
      </c>
      <c r="BF36" s="72">
        <f t="shared" si="34"/>
        <v>0</v>
      </c>
      <c r="BG36" s="72">
        <f t="shared" si="34"/>
        <v>0</v>
      </c>
      <c r="BH36" s="72">
        <f t="shared" si="34"/>
        <v>0</v>
      </c>
      <c r="BI36" s="72">
        <f t="shared" si="34"/>
        <v>0</v>
      </c>
      <c r="BJ36" s="72">
        <f t="shared" si="34"/>
        <v>0</v>
      </c>
      <c r="BK36" s="72">
        <f t="shared" si="34"/>
        <v>0</v>
      </c>
      <c r="BL36" s="72">
        <f t="shared" si="34"/>
        <v>0</v>
      </c>
      <c r="BM36" s="72">
        <f t="shared" si="34"/>
        <v>0</v>
      </c>
      <c r="BN36" s="72">
        <f t="shared" si="34"/>
        <v>0</v>
      </c>
      <c r="BO36" s="72">
        <f t="shared" si="34"/>
        <v>0</v>
      </c>
      <c r="BP36" s="72">
        <f t="shared" ref="BP36:EA36" si="35">BP35+BP34</f>
        <v>0</v>
      </c>
      <c r="BQ36" s="72">
        <f t="shared" si="35"/>
        <v>0</v>
      </c>
      <c r="BR36" s="72">
        <f t="shared" si="35"/>
        <v>0</v>
      </c>
      <c r="BS36" s="72">
        <f t="shared" si="35"/>
        <v>0</v>
      </c>
      <c r="BT36" s="72">
        <f t="shared" si="35"/>
        <v>0</v>
      </c>
      <c r="BU36" s="72">
        <f t="shared" si="35"/>
        <v>0</v>
      </c>
      <c r="BV36" s="72">
        <f t="shared" si="35"/>
        <v>0</v>
      </c>
      <c r="BW36" s="72">
        <f t="shared" si="35"/>
        <v>0</v>
      </c>
      <c r="BX36" s="72">
        <f t="shared" si="35"/>
        <v>0</v>
      </c>
      <c r="BY36" s="72">
        <f t="shared" si="35"/>
        <v>0</v>
      </c>
      <c r="BZ36" s="72">
        <f t="shared" si="35"/>
        <v>0</v>
      </c>
      <c r="CA36" s="72">
        <f t="shared" si="35"/>
        <v>0</v>
      </c>
      <c r="CB36" s="72">
        <f t="shared" si="35"/>
        <v>0</v>
      </c>
      <c r="CC36" s="72">
        <f t="shared" si="35"/>
        <v>0</v>
      </c>
      <c r="CD36" s="72">
        <f t="shared" si="35"/>
        <v>0</v>
      </c>
      <c r="CE36" s="72">
        <f t="shared" si="35"/>
        <v>0</v>
      </c>
      <c r="CF36" s="72">
        <f t="shared" si="35"/>
        <v>0</v>
      </c>
      <c r="CG36" s="72">
        <f t="shared" si="35"/>
        <v>0</v>
      </c>
      <c r="CH36" s="72">
        <f t="shared" si="35"/>
        <v>0</v>
      </c>
      <c r="CI36" s="72">
        <f t="shared" si="35"/>
        <v>0</v>
      </c>
      <c r="CJ36" s="72">
        <f t="shared" si="35"/>
        <v>0</v>
      </c>
      <c r="CK36" s="72">
        <f t="shared" si="35"/>
        <v>0</v>
      </c>
      <c r="CL36" s="72">
        <f t="shared" si="35"/>
        <v>0</v>
      </c>
      <c r="CM36" s="72">
        <f t="shared" si="35"/>
        <v>0</v>
      </c>
      <c r="CN36" s="72">
        <f t="shared" si="35"/>
        <v>0</v>
      </c>
      <c r="CO36" s="72">
        <f t="shared" si="35"/>
        <v>0</v>
      </c>
      <c r="CP36" s="72">
        <f t="shared" si="35"/>
        <v>0</v>
      </c>
      <c r="CQ36" s="72">
        <f t="shared" si="35"/>
        <v>0</v>
      </c>
      <c r="CR36" s="72">
        <f t="shared" si="35"/>
        <v>0</v>
      </c>
      <c r="CS36" s="72">
        <f t="shared" si="35"/>
        <v>0</v>
      </c>
      <c r="CT36" s="72">
        <f t="shared" si="35"/>
        <v>0</v>
      </c>
      <c r="CU36" s="72">
        <f t="shared" si="35"/>
        <v>0</v>
      </c>
      <c r="CV36" s="72">
        <f t="shared" si="35"/>
        <v>0</v>
      </c>
      <c r="CW36" s="72">
        <f t="shared" si="35"/>
        <v>0</v>
      </c>
      <c r="CX36" s="72">
        <f t="shared" si="35"/>
        <v>0</v>
      </c>
      <c r="CY36" s="72">
        <f t="shared" si="35"/>
        <v>0</v>
      </c>
      <c r="CZ36" s="72">
        <f t="shared" si="35"/>
        <v>0</v>
      </c>
      <c r="DA36" s="72">
        <f t="shared" si="35"/>
        <v>0</v>
      </c>
      <c r="DB36" s="72">
        <f t="shared" si="35"/>
        <v>0</v>
      </c>
      <c r="DC36" s="72">
        <f t="shared" si="35"/>
        <v>0</v>
      </c>
      <c r="DD36" s="72">
        <f t="shared" si="35"/>
        <v>0</v>
      </c>
      <c r="DE36" s="72">
        <f t="shared" si="35"/>
        <v>0</v>
      </c>
      <c r="DF36" s="72">
        <f t="shared" si="35"/>
        <v>0</v>
      </c>
      <c r="DG36" s="72">
        <f t="shared" si="35"/>
        <v>0</v>
      </c>
      <c r="DH36" s="72">
        <f t="shared" si="35"/>
        <v>0</v>
      </c>
      <c r="DI36" s="72">
        <f t="shared" si="35"/>
        <v>0</v>
      </c>
      <c r="DJ36" s="72">
        <f t="shared" si="35"/>
        <v>0</v>
      </c>
      <c r="DK36" s="72">
        <f t="shared" si="35"/>
        <v>0</v>
      </c>
      <c r="DL36" s="72">
        <f t="shared" si="35"/>
        <v>0</v>
      </c>
      <c r="DM36" s="72">
        <f t="shared" si="35"/>
        <v>0</v>
      </c>
      <c r="DN36" s="72">
        <f t="shared" si="35"/>
        <v>0</v>
      </c>
      <c r="DO36" s="72">
        <f t="shared" si="35"/>
        <v>0</v>
      </c>
      <c r="DP36" s="72">
        <f t="shared" si="35"/>
        <v>0</v>
      </c>
      <c r="DQ36" s="72">
        <f t="shared" si="35"/>
        <v>0</v>
      </c>
      <c r="DR36" s="72">
        <f t="shared" si="35"/>
        <v>0</v>
      </c>
      <c r="DS36" s="72">
        <f t="shared" si="35"/>
        <v>0</v>
      </c>
      <c r="DT36" s="72">
        <f t="shared" si="35"/>
        <v>0</v>
      </c>
      <c r="DU36" s="72">
        <f t="shared" si="35"/>
        <v>0</v>
      </c>
      <c r="DV36" s="72">
        <f t="shared" si="35"/>
        <v>0</v>
      </c>
      <c r="DW36" s="72">
        <f t="shared" si="35"/>
        <v>0</v>
      </c>
      <c r="DX36" s="72">
        <f t="shared" si="35"/>
        <v>0</v>
      </c>
      <c r="DY36" s="72">
        <f t="shared" si="35"/>
        <v>0</v>
      </c>
      <c r="DZ36" s="72">
        <f t="shared" si="35"/>
        <v>0</v>
      </c>
      <c r="EA36" s="72">
        <f t="shared" si="35"/>
        <v>0</v>
      </c>
      <c r="EB36" s="72">
        <f t="shared" ref="EB36:GM36" si="36">EB35+EB34</f>
        <v>0</v>
      </c>
      <c r="EC36" s="72">
        <f t="shared" si="36"/>
        <v>0</v>
      </c>
      <c r="ED36" s="72">
        <f t="shared" si="36"/>
        <v>0</v>
      </c>
      <c r="EE36" s="72">
        <f t="shared" si="36"/>
        <v>0</v>
      </c>
      <c r="EF36" s="72">
        <f t="shared" si="36"/>
        <v>0</v>
      </c>
      <c r="EG36" s="72">
        <f t="shared" si="36"/>
        <v>0</v>
      </c>
      <c r="EH36" s="72">
        <f t="shared" si="36"/>
        <v>0</v>
      </c>
      <c r="EI36" s="72">
        <f t="shared" si="36"/>
        <v>0</v>
      </c>
      <c r="EJ36" s="72">
        <f t="shared" si="36"/>
        <v>0</v>
      </c>
      <c r="EK36" s="72">
        <f t="shared" si="36"/>
        <v>0</v>
      </c>
      <c r="EL36" s="72">
        <f t="shared" si="36"/>
        <v>0</v>
      </c>
      <c r="EM36" s="72">
        <f t="shared" si="36"/>
        <v>0</v>
      </c>
      <c r="EN36" s="72">
        <f t="shared" si="36"/>
        <v>0</v>
      </c>
      <c r="EO36" s="72">
        <f t="shared" si="36"/>
        <v>0</v>
      </c>
      <c r="EP36" s="72">
        <f t="shared" si="36"/>
        <v>0</v>
      </c>
      <c r="EQ36" s="72">
        <f t="shared" si="36"/>
        <v>0</v>
      </c>
      <c r="ER36" s="72">
        <f t="shared" si="36"/>
        <v>0</v>
      </c>
      <c r="ES36" s="72">
        <f t="shared" si="36"/>
        <v>0</v>
      </c>
      <c r="ET36" s="72">
        <f t="shared" si="36"/>
        <v>0</v>
      </c>
      <c r="EU36" s="72">
        <f t="shared" si="36"/>
        <v>0</v>
      </c>
      <c r="EV36" s="72">
        <f t="shared" si="36"/>
        <v>0</v>
      </c>
      <c r="EW36" s="72">
        <f t="shared" si="36"/>
        <v>0</v>
      </c>
      <c r="EX36" s="72">
        <f t="shared" si="36"/>
        <v>0</v>
      </c>
      <c r="EY36" s="72">
        <f t="shared" si="36"/>
        <v>0</v>
      </c>
      <c r="EZ36" s="72">
        <f t="shared" si="36"/>
        <v>0</v>
      </c>
      <c r="FA36" s="72">
        <f t="shared" si="36"/>
        <v>0</v>
      </c>
      <c r="FB36" s="72">
        <f t="shared" si="36"/>
        <v>0</v>
      </c>
      <c r="FC36" s="72">
        <f t="shared" si="36"/>
        <v>0</v>
      </c>
      <c r="FD36" s="72">
        <f t="shared" si="36"/>
        <v>0</v>
      </c>
      <c r="FE36" s="72">
        <f t="shared" si="36"/>
        <v>0</v>
      </c>
      <c r="FF36" s="72">
        <f t="shared" si="36"/>
        <v>0</v>
      </c>
      <c r="FG36" s="72">
        <f t="shared" si="36"/>
        <v>0</v>
      </c>
      <c r="FH36" s="72">
        <f t="shared" si="36"/>
        <v>0</v>
      </c>
      <c r="FI36" s="72">
        <f t="shared" si="36"/>
        <v>0</v>
      </c>
      <c r="FJ36" s="72">
        <f t="shared" si="36"/>
        <v>0</v>
      </c>
      <c r="FK36" s="72">
        <f t="shared" si="36"/>
        <v>0</v>
      </c>
      <c r="FL36" s="72">
        <f t="shared" si="36"/>
        <v>0</v>
      </c>
      <c r="FM36" s="72">
        <f t="shared" si="36"/>
        <v>0</v>
      </c>
      <c r="FN36" s="72">
        <f t="shared" si="36"/>
        <v>0</v>
      </c>
      <c r="FO36" s="72">
        <f t="shared" si="36"/>
        <v>0</v>
      </c>
      <c r="FP36" s="72">
        <f t="shared" si="36"/>
        <v>0</v>
      </c>
      <c r="FQ36" s="72">
        <f t="shared" si="36"/>
        <v>0</v>
      </c>
      <c r="FR36" s="72">
        <f t="shared" si="36"/>
        <v>0</v>
      </c>
      <c r="FS36" s="72">
        <f t="shared" si="36"/>
        <v>0</v>
      </c>
      <c r="FT36" s="72">
        <f t="shared" si="36"/>
        <v>0</v>
      </c>
      <c r="FU36" s="72">
        <f t="shared" si="36"/>
        <v>0</v>
      </c>
      <c r="FV36" s="72">
        <f t="shared" si="36"/>
        <v>0</v>
      </c>
      <c r="FW36" s="72">
        <f t="shared" si="36"/>
        <v>0</v>
      </c>
      <c r="FX36" s="72">
        <f t="shared" si="36"/>
        <v>0</v>
      </c>
      <c r="FY36" s="72">
        <f t="shared" si="36"/>
        <v>0</v>
      </c>
      <c r="FZ36" s="72">
        <f t="shared" si="36"/>
        <v>0</v>
      </c>
      <c r="GA36" s="72">
        <f t="shared" si="36"/>
        <v>0</v>
      </c>
      <c r="GB36" s="72">
        <f t="shared" si="36"/>
        <v>0</v>
      </c>
      <c r="GC36" s="72">
        <f t="shared" si="36"/>
        <v>0</v>
      </c>
      <c r="GD36" s="72">
        <f t="shared" si="36"/>
        <v>0</v>
      </c>
      <c r="GE36" s="72">
        <f t="shared" si="36"/>
        <v>0</v>
      </c>
      <c r="GF36" s="72">
        <f t="shared" si="36"/>
        <v>0</v>
      </c>
      <c r="GG36" s="72">
        <f t="shared" si="36"/>
        <v>0</v>
      </c>
      <c r="GH36" s="72">
        <f t="shared" si="36"/>
        <v>0</v>
      </c>
      <c r="GI36" s="72">
        <f t="shared" si="36"/>
        <v>0</v>
      </c>
      <c r="GJ36" s="72">
        <f t="shared" si="36"/>
        <v>0</v>
      </c>
      <c r="GK36" s="72">
        <f t="shared" si="36"/>
        <v>0</v>
      </c>
      <c r="GL36" s="72">
        <f t="shared" si="36"/>
        <v>0</v>
      </c>
      <c r="GM36" s="72">
        <f t="shared" si="36"/>
        <v>0</v>
      </c>
      <c r="GN36" s="72">
        <f t="shared" ref="GN36:IC36" si="37">GN35+GN34</f>
        <v>0</v>
      </c>
      <c r="GO36" s="72">
        <f t="shared" si="37"/>
        <v>0</v>
      </c>
      <c r="GP36" s="72">
        <f t="shared" si="37"/>
        <v>0</v>
      </c>
      <c r="GQ36" s="72">
        <f t="shared" si="37"/>
        <v>0</v>
      </c>
      <c r="GR36" s="72">
        <f t="shared" si="37"/>
        <v>0</v>
      </c>
      <c r="GS36" s="72">
        <f t="shared" si="37"/>
        <v>0</v>
      </c>
      <c r="GT36" s="72">
        <f t="shared" si="37"/>
        <v>0</v>
      </c>
      <c r="GU36" s="72">
        <f t="shared" si="37"/>
        <v>0</v>
      </c>
      <c r="GV36" s="72">
        <f t="shared" si="37"/>
        <v>0</v>
      </c>
      <c r="GW36" s="72">
        <f t="shared" si="37"/>
        <v>0</v>
      </c>
      <c r="GX36" s="72">
        <f t="shared" si="37"/>
        <v>0</v>
      </c>
      <c r="GY36" s="72">
        <f t="shared" si="37"/>
        <v>0</v>
      </c>
      <c r="GZ36" s="72">
        <f t="shared" si="37"/>
        <v>0</v>
      </c>
      <c r="HA36" s="72">
        <f t="shared" si="37"/>
        <v>0</v>
      </c>
      <c r="HB36" s="72">
        <f t="shared" si="37"/>
        <v>0</v>
      </c>
      <c r="HC36" s="72">
        <f t="shared" si="37"/>
        <v>0</v>
      </c>
      <c r="HD36" s="72">
        <f t="shared" si="37"/>
        <v>0</v>
      </c>
      <c r="HE36" s="72">
        <f t="shared" si="37"/>
        <v>0</v>
      </c>
      <c r="HF36" s="72">
        <f t="shared" si="37"/>
        <v>0</v>
      </c>
      <c r="HG36" s="72">
        <f t="shared" si="37"/>
        <v>0</v>
      </c>
      <c r="HH36" s="72">
        <f t="shared" si="37"/>
        <v>0</v>
      </c>
      <c r="HI36" s="72">
        <f t="shared" si="37"/>
        <v>0</v>
      </c>
      <c r="HJ36" s="72">
        <f t="shared" si="37"/>
        <v>0</v>
      </c>
      <c r="HK36" s="72">
        <f t="shared" si="37"/>
        <v>0</v>
      </c>
      <c r="HL36" s="72">
        <f t="shared" si="37"/>
        <v>0</v>
      </c>
      <c r="HM36" s="72">
        <f t="shared" si="37"/>
        <v>0</v>
      </c>
      <c r="HN36" s="72">
        <f t="shared" si="37"/>
        <v>0</v>
      </c>
      <c r="HO36" s="72">
        <f t="shared" si="37"/>
        <v>0</v>
      </c>
      <c r="HP36" s="72">
        <f t="shared" si="37"/>
        <v>0</v>
      </c>
      <c r="HQ36" s="72">
        <f t="shared" si="37"/>
        <v>0</v>
      </c>
      <c r="HR36" s="72">
        <f t="shared" si="37"/>
        <v>0</v>
      </c>
      <c r="HS36" s="72">
        <f t="shared" si="37"/>
        <v>0</v>
      </c>
      <c r="HT36" s="72">
        <f t="shared" si="37"/>
        <v>0</v>
      </c>
      <c r="HU36" s="72">
        <f t="shared" si="37"/>
        <v>0</v>
      </c>
      <c r="HV36" s="72">
        <f t="shared" si="37"/>
        <v>0</v>
      </c>
      <c r="HW36" s="72">
        <f t="shared" si="37"/>
        <v>0</v>
      </c>
      <c r="HX36" s="72">
        <f t="shared" si="37"/>
        <v>0</v>
      </c>
      <c r="HY36" s="72">
        <f t="shared" si="37"/>
        <v>0</v>
      </c>
      <c r="HZ36" s="72">
        <f t="shared" si="37"/>
        <v>0</v>
      </c>
      <c r="IA36" s="72">
        <f t="shared" si="37"/>
        <v>0</v>
      </c>
      <c r="IB36" s="72">
        <f t="shared" si="37"/>
        <v>0</v>
      </c>
      <c r="IC36" s="72">
        <f t="shared" si="37"/>
        <v>0</v>
      </c>
    </row>
    <row r="37" spans="1:23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237" x14ac:dyDescent="0.3">
      <c r="B38" s="70" t="s">
        <v>140</v>
      </c>
      <c r="E38" s="3"/>
      <c r="F38" s="3"/>
      <c r="G38" s="3"/>
    </row>
    <row r="39" spans="1:237" x14ac:dyDescent="0.3">
      <c r="B39" t="s">
        <v>69</v>
      </c>
      <c r="C39">
        <v>0</v>
      </c>
      <c r="D39" s="3">
        <f ca="1">IF(D19="Cons",C41,0)</f>
        <v>15.600952977325248</v>
      </c>
      <c r="E39" s="3">
        <f t="shared" ref="E39:BP39" ca="1" si="38">IF(E19="Cons",D41,0)</f>
        <v>15.901905954704688</v>
      </c>
      <c r="F39" s="3">
        <f t="shared" ca="1" si="38"/>
        <v>16.202858932084098</v>
      </c>
      <c r="G39" s="3">
        <f t="shared" ca="1" si="38"/>
        <v>16.503811909409308</v>
      </c>
      <c r="H39" s="3">
        <f t="shared" ca="1" si="38"/>
        <v>17.307846819588683</v>
      </c>
      <c r="I39" s="3">
        <f t="shared" ca="1" si="38"/>
        <v>18.965843835018127</v>
      </c>
      <c r="J39" s="3">
        <f t="shared" ca="1" si="38"/>
        <v>21.947904312451698</v>
      </c>
      <c r="K39" s="3">
        <f t="shared" ca="1" si="38"/>
        <v>30.35711927857691</v>
      </c>
      <c r="L39" s="3">
        <f t="shared" ca="1" si="38"/>
        <v>35.354272497756291</v>
      </c>
      <c r="M39" s="3">
        <f t="shared" ca="1" si="38"/>
        <v>41.317726981135671</v>
      </c>
      <c r="N39" s="3">
        <f t="shared" ca="1" si="38"/>
        <v>46.393781464515016</v>
      </c>
      <c r="O39" s="3">
        <f t="shared" ca="1" si="38"/>
        <v>48.807635947894333</v>
      </c>
      <c r="P39" s="3">
        <f t="shared" ca="1" si="38"/>
        <v>50.975306591273778</v>
      </c>
      <c r="Q39" s="3">
        <f t="shared" si="38"/>
        <v>0</v>
      </c>
      <c r="R39" s="3">
        <f t="shared" si="38"/>
        <v>0</v>
      </c>
      <c r="S39" s="3">
        <f t="shared" si="38"/>
        <v>0</v>
      </c>
      <c r="T39" s="3">
        <f t="shared" si="38"/>
        <v>0</v>
      </c>
      <c r="U39" s="3">
        <f t="shared" si="38"/>
        <v>0</v>
      </c>
      <c r="V39" s="3">
        <f t="shared" si="38"/>
        <v>0</v>
      </c>
      <c r="W39" s="3">
        <f t="shared" si="38"/>
        <v>0</v>
      </c>
      <c r="X39" s="3">
        <f t="shared" si="38"/>
        <v>0</v>
      </c>
      <c r="Y39" s="3">
        <f t="shared" si="38"/>
        <v>0</v>
      </c>
      <c r="Z39" s="3">
        <f t="shared" si="38"/>
        <v>0</v>
      </c>
      <c r="AA39" s="3">
        <f t="shared" si="38"/>
        <v>0</v>
      </c>
      <c r="AB39" s="3">
        <f t="shared" si="38"/>
        <v>0</v>
      </c>
      <c r="AC39" s="3">
        <f t="shared" si="38"/>
        <v>0</v>
      </c>
      <c r="AD39" s="3">
        <f t="shared" si="38"/>
        <v>0</v>
      </c>
      <c r="AE39" s="3">
        <f t="shared" si="38"/>
        <v>0</v>
      </c>
      <c r="AF39" s="3">
        <f t="shared" si="38"/>
        <v>0</v>
      </c>
      <c r="AG39" s="3">
        <f t="shared" si="38"/>
        <v>0</v>
      </c>
      <c r="AH39" s="3">
        <f t="shared" si="38"/>
        <v>0</v>
      </c>
      <c r="AI39" s="3">
        <f t="shared" si="38"/>
        <v>0</v>
      </c>
      <c r="AJ39" s="3">
        <f t="shared" si="38"/>
        <v>0</v>
      </c>
      <c r="AK39" s="3">
        <f t="shared" si="38"/>
        <v>0</v>
      </c>
      <c r="AL39" s="3">
        <f t="shared" si="38"/>
        <v>0</v>
      </c>
      <c r="AM39" s="3">
        <f t="shared" si="38"/>
        <v>0</v>
      </c>
      <c r="AN39" s="3">
        <f t="shared" si="38"/>
        <v>0</v>
      </c>
      <c r="AO39" s="3">
        <f t="shared" si="38"/>
        <v>0</v>
      </c>
      <c r="AP39" s="3">
        <f t="shared" si="38"/>
        <v>0</v>
      </c>
      <c r="AQ39" s="3">
        <f t="shared" si="38"/>
        <v>0</v>
      </c>
      <c r="AR39" s="3">
        <f t="shared" si="38"/>
        <v>0</v>
      </c>
      <c r="AS39" s="3">
        <f t="shared" si="38"/>
        <v>0</v>
      </c>
      <c r="AT39" s="3">
        <f t="shared" si="38"/>
        <v>0</v>
      </c>
      <c r="AU39" s="3">
        <f t="shared" si="38"/>
        <v>0</v>
      </c>
      <c r="AV39" s="3">
        <f t="shared" si="38"/>
        <v>0</v>
      </c>
      <c r="AW39" s="3">
        <f t="shared" si="38"/>
        <v>0</v>
      </c>
      <c r="AX39" s="3">
        <f t="shared" si="38"/>
        <v>0</v>
      </c>
      <c r="AY39" s="3">
        <f t="shared" si="38"/>
        <v>0</v>
      </c>
      <c r="AZ39" s="3">
        <f t="shared" si="38"/>
        <v>0</v>
      </c>
      <c r="BA39" s="3">
        <f t="shared" si="38"/>
        <v>0</v>
      </c>
      <c r="BB39" s="3">
        <f t="shared" si="38"/>
        <v>0</v>
      </c>
      <c r="BC39" s="3">
        <f t="shared" si="38"/>
        <v>0</v>
      </c>
      <c r="BD39" s="3">
        <f t="shared" si="38"/>
        <v>0</v>
      </c>
      <c r="BE39" s="3">
        <f t="shared" si="38"/>
        <v>0</v>
      </c>
      <c r="BF39" s="3">
        <f t="shared" si="38"/>
        <v>0</v>
      </c>
      <c r="BG39" s="3">
        <f t="shared" si="38"/>
        <v>0</v>
      </c>
      <c r="BH39" s="3">
        <f t="shared" si="38"/>
        <v>0</v>
      </c>
      <c r="BI39" s="3">
        <f t="shared" si="38"/>
        <v>0</v>
      </c>
      <c r="BJ39" s="3">
        <f t="shared" si="38"/>
        <v>0</v>
      </c>
      <c r="BK39" s="3">
        <f t="shared" si="38"/>
        <v>0</v>
      </c>
      <c r="BL39" s="3">
        <f t="shared" si="38"/>
        <v>0</v>
      </c>
      <c r="BM39" s="3">
        <f t="shared" si="38"/>
        <v>0</v>
      </c>
      <c r="BN39" s="3">
        <f t="shared" si="38"/>
        <v>0</v>
      </c>
      <c r="BO39" s="3">
        <f t="shared" si="38"/>
        <v>0</v>
      </c>
      <c r="BP39" s="3">
        <f t="shared" si="38"/>
        <v>0</v>
      </c>
      <c r="BQ39" s="3">
        <f t="shared" ref="BQ39:EB39" si="39">IF(BQ19="Cons",BP41,0)</f>
        <v>0</v>
      </c>
      <c r="BR39" s="3">
        <f t="shared" si="39"/>
        <v>0</v>
      </c>
      <c r="BS39" s="3">
        <f t="shared" si="39"/>
        <v>0</v>
      </c>
      <c r="BT39" s="3">
        <f t="shared" si="39"/>
        <v>0</v>
      </c>
      <c r="BU39" s="3">
        <f t="shared" si="39"/>
        <v>0</v>
      </c>
      <c r="BV39" s="3">
        <f t="shared" si="39"/>
        <v>0</v>
      </c>
      <c r="BW39" s="3">
        <f t="shared" si="39"/>
        <v>0</v>
      </c>
      <c r="BX39" s="3">
        <f t="shared" si="39"/>
        <v>0</v>
      </c>
      <c r="BY39" s="3">
        <f t="shared" si="39"/>
        <v>0</v>
      </c>
      <c r="BZ39" s="3">
        <f t="shared" si="39"/>
        <v>0</v>
      </c>
      <c r="CA39" s="3">
        <f t="shared" si="39"/>
        <v>0</v>
      </c>
      <c r="CB39" s="3">
        <f t="shared" si="39"/>
        <v>0</v>
      </c>
      <c r="CC39" s="3">
        <f t="shared" si="39"/>
        <v>0</v>
      </c>
      <c r="CD39" s="3">
        <f t="shared" si="39"/>
        <v>0</v>
      </c>
      <c r="CE39" s="3">
        <f t="shared" si="39"/>
        <v>0</v>
      </c>
      <c r="CF39" s="3">
        <f t="shared" si="39"/>
        <v>0</v>
      </c>
      <c r="CG39" s="3">
        <f t="shared" si="39"/>
        <v>0</v>
      </c>
      <c r="CH39" s="3">
        <f t="shared" si="39"/>
        <v>0</v>
      </c>
      <c r="CI39" s="3">
        <f t="shared" si="39"/>
        <v>0</v>
      </c>
      <c r="CJ39" s="3">
        <f t="shared" si="39"/>
        <v>0</v>
      </c>
      <c r="CK39" s="3">
        <f t="shared" si="39"/>
        <v>0</v>
      </c>
      <c r="CL39" s="3">
        <f t="shared" si="39"/>
        <v>0</v>
      </c>
      <c r="CM39" s="3">
        <f t="shared" si="39"/>
        <v>0</v>
      </c>
      <c r="CN39" s="3">
        <f t="shared" si="39"/>
        <v>0</v>
      </c>
      <c r="CO39" s="3">
        <f t="shared" si="39"/>
        <v>0</v>
      </c>
      <c r="CP39" s="3">
        <f t="shared" si="39"/>
        <v>0</v>
      </c>
      <c r="CQ39" s="3">
        <f t="shared" si="39"/>
        <v>0</v>
      </c>
      <c r="CR39" s="3">
        <f t="shared" si="39"/>
        <v>0</v>
      </c>
      <c r="CS39" s="3">
        <f t="shared" si="39"/>
        <v>0</v>
      </c>
      <c r="CT39" s="3">
        <f t="shared" si="39"/>
        <v>0</v>
      </c>
      <c r="CU39" s="3">
        <f t="shared" si="39"/>
        <v>0</v>
      </c>
      <c r="CV39" s="3">
        <f t="shared" si="39"/>
        <v>0</v>
      </c>
      <c r="CW39" s="3">
        <f t="shared" si="39"/>
        <v>0</v>
      </c>
      <c r="CX39" s="3">
        <f t="shared" si="39"/>
        <v>0</v>
      </c>
      <c r="CY39" s="3">
        <f t="shared" si="39"/>
        <v>0</v>
      </c>
      <c r="CZ39" s="3">
        <f t="shared" si="39"/>
        <v>0</v>
      </c>
      <c r="DA39" s="3">
        <f t="shared" si="39"/>
        <v>0</v>
      </c>
      <c r="DB39" s="3">
        <f t="shared" si="39"/>
        <v>0</v>
      </c>
      <c r="DC39" s="3">
        <f t="shared" si="39"/>
        <v>0</v>
      </c>
      <c r="DD39" s="3">
        <f t="shared" si="39"/>
        <v>0</v>
      </c>
      <c r="DE39" s="3">
        <f t="shared" si="39"/>
        <v>0</v>
      </c>
      <c r="DF39" s="3">
        <f t="shared" si="39"/>
        <v>0</v>
      </c>
      <c r="DG39" s="3">
        <f t="shared" si="39"/>
        <v>0</v>
      </c>
      <c r="DH39" s="3">
        <f t="shared" si="39"/>
        <v>0</v>
      </c>
      <c r="DI39" s="3">
        <f t="shared" si="39"/>
        <v>0</v>
      </c>
      <c r="DJ39" s="3">
        <f t="shared" si="39"/>
        <v>0</v>
      </c>
      <c r="DK39" s="3">
        <f t="shared" si="39"/>
        <v>0</v>
      </c>
      <c r="DL39" s="3">
        <f t="shared" si="39"/>
        <v>0</v>
      </c>
      <c r="DM39" s="3">
        <f t="shared" si="39"/>
        <v>0</v>
      </c>
      <c r="DN39" s="3">
        <f t="shared" si="39"/>
        <v>0</v>
      </c>
      <c r="DO39" s="3">
        <f t="shared" si="39"/>
        <v>0</v>
      </c>
      <c r="DP39" s="3">
        <f t="shared" si="39"/>
        <v>0</v>
      </c>
      <c r="DQ39" s="3">
        <f t="shared" si="39"/>
        <v>0</v>
      </c>
      <c r="DR39" s="3">
        <f t="shared" si="39"/>
        <v>0</v>
      </c>
      <c r="DS39" s="3">
        <f t="shared" si="39"/>
        <v>0</v>
      </c>
      <c r="DT39" s="3">
        <f t="shared" si="39"/>
        <v>0</v>
      </c>
      <c r="DU39" s="3">
        <f t="shared" si="39"/>
        <v>0</v>
      </c>
      <c r="DV39" s="3">
        <f t="shared" si="39"/>
        <v>0</v>
      </c>
      <c r="DW39" s="3">
        <f t="shared" si="39"/>
        <v>0</v>
      </c>
      <c r="DX39" s="3">
        <f t="shared" si="39"/>
        <v>0</v>
      </c>
      <c r="DY39" s="3">
        <f t="shared" si="39"/>
        <v>0</v>
      </c>
      <c r="DZ39" s="3">
        <f t="shared" si="39"/>
        <v>0</v>
      </c>
      <c r="EA39" s="3">
        <f t="shared" si="39"/>
        <v>0</v>
      </c>
      <c r="EB39" s="3">
        <f t="shared" si="39"/>
        <v>0</v>
      </c>
      <c r="EC39" s="3">
        <f t="shared" ref="EC39:GN39" si="40">IF(EC19="Cons",EB41,0)</f>
        <v>0</v>
      </c>
      <c r="ED39" s="3">
        <f t="shared" si="40"/>
        <v>0</v>
      </c>
      <c r="EE39" s="3">
        <f t="shared" si="40"/>
        <v>0</v>
      </c>
      <c r="EF39" s="3">
        <f t="shared" si="40"/>
        <v>0</v>
      </c>
      <c r="EG39" s="3">
        <f t="shared" si="40"/>
        <v>0</v>
      </c>
      <c r="EH39" s="3">
        <f t="shared" si="40"/>
        <v>0</v>
      </c>
      <c r="EI39" s="3">
        <f t="shared" si="40"/>
        <v>0</v>
      </c>
      <c r="EJ39" s="3">
        <f t="shared" si="40"/>
        <v>0</v>
      </c>
      <c r="EK39" s="3">
        <f t="shared" si="40"/>
        <v>0</v>
      </c>
      <c r="EL39" s="3">
        <f t="shared" si="40"/>
        <v>0</v>
      </c>
      <c r="EM39" s="3">
        <f t="shared" si="40"/>
        <v>0</v>
      </c>
      <c r="EN39" s="3">
        <f t="shared" si="40"/>
        <v>0</v>
      </c>
      <c r="EO39" s="3">
        <f t="shared" si="40"/>
        <v>0</v>
      </c>
      <c r="EP39" s="3">
        <f t="shared" si="40"/>
        <v>0</v>
      </c>
      <c r="EQ39" s="3">
        <f t="shared" si="40"/>
        <v>0</v>
      </c>
      <c r="ER39" s="3">
        <f t="shared" si="40"/>
        <v>0</v>
      </c>
      <c r="ES39" s="3">
        <f t="shared" si="40"/>
        <v>0</v>
      </c>
      <c r="ET39" s="3">
        <f t="shared" si="40"/>
        <v>0</v>
      </c>
      <c r="EU39" s="3">
        <f t="shared" si="40"/>
        <v>0</v>
      </c>
      <c r="EV39" s="3">
        <f t="shared" si="40"/>
        <v>0</v>
      </c>
      <c r="EW39" s="3">
        <f t="shared" si="40"/>
        <v>0</v>
      </c>
      <c r="EX39" s="3">
        <f t="shared" si="40"/>
        <v>0</v>
      </c>
      <c r="EY39" s="3">
        <f t="shared" si="40"/>
        <v>0</v>
      </c>
      <c r="EZ39" s="3">
        <f t="shared" si="40"/>
        <v>0</v>
      </c>
      <c r="FA39" s="3">
        <f t="shared" si="40"/>
        <v>0</v>
      </c>
      <c r="FB39" s="3">
        <f t="shared" si="40"/>
        <v>0</v>
      </c>
      <c r="FC39" s="3">
        <f t="shared" si="40"/>
        <v>0</v>
      </c>
      <c r="FD39" s="3">
        <f t="shared" si="40"/>
        <v>0</v>
      </c>
      <c r="FE39" s="3">
        <f t="shared" si="40"/>
        <v>0</v>
      </c>
      <c r="FF39" s="3">
        <f t="shared" si="40"/>
        <v>0</v>
      </c>
      <c r="FG39" s="3">
        <f t="shared" si="40"/>
        <v>0</v>
      </c>
      <c r="FH39" s="3">
        <f t="shared" si="40"/>
        <v>0</v>
      </c>
      <c r="FI39" s="3">
        <f t="shared" si="40"/>
        <v>0</v>
      </c>
      <c r="FJ39" s="3">
        <f t="shared" si="40"/>
        <v>0</v>
      </c>
      <c r="FK39" s="3">
        <f t="shared" si="40"/>
        <v>0</v>
      </c>
      <c r="FL39" s="3">
        <f t="shared" si="40"/>
        <v>0</v>
      </c>
      <c r="FM39" s="3">
        <f t="shared" si="40"/>
        <v>0</v>
      </c>
      <c r="FN39" s="3">
        <f t="shared" si="40"/>
        <v>0</v>
      </c>
      <c r="FO39" s="3">
        <f t="shared" si="40"/>
        <v>0</v>
      </c>
      <c r="FP39" s="3">
        <f t="shared" si="40"/>
        <v>0</v>
      </c>
      <c r="FQ39" s="3">
        <f t="shared" si="40"/>
        <v>0</v>
      </c>
      <c r="FR39" s="3">
        <f t="shared" si="40"/>
        <v>0</v>
      </c>
      <c r="FS39" s="3">
        <f t="shared" si="40"/>
        <v>0</v>
      </c>
      <c r="FT39" s="3">
        <f t="shared" si="40"/>
        <v>0</v>
      </c>
      <c r="FU39" s="3">
        <f t="shared" si="40"/>
        <v>0</v>
      </c>
      <c r="FV39" s="3">
        <f t="shared" si="40"/>
        <v>0</v>
      </c>
      <c r="FW39" s="3">
        <f t="shared" si="40"/>
        <v>0</v>
      </c>
      <c r="FX39" s="3">
        <f t="shared" si="40"/>
        <v>0</v>
      </c>
      <c r="FY39" s="3">
        <f t="shared" si="40"/>
        <v>0</v>
      </c>
      <c r="FZ39" s="3">
        <f t="shared" si="40"/>
        <v>0</v>
      </c>
      <c r="GA39" s="3">
        <f t="shared" si="40"/>
        <v>0</v>
      </c>
      <c r="GB39" s="3">
        <f t="shared" si="40"/>
        <v>0</v>
      </c>
      <c r="GC39" s="3">
        <f t="shared" si="40"/>
        <v>0</v>
      </c>
      <c r="GD39" s="3">
        <f t="shared" si="40"/>
        <v>0</v>
      </c>
      <c r="GE39" s="3">
        <f t="shared" si="40"/>
        <v>0</v>
      </c>
      <c r="GF39" s="3">
        <f t="shared" si="40"/>
        <v>0</v>
      </c>
      <c r="GG39" s="3">
        <f t="shared" si="40"/>
        <v>0</v>
      </c>
      <c r="GH39" s="3">
        <f t="shared" si="40"/>
        <v>0</v>
      </c>
      <c r="GI39" s="3">
        <f t="shared" si="40"/>
        <v>0</v>
      </c>
      <c r="GJ39" s="3">
        <f t="shared" si="40"/>
        <v>0</v>
      </c>
      <c r="GK39" s="3">
        <f t="shared" si="40"/>
        <v>0</v>
      </c>
      <c r="GL39" s="3">
        <f t="shared" si="40"/>
        <v>0</v>
      </c>
      <c r="GM39" s="3">
        <f t="shared" si="40"/>
        <v>0</v>
      </c>
      <c r="GN39" s="3">
        <f t="shared" si="40"/>
        <v>0</v>
      </c>
      <c r="GO39" s="3">
        <f t="shared" ref="GO39:IC39" si="41">IF(GO19="Cons",GN41,0)</f>
        <v>0</v>
      </c>
      <c r="GP39" s="3">
        <f t="shared" si="41"/>
        <v>0</v>
      </c>
      <c r="GQ39" s="3">
        <f t="shared" si="41"/>
        <v>0</v>
      </c>
      <c r="GR39" s="3">
        <f t="shared" si="41"/>
        <v>0</v>
      </c>
      <c r="GS39" s="3">
        <f t="shared" si="41"/>
        <v>0</v>
      </c>
      <c r="GT39" s="3">
        <f t="shared" si="41"/>
        <v>0</v>
      </c>
      <c r="GU39" s="3">
        <f t="shared" si="41"/>
        <v>0</v>
      </c>
      <c r="GV39" s="3">
        <f t="shared" si="41"/>
        <v>0</v>
      </c>
      <c r="GW39" s="3">
        <f t="shared" si="41"/>
        <v>0</v>
      </c>
      <c r="GX39" s="3">
        <f t="shared" si="41"/>
        <v>0</v>
      </c>
      <c r="GY39" s="3">
        <f t="shared" si="41"/>
        <v>0</v>
      </c>
      <c r="GZ39" s="3">
        <f t="shared" si="41"/>
        <v>0</v>
      </c>
      <c r="HA39" s="3">
        <f t="shared" si="41"/>
        <v>0</v>
      </c>
      <c r="HB39" s="3">
        <f t="shared" si="41"/>
        <v>0</v>
      </c>
      <c r="HC39" s="3">
        <f t="shared" si="41"/>
        <v>0</v>
      </c>
      <c r="HD39" s="3">
        <f t="shared" si="41"/>
        <v>0</v>
      </c>
      <c r="HE39" s="3">
        <f t="shared" si="41"/>
        <v>0</v>
      </c>
      <c r="HF39" s="3">
        <f t="shared" si="41"/>
        <v>0</v>
      </c>
      <c r="HG39" s="3">
        <f t="shared" si="41"/>
        <v>0</v>
      </c>
      <c r="HH39" s="3">
        <f t="shared" si="41"/>
        <v>0</v>
      </c>
      <c r="HI39" s="3">
        <f t="shared" si="41"/>
        <v>0</v>
      </c>
      <c r="HJ39" s="3">
        <f t="shared" si="41"/>
        <v>0</v>
      </c>
      <c r="HK39" s="3">
        <f t="shared" si="41"/>
        <v>0</v>
      </c>
      <c r="HL39" s="3">
        <f t="shared" si="41"/>
        <v>0</v>
      </c>
      <c r="HM39" s="3">
        <f t="shared" si="41"/>
        <v>0</v>
      </c>
      <c r="HN39" s="3">
        <f t="shared" si="41"/>
        <v>0</v>
      </c>
      <c r="HO39" s="3">
        <f t="shared" si="41"/>
        <v>0</v>
      </c>
      <c r="HP39" s="3">
        <f t="shared" si="41"/>
        <v>0</v>
      </c>
      <c r="HQ39" s="3">
        <f t="shared" si="41"/>
        <v>0</v>
      </c>
      <c r="HR39" s="3">
        <f t="shared" si="41"/>
        <v>0</v>
      </c>
      <c r="HS39" s="3">
        <f t="shared" si="41"/>
        <v>0</v>
      </c>
      <c r="HT39" s="3">
        <f t="shared" si="41"/>
        <v>0</v>
      </c>
      <c r="HU39" s="3">
        <f t="shared" si="41"/>
        <v>0</v>
      </c>
      <c r="HV39" s="3">
        <f t="shared" si="41"/>
        <v>0</v>
      </c>
      <c r="HW39" s="3">
        <f t="shared" si="41"/>
        <v>0</v>
      </c>
      <c r="HX39" s="3">
        <f t="shared" si="41"/>
        <v>0</v>
      </c>
      <c r="HY39" s="3">
        <f t="shared" si="41"/>
        <v>0</v>
      </c>
      <c r="HZ39" s="3">
        <f t="shared" si="41"/>
        <v>0</v>
      </c>
      <c r="IA39" s="3">
        <f t="shared" si="41"/>
        <v>0</v>
      </c>
      <c r="IB39" s="3">
        <f t="shared" si="41"/>
        <v>0</v>
      </c>
      <c r="IC39" s="3">
        <f t="shared" si="41"/>
        <v>0</v>
      </c>
    </row>
    <row r="40" spans="1:237" x14ac:dyDescent="0.3">
      <c r="B40" t="s">
        <v>40</v>
      </c>
      <c r="C40" s="71">
        <f ca="1">IF(C19="Cons",IF(ROUND(C36,2)=ROUND($C$4,2),C29-C35),0)</f>
        <v>15.600952977325248</v>
      </c>
      <c r="D40" s="71">
        <f t="shared" ref="D40:BO40" ca="1" si="42">IF(D19="Cons",IF(ROUND(D36,2)=ROUND($C$4,2),D29-D35),0)</f>
        <v>0.30095297732524234</v>
      </c>
      <c r="E40" s="71">
        <f t="shared" ca="1" si="42"/>
        <v>0.30095297732524234</v>
      </c>
      <c r="F40" s="71">
        <f t="shared" ca="1" si="42"/>
        <v>0.30095297732524234</v>
      </c>
      <c r="G40" s="71">
        <f t="shared" ca="1" si="42"/>
        <v>0.80403491017940831</v>
      </c>
      <c r="H40" s="71">
        <f t="shared" ca="1" si="42"/>
        <v>1.6579970154294084</v>
      </c>
      <c r="I40" s="71">
        <f t="shared" ca="1" si="42"/>
        <v>2.9820604773794086</v>
      </c>
      <c r="J40" s="71">
        <f t="shared" ca="1" si="42"/>
        <v>8.4092149661252424</v>
      </c>
      <c r="K40" s="71">
        <f t="shared" ca="1" si="42"/>
        <v>4.9971532191794106</v>
      </c>
      <c r="L40" s="71">
        <f t="shared" ca="1" si="42"/>
        <v>5.9634544833794099</v>
      </c>
      <c r="M40" s="71">
        <f t="shared" ca="1" si="42"/>
        <v>5.0760544833794095</v>
      </c>
      <c r="N40" s="71">
        <f t="shared" ca="1" si="42"/>
        <v>2.4138544833794087</v>
      </c>
      <c r="O40" s="71">
        <f t="shared" ca="1" si="42"/>
        <v>2.1676706433794091</v>
      </c>
      <c r="P40" s="71">
        <f t="shared" ca="1" si="42"/>
        <v>3.1907376308294091</v>
      </c>
      <c r="Q40" s="71">
        <f t="shared" si="42"/>
        <v>0</v>
      </c>
      <c r="R40" s="71">
        <f t="shared" si="42"/>
        <v>0</v>
      </c>
      <c r="S40" s="71">
        <f t="shared" si="42"/>
        <v>0</v>
      </c>
      <c r="T40" s="71">
        <f t="shared" si="42"/>
        <v>0</v>
      </c>
      <c r="U40" s="71">
        <f t="shared" si="42"/>
        <v>0</v>
      </c>
      <c r="V40" s="71">
        <f t="shared" si="42"/>
        <v>0</v>
      </c>
      <c r="W40" s="71">
        <f t="shared" si="42"/>
        <v>0</v>
      </c>
      <c r="X40" s="71">
        <f t="shared" si="42"/>
        <v>0</v>
      </c>
      <c r="Y40" s="71">
        <f t="shared" si="42"/>
        <v>0</v>
      </c>
      <c r="Z40" s="71">
        <f t="shared" si="42"/>
        <v>0</v>
      </c>
      <c r="AA40" s="71">
        <f t="shared" si="42"/>
        <v>0</v>
      </c>
      <c r="AB40" s="71">
        <f t="shared" si="42"/>
        <v>0</v>
      </c>
      <c r="AC40" s="71">
        <f t="shared" si="42"/>
        <v>0</v>
      </c>
      <c r="AD40" s="71">
        <f t="shared" si="42"/>
        <v>0</v>
      </c>
      <c r="AE40" s="71">
        <f t="shared" si="42"/>
        <v>0</v>
      </c>
      <c r="AF40" s="71">
        <f t="shared" si="42"/>
        <v>0</v>
      </c>
      <c r="AG40" s="71">
        <f t="shared" si="42"/>
        <v>0</v>
      </c>
      <c r="AH40" s="71">
        <f t="shared" si="42"/>
        <v>0</v>
      </c>
      <c r="AI40" s="71">
        <f t="shared" si="42"/>
        <v>0</v>
      </c>
      <c r="AJ40" s="71">
        <f t="shared" si="42"/>
        <v>0</v>
      </c>
      <c r="AK40" s="71">
        <f t="shared" si="42"/>
        <v>0</v>
      </c>
      <c r="AL40" s="71">
        <f t="shared" si="42"/>
        <v>0</v>
      </c>
      <c r="AM40" s="71">
        <f t="shared" si="42"/>
        <v>0</v>
      </c>
      <c r="AN40" s="71">
        <f t="shared" si="42"/>
        <v>0</v>
      </c>
      <c r="AO40" s="71">
        <f t="shared" si="42"/>
        <v>0</v>
      </c>
      <c r="AP40" s="71">
        <f t="shared" si="42"/>
        <v>0</v>
      </c>
      <c r="AQ40" s="71">
        <f t="shared" si="42"/>
        <v>0</v>
      </c>
      <c r="AR40" s="71">
        <f t="shared" si="42"/>
        <v>0</v>
      </c>
      <c r="AS40" s="71">
        <f t="shared" si="42"/>
        <v>0</v>
      </c>
      <c r="AT40" s="71">
        <f t="shared" si="42"/>
        <v>0</v>
      </c>
      <c r="AU40" s="71">
        <f t="shared" si="42"/>
        <v>0</v>
      </c>
      <c r="AV40" s="71">
        <f t="shared" si="42"/>
        <v>0</v>
      </c>
      <c r="AW40" s="71">
        <f t="shared" si="42"/>
        <v>0</v>
      </c>
      <c r="AX40" s="71">
        <f t="shared" si="42"/>
        <v>0</v>
      </c>
      <c r="AY40" s="71">
        <f t="shared" si="42"/>
        <v>0</v>
      </c>
      <c r="AZ40" s="71">
        <f t="shared" si="42"/>
        <v>0</v>
      </c>
      <c r="BA40" s="71">
        <f t="shared" si="42"/>
        <v>0</v>
      </c>
      <c r="BB40" s="71">
        <f t="shared" si="42"/>
        <v>0</v>
      </c>
      <c r="BC40" s="71">
        <f t="shared" si="42"/>
        <v>0</v>
      </c>
      <c r="BD40" s="71">
        <f t="shared" si="42"/>
        <v>0</v>
      </c>
      <c r="BE40" s="71">
        <f t="shared" si="42"/>
        <v>0</v>
      </c>
      <c r="BF40" s="71">
        <f t="shared" si="42"/>
        <v>0</v>
      </c>
      <c r="BG40" s="71">
        <f t="shared" si="42"/>
        <v>0</v>
      </c>
      <c r="BH40" s="71">
        <f t="shared" si="42"/>
        <v>0</v>
      </c>
      <c r="BI40" s="71">
        <f t="shared" si="42"/>
        <v>0</v>
      </c>
      <c r="BJ40" s="71">
        <f t="shared" si="42"/>
        <v>0</v>
      </c>
      <c r="BK40" s="71">
        <f t="shared" si="42"/>
        <v>0</v>
      </c>
      <c r="BL40" s="71">
        <f t="shared" si="42"/>
        <v>0</v>
      </c>
      <c r="BM40" s="71">
        <f t="shared" si="42"/>
        <v>0</v>
      </c>
      <c r="BN40" s="71">
        <f t="shared" si="42"/>
        <v>0</v>
      </c>
      <c r="BO40" s="71">
        <f t="shared" si="42"/>
        <v>0</v>
      </c>
      <c r="BP40" s="71">
        <f t="shared" ref="BP40:EA40" si="43">IF(BP19="Cons",IF(ROUND(BP36,2)=ROUND($C$4,2),BP29-BP35),0)</f>
        <v>0</v>
      </c>
      <c r="BQ40" s="71">
        <f t="shared" si="43"/>
        <v>0</v>
      </c>
      <c r="BR40" s="71">
        <f t="shared" si="43"/>
        <v>0</v>
      </c>
      <c r="BS40" s="71">
        <f t="shared" si="43"/>
        <v>0</v>
      </c>
      <c r="BT40" s="71">
        <f t="shared" si="43"/>
        <v>0</v>
      </c>
      <c r="BU40" s="71">
        <f t="shared" si="43"/>
        <v>0</v>
      </c>
      <c r="BV40" s="71">
        <f t="shared" si="43"/>
        <v>0</v>
      </c>
      <c r="BW40" s="71">
        <f t="shared" si="43"/>
        <v>0</v>
      </c>
      <c r="BX40" s="71">
        <f t="shared" si="43"/>
        <v>0</v>
      </c>
      <c r="BY40" s="71">
        <f t="shared" si="43"/>
        <v>0</v>
      </c>
      <c r="BZ40" s="71">
        <f t="shared" si="43"/>
        <v>0</v>
      </c>
      <c r="CA40" s="71">
        <f t="shared" si="43"/>
        <v>0</v>
      </c>
      <c r="CB40" s="71">
        <f t="shared" si="43"/>
        <v>0</v>
      </c>
      <c r="CC40" s="71">
        <f t="shared" si="43"/>
        <v>0</v>
      </c>
      <c r="CD40" s="71">
        <f t="shared" si="43"/>
        <v>0</v>
      </c>
      <c r="CE40" s="71">
        <f t="shared" si="43"/>
        <v>0</v>
      </c>
      <c r="CF40" s="71">
        <f t="shared" si="43"/>
        <v>0</v>
      </c>
      <c r="CG40" s="71">
        <f t="shared" si="43"/>
        <v>0</v>
      </c>
      <c r="CH40" s="71">
        <f t="shared" si="43"/>
        <v>0</v>
      </c>
      <c r="CI40" s="71">
        <f t="shared" si="43"/>
        <v>0</v>
      </c>
      <c r="CJ40" s="71">
        <f t="shared" si="43"/>
        <v>0</v>
      </c>
      <c r="CK40" s="71">
        <f t="shared" si="43"/>
        <v>0</v>
      </c>
      <c r="CL40" s="71">
        <f t="shared" si="43"/>
        <v>0</v>
      </c>
      <c r="CM40" s="71">
        <f t="shared" si="43"/>
        <v>0</v>
      </c>
      <c r="CN40" s="71">
        <f t="shared" si="43"/>
        <v>0</v>
      </c>
      <c r="CO40" s="71">
        <f t="shared" si="43"/>
        <v>0</v>
      </c>
      <c r="CP40" s="71">
        <f t="shared" si="43"/>
        <v>0</v>
      </c>
      <c r="CQ40" s="71">
        <f t="shared" si="43"/>
        <v>0</v>
      </c>
      <c r="CR40" s="71">
        <f t="shared" si="43"/>
        <v>0</v>
      </c>
      <c r="CS40" s="71">
        <f t="shared" si="43"/>
        <v>0</v>
      </c>
      <c r="CT40" s="71">
        <f t="shared" si="43"/>
        <v>0</v>
      </c>
      <c r="CU40" s="71">
        <f t="shared" si="43"/>
        <v>0</v>
      </c>
      <c r="CV40" s="71">
        <f t="shared" si="43"/>
        <v>0</v>
      </c>
      <c r="CW40" s="71">
        <f t="shared" si="43"/>
        <v>0</v>
      </c>
      <c r="CX40" s="71">
        <f t="shared" si="43"/>
        <v>0</v>
      </c>
      <c r="CY40" s="71">
        <f t="shared" si="43"/>
        <v>0</v>
      </c>
      <c r="CZ40" s="71">
        <f t="shared" si="43"/>
        <v>0</v>
      </c>
      <c r="DA40" s="71">
        <f t="shared" si="43"/>
        <v>0</v>
      </c>
      <c r="DB40" s="71">
        <f t="shared" si="43"/>
        <v>0</v>
      </c>
      <c r="DC40" s="71">
        <f t="shared" si="43"/>
        <v>0</v>
      </c>
      <c r="DD40" s="71">
        <f t="shared" si="43"/>
        <v>0</v>
      </c>
      <c r="DE40" s="71">
        <f t="shared" si="43"/>
        <v>0</v>
      </c>
      <c r="DF40" s="71">
        <f t="shared" si="43"/>
        <v>0</v>
      </c>
      <c r="DG40" s="71">
        <f t="shared" si="43"/>
        <v>0</v>
      </c>
      <c r="DH40" s="71">
        <f t="shared" si="43"/>
        <v>0</v>
      </c>
      <c r="DI40" s="71">
        <f t="shared" si="43"/>
        <v>0</v>
      </c>
      <c r="DJ40" s="71">
        <f t="shared" si="43"/>
        <v>0</v>
      </c>
      <c r="DK40" s="71">
        <f t="shared" si="43"/>
        <v>0</v>
      </c>
      <c r="DL40" s="71">
        <f t="shared" si="43"/>
        <v>0</v>
      </c>
      <c r="DM40" s="71">
        <f t="shared" si="43"/>
        <v>0</v>
      </c>
      <c r="DN40" s="71">
        <f t="shared" si="43"/>
        <v>0</v>
      </c>
      <c r="DO40" s="71">
        <f t="shared" si="43"/>
        <v>0</v>
      </c>
      <c r="DP40" s="71">
        <f t="shared" si="43"/>
        <v>0</v>
      </c>
      <c r="DQ40" s="71">
        <f t="shared" si="43"/>
        <v>0</v>
      </c>
      <c r="DR40" s="71">
        <f t="shared" si="43"/>
        <v>0</v>
      </c>
      <c r="DS40" s="71">
        <f t="shared" si="43"/>
        <v>0</v>
      </c>
      <c r="DT40" s="71">
        <f t="shared" si="43"/>
        <v>0</v>
      </c>
      <c r="DU40" s="71">
        <f t="shared" si="43"/>
        <v>0</v>
      </c>
      <c r="DV40" s="71">
        <f t="shared" si="43"/>
        <v>0</v>
      </c>
      <c r="DW40" s="71">
        <f t="shared" si="43"/>
        <v>0</v>
      </c>
      <c r="DX40" s="71">
        <f t="shared" si="43"/>
        <v>0</v>
      </c>
      <c r="DY40" s="71">
        <f t="shared" si="43"/>
        <v>0</v>
      </c>
      <c r="DZ40" s="71">
        <f t="shared" si="43"/>
        <v>0</v>
      </c>
      <c r="EA40" s="71">
        <f t="shared" si="43"/>
        <v>0</v>
      </c>
      <c r="EB40" s="71">
        <f t="shared" ref="EB40:GM40" si="44">IF(EB19="Cons",IF(ROUND(EB36,2)=ROUND($C$4,2),EB29-EB35),0)</f>
        <v>0</v>
      </c>
      <c r="EC40" s="71">
        <f t="shared" si="44"/>
        <v>0</v>
      </c>
      <c r="ED40" s="71">
        <f t="shared" si="44"/>
        <v>0</v>
      </c>
      <c r="EE40" s="71">
        <f t="shared" si="44"/>
        <v>0</v>
      </c>
      <c r="EF40" s="71">
        <f t="shared" si="44"/>
        <v>0</v>
      </c>
      <c r="EG40" s="71">
        <f t="shared" si="44"/>
        <v>0</v>
      </c>
      <c r="EH40" s="71">
        <f t="shared" si="44"/>
        <v>0</v>
      </c>
      <c r="EI40" s="71">
        <f t="shared" si="44"/>
        <v>0</v>
      </c>
      <c r="EJ40" s="71">
        <f t="shared" si="44"/>
        <v>0</v>
      </c>
      <c r="EK40" s="71">
        <f t="shared" si="44"/>
        <v>0</v>
      </c>
      <c r="EL40" s="71">
        <f t="shared" si="44"/>
        <v>0</v>
      </c>
      <c r="EM40" s="71">
        <f t="shared" si="44"/>
        <v>0</v>
      </c>
      <c r="EN40" s="71">
        <f t="shared" si="44"/>
        <v>0</v>
      </c>
      <c r="EO40" s="71">
        <f t="shared" si="44"/>
        <v>0</v>
      </c>
      <c r="EP40" s="71">
        <f t="shared" si="44"/>
        <v>0</v>
      </c>
      <c r="EQ40" s="71">
        <f t="shared" si="44"/>
        <v>0</v>
      </c>
      <c r="ER40" s="71">
        <f t="shared" si="44"/>
        <v>0</v>
      </c>
      <c r="ES40" s="71">
        <f t="shared" si="44"/>
        <v>0</v>
      </c>
      <c r="ET40" s="71">
        <f t="shared" si="44"/>
        <v>0</v>
      </c>
      <c r="EU40" s="71">
        <f t="shared" si="44"/>
        <v>0</v>
      </c>
      <c r="EV40" s="71">
        <f t="shared" si="44"/>
        <v>0</v>
      </c>
      <c r="EW40" s="71">
        <f t="shared" si="44"/>
        <v>0</v>
      </c>
      <c r="EX40" s="71">
        <f t="shared" si="44"/>
        <v>0</v>
      </c>
      <c r="EY40" s="71">
        <f t="shared" si="44"/>
        <v>0</v>
      </c>
      <c r="EZ40" s="71">
        <f t="shared" si="44"/>
        <v>0</v>
      </c>
      <c r="FA40" s="71">
        <f t="shared" si="44"/>
        <v>0</v>
      </c>
      <c r="FB40" s="71">
        <f t="shared" si="44"/>
        <v>0</v>
      </c>
      <c r="FC40" s="71">
        <f t="shared" si="44"/>
        <v>0</v>
      </c>
      <c r="FD40" s="71">
        <f t="shared" si="44"/>
        <v>0</v>
      </c>
      <c r="FE40" s="71">
        <f t="shared" si="44"/>
        <v>0</v>
      </c>
      <c r="FF40" s="71">
        <f t="shared" si="44"/>
        <v>0</v>
      </c>
      <c r="FG40" s="71">
        <f t="shared" si="44"/>
        <v>0</v>
      </c>
      <c r="FH40" s="71">
        <f t="shared" si="44"/>
        <v>0</v>
      </c>
      <c r="FI40" s="71">
        <f t="shared" si="44"/>
        <v>0</v>
      </c>
      <c r="FJ40" s="71">
        <f t="shared" si="44"/>
        <v>0</v>
      </c>
      <c r="FK40" s="71">
        <f t="shared" si="44"/>
        <v>0</v>
      </c>
      <c r="FL40" s="71">
        <f t="shared" si="44"/>
        <v>0</v>
      </c>
      <c r="FM40" s="71">
        <f t="shared" si="44"/>
        <v>0</v>
      </c>
      <c r="FN40" s="71">
        <f t="shared" si="44"/>
        <v>0</v>
      </c>
      <c r="FO40" s="71">
        <f t="shared" si="44"/>
        <v>0</v>
      </c>
      <c r="FP40" s="71">
        <f t="shared" si="44"/>
        <v>0</v>
      </c>
      <c r="FQ40" s="71">
        <f t="shared" si="44"/>
        <v>0</v>
      </c>
      <c r="FR40" s="71">
        <f t="shared" si="44"/>
        <v>0</v>
      </c>
      <c r="FS40" s="71">
        <f t="shared" si="44"/>
        <v>0</v>
      </c>
      <c r="FT40" s="71">
        <f t="shared" si="44"/>
        <v>0</v>
      </c>
      <c r="FU40" s="71">
        <f t="shared" si="44"/>
        <v>0</v>
      </c>
      <c r="FV40" s="71">
        <f t="shared" si="44"/>
        <v>0</v>
      </c>
      <c r="FW40" s="71">
        <f t="shared" si="44"/>
        <v>0</v>
      </c>
      <c r="FX40" s="71">
        <f t="shared" si="44"/>
        <v>0</v>
      </c>
      <c r="FY40" s="71">
        <f t="shared" si="44"/>
        <v>0</v>
      </c>
      <c r="FZ40" s="71">
        <f t="shared" si="44"/>
        <v>0</v>
      </c>
      <c r="GA40" s="71">
        <f t="shared" si="44"/>
        <v>0</v>
      </c>
      <c r="GB40" s="71">
        <f t="shared" si="44"/>
        <v>0</v>
      </c>
      <c r="GC40" s="71">
        <f t="shared" si="44"/>
        <v>0</v>
      </c>
      <c r="GD40" s="71">
        <f t="shared" si="44"/>
        <v>0</v>
      </c>
      <c r="GE40" s="71">
        <f t="shared" si="44"/>
        <v>0</v>
      </c>
      <c r="GF40" s="71">
        <f t="shared" si="44"/>
        <v>0</v>
      </c>
      <c r="GG40" s="71">
        <f t="shared" si="44"/>
        <v>0</v>
      </c>
      <c r="GH40" s="71">
        <f t="shared" si="44"/>
        <v>0</v>
      </c>
      <c r="GI40" s="71">
        <f t="shared" si="44"/>
        <v>0</v>
      </c>
      <c r="GJ40" s="71">
        <f t="shared" si="44"/>
        <v>0</v>
      </c>
      <c r="GK40" s="71">
        <f t="shared" si="44"/>
        <v>0</v>
      </c>
      <c r="GL40" s="71">
        <f t="shared" si="44"/>
        <v>0</v>
      </c>
      <c r="GM40" s="71">
        <f t="shared" si="44"/>
        <v>0</v>
      </c>
      <c r="GN40" s="71">
        <f t="shared" ref="GN40:IC40" si="45">IF(GN19="Cons",IF(ROUND(GN36,2)=ROUND($C$4,2),GN29-GN35),0)</f>
        <v>0</v>
      </c>
      <c r="GO40" s="71">
        <f t="shared" si="45"/>
        <v>0</v>
      </c>
      <c r="GP40" s="71">
        <f t="shared" si="45"/>
        <v>0</v>
      </c>
      <c r="GQ40" s="71">
        <f t="shared" si="45"/>
        <v>0</v>
      </c>
      <c r="GR40" s="71">
        <f t="shared" si="45"/>
        <v>0</v>
      </c>
      <c r="GS40" s="71">
        <f t="shared" si="45"/>
        <v>0</v>
      </c>
      <c r="GT40" s="71">
        <f t="shared" si="45"/>
        <v>0</v>
      </c>
      <c r="GU40" s="71">
        <f t="shared" si="45"/>
        <v>0</v>
      </c>
      <c r="GV40" s="71">
        <f t="shared" si="45"/>
        <v>0</v>
      </c>
      <c r="GW40" s="71">
        <f t="shared" si="45"/>
        <v>0</v>
      </c>
      <c r="GX40" s="71">
        <f t="shared" si="45"/>
        <v>0</v>
      </c>
      <c r="GY40" s="71">
        <f t="shared" si="45"/>
        <v>0</v>
      </c>
      <c r="GZ40" s="71">
        <f t="shared" si="45"/>
        <v>0</v>
      </c>
      <c r="HA40" s="71">
        <f t="shared" si="45"/>
        <v>0</v>
      </c>
      <c r="HB40" s="71">
        <f t="shared" si="45"/>
        <v>0</v>
      </c>
      <c r="HC40" s="71">
        <f t="shared" si="45"/>
        <v>0</v>
      </c>
      <c r="HD40" s="71">
        <f t="shared" si="45"/>
        <v>0</v>
      </c>
      <c r="HE40" s="71">
        <f t="shared" si="45"/>
        <v>0</v>
      </c>
      <c r="HF40" s="71">
        <f t="shared" si="45"/>
        <v>0</v>
      </c>
      <c r="HG40" s="71">
        <f t="shared" si="45"/>
        <v>0</v>
      </c>
      <c r="HH40" s="71">
        <f t="shared" si="45"/>
        <v>0</v>
      </c>
      <c r="HI40" s="71">
        <f t="shared" si="45"/>
        <v>0</v>
      </c>
      <c r="HJ40" s="71">
        <f t="shared" si="45"/>
        <v>0</v>
      </c>
      <c r="HK40" s="71">
        <f t="shared" si="45"/>
        <v>0</v>
      </c>
      <c r="HL40" s="71">
        <f t="shared" si="45"/>
        <v>0</v>
      </c>
      <c r="HM40" s="71">
        <f t="shared" si="45"/>
        <v>0</v>
      </c>
      <c r="HN40" s="71">
        <f t="shared" si="45"/>
        <v>0</v>
      </c>
      <c r="HO40" s="71">
        <f t="shared" si="45"/>
        <v>0</v>
      </c>
      <c r="HP40" s="71">
        <f t="shared" si="45"/>
        <v>0</v>
      </c>
      <c r="HQ40" s="71">
        <f t="shared" si="45"/>
        <v>0</v>
      </c>
      <c r="HR40" s="71">
        <f t="shared" si="45"/>
        <v>0</v>
      </c>
      <c r="HS40" s="71">
        <f t="shared" si="45"/>
        <v>0</v>
      </c>
      <c r="HT40" s="71">
        <f t="shared" si="45"/>
        <v>0</v>
      </c>
      <c r="HU40" s="71">
        <f t="shared" si="45"/>
        <v>0</v>
      </c>
      <c r="HV40" s="71">
        <f t="shared" si="45"/>
        <v>0</v>
      </c>
      <c r="HW40" s="71">
        <f t="shared" si="45"/>
        <v>0</v>
      </c>
      <c r="HX40" s="71">
        <f t="shared" si="45"/>
        <v>0</v>
      </c>
      <c r="HY40" s="71">
        <f t="shared" si="45"/>
        <v>0</v>
      </c>
      <c r="HZ40" s="71">
        <f t="shared" si="45"/>
        <v>0</v>
      </c>
      <c r="IA40" s="71">
        <f t="shared" si="45"/>
        <v>0</v>
      </c>
      <c r="IB40" s="71">
        <f t="shared" si="45"/>
        <v>0</v>
      </c>
      <c r="IC40" s="71">
        <f t="shared" si="45"/>
        <v>0</v>
      </c>
    </row>
    <row r="41" spans="1:237" x14ac:dyDescent="0.3">
      <c r="B41" t="s">
        <v>45</v>
      </c>
      <c r="C41" s="3">
        <f ca="1">C39+C40</f>
        <v>15.600952977325248</v>
      </c>
      <c r="D41" s="3">
        <f ca="1">D39+D40</f>
        <v>15.90190595465049</v>
      </c>
      <c r="E41" s="3">
        <f t="shared" ref="E41:BP41" ca="1" si="46">E39+E40</f>
        <v>16.20285893202993</v>
      </c>
      <c r="F41" s="3">
        <f t="shared" ca="1" si="46"/>
        <v>16.50381190940934</v>
      </c>
      <c r="G41" s="3">
        <f t="shared" ca="1" si="46"/>
        <v>17.307846819588715</v>
      </c>
      <c r="H41" s="3">
        <f t="shared" ca="1" si="46"/>
        <v>18.965843835018092</v>
      </c>
      <c r="I41" s="3">
        <f t="shared" ca="1" si="46"/>
        <v>21.947904312397537</v>
      </c>
      <c r="J41" s="3">
        <f t="shared" ca="1" si="46"/>
        <v>30.357119278576938</v>
      </c>
      <c r="K41" s="3">
        <f t="shared" ca="1" si="46"/>
        <v>35.35427249775632</v>
      </c>
      <c r="L41" s="3">
        <f t="shared" ca="1" si="46"/>
        <v>41.317726981135699</v>
      </c>
      <c r="M41" s="3">
        <f t="shared" ca="1" si="46"/>
        <v>46.393781464515079</v>
      </c>
      <c r="N41" s="3">
        <f t="shared" ca="1" si="46"/>
        <v>48.807635947894425</v>
      </c>
      <c r="O41" s="3">
        <f t="shared" ca="1" si="46"/>
        <v>50.975306591273743</v>
      </c>
      <c r="P41" s="3">
        <f t="shared" ca="1" si="46"/>
        <v>54.166044222103189</v>
      </c>
      <c r="Q41" s="3">
        <f t="shared" si="46"/>
        <v>0</v>
      </c>
      <c r="R41" s="3">
        <f t="shared" si="46"/>
        <v>0</v>
      </c>
      <c r="S41" s="3">
        <f t="shared" si="46"/>
        <v>0</v>
      </c>
      <c r="T41" s="3">
        <f t="shared" si="46"/>
        <v>0</v>
      </c>
      <c r="U41" s="3">
        <f t="shared" si="46"/>
        <v>0</v>
      </c>
      <c r="V41" s="3">
        <f t="shared" si="46"/>
        <v>0</v>
      </c>
      <c r="W41" s="3">
        <f t="shared" si="46"/>
        <v>0</v>
      </c>
      <c r="X41" s="3">
        <f t="shared" si="46"/>
        <v>0</v>
      </c>
      <c r="Y41" s="3">
        <f t="shared" si="46"/>
        <v>0</v>
      </c>
      <c r="Z41" s="3">
        <f t="shared" si="46"/>
        <v>0</v>
      </c>
      <c r="AA41" s="3">
        <f t="shared" si="46"/>
        <v>0</v>
      </c>
      <c r="AB41" s="3">
        <f t="shared" si="46"/>
        <v>0</v>
      </c>
      <c r="AC41" s="3">
        <f t="shared" si="46"/>
        <v>0</v>
      </c>
      <c r="AD41" s="3">
        <f t="shared" si="46"/>
        <v>0</v>
      </c>
      <c r="AE41" s="3">
        <f t="shared" si="46"/>
        <v>0</v>
      </c>
      <c r="AF41" s="3">
        <f t="shared" si="46"/>
        <v>0</v>
      </c>
      <c r="AG41" s="3">
        <f t="shared" si="46"/>
        <v>0</v>
      </c>
      <c r="AH41" s="3">
        <f t="shared" si="46"/>
        <v>0</v>
      </c>
      <c r="AI41" s="3">
        <f t="shared" si="46"/>
        <v>0</v>
      </c>
      <c r="AJ41" s="3">
        <f t="shared" si="46"/>
        <v>0</v>
      </c>
      <c r="AK41" s="3">
        <f t="shared" si="46"/>
        <v>0</v>
      </c>
      <c r="AL41" s="3">
        <f t="shared" si="46"/>
        <v>0</v>
      </c>
      <c r="AM41" s="3">
        <f t="shared" si="46"/>
        <v>0</v>
      </c>
      <c r="AN41" s="3">
        <f t="shared" si="46"/>
        <v>0</v>
      </c>
      <c r="AO41" s="3">
        <f t="shared" si="46"/>
        <v>0</v>
      </c>
      <c r="AP41" s="3">
        <f t="shared" si="46"/>
        <v>0</v>
      </c>
      <c r="AQ41" s="3">
        <f t="shared" si="46"/>
        <v>0</v>
      </c>
      <c r="AR41" s="3">
        <f t="shared" si="46"/>
        <v>0</v>
      </c>
      <c r="AS41" s="3">
        <f t="shared" si="46"/>
        <v>0</v>
      </c>
      <c r="AT41" s="3">
        <f t="shared" si="46"/>
        <v>0</v>
      </c>
      <c r="AU41" s="3">
        <f t="shared" si="46"/>
        <v>0</v>
      </c>
      <c r="AV41" s="3">
        <f t="shared" si="46"/>
        <v>0</v>
      </c>
      <c r="AW41" s="3">
        <f t="shared" si="46"/>
        <v>0</v>
      </c>
      <c r="AX41" s="3">
        <f t="shared" si="46"/>
        <v>0</v>
      </c>
      <c r="AY41" s="3">
        <f t="shared" si="46"/>
        <v>0</v>
      </c>
      <c r="AZ41" s="3">
        <f t="shared" si="46"/>
        <v>0</v>
      </c>
      <c r="BA41" s="3">
        <f t="shared" si="46"/>
        <v>0</v>
      </c>
      <c r="BB41" s="3">
        <f t="shared" si="46"/>
        <v>0</v>
      </c>
      <c r="BC41" s="3">
        <f t="shared" si="46"/>
        <v>0</v>
      </c>
      <c r="BD41" s="3">
        <f t="shared" si="46"/>
        <v>0</v>
      </c>
      <c r="BE41" s="3">
        <f t="shared" si="46"/>
        <v>0</v>
      </c>
      <c r="BF41" s="3">
        <f t="shared" si="46"/>
        <v>0</v>
      </c>
      <c r="BG41" s="3">
        <f t="shared" si="46"/>
        <v>0</v>
      </c>
      <c r="BH41" s="3">
        <f t="shared" si="46"/>
        <v>0</v>
      </c>
      <c r="BI41" s="3">
        <f t="shared" si="46"/>
        <v>0</v>
      </c>
      <c r="BJ41" s="3">
        <f t="shared" si="46"/>
        <v>0</v>
      </c>
      <c r="BK41" s="3">
        <f t="shared" si="46"/>
        <v>0</v>
      </c>
      <c r="BL41" s="3">
        <f t="shared" si="46"/>
        <v>0</v>
      </c>
      <c r="BM41" s="3">
        <f t="shared" si="46"/>
        <v>0</v>
      </c>
      <c r="BN41" s="3">
        <f t="shared" si="46"/>
        <v>0</v>
      </c>
      <c r="BO41" s="3">
        <f t="shared" si="46"/>
        <v>0</v>
      </c>
      <c r="BP41" s="3">
        <f t="shared" si="46"/>
        <v>0</v>
      </c>
      <c r="BQ41" s="3">
        <f t="shared" ref="BQ41:EB41" si="47">BQ39+BQ40</f>
        <v>0</v>
      </c>
      <c r="BR41" s="3">
        <f t="shared" si="47"/>
        <v>0</v>
      </c>
      <c r="BS41" s="3">
        <f t="shared" si="47"/>
        <v>0</v>
      </c>
      <c r="BT41" s="3">
        <f t="shared" si="47"/>
        <v>0</v>
      </c>
      <c r="BU41" s="3">
        <f t="shared" si="47"/>
        <v>0</v>
      </c>
      <c r="BV41" s="3">
        <f t="shared" si="47"/>
        <v>0</v>
      </c>
      <c r="BW41" s="3">
        <f t="shared" si="47"/>
        <v>0</v>
      </c>
      <c r="BX41" s="3">
        <f t="shared" si="47"/>
        <v>0</v>
      </c>
      <c r="BY41" s="3">
        <f t="shared" si="47"/>
        <v>0</v>
      </c>
      <c r="BZ41" s="3">
        <f t="shared" si="47"/>
        <v>0</v>
      </c>
      <c r="CA41" s="3">
        <f t="shared" si="47"/>
        <v>0</v>
      </c>
      <c r="CB41" s="3">
        <f t="shared" si="47"/>
        <v>0</v>
      </c>
      <c r="CC41" s="3">
        <f t="shared" si="47"/>
        <v>0</v>
      </c>
      <c r="CD41" s="3">
        <f t="shared" si="47"/>
        <v>0</v>
      </c>
      <c r="CE41" s="3">
        <f t="shared" si="47"/>
        <v>0</v>
      </c>
      <c r="CF41" s="3">
        <f t="shared" si="47"/>
        <v>0</v>
      </c>
      <c r="CG41" s="3">
        <f t="shared" si="47"/>
        <v>0</v>
      </c>
      <c r="CH41" s="3">
        <f t="shared" si="47"/>
        <v>0</v>
      </c>
      <c r="CI41" s="3">
        <f t="shared" si="47"/>
        <v>0</v>
      </c>
      <c r="CJ41" s="3">
        <f t="shared" si="47"/>
        <v>0</v>
      </c>
      <c r="CK41" s="3">
        <f t="shared" si="47"/>
        <v>0</v>
      </c>
      <c r="CL41" s="3">
        <f t="shared" si="47"/>
        <v>0</v>
      </c>
      <c r="CM41" s="3">
        <f t="shared" si="47"/>
        <v>0</v>
      </c>
      <c r="CN41" s="3">
        <f t="shared" si="47"/>
        <v>0</v>
      </c>
      <c r="CO41" s="3">
        <f t="shared" si="47"/>
        <v>0</v>
      </c>
      <c r="CP41" s="3">
        <f t="shared" si="47"/>
        <v>0</v>
      </c>
      <c r="CQ41" s="3">
        <f t="shared" si="47"/>
        <v>0</v>
      </c>
      <c r="CR41" s="3">
        <f t="shared" si="47"/>
        <v>0</v>
      </c>
      <c r="CS41" s="3">
        <f t="shared" si="47"/>
        <v>0</v>
      </c>
      <c r="CT41" s="3">
        <f t="shared" si="47"/>
        <v>0</v>
      </c>
      <c r="CU41" s="3">
        <f t="shared" si="47"/>
        <v>0</v>
      </c>
      <c r="CV41" s="3">
        <f t="shared" si="47"/>
        <v>0</v>
      </c>
      <c r="CW41" s="3">
        <f t="shared" si="47"/>
        <v>0</v>
      </c>
      <c r="CX41" s="3">
        <f t="shared" si="47"/>
        <v>0</v>
      </c>
      <c r="CY41" s="3">
        <f t="shared" si="47"/>
        <v>0</v>
      </c>
      <c r="CZ41" s="3">
        <f t="shared" si="47"/>
        <v>0</v>
      </c>
      <c r="DA41" s="3">
        <f t="shared" si="47"/>
        <v>0</v>
      </c>
      <c r="DB41" s="3">
        <f t="shared" si="47"/>
        <v>0</v>
      </c>
      <c r="DC41" s="3">
        <f t="shared" si="47"/>
        <v>0</v>
      </c>
      <c r="DD41" s="3">
        <f t="shared" si="47"/>
        <v>0</v>
      </c>
      <c r="DE41" s="3">
        <f t="shared" si="47"/>
        <v>0</v>
      </c>
      <c r="DF41" s="3">
        <f t="shared" si="47"/>
        <v>0</v>
      </c>
      <c r="DG41" s="3">
        <f t="shared" si="47"/>
        <v>0</v>
      </c>
      <c r="DH41" s="3">
        <f t="shared" si="47"/>
        <v>0</v>
      </c>
      <c r="DI41" s="3">
        <f t="shared" si="47"/>
        <v>0</v>
      </c>
      <c r="DJ41" s="3">
        <f t="shared" si="47"/>
        <v>0</v>
      </c>
      <c r="DK41" s="3">
        <f t="shared" si="47"/>
        <v>0</v>
      </c>
      <c r="DL41" s="3">
        <f t="shared" si="47"/>
        <v>0</v>
      </c>
      <c r="DM41" s="3">
        <f t="shared" si="47"/>
        <v>0</v>
      </c>
      <c r="DN41" s="3">
        <f t="shared" si="47"/>
        <v>0</v>
      </c>
      <c r="DO41" s="3">
        <f t="shared" si="47"/>
        <v>0</v>
      </c>
      <c r="DP41" s="3">
        <f t="shared" si="47"/>
        <v>0</v>
      </c>
      <c r="DQ41" s="3">
        <f t="shared" si="47"/>
        <v>0</v>
      </c>
      <c r="DR41" s="3">
        <f t="shared" si="47"/>
        <v>0</v>
      </c>
      <c r="DS41" s="3">
        <f t="shared" si="47"/>
        <v>0</v>
      </c>
      <c r="DT41" s="3">
        <f t="shared" si="47"/>
        <v>0</v>
      </c>
      <c r="DU41" s="3">
        <f t="shared" si="47"/>
        <v>0</v>
      </c>
      <c r="DV41" s="3">
        <f t="shared" si="47"/>
        <v>0</v>
      </c>
      <c r="DW41" s="3">
        <f t="shared" si="47"/>
        <v>0</v>
      </c>
      <c r="DX41" s="3">
        <f t="shared" si="47"/>
        <v>0</v>
      </c>
      <c r="DY41" s="3">
        <f t="shared" si="47"/>
        <v>0</v>
      </c>
      <c r="DZ41" s="3">
        <f t="shared" si="47"/>
        <v>0</v>
      </c>
      <c r="EA41" s="3">
        <f t="shared" si="47"/>
        <v>0</v>
      </c>
      <c r="EB41" s="3">
        <f t="shared" si="47"/>
        <v>0</v>
      </c>
      <c r="EC41" s="3">
        <f t="shared" ref="EC41:GN41" si="48">EC39+EC40</f>
        <v>0</v>
      </c>
      <c r="ED41" s="3">
        <f t="shared" si="48"/>
        <v>0</v>
      </c>
      <c r="EE41" s="3">
        <f t="shared" si="48"/>
        <v>0</v>
      </c>
      <c r="EF41" s="3">
        <f t="shared" si="48"/>
        <v>0</v>
      </c>
      <c r="EG41" s="3">
        <f t="shared" si="48"/>
        <v>0</v>
      </c>
      <c r="EH41" s="3">
        <f t="shared" si="48"/>
        <v>0</v>
      </c>
      <c r="EI41" s="3">
        <f t="shared" si="48"/>
        <v>0</v>
      </c>
      <c r="EJ41" s="3">
        <f t="shared" si="48"/>
        <v>0</v>
      </c>
      <c r="EK41" s="3">
        <f t="shared" si="48"/>
        <v>0</v>
      </c>
      <c r="EL41" s="3">
        <f t="shared" si="48"/>
        <v>0</v>
      </c>
      <c r="EM41" s="3">
        <f t="shared" si="48"/>
        <v>0</v>
      </c>
      <c r="EN41" s="3">
        <f t="shared" si="48"/>
        <v>0</v>
      </c>
      <c r="EO41" s="3">
        <f t="shared" si="48"/>
        <v>0</v>
      </c>
      <c r="EP41" s="3">
        <f t="shared" si="48"/>
        <v>0</v>
      </c>
      <c r="EQ41" s="3">
        <f t="shared" si="48"/>
        <v>0</v>
      </c>
      <c r="ER41" s="3">
        <f t="shared" si="48"/>
        <v>0</v>
      </c>
      <c r="ES41" s="3">
        <f t="shared" si="48"/>
        <v>0</v>
      </c>
      <c r="ET41" s="3">
        <f t="shared" si="48"/>
        <v>0</v>
      </c>
      <c r="EU41" s="3">
        <f t="shared" si="48"/>
        <v>0</v>
      </c>
      <c r="EV41" s="3">
        <f t="shared" si="48"/>
        <v>0</v>
      </c>
      <c r="EW41" s="3">
        <f t="shared" si="48"/>
        <v>0</v>
      </c>
      <c r="EX41" s="3">
        <f t="shared" si="48"/>
        <v>0</v>
      </c>
      <c r="EY41" s="3">
        <f t="shared" si="48"/>
        <v>0</v>
      </c>
      <c r="EZ41" s="3">
        <f t="shared" si="48"/>
        <v>0</v>
      </c>
      <c r="FA41" s="3">
        <f t="shared" si="48"/>
        <v>0</v>
      </c>
      <c r="FB41" s="3">
        <f t="shared" si="48"/>
        <v>0</v>
      </c>
      <c r="FC41" s="3">
        <f t="shared" si="48"/>
        <v>0</v>
      </c>
      <c r="FD41" s="3">
        <f t="shared" si="48"/>
        <v>0</v>
      </c>
      <c r="FE41" s="3">
        <f t="shared" si="48"/>
        <v>0</v>
      </c>
      <c r="FF41" s="3">
        <f t="shared" si="48"/>
        <v>0</v>
      </c>
      <c r="FG41" s="3">
        <f t="shared" si="48"/>
        <v>0</v>
      </c>
      <c r="FH41" s="3">
        <f t="shared" si="48"/>
        <v>0</v>
      </c>
      <c r="FI41" s="3">
        <f t="shared" si="48"/>
        <v>0</v>
      </c>
      <c r="FJ41" s="3">
        <f t="shared" si="48"/>
        <v>0</v>
      </c>
      <c r="FK41" s="3">
        <f t="shared" si="48"/>
        <v>0</v>
      </c>
      <c r="FL41" s="3">
        <f t="shared" si="48"/>
        <v>0</v>
      </c>
      <c r="FM41" s="3">
        <f t="shared" si="48"/>
        <v>0</v>
      </c>
      <c r="FN41" s="3">
        <f t="shared" si="48"/>
        <v>0</v>
      </c>
      <c r="FO41" s="3">
        <f t="shared" si="48"/>
        <v>0</v>
      </c>
      <c r="FP41" s="3">
        <f t="shared" si="48"/>
        <v>0</v>
      </c>
      <c r="FQ41" s="3">
        <f t="shared" si="48"/>
        <v>0</v>
      </c>
      <c r="FR41" s="3">
        <f t="shared" si="48"/>
        <v>0</v>
      </c>
      <c r="FS41" s="3">
        <f t="shared" si="48"/>
        <v>0</v>
      </c>
      <c r="FT41" s="3">
        <f t="shared" si="48"/>
        <v>0</v>
      </c>
      <c r="FU41" s="3">
        <f t="shared" si="48"/>
        <v>0</v>
      </c>
      <c r="FV41" s="3">
        <f t="shared" si="48"/>
        <v>0</v>
      </c>
      <c r="FW41" s="3">
        <f t="shared" si="48"/>
        <v>0</v>
      </c>
      <c r="FX41" s="3">
        <f t="shared" si="48"/>
        <v>0</v>
      </c>
      <c r="FY41" s="3">
        <f t="shared" si="48"/>
        <v>0</v>
      </c>
      <c r="FZ41" s="3">
        <f t="shared" si="48"/>
        <v>0</v>
      </c>
      <c r="GA41" s="3">
        <f t="shared" si="48"/>
        <v>0</v>
      </c>
      <c r="GB41" s="3">
        <f t="shared" si="48"/>
        <v>0</v>
      </c>
      <c r="GC41" s="3">
        <f t="shared" si="48"/>
        <v>0</v>
      </c>
      <c r="GD41" s="3">
        <f t="shared" si="48"/>
        <v>0</v>
      </c>
      <c r="GE41" s="3">
        <f t="shared" si="48"/>
        <v>0</v>
      </c>
      <c r="GF41" s="3">
        <f t="shared" si="48"/>
        <v>0</v>
      </c>
      <c r="GG41" s="3">
        <f t="shared" si="48"/>
        <v>0</v>
      </c>
      <c r="GH41" s="3">
        <f t="shared" si="48"/>
        <v>0</v>
      </c>
      <c r="GI41" s="3">
        <f t="shared" si="48"/>
        <v>0</v>
      </c>
      <c r="GJ41" s="3">
        <f t="shared" si="48"/>
        <v>0</v>
      </c>
      <c r="GK41" s="3">
        <f t="shared" si="48"/>
        <v>0</v>
      </c>
      <c r="GL41" s="3">
        <f t="shared" si="48"/>
        <v>0</v>
      </c>
      <c r="GM41" s="3">
        <f t="shared" si="48"/>
        <v>0</v>
      </c>
      <c r="GN41" s="3">
        <f t="shared" si="48"/>
        <v>0</v>
      </c>
      <c r="GO41" s="3">
        <f t="shared" ref="GO41:IC41" si="49">GO39+GO40</f>
        <v>0</v>
      </c>
      <c r="GP41" s="3">
        <f t="shared" si="49"/>
        <v>0</v>
      </c>
      <c r="GQ41" s="3">
        <f t="shared" si="49"/>
        <v>0</v>
      </c>
      <c r="GR41" s="3">
        <f t="shared" si="49"/>
        <v>0</v>
      </c>
      <c r="GS41" s="3">
        <f t="shared" si="49"/>
        <v>0</v>
      </c>
      <c r="GT41" s="3">
        <f t="shared" si="49"/>
        <v>0</v>
      </c>
      <c r="GU41" s="3">
        <f t="shared" si="49"/>
        <v>0</v>
      </c>
      <c r="GV41" s="3">
        <f t="shared" si="49"/>
        <v>0</v>
      </c>
      <c r="GW41" s="3">
        <f t="shared" si="49"/>
        <v>0</v>
      </c>
      <c r="GX41" s="3">
        <f t="shared" si="49"/>
        <v>0</v>
      </c>
      <c r="GY41" s="3">
        <f t="shared" si="49"/>
        <v>0</v>
      </c>
      <c r="GZ41" s="3">
        <f t="shared" si="49"/>
        <v>0</v>
      </c>
      <c r="HA41" s="3">
        <f t="shared" si="49"/>
        <v>0</v>
      </c>
      <c r="HB41" s="3">
        <f t="shared" si="49"/>
        <v>0</v>
      </c>
      <c r="HC41" s="3">
        <f t="shared" si="49"/>
        <v>0</v>
      </c>
      <c r="HD41" s="3">
        <f t="shared" si="49"/>
        <v>0</v>
      </c>
      <c r="HE41" s="3">
        <f t="shared" si="49"/>
        <v>0</v>
      </c>
      <c r="HF41" s="3">
        <f t="shared" si="49"/>
        <v>0</v>
      </c>
      <c r="HG41" s="3">
        <f t="shared" si="49"/>
        <v>0</v>
      </c>
      <c r="HH41" s="3">
        <f t="shared" si="49"/>
        <v>0</v>
      </c>
      <c r="HI41" s="3">
        <f t="shared" si="49"/>
        <v>0</v>
      </c>
      <c r="HJ41" s="3">
        <f t="shared" si="49"/>
        <v>0</v>
      </c>
      <c r="HK41" s="3">
        <f t="shared" si="49"/>
        <v>0</v>
      </c>
      <c r="HL41" s="3">
        <f t="shared" si="49"/>
        <v>0</v>
      </c>
      <c r="HM41" s="3">
        <f t="shared" si="49"/>
        <v>0</v>
      </c>
      <c r="HN41" s="3">
        <f t="shared" si="49"/>
        <v>0</v>
      </c>
      <c r="HO41" s="3">
        <f t="shared" si="49"/>
        <v>0</v>
      </c>
      <c r="HP41" s="3">
        <f t="shared" si="49"/>
        <v>0</v>
      </c>
      <c r="HQ41" s="3">
        <f t="shared" si="49"/>
        <v>0</v>
      </c>
      <c r="HR41" s="3">
        <f t="shared" si="49"/>
        <v>0</v>
      </c>
      <c r="HS41" s="3">
        <f t="shared" si="49"/>
        <v>0</v>
      </c>
      <c r="HT41" s="3">
        <f t="shared" si="49"/>
        <v>0</v>
      </c>
      <c r="HU41" s="3">
        <f t="shared" si="49"/>
        <v>0</v>
      </c>
      <c r="HV41" s="3">
        <f t="shared" si="49"/>
        <v>0</v>
      </c>
      <c r="HW41" s="3">
        <f t="shared" si="49"/>
        <v>0</v>
      </c>
      <c r="HX41" s="3">
        <f t="shared" si="49"/>
        <v>0</v>
      </c>
      <c r="HY41" s="3">
        <f t="shared" si="49"/>
        <v>0</v>
      </c>
      <c r="HZ41" s="3">
        <f t="shared" si="49"/>
        <v>0</v>
      </c>
      <c r="IA41" s="3">
        <f t="shared" si="49"/>
        <v>0</v>
      </c>
      <c r="IB41" s="3">
        <f t="shared" si="49"/>
        <v>0</v>
      </c>
      <c r="IC41" s="3">
        <f t="shared" si="49"/>
        <v>0</v>
      </c>
    </row>
    <row r="42" spans="1:237" x14ac:dyDescent="0.3">
      <c r="B42" s="70"/>
      <c r="D42" s="3"/>
      <c r="E42" s="3"/>
      <c r="F42" s="3"/>
      <c r="G42" s="71"/>
    </row>
    <row r="43" spans="1:237" ht="23.4" x14ac:dyDescent="0.45">
      <c r="B43" s="78" t="s">
        <v>142</v>
      </c>
      <c r="D43" s="3"/>
      <c r="E43" s="3"/>
      <c r="F43" s="3"/>
      <c r="G43" s="71"/>
    </row>
    <row r="44" spans="1:237" x14ac:dyDescent="0.3">
      <c r="A44" s="3">
        <f ca="1">SUM(C44:IC44)</f>
        <v>3.4026071761474723</v>
      </c>
      <c r="B44" s="70" t="s">
        <v>36</v>
      </c>
      <c r="C44" s="3">
        <f ca="1">C41*C27</f>
        <v>0.12350754440382489</v>
      </c>
      <c r="D44" s="3">
        <f t="shared" ref="D44:BO44" ca="1" si="50">D41*D27</f>
        <v>0.12589008880764971</v>
      </c>
      <c r="E44" s="3">
        <f t="shared" ca="1" si="50"/>
        <v>0.12827263321190363</v>
      </c>
      <c r="F44" s="3">
        <f t="shared" ca="1" si="50"/>
        <v>0.13065517761615728</v>
      </c>
      <c r="G44" s="3">
        <f t="shared" ca="1" si="50"/>
        <v>0.13702045398841067</v>
      </c>
      <c r="H44" s="3">
        <f t="shared" ca="1" si="50"/>
        <v>0.15014626369389325</v>
      </c>
      <c r="I44" s="3">
        <f t="shared" ca="1" si="50"/>
        <v>0.17375424247314719</v>
      </c>
      <c r="J44" s="3">
        <f t="shared" ca="1" si="50"/>
        <v>0.24032719428873411</v>
      </c>
      <c r="K44" s="3">
        <f t="shared" ca="1" si="50"/>
        <v>0.27988799060723757</v>
      </c>
      <c r="L44" s="3">
        <f t="shared" ca="1" si="50"/>
        <v>0.327098671933991</v>
      </c>
      <c r="M44" s="3">
        <f t="shared" ca="1" si="50"/>
        <v>0.3672841032607444</v>
      </c>
      <c r="N44" s="3">
        <f t="shared" ca="1" si="50"/>
        <v>0.38639378458749757</v>
      </c>
      <c r="O44" s="3">
        <f t="shared" ca="1" si="50"/>
        <v>0.40355451051425051</v>
      </c>
      <c r="P44" s="3">
        <f t="shared" ca="1" si="50"/>
        <v>0.42881451675831694</v>
      </c>
      <c r="Q44" s="3">
        <f t="shared" si="50"/>
        <v>0</v>
      </c>
      <c r="R44" s="3">
        <f t="shared" si="50"/>
        <v>0</v>
      </c>
      <c r="S44" s="3">
        <f t="shared" si="50"/>
        <v>0</v>
      </c>
      <c r="T44" s="3">
        <f t="shared" si="50"/>
        <v>0</v>
      </c>
      <c r="U44" s="3">
        <f t="shared" si="50"/>
        <v>0</v>
      </c>
      <c r="V44" s="3">
        <f t="shared" si="50"/>
        <v>0</v>
      </c>
      <c r="W44" s="3">
        <f t="shared" si="50"/>
        <v>0</v>
      </c>
      <c r="X44" s="3">
        <f t="shared" si="50"/>
        <v>0</v>
      </c>
      <c r="Y44" s="3">
        <f t="shared" si="50"/>
        <v>0</v>
      </c>
      <c r="Z44" s="3">
        <f t="shared" si="50"/>
        <v>0</v>
      </c>
      <c r="AA44" s="3">
        <f t="shared" si="50"/>
        <v>0</v>
      </c>
      <c r="AB44" s="3">
        <f t="shared" si="50"/>
        <v>0</v>
      </c>
      <c r="AC44" s="3">
        <f t="shared" si="50"/>
        <v>0</v>
      </c>
      <c r="AD44" s="3">
        <f t="shared" si="50"/>
        <v>0</v>
      </c>
      <c r="AE44" s="3">
        <f t="shared" si="50"/>
        <v>0</v>
      </c>
      <c r="AF44" s="3">
        <f t="shared" si="50"/>
        <v>0</v>
      </c>
      <c r="AG44" s="3">
        <f t="shared" si="50"/>
        <v>0</v>
      </c>
      <c r="AH44" s="3">
        <f t="shared" si="50"/>
        <v>0</v>
      </c>
      <c r="AI44" s="3">
        <f t="shared" si="50"/>
        <v>0</v>
      </c>
      <c r="AJ44" s="3">
        <f t="shared" si="50"/>
        <v>0</v>
      </c>
      <c r="AK44" s="3">
        <f t="shared" si="50"/>
        <v>0</v>
      </c>
      <c r="AL44" s="3">
        <f t="shared" si="50"/>
        <v>0</v>
      </c>
      <c r="AM44" s="3">
        <f t="shared" si="50"/>
        <v>0</v>
      </c>
      <c r="AN44" s="3">
        <f t="shared" si="50"/>
        <v>0</v>
      </c>
      <c r="AO44" s="3">
        <f t="shared" si="50"/>
        <v>0</v>
      </c>
      <c r="AP44" s="3">
        <f t="shared" si="50"/>
        <v>0</v>
      </c>
      <c r="AQ44" s="3">
        <f t="shared" si="50"/>
        <v>0</v>
      </c>
      <c r="AR44" s="3">
        <f t="shared" si="50"/>
        <v>0</v>
      </c>
      <c r="AS44" s="3">
        <f t="shared" si="50"/>
        <v>0</v>
      </c>
      <c r="AT44" s="3">
        <f t="shared" si="50"/>
        <v>0</v>
      </c>
      <c r="AU44" s="3">
        <f t="shared" si="50"/>
        <v>0</v>
      </c>
      <c r="AV44" s="3">
        <f t="shared" si="50"/>
        <v>0</v>
      </c>
      <c r="AW44" s="3">
        <f t="shared" si="50"/>
        <v>0</v>
      </c>
      <c r="AX44" s="3">
        <f t="shared" si="50"/>
        <v>0</v>
      </c>
      <c r="AY44" s="3">
        <f t="shared" si="50"/>
        <v>0</v>
      </c>
      <c r="AZ44" s="3">
        <f t="shared" si="50"/>
        <v>0</v>
      </c>
      <c r="BA44" s="3">
        <f t="shared" si="50"/>
        <v>0</v>
      </c>
      <c r="BB44" s="3">
        <f t="shared" si="50"/>
        <v>0</v>
      </c>
      <c r="BC44" s="3">
        <f t="shared" si="50"/>
        <v>0</v>
      </c>
      <c r="BD44" s="3">
        <f t="shared" si="50"/>
        <v>0</v>
      </c>
      <c r="BE44" s="3">
        <f t="shared" si="50"/>
        <v>0</v>
      </c>
      <c r="BF44" s="3">
        <f t="shared" si="50"/>
        <v>0</v>
      </c>
      <c r="BG44" s="3">
        <f t="shared" si="50"/>
        <v>0</v>
      </c>
      <c r="BH44" s="3">
        <f t="shared" si="50"/>
        <v>0</v>
      </c>
      <c r="BI44" s="3">
        <f t="shared" si="50"/>
        <v>0</v>
      </c>
      <c r="BJ44" s="3">
        <f t="shared" si="50"/>
        <v>0</v>
      </c>
      <c r="BK44" s="3">
        <f t="shared" si="50"/>
        <v>0</v>
      </c>
      <c r="BL44" s="3">
        <f t="shared" si="50"/>
        <v>0</v>
      </c>
      <c r="BM44" s="3">
        <f t="shared" si="50"/>
        <v>0</v>
      </c>
      <c r="BN44" s="3">
        <f t="shared" si="50"/>
        <v>0</v>
      </c>
      <c r="BO44" s="3">
        <f t="shared" si="50"/>
        <v>0</v>
      </c>
      <c r="BP44" s="3">
        <f t="shared" ref="BP44:EA44" si="51">BP41*BP27</f>
        <v>0</v>
      </c>
      <c r="BQ44" s="3">
        <f t="shared" si="51"/>
        <v>0</v>
      </c>
      <c r="BR44" s="3">
        <f t="shared" si="51"/>
        <v>0</v>
      </c>
      <c r="BS44" s="3">
        <f t="shared" si="51"/>
        <v>0</v>
      </c>
      <c r="BT44" s="3">
        <f t="shared" si="51"/>
        <v>0</v>
      </c>
      <c r="BU44" s="3">
        <f t="shared" si="51"/>
        <v>0</v>
      </c>
      <c r="BV44" s="3">
        <f t="shared" si="51"/>
        <v>0</v>
      </c>
      <c r="BW44" s="3">
        <f t="shared" si="51"/>
        <v>0</v>
      </c>
      <c r="BX44" s="3">
        <f t="shared" si="51"/>
        <v>0</v>
      </c>
      <c r="BY44" s="3">
        <f t="shared" si="51"/>
        <v>0</v>
      </c>
      <c r="BZ44" s="3">
        <f t="shared" si="51"/>
        <v>0</v>
      </c>
      <c r="CA44" s="3">
        <f t="shared" si="51"/>
        <v>0</v>
      </c>
      <c r="CB44" s="3">
        <f t="shared" si="51"/>
        <v>0</v>
      </c>
      <c r="CC44" s="3">
        <f t="shared" si="51"/>
        <v>0</v>
      </c>
      <c r="CD44" s="3">
        <f t="shared" si="51"/>
        <v>0</v>
      </c>
      <c r="CE44" s="3">
        <f t="shared" si="51"/>
        <v>0</v>
      </c>
      <c r="CF44" s="3">
        <f t="shared" si="51"/>
        <v>0</v>
      </c>
      <c r="CG44" s="3">
        <f t="shared" si="51"/>
        <v>0</v>
      </c>
      <c r="CH44" s="3">
        <f t="shared" si="51"/>
        <v>0</v>
      </c>
      <c r="CI44" s="3">
        <f t="shared" si="51"/>
        <v>0</v>
      </c>
      <c r="CJ44" s="3">
        <f t="shared" si="51"/>
        <v>0</v>
      </c>
      <c r="CK44" s="3">
        <f t="shared" si="51"/>
        <v>0</v>
      </c>
      <c r="CL44" s="3">
        <f t="shared" si="51"/>
        <v>0</v>
      </c>
      <c r="CM44" s="3">
        <f t="shared" si="51"/>
        <v>0</v>
      </c>
      <c r="CN44" s="3">
        <f t="shared" si="51"/>
        <v>0</v>
      </c>
      <c r="CO44" s="3">
        <f t="shared" si="51"/>
        <v>0</v>
      </c>
      <c r="CP44" s="3">
        <f t="shared" si="51"/>
        <v>0</v>
      </c>
      <c r="CQ44" s="3">
        <f t="shared" si="51"/>
        <v>0</v>
      </c>
      <c r="CR44" s="3">
        <f t="shared" si="51"/>
        <v>0</v>
      </c>
      <c r="CS44" s="3">
        <f t="shared" si="51"/>
        <v>0</v>
      </c>
      <c r="CT44" s="3">
        <f t="shared" si="51"/>
        <v>0</v>
      </c>
      <c r="CU44" s="3">
        <f t="shared" si="51"/>
        <v>0</v>
      </c>
      <c r="CV44" s="3">
        <f t="shared" si="51"/>
        <v>0</v>
      </c>
      <c r="CW44" s="3">
        <f t="shared" si="51"/>
        <v>0</v>
      </c>
      <c r="CX44" s="3">
        <f t="shared" si="51"/>
        <v>0</v>
      </c>
      <c r="CY44" s="3">
        <f t="shared" si="51"/>
        <v>0</v>
      </c>
      <c r="CZ44" s="3">
        <f t="shared" si="51"/>
        <v>0</v>
      </c>
      <c r="DA44" s="3">
        <f t="shared" si="51"/>
        <v>0</v>
      </c>
      <c r="DB44" s="3">
        <f t="shared" si="51"/>
        <v>0</v>
      </c>
      <c r="DC44" s="3">
        <f t="shared" si="51"/>
        <v>0</v>
      </c>
      <c r="DD44" s="3">
        <f t="shared" si="51"/>
        <v>0</v>
      </c>
      <c r="DE44" s="3">
        <f t="shared" si="51"/>
        <v>0</v>
      </c>
      <c r="DF44" s="3">
        <f t="shared" si="51"/>
        <v>0</v>
      </c>
      <c r="DG44" s="3">
        <f t="shared" si="51"/>
        <v>0</v>
      </c>
      <c r="DH44" s="3">
        <f t="shared" si="51"/>
        <v>0</v>
      </c>
      <c r="DI44" s="3">
        <f t="shared" si="51"/>
        <v>0</v>
      </c>
      <c r="DJ44" s="3">
        <f t="shared" si="51"/>
        <v>0</v>
      </c>
      <c r="DK44" s="3">
        <f t="shared" si="51"/>
        <v>0</v>
      </c>
      <c r="DL44" s="3">
        <f t="shared" si="51"/>
        <v>0</v>
      </c>
      <c r="DM44" s="3">
        <f t="shared" si="51"/>
        <v>0</v>
      </c>
      <c r="DN44" s="3">
        <f t="shared" si="51"/>
        <v>0</v>
      </c>
      <c r="DO44" s="3">
        <f t="shared" si="51"/>
        <v>0</v>
      </c>
      <c r="DP44" s="3">
        <f t="shared" si="51"/>
        <v>0</v>
      </c>
      <c r="DQ44" s="3">
        <f t="shared" si="51"/>
        <v>0</v>
      </c>
      <c r="DR44" s="3">
        <f t="shared" si="51"/>
        <v>0</v>
      </c>
      <c r="DS44" s="3">
        <f t="shared" si="51"/>
        <v>0</v>
      </c>
      <c r="DT44" s="3">
        <f t="shared" si="51"/>
        <v>0</v>
      </c>
      <c r="DU44" s="3">
        <f t="shared" si="51"/>
        <v>0</v>
      </c>
      <c r="DV44" s="3">
        <f t="shared" si="51"/>
        <v>0</v>
      </c>
      <c r="DW44" s="3">
        <f t="shared" si="51"/>
        <v>0</v>
      </c>
      <c r="DX44" s="3">
        <f t="shared" si="51"/>
        <v>0</v>
      </c>
      <c r="DY44" s="3">
        <f t="shared" si="51"/>
        <v>0</v>
      </c>
      <c r="DZ44" s="3">
        <f t="shared" si="51"/>
        <v>0</v>
      </c>
      <c r="EA44" s="3">
        <f t="shared" si="51"/>
        <v>0</v>
      </c>
      <c r="EB44" s="3">
        <f t="shared" ref="EB44:GM44" si="52">EB41*EB27</f>
        <v>0</v>
      </c>
      <c r="EC44" s="3">
        <f t="shared" si="52"/>
        <v>0</v>
      </c>
      <c r="ED44" s="3">
        <f t="shared" si="52"/>
        <v>0</v>
      </c>
      <c r="EE44" s="3">
        <f t="shared" si="52"/>
        <v>0</v>
      </c>
      <c r="EF44" s="3">
        <f t="shared" si="52"/>
        <v>0</v>
      </c>
      <c r="EG44" s="3">
        <f t="shared" si="52"/>
        <v>0</v>
      </c>
      <c r="EH44" s="3">
        <f t="shared" si="52"/>
        <v>0</v>
      </c>
      <c r="EI44" s="3">
        <f t="shared" si="52"/>
        <v>0</v>
      </c>
      <c r="EJ44" s="3">
        <f t="shared" si="52"/>
        <v>0</v>
      </c>
      <c r="EK44" s="3">
        <f t="shared" si="52"/>
        <v>0</v>
      </c>
      <c r="EL44" s="3">
        <f t="shared" si="52"/>
        <v>0</v>
      </c>
      <c r="EM44" s="3">
        <f t="shared" si="52"/>
        <v>0</v>
      </c>
      <c r="EN44" s="3">
        <f t="shared" si="52"/>
        <v>0</v>
      </c>
      <c r="EO44" s="3">
        <f t="shared" si="52"/>
        <v>0</v>
      </c>
      <c r="EP44" s="3">
        <f t="shared" si="52"/>
        <v>0</v>
      </c>
      <c r="EQ44" s="3">
        <f t="shared" si="52"/>
        <v>0</v>
      </c>
      <c r="ER44" s="3">
        <f t="shared" si="52"/>
        <v>0</v>
      </c>
      <c r="ES44" s="3">
        <f t="shared" si="52"/>
        <v>0</v>
      </c>
      <c r="ET44" s="3">
        <f t="shared" si="52"/>
        <v>0</v>
      </c>
      <c r="EU44" s="3">
        <f t="shared" si="52"/>
        <v>0</v>
      </c>
      <c r="EV44" s="3">
        <f t="shared" si="52"/>
        <v>0</v>
      </c>
      <c r="EW44" s="3">
        <f t="shared" si="52"/>
        <v>0</v>
      </c>
      <c r="EX44" s="3">
        <f t="shared" si="52"/>
        <v>0</v>
      </c>
      <c r="EY44" s="3">
        <f t="shared" si="52"/>
        <v>0</v>
      </c>
      <c r="EZ44" s="3">
        <f t="shared" si="52"/>
        <v>0</v>
      </c>
      <c r="FA44" s="3">
        <f t="shared" si="52"/>
        <v>0</v>
      </c>
      <c r="FB44" s="3">
        <f t="shared" si="52"/>
        <v>0</v>
      </c>
      <c r="FC44" s="3">
        <f t="shared" si="52"/>
        <v>0</v>
      </c>
      <c r="FD44" s="3">
        <f t="shared" si="52"/>
        <v>0</v>
      </c>
      <c r="FE44" s="3">
        <f t="shared" si="52"/>
        <v>0</v>
      </c>
      <c r="FF44" s="3">
        <f t="shared" si="52"/>
        <v>0</v>
      </c>
      <c r="FG44" s="3">
        <f t="shared" si="52"/>
        <v>0</v>
      </c>
      <c r="FH44" s="3">
        <f t="shared" si="52"/>
        <v>0</v>
      </c>
      <c r="FI44" s="3">
        <f t="shared" si="52"/>
        <v>0</v>
      </c>
      <c r="FJ44" s="3">
        <f t="shared" si="52"/>
        <v>0</v>
      </c>
      <c r="FK44" s="3">
        <f t="shared" si="52"/>
        <v>0</v>
      </c>
      <c r="FL44" s="3">
        <f t="shared" si="52"/>
        <v>0</v>
      </c>
      <c r="FM44" s="3">
        <f t="shared" si="52"/>
        <v>0</v>
      </c>
      <c r="FN44" s="3">
        <f t="shared" si="52"/>
        <v>0</v>
      </c>
      <c r="FO44" s="3">
        <f t="shared" si="52"/>
        <v>0</v>
      </c>
      <c r="FP44" s="3">
        <f t="shared" si="52"/>
        <v>0</v>
      </c>
      <c r="FQ44" s="3">
        <f t="shared" si="52"/>
        <v>0</v>
      </c>
      <c r="FR44" s="3">
        <f t="shared" si="52"/>
        <v>0</v>
      </c>
      <c r="FS44" s="3">
        <f t="shared" si="52"/>
        <v>0</v>
      </c>
      <c r="FT44" s="3">
        <f t="shared" si="52"/>
        <v>0</v>
      </c>
      <c r="FU44" s="3">
        <f t="shared" si="52"/>
        <v>0</v>
      </c>
      <c r="FV44" s="3">
        <f t="shared" si="52"/>
        <v>0</v>
      </c>
      <c r="FW44" s="3">
        <f t="shared" si="52"/>
        <v>0</v>
      </c>
      <c r="FX44" s="3">
        <f t="shared" si="52"/>
        <v>0</v>
      </c>
      <c r="FY44" s="3">
        <f t="shared" si="52"/>
        <v>0</v>
      </c>
      <c r="FZ44" s="3">
        <f t="shared" si="52"/>
        <v>0</v>
      </c>
      <c r="GA44" s="3">
        <f t="shared" si="52"/>
        <v>0</v>
      </c>
      <c r="GB44" s="3">
        <f t="shared" si="52"/>
        <v>0</v>
      </c>
      <c r="GC44" s="3">
        <f t="shared" si="52"/>
        <v>0</v>
      </c>
      <c r="GD44" s="3">
        <f t="shared" si="52"/>
        <v>0</v>
      </c>
      <c r="GE44" s="3">
        <f t="shared" si="52"/>
        <v>0</v>
      </c>
      <c r="GF44" s="3">
        <f t="shared" si="52"/>
        <v>0</v>
      </c>
      <c r="GG44" s="3">
        <f t="shared" si="52"/>
        <v>0</v>
      </c>
      <c r="GH44" s="3">
        <f t="shared" si="52"/>
        <v>0</v>
      </c>
      <c r="GI44" s="3">
        <f t="shared" si="52"/>
        <v>0</v>
      </c>
      <c r="GJ44" s="3">
        <f t="shared" si="52"/>
        <v>0</v>
      </c>
      <c r="GK44" s="3">
        <f t="shared" si="52"/>
        <v>0</v>
      </c>
      <c r="GL44" s="3">
        <f t="shared" si="52"/>
        <v>0</v>
      </c>
      <c r="GM44" s="3">
        <f t="shared" si="52"/>
        <v>0</v>
      </c>
      <c r="GN44" s="3">
        <f t="shared" ref="GN44:IC44" si="53">GN41*GN27</f>
        <v>0</v>
      </c>
      <c r="GO44" s="3">
        <f t="shared" si="53"/>
        <v>0</v>
      </c>
      <c r="GP44" s="3">
        <f t="shared" si="53"/>
        <v>0</v>
      </c>
      <c r="GQ44" s="3">
        <f t="shared" si="53"/>
        <v>0</v>
      </c>
      <c r="GR44" s="3">
        <f t="shared" si="53"/>
        <v>0</v>
      </c>
      <c r="GS44" s="3">
        <f t="shared" si="53"/>
        <v>0</v>
      </c>
      <c r="GT44" s="3">
        <f t="shared" si="53"/>
        <v>0</v>
      </c>
      <c r="GU44" s="3">
        <f t="shared" si="53"/>
        <v>0</v>
      </c>
      <c r="GV44" s="3">
        <f t="shared" si="53"/>
        <v>0</v>
      </c>
      <c r="GW44" s="3">
        <f t="shared" si="53"/>
        <v>0</v>
      </c>
      <c r="GX44" s="3">
        <f t="shared" si="53"/>
        <v>0</v>
      </c>
      <c r="GY44" s="3">
        <f t="shared" si="53"/>
        <v>0</v>
      </c>
      <c r="GZ44" s="3">
        <f t="shared" si="53"/>
        <v>0</v>
      </c>
      <c r="HA44" s="3">
        <f t="shared" si="53"/>
        <v>0</v>
      </c>
      <c r="HB44" s="3">
        <f t="shared" si="53"/>
        <v>0</v>
      </c>
      <c r="HC44" s="3">
        <f t="shared" si="53"/>
        <v>0</v>
      </c>
      <c r="HD44" s="3">
        <f t="shared" si="53"/>
        <v>0</v>
      </c>
      <c r="HE44" s="3">
        <f t="shared" si="53"/>
        <v>0</v>
      </c>
      <c r="HF44" s="3">
        <f t="shared" si="53"/>
        <v>0</v>
      </c>
      <c r="HG44" s="3">
        <f t="shared" si="53"/>
        <v>0</v>
      </c>
      <c r="HH44" s="3">
        <f t="shared" si="53"/>
        <v>0</v>
      </c>
      <c r="HI44" s="3">
        <f t="shared" si="53"/>
        <v>0</v>
      </c>
      <c r="HJ44" s="3">
        <f t="shared" si="53"/>
        <v>0</v>
      </c>
      <c r="HK44" s="3">
        <f t="shared" si="53"/>
        <v>0</v>
      </c>
      <c r="HL44" s="3">
        <f t="shared" si="53"/>
        <v>0</v>
      </c>
      <c r="HM44" s="3">
        <f t="shared" si="53"/>
        <v>0</v>
      </c>
      <c r="HN44" s="3">
        <f t="shared" si="53"/>
        <v>0</v>
      </c>
      <c r="HO44" s="3">
        <f t="shared" si="53"/>
        <v>0</v>
      </c>
      <c r="HP44" s="3">
        <f t="shared" si="53"/>
        <v>0</v>
      </c>
      <c r="HQ44" s="3">
        <f t="shared" si="53"/>
        <v>0</v>
      </c>
      <c r="HR44" s="3">
        <f t="shared" si="53"/>
        <v>0</v>
      </c>
      <c r="HS44" s="3">
        <f t="shared" si="53"/>
        <v>0</v>
      </c>
      <c r="HT44" s="3">
        <f t="shared" si="53"/>
        <v>0</v>
      </c>
      <c r="HU44" s="3">
        <f t="shared" si="53"/>
        <v>0</v>
      </c>
      <c r="HV44" s="3">
        <f t="shared" si="53"/>
        <v>0</v>
      </c>
      <c r="HW44" s="3">
        <f t="shared" si="53"/>
        <v>0</v>
      </c>
      <c r="HX44" s="3">
        <f t="shared" si="53"/>
        <v>0</v>
      </c>
      <c r="HY44" s="3">
        <f t="shared" si="53"/>
        <v>0</v>
      </c>
      <c r="HZ44" s="3">
        <f t="shared" si="53"/>
        <v>0</v>
      </c>
      <c r="IA44" s="3">
        <f t="shared" si="53"/>
        <v>0</v>
      </c>
      <c r="IB44" s="3">
        <f t="shared" si="53"/>
        <v>0</v>
      </c>
      <c r="IC44" s="3">
        <f t="shared" si="53"/>
        <v>0</v>
      </c>
    </row>
    <row r="45" spans="1:237" x14ac:dyDescent="0.3">
      <c r="D45" s="3"/>
      <c r="E45" s="3"/>
      <c r="F45" s="3"/>
      <c r="G45" s="71"/>
    </row>
    <row r="46" spans="1:237" x14ac:dyDescent="0.3">
      <c r="B46" s="76" t="s">
        <v>44</v>
      </c>
      <c r="D46" s="3"/>
      <c r="E46" s="3"/>
      <c r="F46" s="3"/>
      <c r="G46" s="71"/>
    </row>
    <row r="47" spans="1:237" x14ac:dyDescent="0.3">
      <c r="B47" s="70" t="s">
        <v>69</v>
      </c>
      <c r="C47" s="71">
        <f>IF(C19="Cons",0,$C$5)</f>
        <v>0</v>
      </c>
      <c r="D47" s="71">
        <f t="shared" ref="D47:P47" si="54">IF(D19="Cons",0,IF(D19&lt;&gt;C19,$C$5,C49))</f>
        <v>0</v>
      </c>
      <c r="E47" s="71">
        <f t="shared" si="54"/>
        <v>0</v>
      </c>
      <c r="F47" s="71">
        <f t="shared" si="54"/>
        <v>0</v>
      </c>
      <c r="G47" s="71">
        <f t="shared" si="54"/>
        <v>0</v>
      </c>
      <c r="H47" s="71">
        <f t="shared" si="54"/>
        <v>0</v>
      </c>
      <c r="I47" s="71">
        <f t="shared" si="54"/>
        <v>0</v>
      </c>
      <c r="J47" s="71">
        <f t="shared" si="54"/>
        <v>0</v>
      </c>
      <c r="K47" s="71">
        <f t="shared" si="54"/>
        <v>0</v>
      </c>
      <c r="L47" s="71">
        <f t="shared" si="54"/>
        <v>0</v>
      </c>
      <c r="M47" s="71">
        <f t="shared" si="54"/>
        <v>0</v>
      </c>
      <c r="N47" s="71">
        <f t="shared" si="54"/>
        <v>0</v>
      </c>
      <c r="O47" s="71">
        <f t="shared" si="54"/>
        <v>0</v>
      </c>
      <c r="P47" s="71">
        <f t="shared" si="54"/>
        <v>0</v>
      </c>
      <c r="Q47" s="71">
        <f ca="1">IF(Q19="Cons",0,IF(Q19&lt;&gt;P19,$C$5+$C$13,P49))</f>
        <v>54.166044222212157</v>
      </c>
      <c r="R47" s="71">
        <f t="shared" ref="R47:CC47" ca="1" si="55">IF(R19="Cons",0,IF(R19&lt;&gt;Q19,$C$5,Q49))</f>
        <v>54.166044222211717</v>
      </c>
      <c r="S47" s="71">
        <f t="shared" ca="1" si="55"/>
        <v>54.166044222211717</v>
      </c>
      <c r="T47" s="71">
        <f t="shared" ca="1" si="55"/>
        <v>54.16604422221215</v>
      </c>
      <c r="U47" s="71">
        <f t="shared" ca="1" si="55"/>
        <v>54.166044222211717</v>
      </c>
      <c r="V47" s="71">
        <f t="shared" ca="1" si="55"/>
        <v>54.166044222211291</v>
      </c>
      <c r="W47" s="71">
        <f t="shared" ca="1" si="55"/>
        <v>54.166044222211276</v>
      </c>
      <c r="X47" s="71">
        <f t="shared" ca="1" si="55"/>
        <v>54.16604422221215</v>
      </c>
      <c r="Y47" s="71">
        <f t="shared" ca="1" si="55"/>
        <v>54.166044222211717</v>
      </c>
      <c r="Z47" s="71">
        <f t="shared" ca="1" si="55"/>
        <v>54.166044222211291</v>
      </c>
      <c r="AA47" s="71">
        <f t="shared" ca="1" si="55"/>
        <v>54.166044222211291</v>
      </c>
      <c r="AB47" s="71">
        <f t="shared" ca="1" si="55"/>
        <v>54.166044222211305</v>
      </c>
      <c r="AC47" s="71">
        <f t="shared" ca="1" si="55"/>
        <v>50.554974607396744</v>
      </c>
      <c r="AD47" s="71">
        <f t="shared" ca="1" si="55"/>
        <v>50.554974607396318</v>
      </c>
      <c r="AE47" s="71">
        <f t="shared" ca="1" si="55"/>
        <v>50.554974607398016</v>
      </c>
      <c r="AF47" s="71">
        <f t="shared" ca="1" si="55"/>
        <v>50.554974607398044</v>
      </c>
      <c r="AG47" s="71">
        <f t="shared" ca="1" si="55"/>
        <v>50.554974607397632</v>
      </c>
      <c r="AH47" s="71">
        <f t="shared" ca="1" si="55"/>
        <v>50.554974607397632</v>
      </c>
      <c r="AI47" s="71">
        <f t="shared" ca="1" si="55"/>
        <v>50.554974607398009</v>
      </c>
      <c r="AJ47" s="71">
        <f t="shared" ca="1" si="55"/>
        <v>50.554974607397604</v>
      </c>
      <c r="AK47" s="71">
        <f t="shared" ca="1" si="55"/>
        <v>50.554974607397206</v>
      </c>
      <c r="AL47" s="71">
        <f t="shared" ca="1" si="55"/>
        <v>50.554974607397192</v>
      </c>
      <c r="AM47" s="71">
        <f t="shared" ca="1" si="55"/>
        <v>50.554974607398066</v>
      </c>
      <c r="AN47" s="71">
        <f t="shared" ca="1" si="55"/>
        <v>50.554974607397661</v>
      </c>
      <c r="AO47" s="71">
        <f t="shared" ca="1" si="55"/>
        <v>46.94390499258315</v>
      </c>
      <c r="AP47" s="71">
        <f t="shared" ca="1" si="55"/>
        <v>46.943904992583036</v>
      </c>
      <c r="AQ47" s="71">
        <f t="shared" ca="1" si="55"/>
        <v>46.943904992583022</v>
      </c>
      <c r="AR47" s="71">
        <f t="shared" ca="1" si="55"/>
        <v>46.943904992582631</v>
      </c>
      <c r="AS47" s="71">
        <f t="shared" ca="1" si="55"/>
        <v>46.943904992582233</v>
      </c>
      <c r="AT47" s="71">
        <f t="shared" ca="1" si="55"/>
        <v>46.943904992583931</v>
      </c>
      <c r="AU47" s="71">
        <f t="shared" ca="1" si="55"/>
        <v>46.943904992583903</v>
      </c>
      <c r="AV47" s="71">
        <f t="shared" ca="1" si="55"/>
        <v>46.943904992583519</v>
      </c>
      <c r="AW47" s="71">
        <f t="shared" ca="1" si="55"/>
        <v>46.943904992583548</v>
      </c>
      <c r="AX47" s="71">
        <f t="shared" ca="1" si="55"/>
        <v>46.943904992583924</v>
      </c>
      <c r="AY47" s="71">
        <f t="shared" ca="1" si="55"/>
        <v>46.943904992583519</v>
      </c>
      <c r="AZ47" s="71">
        <f t="shared" ca="1" si="55"/>
        <v>46.94390499258315</v>
      </c>
      <c r="BA47" s="71">
        <f t="shared" ca="1" si="55"/>
        <v>43.332835377769051</v>
      </c>
      <c r="BB47" s="71">
        <f t="shared" ca="1" si="55"/>
        <v>43.332835377769811</v>
      </c>
      <c r="BC47" s="71">
        <f t="shared" ca="1" si="55"/>
        <v>43.332835377769378</v>
      </c>
      <c r="BD47" s="71">
        <f t="shared" ca="1" si="55"/>
        <v>43.332835377769037</v>
      </c>
      <c r="BE47" s="71">
        <f t="shared" ca="1" si="55"/>
        <v>43.332835377768951</v>
      </c>
      <c r="BF47" s="71">
        <f t="shared" ca="1" si="55"/>
        <v>43.332835377768937</v>
      </c>
      <c r="BG47" s="71">
        <f t="shared" ca="1" si="55"/>
        <v>43.33283537776849</v>
      </c>
      <c r="BH47" s="71">
        <f t="shared" ca="1" si="55"/>
        <v>43.33283537776812</v>
      </c>
      <c r="BI47" s="71">
        <f t="shared" ca="1" si="55"/>
        <v>43.332835377769847</v>
      </c>
      <c r="BJ47" s="71">
        <f t="shared" ca="1" si="55"/>
        <v>43.332835377769818</v>
      </c>
      <c r="BK47" s="71">
        <f t="shared" ca="1" si="55"/>
        <v>43.332835377769435</v>
      </c>
      <c r="BL47" s="71">
        <f t="shared" ca="1" si="55"/>
        <v>43.332835377769491</v>
      </c>
      <c r="BM47" s="71">
        <f t="shared" ca="1" si="55"/>
        <v>39.721765762955783</v>
      </c>
      <c r="BN47" s="71">
        <f t="shared" ca="1" si="55"/>
        <v>39.721765762955265</v>
      </c>
      <c r="BO47" s="71">
        <f t="shared" ca="1" si="55"/>
        <v>39.721765762954867</v>
      </c>
      <c r="BP47" s="71">
        <f t="shared" ca="1" si="55"/>
        <v>39.721765762954938</v>
      </c>
      <c r="BQ47" s="71">
        <f t="shared" ca="1" si="55"/>
        <v>39.721765762955727</v>
      </c>
      <c r="BR47" s="71">
        <f t="shared" ca="1" si="55"/>
        <v>39.721765762955293</v>
      </c>
      <c r="BS47" s="71">
        <f t="shared" ca="1" si="55"/>
        <v>39.721765762954895</v>
      </c>
      <c r="BT47" s="71">
        <f t="shared" ca="1" si="55"/>
        <v>39.721765762954838</v>
      </c>
      <c r="BU47" s="71">
        <f t="shared" ca="1" si="55"/>
        <v>39.721765762954853</v>
      </c>
      <c r="BV47" s="71">
        <f t="shared" ca="1" si="55"/>
        <v>39.721765762954405</v>
      </c>
      <c r="BW47" s="71">
        <f t="shared" ca="1" si="55"/>
        <v>39.721765762954035</v>
      </c>
      <c r="BX47" s="71">
        <f t="shared" ca="1" si="55"/>
        <v>39.721765762955791</v>
      </c>
      <c r="BY47" s="71">
        <f t="shared" ca="1" si="55"/>
        <v>36.110696148141677</v>
      </c>
      <c r="BZ47" s="71">
        <f t="shared" ca="1" si="55"/>
        <v>36.11069614814118</v>
      </c>
      <c r="CA47" s="71">
        <f t="shared" ca="1" si="55"/>
        <v>36.110696148141209</v>
      </c>
      <c r="CB47" s="71">
        <f t="shared" ca="1" si="55"/>
        <v>36.11069614814167</v>
      </c>
      <c r="CC47" s="71">
        <f t="shared" ca="1" si="55"/>
        <v>36.11069614814118</v>
      </c>
      <c r="CD47" s="71">
        <f t="shared" ref="CD47:EO47" ca="1" si="56">IF(CD19="Cons",0,IF(CD19&lt;&gt;CC19,$C$5,CC49))</f>
        <v>36.110696148140782</v>
      </c>
      <c r="CE47" s="71">
        <f t="shared" ca="1" si="56"/>
        <v>36.110696148140796</v>
      </c>
      <c r="CF47" s="71">
        <f t="shared" ca="1" si="56"/>
        <v>36.110696148141614</v>
      </c>
      <c r="CG47" s="71">
        <f t="shared" ca="1" si="56"/>
        <v>36.110696148141209</v>
      </c>
      <c r="CH47" s="71">
        <f t="shared" ca="1" si="56"/>
        <v>36.110696148140811</v>
      </c>
      <c r="CI47" s="71">
        <f t="shared" ca="1" si="56"/>
        <v>36.110696148140754</v>
      </c>
      <c r="CJ47" s="71">
        <f t="shared" ca="1" si="56"/>
        <v>36.110696148140796</v>
      </c>
      <c r="CK47" s="71">
        <f t="shared" ca="1" si="56"/>
        <v>32.499626533326264</v>
      </c>
      <c r="CL47" s="71">
        <f t="shared" ca="1" si="56"/>
        <v>32.499626533325781</v>
      </c>
      <c r="CM47" s="71">
        <f t="shared" ca="1" si="56"/>
        <v>32.499626533327508</v>
      </c>
      <c r="CN47" s="71">
        <f t="shared" ca="1" si="56"/>
        <v>32.499626533327564</v>
      </c>
      <c r="CO47" s="71">
        <f t="shared" ca="1" si="56"/>
        <v>32.499626533327096</v>
      </c>
      <c r="CP47" s="71">
        <f t="shared" ca="1" si="56"/>
        <v>32.499626533327124</v>
      </c>
      <c r="CQ47" s="71">
        <f t="shared" ca="1" si="56"/>
        <v>32.499626533327529</v>
      </c>
      <c r="CR47" s="71">
        <f t="shared" ca="1" si="56"/>
        <v>32.499626533327067</v>
      </c>
      <c r="CS47" s="71">
        <f t="shared" ca="1" si="56"/>
        <v>32.499626533326698</v>
      </c>
      <c r="CT47" s="71">
        <f t="shared" ca="1" si="56"/>
        <v>32.499626533326712</v>
      </c>
      <c r="CU47" s="71">
        <f t="shared" ca="1" si="56"/>
        <v>32.499626533327529</v>
      </c>
      <c r="CV47" s="71">
        <f t="shared" ca="1" si="56"/>
        <v>32.499626533327152</v>
      </c>
      <c r="CW47" s="71">
        <f t="shared" ca="1" si="56"/>
        <v>28.88855691851267</v>
      </c>
      <c r="CX47" s="71">
        <f t="shared" ca="1" si="56"/>
        <v>28.888556918512499</v>
      </c>
      <c r="CY47" s="71">
        <f t="shared" ca="1" si="56"/>
        <v>28.888556918512514</v>
      </c>
      <c r="CZ47" s="71">
        <f t="shared" ca="1" si="56"/>
        <v>28.888556918512151</v>
      </c>
      <c r="DA47" s="71">
        <f t="shared" ca="1" si="56"/>
        <v>28.888556918511696</v>
      </c>
      <c r="DB47" s="71">
        <f t="shared" ca="1" si="56"/>
        <v>28.888556918513423</v>
      </c>
      <c r="DC47" s="71">
        <f t="shared" ca="1" si="56"/>
        <v>28.888556918513423</v>
      </c>
      <c r="DD47" s="71">
        <f t="shared" ca="1" si="56"/>
        <v>28.888556918512982</v>
      </c>
      <c r="DE47" s="71">
        <f t="shared" ca="1" si="56"/>
        <v>28.888556918513039</v>
      </c>
      <c r="DF47" s="71">
        <f t="shared" ca="1" si="56"/>
        <v>28.888556918513444</v>
      </c>
      <c r="DG47" s="71">
        <f t="shared" ca="1" si="56"/>
        <v>28.888556918512979</v>
      </c>
      <c r="DH47" s="71">
        <f t="shared" ca="1" si="56"/>
        <v>28.888556918512641</v>
      </c>
      <c r="DI47" s="71">
        <f t="shared" ca="1" si="56"/>
        <v>25.277487303698571</v>
      </c>
      <c r="DJ47" s="71">
        <f t="shared" ca="1" si="56"/>
        <v>25.277487303699271</v>
      </c>
      <c r="DK47" s="71">
        <f t="shared" ca="1" si="56"/>
        <v>25.277487303698862</v>
      </c>
      <c r="DL47" s="71">
        <f t="shared" ca="1" si="56"/>
        <v>25.277487303698557</v>
      </c>
      <c r="DM47" s="71">
        <f t="shared" ca="1" si="56"/>
        <v>25.277487303698415</v>
      </c>
      <c r="DN47" s="71">
        <f t="shared" ca="1" si="56"/>
        <v>25.277487303698429</v>
      </c>
      <c r="DO47" s="71">
        <f t="shared" ca="1" si="56"/>
        <v>25.27748730369801</v>
      </c>
      <c r="DP47" s="71">
        <f t="shared" ca="1" si="56"/>
        <v>25.277487303697583</v>
      </c>
      <c r="DQ47" s="71">
        <f t="shared" ca="1" si="56"/>
        <v>25.277487303699338</v>
      </c>
      <c r="DR47" s="71">
        <f t="shared" ca="1" si="56"/>
        <v>25.277487303699338</v>
      </c>
      <c r="DS47" s="71">
        <f t="shared" ca="1" si="56"/>
        <v>25.277487303698894</v>
      </c>
      <c r="DT47" s="71">
        <f t="shared" ca="1" si="56"/>
        <v>25.277487303698983</v>
      </c>
      <c r="DU47" s="71">
        <f t="shared" ca="1" si="56"/>
        <v>21.666417688885304</v>
      </c>
      <c r="DV47" s="71">
        <f t="shared" ca="1" si="56"/>
        <v>21.666417688884721</v>
      </c>
      <c r="DW47" s="71">
        <f t="shared" ca="1" si="56"/>
        <v>21.666417688884351</v>
      </c>
      <c r="DX47" s="71">
        <f t="shared" ca="1" si="56"/>
        <v>21.666417688884458</v>
      </c>
      <c r="DY47" s="71">
        <f t="shared" ca="1" si="56"/>
        <v>21.666417688885186</v>
      </c>
      <c r="DZ47" s="71">
        <f t="shared" ca="1" si="56"/>
        <v>21.666417688884778</v>
      </c>
      <c r="EA47" s="71">
        <f t="shared" ca="1" si="56"/>
        <v>21.666417688884415</v>
      </c>
      <c r="EB47" s="71">
        <f t="shared" ca="1" si="56"/>
        <v>21.666417688884302</v>
      </c>
      <c r="EC47" s="71">
        <f t="shared" ca="1" si="56"/>
        <v>21.666417688884344</v>
      </c>
      <c r="ED47" s="71">
        <f t="shared" ca="1" si="56"/>
        <v>21.666417688883925</v>
      </c>
      <c r="EE47" s="71">
        <f t="shared" ca="1" si="56"/>
        <v>21.666417688883495</v>
      </c>
      <c r="EF47" s="71">
        <f t="shared" ca="1" si="56"/>
        <v>21.666417688885282</v>
      </c>
      <c r="EG47" s="71">
        <f t="shared" ca="1" si="56"/>
        <v>18.055348074071198</v>
      </c>
      <c r="EH47" s="71">
        <f t="shared" ca="1" si="56"/>
        <v>18.055348074070636</v>
      </c>
      <c r="EI47" s="71">
        <f t="shared" ca="1" si="56"/>
        <v>18.055348074070693</v>
      </c>
      <c r="EJ47" s="71">
        <f t="shared" ca="1" si="56"/>
        <v>18.05534807407119</v>
      </c>
      <c r="EK47" s="71">
        <f t="shared" ca="1" si="56"/>
        <v>18.055348074070636</v>
      </c>
      <c r="EL47" s="71">
        <f t="shared" ca="1" si="56"/>
        <v>18.055348074070267</v>
      </c>
      <c r="EM47" s="71">
        <f t="shared" ca="1" si="56"/>
        <v>18.055348074070316</v>
      </c>
      <c r="EN47" s="71">
        <f t="shared" ca="1" si="56"/>
        <v>18.055348074071073</v>
      </c>
      <c r="EO47" s="71">
        <f t="shared" ca="1" si="56"/>
        <v>18.055348074070693</v>
      </c>
      <c r="EP47" s="71">
        <f t="shared" ref="EP47:HA47" ca="1" si="57">IF(EP19="Cons",0,IF(EP19&lt;&gt;EO19,$C$5,EO49))</f>
        <v>18.055348074070331</v>
      </c>
      <c r="EQ47" s="71">
        <f t="shared" ca="1" si="57"/>
        <v>18.055348074070213</v>
      </c>
      <c r="ER47" s="71">
        <f t="shared" ca="1" si="57"/>
        <v>18.055348074070288</v>
      </c>
      <c r="ES47" s="71">
        <f t="shared" ca="1" si="57"/>
        <v>14.444278459255782</v>
      </c>
      <c r="ET47" s="71">
        <f t="shared" ca="1" si="57"/>
        <v>14.444278459255235</v>
      </c>
      <c r="EU47" s="71">
        <f t="shared" ca="1" si="57"/>
        <v>14.444278459256994</v>
      </c>
      <c r="EV47" s="71">
        <f t="shared" ca="1" si="57"/>
        <v>14.444278459257083</v>
      </c>
      <c r="EW47" s="71">
        <f t="shared" ca="1" si="57"/>
        <v>14.44427845925655</v>
      </c>
      <c r="EX47" s="71">
        <f t="shared" ca="1" si="57"/>
        <v>14.444278459256608</v>
      </c>
      <c r="EY47" s="71">
        <f t="shared" ca="1" si="57"/>
        <v>14.444278459257047</v>
      </c>
      <c r="EZ47" s="71">
        <f t="shared" ca="1" si="57"/>
        <v>14.444278459256521</v>
      </c>
      <c r="FA47" s="71">
        <f t="shared" ca="1" si="57"/>
        <v>14.44427845925618</v>
      </c>
      <c r="FB47" s="71">
        <f t="shared" ca="1" si="57"/>
        <v>14.44427845925623</v>
      </c>
      <c r="FC47" s="71">
        <f t="shared" ca="1" si="57"/>
        <v>14.444278459256987</v>
      </c>
      <c r="FD47" s="71">
        <f t="shared" ca="1" si="57"/>
        <v>14.444278459256637</v>
      </c>
      <c r="FE47" s="71">
        <f t="shared" ca="1" si="57"/>
        <v>10.833208844442188</v>
      </c>
      <c r="FF47" s="71">
        <f t="shared" ca="1" si="57"/>
        <v>10.833208844441955</v>
      </c>
      <c r="FG47" s="71">
        <f t="shared" ca="1" si="57"/>
        <v>10.833208844442002</v>
      </c>
      <c r="FH47" s="71">
        <f t="shared" ca="1" si="57"/>
        <v>10.833208844441668</v>
      </c>
      <c r="FI47" s="71">
        <f t="shared" ca="1" si="57"/>
        <v>10.833208844441149</v>
      </c>
      <c r="FJ47" s="71">
        <f t="shared" ca="1" si="57"/>
        <v>10.833208844442909</v>
      </c>
      <c r="FK47" s="71">
        <f t="shared" ca="1" si="57"/>
        <v>10.83320884444294</v>
      </c>
      <c r="FL47" s="71">
        <f t="shared" ca="1" si="57"/>
        <v>10.833208844442435</v>
      </c>
      <c r="FM47" s="71">
        <f t="shared" ca="1" si="57"/>
        <v>10.833208844442522</v>
      </c>
      <c r="FN47" s="71">
        <f t="shared" ca="1" si="57"/>
        <v>10.833208844442961</v>
      </c>
      <c r="FO47" s="71">
        <f t="shared" ca="1" si="57"/>
        <v>10.833208844442435</v>
      </c>
      <c r="FP47" s="71">
        <f t="shared" ca="1" si="57"/>
        <v>10.833208844442122</v>
      </c>
      <c r="FQ47" s="71">
        <f t="shared" ca="1" si="57"/>
        <v>7.2221392296280857</v>
      </c>
      <c r="FR47" s="71">
        <f t="shared" ca="1" si="57"/>
        <v>7.2221392296287288</v>
      </c>
      <c r="FS47" s="71">
        <f t="shared" ca="1" si="57"/>
        <v>7.2221392296283504</v>
      </c>
      <c r="FT47" s="71">
        <f t="shared" ca="1" si="57"/>
        <v>7.2221392296280733</v>
      </c>
      <c r="FU47" s="71">
        <f t="shared" ca="1" si="57"/>
        <v>7.222139229627869</v>
      </c>
      <c r="FV47" s="71">
        <f t="shared" ca="1" si="57"/>
        <v>7.222139229627917</v>
      </c>
      <c r="FW47" s="71">
        <f t="shared" ca="1" si="57"/>
        <v>7.2221392296275244</v>
      </c>
      <c r="FX47" s="71">
        <f t="shared" ca="1" si="57"/>
        <v>7.2221392296270341</v>
      </c>
      <c r="FY47" s="71">
        <f t="shared" ca="1" si="57"/>
        <v>7.2221392296288229</v>
      </c>
      <c r="FZ47" s="71">
        <f t="shared" ca="1" si="57"/>
        <v>7.2221392296288531</v>
      </c>
      <c r="GA47" s="71">
        <f t="shared" ca="1" si="57"/>
        <v>7.2221392296283486</v>
      </c>
      <c r="GB47" s="71">
        <f t="shared" ca="1" si="57"/>
        <v>7.222139229628465</v>
      </c>
      <c r="GC47" s="71">
        <f t="shared" ca="1" si="57"/>
        <v>3.6110696148148178</v>
      </c>
      <c r="GD47" s="71">
        <f t="shared" ca="1" si="57"/>
        <v>3.6110696148141774</v>
      </c>
      <c r="GE47" s="71">
        <f t="shared" ca="1" si="57"/>
        <v>3.6110696148138359</v>
      </c>
      <c r="GF47" s="71">
        <f t="shared" ca="1" si="57"/>
        <v>3.6110696148139714</v>
      </c>
      <c r="GG47" s="71">
        <f t="shared" ca="1" si="57"/>
        <v>3.6110696148146428</v>
      </c>
      <c r="GH47" s="71">
        <f t="shared" ca="1" si="57"/>
        <v>3.6110696148142654</v>
      </c>
      <c r="GI47" s="71">
        <f t="shared" ca="1" si="57"/>
        <v>3.6110696148139301</v>
      </c>
      <c r="GJ47" s="71">
        <f t="shared" ca="1" si="57"/>
        <v>3.6110696148137547</v>
      </c>
      <c r="GK47" s="71">
        <f t="shared" ca="1" si="57"/>
        <v>3.611069614813831</v>
      </c>
      <c r="GL47" s="71">
        <f t="shared" ca="1" si="57"/>
        <v>3.6110696148134385</v>
      </c>
      <c r="GM47" s="71">
        <f t="shared" ca="1" si="57"/>
        <v>3.6110696148129473</v>
      </c>
      <c r="GN47" s="71">
        <f t="shared" ca="1" si="57"/>
        <v>3.6110696148147658</v>
      </c>
      <c r="GO47" s="71">
        <f t="shared" ca="1" si="57"/>
        <v>7.1009864655025012E-13</v>
      </c>
      <c r="GP47" s="71">
        <f t="shared" ca="1" si="57"/>
        <v>9.0594198809412774E-14</v>
      </c>
      <c r="GQ47" s="71">
        <f t="shared" ca="1" si="57"/>
        <v>1.7807977314987511E-13</v>
      </c>
      <c r="GR47" s="71">
        <f t="shared" ca="1" si="57"/>
        <v>7.0343730840249918E-13</v>
      </c>
      <c r="GS47" s="71">
        <f t="shared" ca="1" si="57"/>
        <v>9.1482377229112899E-14</v>
      </c>
      <c r="GT47" s="71">
        <f t="shared" ca="1" si="57"/>
        <v>-2.4913404672588513E-13</v>
      </c>
      <c r="GU47" s="71">
        <f t="shared" ca="1" si="57"/>
        <v>-1.7186252421197423E-13</v>
      </c>
      <c r="GV47" s="71">
        <f t="shared" ca="1" si="57"/>
        <v>5.2846615972157451E-13</v>
      </c>
      <c r="GW47" s="71">
        <f t="shared" ca="1" si="57"/>
        <v>1.794120407794253E-13</v>
      </c>
      <c r="GX47" s="71">
        <f t="shared" ca="1" si="57"/>
        <v>-1.5587531265737198E-13</v>
      </c>
      <c r="GY47" s="71">
        <f t="shared" ca="1" si="57"/>
        <v>-3.3217872896784684E-13</v>
      </c>
      <c r="GZ47" s="71">
        <f t="shared" ca="1" si="57"/>
        <v>-2.2604140781368187E-13</v>
      </c>
      <c r="HA47" s="71">
        <f t="shared" ca="1" si="57"/>
        <v>-5.9019455989073322E-13</v>
      </c>
      <c r="HB47" s="71">
        <f t="shared" ref="HB47:IC47" ca="1" si="58">IF(HB19="Cons",0,IF(HB19&lt;&gt;HA19,$C$5,HA49))</f>
        <v>-1.1963763313360687E-12</v>
      </c>
      <c r="HC47" s="71">
        <f t="shared" ca="1" si="58"/>
        <v>6.2216898299993773E-13</v>
      </c>
      <c r="HD47" s="71">
        <f t="shared" ca="1" si="58"/>
        <v>7.1009864655025012E-13</v>
      </c>
      <c r="HE47" s="71">
        <f t="shared" ca="1" si="58"/>
        <v>9.0594198809412774E-14</v>
      </c>
      <c r="HF47" s="71">
        <f t="shared" ca="1" si="58"/>
        <v>1.7807977314987511E-13</v>
      </c>
      <c r="HG47" s="71">
        <f t="shared" ca="1" si="58"/>
        <v>7.0343730840249918E-13</v>
      </c>
      <c r="HH47" s="71">
        <f t="shared" ca="1" si="58"/>
        <v>9.1482377229112899E-14</v>
      </c>
      <c r="HI47" s="71">
        <f t="shared" ca="1" si="58"/>
        <v>-2.4913404672588513E-13</v>
      </c>
      <c r="HJ47" s="71">
        <f t="shared" ca="1" si="58"/>
        <v>-1.7186252421197423E-13</v>
      </c>
      <c r="HK47" s="71">
        <f t="shared" ca="1" si="58"/>
        <v>5.2846615972157451E-13</v>
      </c>
      <c r="HL47" s="71">
        <f t="shared" ca="1" si="58"/>
        <v>1.794120407794253E-13</v>
      </c>
      <c r="HM47" s="71">
        <f t="shared" ca="1" si="58"/>
        <v>-1.5587531265737198E-13</v>
      </c>
      <c r="HN47" s="71">
        <f t="shared" ca="1" si="58"/>
        <v>-3.3217872896784684E-13</v>
      </c>
      <c r="HO47" s="71">
        <f t="shared" ca="1" si="58"/>
        <v>-2.2604140781368187E-13</v>
      </c>
      <c r="HP47" s="71">
        <f t="shared" ca="1" si="58"/>
        <v>-5.9019455989073322E-13</v>
      </c>
      <c r="HQ47" s="71">
        <f t="shared" ca="1" si="58"/>
        <v>-1.1963763313360687E-12</v>
      </c>
      <c r="HR47" s="71">
        <f t="shared" ca="1" si="58"/>
        <v>6.2216898299993773E-13</v>
      </c>
      <c r="HS47" s="71">
        <f t="shared" ca="1" si="58"/>
        <v>7.1009864655025012E-13</v>
      </c>
      <c r="HT47" s="71">
        <f t="shared" ca="1" si="58"/>
        <v>9.0594198809412774E-14</v>
      </c>
      <c r="HU47" s="71">
        <f t="shared" ca="1" si="58"/>
        <v>1.7807977314987511E-13</v>
      </c>
      <c r="HV47" s="71">
        <f t="shared" ca="1" si="58"/>
        <v>7.0343730840249918E-13</v>
      </c>
      <c r="HW47" s="71">
        <f t="shared" ca="1" si="58"/>
        <v>9.1482377229112899E-14</v>
      </c>
      <c r="HX47" s="71">
        <f t="shared" ca="1" si="58"/>
        <v>-2.4913404672588513E-13</v>
      </c>
      <c r="HY47" s="71">
        <f t="shared" ca="1" si="58"/>
        <v>-1.7186252421197423E-13</v>
      </c>
      <c r="HZ47" s="71">
        <f t="shared" ca="1" si="58"/>
        <v>5.2846615972157451E-13</v>
      </c>
      <c r="IA47" s="71">
        <f t="shared" ca="1" si="58"/>
        <v>1.794120407794253E-13</v>
      </c>
      <c r="IB47" s="71">
        <f t="shared" ca="1" si="58"/>
        <v>-1.5587531265737198E-13</v>
      </c>
      <c r="IC47" s="71">
        <f t="shared" ca="1" si="58"/>
        <v>-3.3217872896784684E-13</v>
      </c>
    </row>
    <row r="48" spans="1:237" x14ac:dyDescent="0.3">
      <c r="A48" s="274">
        <f ca="1">COUNTIFS(C48:IC48,"&gt;0")</f>
        <v>15</v>
      </c>
      <c r="B48" s="70" t="s">
        <v>41</v>
      </c>
      <c r="C48" s="71" cm="1">
        <f t="array" ref="C48">IF(C47=0,0,IF(C23&lt;=$C$15,0,_xlfn.IFS($C$16="Monthly",IF(C23=D23,0,($C$5+$C$13)/$C$11),$C$16="Quarterly",IF(C24=D24,0,($C$5+$C$13)/$C$12),$C$16="Annually",IF(C25=D25,0,($C$5+$C$13)/($C$6)*(IF(ROUNDDOWN($C$6,0)&lt;C25,(ROUNDDOWN(C25,0)-$C$6),1))))))</f>
        <v>0</v>
      </c>
      <c r="D48" s="71" cm="1">
        <f t="array" ref="D48">IF(D47=0,0,IF(D23&lt;=$C$15,0,_xlfn.IFS($C$16="Monthly",IF(D23=E23,0,($C$5+$C$13)/$C$11),$C$16="Quarterly",IF(D24=E24,0,($C$5+$C$13)/$C$12),$C$16="Annually",IF(D25=E25,0,($C$5+$C$13)/($C$6)*(IF(ROUNDDOWN($C$6,0)&lt;D25,(ROUNDDOWN(D25,0)-$C$6),1))))))</f>
        <v>0</v>
      </c>
      <c r="E48" s="71" cm="1">
        <f t="array" ref="E48">IF(E47=0,0,IF(E23&lt;=$C$15,0,_xlfn.IFS($C$16="Monthly",IF(E23=F23,0,($C$5+$C$13)/$C$11),$C$16="Quarterly",IF(E24=F24,0,($C$5+$C$13)/$C$12),$C$16="Annually",IF(E25=F25,0,($C$5+$C$13)/($C$6)*(IF(ROUNDDOWN($C$6,0)&lt;E25,(ROUNDDOWN(E25,0)-$C$6),1))))))</f>
        <v>0</v>
      </c>
      <c r="F48" s="71" cm="1">
        <f t="array" ref="F48">IF(F47=0,0,IF(F23&lt;=$C$15,0,_xlfn.IFS($C$16="Monthly",IF(F23=G23,0,($C$5+$C$13)/$C$11),$C$16="Quarterly",IF(F24=G24,0,($C$5+$C$13)/$C$12),$C$16="Annually",IF(F25=G25,0,($C$5+$C$13)/($C$6)*(IF(ROUNDDOWN($C$6,0)&lt;F25,(ROUNDDOWN(F25,0)-$C$6),1))))))</f>
        <v>0</v>
      </c>
      <c r="G48" s="71" cm="1">
        <f t="array" ref="G48">IF(G47=0,0,IF(G23&lt;=$C$15,0,_xlfn.IFS($C$16="Monthly",IF(G23=H23,0,($C$5+$C$13)/$C$11),$C$16="Quarterly",IF(G24=H24,0,($C$5+$C$13)/$C$12),$C$16="Annually",IF(G25=H25,0,($C$5+$C$13)/($C$6)*(IF(ROUNDDOWN($C$6,0)&lt;G25,(ROUNDDOWN(G25,0)-$C$6),1))))))</f>
        <v>0</v>
      </c>
      <c r="H48" s="71" cm="1">
        <f t="array" ref="H48">IF(H47=0,0,IF(H23&lt;=$C$15,0,_xlfn.IFS($C$16="Monthly",IF(H23=I23,0,($C$5+$C$13)/$C$11),$C$16="Quarterly",IF(H24=I24,0,($C$5+$C$13)/$C$12),$C$16="Annually",IF(H25=I25,0,($C$5+$C$13)/($C$6)*(IF(ROUNDDOWN($C$6,0)&lt;H25,(ROUNDDOWN(H25,0)-$C$6),1))))))</f>
        <v>0</v>
      </c>
      <c r="I48" s="71" cm="1">
        <f t="array" ref="I48">IF(I47=0,0,IF(I23&lt;=$C$15,0,_xlfn.IFS($C$16="Monthly",IF(I23=J23,0,($C$5+$C$13)/$C$11),$C$16="Quarterly",IF(I24=J24,0,($C$5+$C$13)/$C$12),$C$16="Annually",IF(I25=J25,0,($C$5+$C$13)/($C$6)*(IF(ROUNDDOWN($C$6,0)&lt;I25,(ROUNDDOWN(I25,0)-$C$6),1))))))</f>
        <v>0</v>
      </c>
      <c r="J48" s="71" cm="1">
        <f t="array" ref="J48">IF(J47=0,0,IF(J23&lt;=$C$15,0,_xlfn.IFS($C$16="Monthly",IF(J23=K23,0,($C$5+$C$13)/$C$11),$C$16="Quarterly",IF(J24=K24,0,($C$5+$C$13)/$C$12),$C$16="Annually",IF(J25=K25,0,($C$5+$C$13)/($C$6)*(IF(ROUNDDOWN($C$6,0)&lt;J25,(ROUNDDOWN(J25,0)-$C$6),1))))))</f>
        <v>0</v>
      </c>
      <c r="K48" s="71" cm="1">
        <f t="array" ref="K48">IF(K47=0,0,IF(K23&lt;=$C$15,0,_xlfn.IFS($C$16="Monthly",IF(K23=L23,0,($C$5+$C$13)/$C$11),$C$16="Quarterly",IF(K24=L24,0,($C$5+$C$13)/$C$12),$C$16="Annually",IF(K25=L25,0,($C$5+$C$13)/($C$6)*(IF(ROUNDDOWN($C$6,0)&lt;K25,(ROUNDDOWN(K25,0)-$C$6),1))))))</f>
        <v>0</v>
      </c>
      <c r="L48" s="71" cm="1">
        <f t="array" ref="L48">IF(L47=0,0,IF(L23&lt;=$C$15,0,_xlfn.IFS($C$16="Monthly",IF(L23=M23,0,($C$5+$C$13)/$C$11),$C$16="Quarterly",IF(L24=M24,0,($C$5+$C$13)/$C$12),$C$16="Annually",IF(L25=M25,0,($C$5+$C$13)/($C$6)*(IF(ROUNDDOWN($C$6,0)&lt;L25,(ROUNDDOWN(L25,0)-$C$6),1))))))</f>
        <v>0</v>
      </c>
      <c r="M48" s="71" cm="1">
        <f t="array" ref="M48">IF(M47=0,0,IF(M23&lt;=$C$15,0,_xlfn.IFS($C$16="Monthly",IF(M23=N23,0,($C$5+$C$13)/$C$11),$C$16="Quarterly",IF(M24=N24,0,($C$5+$C$13)/$C$12),$C$16="Annually",IF(M25=N25,0,($C$5+$C$13)/($C$6)*(IF(ROUNDDOWN($C$6,0)&lt;M25,(ROUNDDOWN(M25,0)-$C$6),1))))))</f>
        <v>0</v>
      </c>
      <c r="N48" s="71" cm="1">
        <f t="array" ref="N48">IF(N47=0,0,IF(N23&lt;=$C$15,0,_xlfn.IFS($C$16="Monthly",IF(N23=O23,0,($C$5+$C$13)/$C$11),$C$16="Quarterly",IF(N24=O24,0,($C$5+$C$13)/$C$12),$C$16="Annually",IF(N25=O25,0,($C$5+$C$13)/($C$6)*(IF(ROUNDDOWN($C$6,0)&lt;N25,(ROUNDDOWN(N25,0)-$C$6),1))))))</f>
        <v>0</v>
      </c>
      <c r="O48" s="71" cm="1">
        <f t="array" ref="O48">IF(O47=0,0,IF(O23&lt;=$C$15,0,_xlfn.IFS($C$16="Monthly",IF(O23=P23,0,($C$5+$C$13)/$C$11),$C$16="Quarterly",IF(O24=P24,0,($C$5+$C$13)/$C$12),$C$16="Annually",IF(O25=P25,0,($C$5+$C$13)/($C$6)*(IF(ROUNDDOWN($C$6,0)&lt;O25,(ROUNDDOWN(O25,0)-$C$6),1))))))</f>
        <v>0</v>
      </c>
      <c r="P48" s="71" cm="1">
        <f t="array" ref="P48">IF(P47=0,0,IF(P23&lt;=$C$15,0,_xlfn.IFS($C$16="Monthly",IF(P23=Q23,0,($C$5+$C$13)/$C$11),$C$16="Quarterly",IF(P24=Q24,0,($C$5+$C$13)/$C$12),$C$16="Annually",IF(P25=Q25,0,($C$5+$C$13)/($C$6)*(IF(ROUNDDOWN($C$6,0)&lt;P25,(ROUNDDOWN(P25,0)-$C$6),1))))))</f>
        <v>0</v>
      </c>
      <c r="Q48" s="71" cm="1">
        <f t="array" aca="1" ref="Q48" ca="1">IF(Q47=0,0,IF(Q23&lt;=$C$15,0,_xlfn.IFS($C$16="Monthly",IF(Q23=R23,0,($C$5+$C$13)/$C$11),$C$16="Quarterly",IF(Q24=R24,0,($C$5+$C$13)/$C$12),$C$16="Annually",IF(Q25=R25,0,($C$5+$C$13)/($C$6)*(IF(ROUNDDOWN($C$6,0)&lt;Q25,(ROUNDDOWN(Q25,0)-$C$6),1))))))</f>
        <v>0</v>
      </c>
      <c r="R48" s="71" cm="1">
        <f t="array" aca="1" ref="R48" ca="1">IF(R47=0,0,IF(R23&lt;=$C$15,0,_xlfn.IFS($C$16="Monthly",IF(R23=S23,0,($C$5+$C$13)/$C$11),$C$16="Quarterly",IF(R24=S24,0,($C$5+$C$13)/$C$12),$C$16="Annually",IF(R25=S25,0,($C$5+$C$13)/($C$6)*(IF(ROUNDDOWN($C$6,0)&lt;R25,(ROUNDDOWN(R25,0)-$C$6),1))))))</f>
        <v>0</v>
      </c>
      <c r="S48" s="71" cm="1">
        <f t="array" aca="1" ref="S48" ca="1">IF(S47=0,0,IF(S23&lt;=$C$15,0,_xlfn.IFS($C$16="Monthly",IF(S23=T23,0,($C$5+$C$13)/$C$11),$C$16="Quarterly",IF(S24=T24,0,($C$5+$C$13)/$C$12),$C$16="Annually",IF(S25=T25,0,($C$5+$C$13)/($C$6)*(IF(ROUNDDOWN($C$6,0)&lt;S25,(ROUNDDOWN(S25,0)-$C$6),1))))))</f>
        <v>0</v>
      </c>
      <c r="T48" s="71" cm="1">
        <f t="array" aca="1" ref="T48" ca="1">IF(T47=0,0,IF(T23&lt;=$C$15,0,_xlfn.IFS($C$16="Monthly",IF(T23=U23,0,($C$5+$C$13)/$C$11),$C$16="Quarterly",IF(T24=U24,0,($C$5+$C$13)/$C$12),$C$16="Annually",IF(T25=U25,0,($C$5+$C$13)/($C$6)*(IF(ROUNDDOWN($C$6,0)&lt;T25,(ROUNDDOWN(T25,0)-$C$6),1))))))</f>
        <v>0</v>
      </c>
      <c r="U48" s="71" cm="1">
        <f t="array" aca="1" ref="U48" ca="1">IF(U47=0,0,IF(U23&lt;=$C$15,0,_xlfn.IFS($C$16="Monthly",IF(U23=V23,0,($C$5+$C$13)/$C$11),$C$16="Quarterly",IF(U24=V24,0,($C$5+$C$13)/$C$12),$C$16="Annually",IF(U25=V25,0,($C$5+$C$13)/($C$6)*(IF(ROUNDDOWN($C$6,0)&lt;U25,(ROUNDDOWN(U25,0)-$C$6),1))))))</f>
        <v>0</v>
      </c>
      <c r="V48" s="71" cm="1">
        <f t="array" aca="1" ref="V48" ca="1">IF(V47=0,0,IF(V23&lt;=$C$15,0,_xlfn.IFS($C$16="Monthly",IF(V23=W23,0,($C$5+$C$13)/$C$11),$C$16="Quarterly",IF(V24=W24,0,($C$5+$C$13)/$C$12),$C$16="Annually",IF(V25=W25,0,($C$5+$C$13)/($C$6)*(IF(ROUNDDOWN($C$6,0)&lt;V25,(ROUNDDOWN(V25,0)-$C$6),1))))))</f>
        <v>0</v>
      </c>
      <c r="W48" s="71" cm="1">
        <f t="array" aca="1" ref="W48" ca="1">IF(W47=0,0,IF(W23&lt;=$C$15,0,_xlfn.IFS($C$16="Monthly",IF(W23=X23,0,($C$5+$C$13)/$C$11),$C$16="Quarterly",IF(W24=X24,0,($C$5+$C$13)/$C$12),$C$16="Annually",IF(W25=X25,0,($C$5+$C$13)/($C$6)*(IF(ROUNDDOWN($C$6,0)&lt;W25,(ROUNDDOWN(W25,0)-$C$6),1))))))</f>
        <v>0</v>
      </c>
      <c r="X48" s="71" cm="1">
        <f t="array" aca="1" ref="X48" ca="1">IF(X47=0,0,IF(X23&lt;=$C$15,0,_xlfn.IFS($C$16="Monthly",IF(X23=Y23,0,($C$5+$C$13)/$C$11),$C$16="Quarterly",IF(X24=Y24,0,($C$5+$C$13)/$C$12),$C$16="Annually",IF(X25=Y25,0,($C$5+$C$13)/($C$6)*(IF(ROUNDDOWN($C$6,0)&lt;X25,(ROUNDDOWN(X25,0)-$C$6),1))))))</f>
        <v>0</v>
      </c>
      <c r="Y48" s="71" cm="1">
        <f t="array" aca="1" ref="Y48" ca="1">IF(Y47=0,0,IF(Y23&lt;=$C$15,0,_xlfn.IFS($C$16="Monthly",IF(Y23=Z23,0,($C$5+$C$13)/$C$11),$C$16="Quarterly",IF(Y24=Z24,0,($C$5+$C$13)/$C$12),$C$16="Annually",IF(Y25=Z25,0,($C$5+$C$13)/($C$6)*(IF(ROUNDDOWN($C$6,0)&lt;Y25,(ROUNDDOWN(Y25,0)-$C$6),1))))))</f>
        <v>0</v>
      </c>
      <c r="Z48" s="71" cm="1">
        <f t="array" aca="1" ref="Z48" ca="1">IF(Z47=0,0,IF(Z23&lt;=$C$15,0,_xlfn.IFS($C$16="Monthly",IF(Z23=AA23,0,($C$5+$C$13)/$C$11),$C$16="Quarterly",IF(Z24=AA24,0,($C$5+$C$13)/$C$12),$C$16="Annually",IF(Z25=AA25,0,($C$5+$C$13)/($C$6)*(IF(ROUNDDOWN($C$6,0)&lt;Z25,(ROUNDDOWN(Z25,0)-$C$6),1))))))</f>
        <v>0</v>
      </c>
      <c r="AA48" s="71" cm="1">
        <f t="array" aca="1" ref="AA48" ca="1">IF(AA47=0,0,IF(AA23&lt;=$C$15,0,_xlfn.IFS($C$16="Monthly",IF(AA23=AB23,0,($C$5+$C$13)/$C$11),$C$16="Quarterly",IF(AA24=AB24,0,($C$5+$C$13)/$C$12),$C$16="Annually",IF(AA25=AB25,0,($C$5+$C$13)/($C$6)*(IF(ROUNDDOWN($C$6,0)&lt;AA25,(ROUNDDOWN(AA25,0)-$C$6),1))))))</f>
        <v>0</v>
      </c>
      <c r="AB48" s="71" cm="1">
        <f t="array" aca="1" ref="AB48" ca="1">IF(AB47=0,0,IF(AB23&lt;=$C$15,0,_xlfn.IFS($C$16="Monthly",IF(AB23=AC23,0,($C$5+$C$13)/$C$11),$C$16="Quarterly",IF(AB24=AC24,0,($C$5+$C$13)/$C$12),$C$16="Annually",IF(AB25=AC25,0,($C$5+$C$13)/($C$6)*(IF(ROUNDDOWN($C$6,0)&lt;AB25,(ROUNDDOWN(AB25,0)-$C$6),1))))))</f>
        <v>3.6110696148141437</v>
      </c>
      <c r="AC48" s="71" cm="1">
        <f t="array" aca="1" ref="AC48" ca="1">IF(AC47=0,0,IF(AC23&lt;=$C$15,0,_xlfn.IFS($C$16="Monthly",IF(AC23=AD23,0,($C$5+$C$13)/$C$11),$C$16="Quarterly",IF(AC24=AD24,0,($C$5+$C$13)/$C$12),$C$16="Annually",IF(AC25=AD25,0,($C$5+$C$13)/($C$6)*(IF(ROUNDDOWN($C$6,0)&lt;AC25,(ROUNDDOWN(AC25,0)-$C$6),1))))))</f>
        <v>0</v>
      </c>
      <c r="AD48" s="71" cm="1">
        <f t="array" aca="1" ref="AD48" ca="1">IF(AD47=0,0,IF(AD23&lt;=$C$15,0,_xlfn.IFS($C$16="Monthly",IF(AD23=AE23,0,($C$5+$C$13)/$C$11),$C$16="Quarterly",IF(AD24=AE24,0,($C$5+$C$13)/$C$12),$C$16="Annually",IF(AD25=AE25,0,($C$5+$C$13)/($C$6)*(IF(ROUNDDOWN($C$6,0)&lt;AD25,(ROUNDDOWN(AD25,0)-$C$6),1))))))</f>
        <v>0</v>
      </c>
      <c r="AE48" s="71" cm="1">
        <f t="array" aca="1" ref="AE48" ca="1">IF(AE47=0,0,IF(AE23&lt;=$C$15,0,_xlfn.IFS($C$16="Monthly",IF(AE23=AF23,0,($C$5+$C$13)/$C$11),$C$16="Quarterly",IF(AE24=AF24,0,($C$5+$C$13)/$C$12),$C$16="Annually",IF(AE25=AF25,0,($C$5+$C$13)/($C$6)*(IF(ROUNDDOWN($C$6,0)&lt;AE25,(ROUNDDOWN(AE25,0)-$C$6),1))))))</f>
        <v>0</v>
      </c>
      <c r="AF48" s="71" cm="1">
        <f t="array" aca="1" ref="AF48" ca="1">IF(AF47=0,0,IF(AF23&lt;=$C$15,0,_xlfn.IFS($C$16="Monthly",IF(AF23=AG23,0,($C$5+$C$13)/$C$11),$C$16="Quarterly",IF(AF24=AG24,0,($C$5+$C$13)/$C$12),$C$16="Annually",IF(AF25=AG25,0,($C$5+$C$13)/($C$6)*(IF(ROUNDDOWN($C$6,0)&lt;AF25,(ROUNDDOWN(AF25,0)-$C$6),1))))))</f>
        <v>0</v>
      </c>
      <c r="AG48" s="71" cm="1">
        <f t="array" aca="1" ref="AG48" ca="1">IF(AG47=0,0,IF(AG23&lt;=$C$15,0,_xlfn.IFS($C$16="Monthly",IF(AG23=AH23,0,($C$5+$C$13)/$C$11),$C$16="Quarterly",IF(AG24=AH24,0,($C$5+$C$13)/$C$12),$C$16="Annually",IF(AG25=AH25,0,($C$5+$C$13)/($C$6)*(IF(ROUNDDOWN($C$6,0)&lt;AG25,(ROUNDDOWN(AG25,0)-$C$6),1))))))</f>
        <v>0</v>
      </c>
      <c r="AH48" s="71" cm="1">
        <f t="array" aca="1" ref="AH48" ca="1">IF(AH47=0,0,IF(AH23&lt;=$C$15,0,_xlfn.IFS($C$16="Monthly",IF(AH23=AI23,0,($C$5+$C$13)/$C$11),$C$16="Quarterly",IF(AH24=AI24,0,($C$5+$C$13)/$C$12),$C$16="Annually",IF(AH25=AI25,0,($C$5+$C$13)/($C$6)*(IF(ROUNDDOWN($C$6,0)&lt;AH25,(ROUNDDOWN(AH25,0)-$C$6),1))))))</f>
        <v>0</v>
      </c>
      <c r="AI48" s="71" cm="1">
        <f t="array" aca="1" ref="AI48" ca="1">IF(AI47=0,0,IF(AI23&lt;=$C$15,0,_xlfn.IFS($C$16="Monthly",IF(AI23=AJ23,0,($C$5+$C$13)/$C$11),$C$16="Quarterly",IF(AI24=AJ24,0,($C$5+$C$13)/$C$12),$C$16="Annually",IF(AI25=AJ25,0,($C$5+$C$13)/($C$6)*(IF(ROUNDDOWN($C$6,0)&lt;AI25,(ROUNDDOWN(AI25,0)-$C$6),1))))))</f>
        <v>0</v>
      </c>
      <c r="AJ48" s="71" cm="1">
        <f t="array" aca="1" ref="AJ48" ca="1">IF(AJ47=0,0,IF(AJ23&lt;=$C$15,0,_xlfn.IFS($C$16="Monthly",IF(AJ23=AK23,0,($C$5+$C$13)/$C$11),$C$16="Quarterly",IF(AJ24=AK24,0,($C$5+$C$13)/$C$12),$C$16="Annually",IF(AJ25=AK25,0,($C$5+$C$13)/($C$6)*(IF(ROUNDDOWN($C$6,0)&lt;AJ25,(ROUNDDOWN(AJ25,0)-$C$6),1))))))</f>
        <v>0</v>
      </c>
      <c r="AK48" s="71" cm="1">
        <f t="array" aca="1" ref="AK48" ca="1">IF(AK47=0,0,IF(AK23&lt;=$C$15,0,_xlfn.IFS($C$16="Monthly",IF(AK23=AL23,0,($C$5+$C$13)/$C$11),$C$16="Quarterly",IF(AK24=AL24,0,($C$5+$C$13)/$C$12),$C$16="Annually",IF(AK25=AL25,0,($C$5+$C$13)/($C$6)*(IF(ROUNDDOWN($C$6,0)&lt;AK25,(ROUNDDOWN(AK25,0)-$C$6),1))))))</f>
        <v>0</v>
      </c>
      <c r="AL48" s="71" cm="1">
        <f t="array" aca="1" ref="AL48" ca="1">IF(AL47=0,0,IF(AL23&lt;=$C$15,0,_xlfn.IFS($C$16="Monthly",IF(AL23=AM23,0,($C$5+$C$13)/$C$11),$C$16="Quarterly",IF(AL24=AM24,0,($C$5+$C$13)/$C$12),$C$16="Annually",IF(AL25=AM25,0,($C$5+$C$13)/($C$6)*(IF(ROUNDDOWN($C$6,0)&lt;AL25,(ROUNDDOWN(AL25,0)-$C$6),1))))))</f>
        <v>0</v>
      </c>
      <c r="AM48" s="71" cm="1">
        <f t="array" aca="1" ref="AM48" ca="1">IF(AM47=0,0,IF(AM23&lt;=$C$15,0,_xlfn.IFS($C$16="Monthly",IF(AM23=AN23,0,($C$5+$C$13)/$C$11),$C$16="Quarterly",IF(AM24=AN24,0,($C$5+$C$13)/$C$12),$C$16="Annually",IF(AM25=AN25,0,($C$5+$C$13)/($C$6)*(IF(ROUNDDOWN($C$6,0)&lt;AM25,(ROUNDDOWN(AM25,0)-$C$6),1))))))</f>
        <v>0</v>
      </c>
      <c r="AN48" s="71" cm="1">
        <f t="array" aca="1" ref="AN48" ca="1">IF(AN47=0,0,IF(AN23&lt;=$C$15,0,_xlfn.IFS($C$16="Monthly",IF(AN23=AO23,0,($C$5+$C$13)/$C$11),$C$16="Quarterly",IF(AN24=AO24,0,($C$5+$C$13)/$C$12),$C$16="Annually",IF(AN25=AO25,0,($C$5+$C$13)/($C$6)*(IF(ROUNDDOWN($C$6,0)&lt;AN25,(ROUNDDOWN(AN25,0)-$C$6),1))))))</f>
        <v>3.6110696148141437</v>
      </c>
      <c r="AO48" s="71" cm="1">
        <f t="array" aca="1" ref="AO48" ca="1">IF(AO47=0,0,IF(AO23&lt;=$C$15,0,_xlfn.IFS($C$16="Monthly",IF(AO23=AP23,0,($C$5+$C$13)/$C$11),$C$16="Quarterly",IF(AO24=AP24,0,($C$5+$C$13)/$C$12),$C$16="Annually",IF(AO25=AP25,0,($C$5+$C$13)/($C$6)*(IF(ROUNDDOWN($C$6,0)&lt;AO25,(ROUNDDOWN(AO25,0)-$C$6),1))))))</f>
        <v>0</v>
      </c>
      <c r="AP48" s="71" cm="1">
        <f t="array" aca="1" ref="AP48" ca="1">IF(AP47=0,0,IF(AP23&lt;=$C$15,0,_xlfn.IFS($C$16="Monthly",IF(AP23=AQ23,0,($C$5+$C$13)/$C$11),$C$16="Quarterly",IF(AP24=AQ24,0,($C$5+$C$13)/$C$12),$C$16="Annually",IF(AP25=AQ25,0,($C$5+$C$13)/($C$6)*(IF(ROUNDDOWN($C$6,0)&lt;AP25,(ROUNDDOWN(AP25,0)-$C$6),1))))))</f>
        <v>0</v>
      </c>
      <c r="AQ48" s="71" cm="1">
        <f t="array" aca="1" ref="AQ48" ca="1">IF(AQ47=0,0,IF(AQ23&lt;=$C$15,0,_xlfn.IFS($C$16="Monthly",IF(AQ23=AR23,0,($C$5+$C$13)/$C$11),$C$16="Quarterly",IF(AQ24=AR24,0,($C$5+$C$13)/$C$12),$C$16="Annually",IF(AQ25=AR25,0,($C$5+$C$13)/($C$6)*(IF(ROUNDDOWN($C$6,0)&lt;AQ25,(ROUNDDOWN(AQ25,0)-$C$6),1))))))</f>
        <v>0</v>
      </c>
      <c r="AR48" s="71" cm="1">
        <f t="array" aca="1" ref="AR48" ca="1">IF(AR47=0,0,IF(AR23&lt;=$C$15,0,_xlfn.IFS($C$16="Monthly",IF(AR23=AS23,0,($C$5+$C$13)/$C$11),$C$16="Quarterly",IF(AR24=AS24,0,($C$5+$C$13)/$C$12),$C$16="Annually",IF(AR25=AS25,0,($C$5+$C$13)/($C$6)*(IF(ROUNDDOWN($C$6,0)&lt;AR25,(ROUNDDOWN(AR25,0)-$C$6),1))))))</f>
        <v>0</v>
      </c>
      <c r="AS48" s="71" cm="1">
        <f t="array" aca="1" ref="AS48" ca="1">IF(AS47=0,0,IF(AS23&lt;=$C$15,0,_xlfn.IFS($C$16="Monthly",IF(AS23=AT23,0,($C$5+$C$13)/$C$11),$C$16="Quarterly",IF(AS24=AT24,0,($C$5+$C$13)/$C$12),$C$16="Annually",IF(AS25=AT25,0,($C$5+$C$13)/($C$6)*(IF(ROUNDDOWN($C$6,0)&lt;AS25,(ROUNDDOWN(AS25,0)-$C$6),1))))))</f>
        <v>0</v>
      </c>
      <c r="AT48" s="71" cm="1">
        <f t="array" aca="1" ref="AT48" ca="1">IF(AT47=0,0,IF(AT23&lt;=$C$15,0,_xlfn.IFS($C$16="Monthly",IF(AT23=AU23,0,($C$5+$C$13)/$C$11),$C$16="Quarterly",IF(AT24=AU24,0,($C$5+$C$13)/$C$12),$C$16="Annually",IF(AT25=AU25,0,($C$5+$C$13)/($C$6)*(IF(ROUNDDOWN($C$6,0)&lt;AT25,(ROUNDDOWN(AT25,0)-$C$6),1))))))</f>
        <v>0</v>
      </c>
      <c r="AU48" s="71" cm="1">
        <f t="array" aca="1" ref="AU48" ca="1">IF(AU47=0,0,IF(AU23&lt;=$C$15,0,_xlfn.IFS($C$16="Monthly",IF(AU23=AV23,0,($C$5+$C$13)/$C$11),$C$16="Quarterly",IF(AU24=AV24,0,($C$5+$C$13)/$C$12),$C$16="Annually",IF(AU25=AV25,0,($C$5+$C$13)/($C$6)*(IF(ROUNDDOWN($C$6,0)&lt;AU25,(ROUNDDOWN(AU25,0)-$C$6),1))))))</f>
        <v>0</v>
      </c>
      <c r="AV48" s="71" cm="1">
        <f t="array" aca="1" ref="AV48" ca="1">IF(AV47=0,0,IF(AV23&lt;=$C$15,0,_xlfn.IFS($C$16="Monthly",IF(AV23=AW23,0,($C$5+$C$13)/$C$11),$C$16="Quarterly",IF(AV24=AW24,0,($C$5+$C$13)/$C$12),$C$16="Annually",IF(AV25=AW25,0,($C$5+$C$13)/($C$6)*(IF(ROUNDDOWN($C$6,0)&lt;AV25,(ROUNDDOWN(AV25,0)-$C$6),1))))))</f>
        <v>0</v>
      </c>
      <c r="AW48" s="71" cm="1">
        <f t="array" aca="1" ref="AW48" ca="1">IF(AW47=0,0,IF(AW23&lt;=$C$15,0,_xlfn.IFS($C$16="Monthly",IF(AW23=AX23,0,($C$5+$C$13)/$C$11),$C$16="Quarterly",IF(AW24=AX24,0,($C$5+$C$13)/$C$12),$C$16="Annually",IF(AW25=AX25,0,($C$5+$C$13)/($C$6)*(IF(ROUNDDOWN($C$6,0)&lt;AW25,(ROUNDDOWN(AW25,0)-$C$6),1))))))</f>
        <v>0</v>
      </c>
      <c r="AX48" s="71" cm="1">
        <f t="array" aca="1" ref="AX48" ca="1">IF(AX47=0,0,IF(AX23&lt;=$C$15,0,_xlfn.IFS($C$16="Monthly",IF(AX23=AY23,0,($C$5+$C$13)/$C$11),$C$16="Quarterly",IF(AX24=AY24,0,($C$5+$C$13)/$C$12),$C$16="Annually",IF(AX25=AY25,0,($C$5+$C$13)/($C$6)*(IF(ROUNDDOWN($C$6,0)&lt;AX25,(ROUNDDOWN(AX25,0)-$C$6),1))))))</f>
        <v>0</v>
      </c>
      <c r="AY48" s="71" cm="1">
        <f t="array" aca="1" ref="AY48" ca="1">IF(AY47=0,0,IF(AY23&lt;=$C$15,0,_xlfn.IFS($C$16="Monthly",IF(AY23=AZ23,0,($C$5+$C$13)/$C$11),$C$16="Quarterly",IF(AY24=AZ24,0,($C$5+$C$13)/$C$12),$C$16="Annually",IF(AY25=AZ25,0,($C$5+$C$13)/($C$6)*(IF(ROUNDDOWN($C$6,0)&lt;AY25,(ROUNDDOWN(AY25,0)-$C$6),1))))))</f>
        <v>0</v>
      </c>
      <c r="AZ48" s="71" cm="1">
        <f t="array" aca="1" ref="AZ48" ca="1">IF(AZ47=0,0,IF(AZ23&lt;=$C$15,0,_xlfn.IFS($C$16="Monthly",IF(AZ23=BA23,0,($C$5+$C$13)/$C$11),$C$16="Quarterly",IF(AZ24=BA24,0,($C$5+$C$13)/$C$12),$C$16="Annually",IF(AZ25=BA25,0,($C$5+$C$13)/($C$6)*(IF(ROUNDDOWN($C$6,0)&lt;AZ25,(ROUNDDOWN(AZ25,0)-$C$6),1))))))</f>
        <v>3.6110696148141437</v>
      </c>
      <c r="BA48" s="71" cm="1">
        <f t="array" aca="1" ref="BA48" ca="1">IF(BA47=0,0,IF(BA23&lt;=$C$15,0,_xlfn.IFS($C$16="Monthly",IF(BA23=BB23,0,($C$5+$C$13)/$C$11),$C$16="Quarterly",IF(BA24=BB24,0,($C$5+$C$13)/$C$12),$C$16="Annually",IF(BA25=BB25,0,($C$5+$C$13)/($C$6)*(IF(ROUNDDOWN($C$6,0)&lt;BA25,(ROUNDDOWN(BA25,0)-$C$6),1))))))</f>
        <v>0</v>
      </c>
      <c r="BB48" s="71" cm="1">
        <f t="array" aca="1" ref="BB48" ca="1">IF(BB47=0,0,IF(BB23&lt;=$C$15,0,_xlfn.IFS($C$16="Monthly",IF(BB23=BC23,0,($C$5+$C$13)/$C$11),$C$16="Quarterly",IF(BB24=BC24,0,($C$5+$C$13)/$C$12),$C$16="Annually",IF(BB25=BC25,0,($C$5+$C$13)/($C$6)*(IF(ROUNDDOWN($C$6,0)&lt;BB25,(ROUNDDOWN(BB25,0)-$C$6),1))))))</f>
        <v>0</v>
      </c>
      <c r="BC48" s="71" cm="1">
        <f t="array" aca="1" ref="BC48" ca="1">IF(BC47=0,0,IF(BC23&lt;=$C$15,0,_xlfn.IFS($C$16="Monthly",IF(BC23=BD23,0,($C$5+$C$13)/$C$11),$C$16="Quarterly",IF(BC24=BD24,0,($C$5+$C$13)/$C$12),$C$16="Annually",IF(BC25=BD25,0,($C$5+$C$13)/($C$6)*(IF(ROUNDDOWN($C$6,0)&lt;BC25,(ROUNDDOWN(BC25,0)-$C$6),1))))))</f>
        <v>0</v>
      </c>
      <c r="BD48" s="71" cm="1">
        <f t="array" aca="1" ref="BD48" ca="1">IF(BD47=0,0,IF(BD23&lt;=$C$15,0,_xlfn.IFS($C$16="Monthly",IF(BD23=BE23,0,($C$5+$C$13)/$C$11),$C$16="Quarterly",IF(BD24=BE24,0,($C$5+$C$13)/$C$12),$C$16="Annually",IF(BD25=BE25,0,($C$5+$C$13)/($C$6)*(IF(ROUNDDOWN($C$6,0)&lt;BD25,(ROUNDDOWN(BD25,0)-$C$6),1))))))</f>
        <v>0</v>
      </c>
      <c r="BE48" s="71" cm="1">
        <f t="array" aca="1" ref="BE48" ca="1">IF(BE47=0,0,IF(BE23&lt;=$C$15,0,_xlfn.IFS($C$16="Monthly",IF(BE23=BF23,0,($C$5+$C$13)/$C$11),$C$16="Quarterly",IF(BE24=BF24,0,($C$5+$C$13)/$C$12),$C$16="Annually",IF(BE25=BF25,0,($C$5+$C$13)/($C$6)*(IF(ROUNDDOWN($C$6,0)&lt;BE25,(ROUNDDOWN(BE25,0)-$C$6),1))))))</f>
        <v>0</v>
      </c>
      <c r="BF48" s="71" cm="1">
        <f t="array" aca="1" ref="BF48" ca="1">IF(BF47=0,0,IF(BF23&lt;=$C$15,0,_xlfn.IFS($C$16="Monthly",IF(BF23=BG23,0,($C$5+$C$13)/$C$11),$C$16="Quarterly",IF(BF24=BG24,0,($C$5+$C$13)/$C$12),$C$16="Annually",IF(BF25=BG25,0,($C$5+$C$13)/($C$6)*(IF(ROUNDDOWN($C$6,0)&lt;BF25,(ROUNDDOWN(BF25,0)-$C$6),1))))))</f>
        <v>0</v>
      </c>
      <c r="BG48" s="71" cm="1">
        <f t="array" aca="1" ref="BG48" ca="1">IF(BG47=0,0,IF(BG23&lt;=$C$15,0,_xlfn.IFS($C$16="Monthly",IF(BG23=BH23,0,($C$5+$C$13)/$C$11),$C$16="Quarterly",IF(BG24=BH24,0,($C$5+$C$13)/$C$12),$C$16="Annually",IF(BG25=BH25,0,($C$5+$C$13)/($C$6)*(IF(ROUNDDOWN($C$6,0)&lt;BG25,(ROUNDDOWN(BG25,0)-$C$6),1))))))</f>
        <v>0</v>
      </c>
      <c r="BH48" s="71" cm="1">
        <f t="array" aca="1" ref="BH48" ca="1">IF(BH47=0,0,IF(BH23&lt;=$C$15,0,_xlfn.IFS($C$16="Monthly",IF(BH23=BI23,0,($C$5+$C$13)/$C$11),$C$16="Quarterly",IF(BH24=BI24,0,($C$5+$C$13)/$C$12),$C$16="Annually",IF(BH25=BI25,0,($C$5+$C$13)/($C$6)*(IF(ROUNDDOWN($C$6,0)&lt;BH25,(ROUNDDOWN(BH25,0)-$C$6),1))))))</f>
        <v>0</v>
      </c>
      <c r="BI48" s="71" cm="1">
        <f t="array" aca="1" ref="BI48" ca="1">IF(BI47=0,0,IF(BI23&lt;=$C$15,0,_xlfn.IFS($C$16="Monthly",IF(BI23=BJ23,0,($C$5+$C$13)/$C$11),$C$16="Quarterly",IF(BI24=BJ24,0,($C$5+$C$13)/$C$12),$C$16="Annually",IF(BI25=BJ25,0,($C$5+$C$13)/($C$6)*(IF(ROUNDDOWN($C$6,0)&lt;BI25,(ROUNDDOWN(BI25,0)-$C$6),1))))))</f>
        <v>0</v>
      </c>
      <c r="BJ48" s="71" cm="1">
        <f t="array" aca="1" ref="BJ48" ca="1">IF(BJ47=0,0,IF(BJ23&lt;=$C$15,0,_xlfn.IFS($C$16="Monthly",IF(BJ23=BK23,0,($C$5+$C$13)/$C$11),$C$16="Quarterly",IF(BJ24=BK24,0,($C$5+$C$13)/$C$12),$C$16="Annually",IF(BJ25=BK25,0,($C$5+$C$13)/($C$6)*(IF(ROUNDDOWN($C$6,0)&lt;BJ25,(ROUNDDOWN(BJ25,0)-$C$6),1))))))</f>
        <v>0</v>
      </c>
      <c r="BK48" s="71" cm="1">
        <f t="array" aca="1" ref="BK48" ca="1">IF(BK47=0,0,IF(BK23&lt;=$C$15,0,_xlfn.IFS($C$16="Monthly",IF(BK23=BL23,0,($C$5+$C$13)/$C$11),$C$16="Quarterly",IF(BK24=BL24,0,($C$5+$C$13)/$C$12),$C$16="Annually",IF(BK25=BL25,0,($C$5+$C$13)/($C$6)*(IF(ROUNDDOWN($C$6,0)&lt;BK25,(ROUNDDOWN(BK25,0)-$C$6),1))))))</f>
        <v>0</v>
      </c>
      <c r="BL48" s="71" cm="1">
        <f t="array" aca="1" ref="BL48" ca="1">IF(BL47=0,0,IF(BL23&lt;=$C$15,0,_xlfn.IFS($C$16="Monthly",IF(BL23=BM23,0,($C$5+$C$13)/$C$11),$C$16="Quarterly",IF(BL24=BM24,0,($C$5+$C$13)/$C$12),$C$16="Annually",IF(BL25=BM25,0,($C$5+$C$13)/($C$6)*(IF(ROUNDDOWN($C$6,0)&lt;BL25,(ROUNDDOWN(BL25,0)-$C$6),1))))))</f>
        <v>3.6110696148141437</v>
      </c>
      <c r="BM48" s="71" cm="1">
        <f t="array" aca="1" ref="BM48" ca="1">IF(BM47=0,0,IF(BM23&lt;=$C$15,0,_xlfn.IFS($C$16="Monthly",IF(BM23=BN23,0,($C$5+$C$13)/$C$11),$C$16="Quarterly",IF(BM24=BN24,0,($C$5+$C$13)/$C$12),$C$16="Annually",IF(BM25=BN25,0,($C$5+$C$13)/($C$6)*(IF(ROUNDDOWN($C$6,0)&lt;BM25,(ROUNDDOWN(BM25,0)-$C$6),1))))))</f>
        <v>0</v>
      </c>
      <c r="BN48" s="71" cm="1">
        <f t="array" aca="1" ref="BN48" ca="1">IF(BN47=0,0,IF(BN23&lt;=$C$15,0,_xlfn.IFS($C$16="Monthly",IF(BN23=BO23,0,($C$5+$C$13)/$C$11),$C$16="Quarterly",IF(BN24=BO24,0,($C$5+$C$13)/$C$12),$C$16="Annually",IF(BN25=BO25,0,($C$5+$C$13)/($C$6)*(IF(ROUNDDOWN($C$6,0)&lt;BN25,(ROUNDDOWN(BN25,0)-$C$6),1))))))</f>
        <v>0</v>
      </c>
      <c r="BO48" s="71" cm="1">
        <f t="array" aca="1" ref="BO48" ca="1">IF(BO47=0,0,IF(BO23&lt;=$C$15,0,_xlfn.IFS($C$16="Monthly",IF(BO23=BP23,0,($C$5+$C$13)/$C$11),$C$16="Quarterly",IF(BO24=BP24,0,($C$5+$C$13)/$C$12),$C$16="Annually",IF(BO25=BP25,0,($C$5+$C$13)/($C$6)*(IF(ROUNDDOWN($C$6,0)&lt;BO25,(ROUNDDOWN(BO25,0)-$C$6),1))))))</f>
        <v>0</v>
      </c>
      <c r="BP48" s="71" cm="1">
        <f t="array" aca="1" ref="BP48" ca="1">IF(BP47=0,0,IF(BP23&lt;=$C$15,0,_xlfn.IFS($C$16="Monthly",IF(BP23=BQ23,0,($C$5+$C$13)/$C$11),$C$16="Quarterly",IF(BP24=BQ24,0,($C$5+$C$13)/$C$12),$C$16="Annually",IF(BP25=BQ25,0,($C$5+$C$13)/($C$6)*(IF(ROUNDDOWN($C$6,0)&lt;BP25,(ROUNDDOWN(BP25,0)-$C$6),1))))))</f>
        <v>0</v>
      </c>
      <c r="BQ48" s="71" cm="1">
        <f t="array" aca="1" ref="BQ48" ca="1">IF(BQ47=0,0,IF(BQ23&lt;=$C$15,0,_xlfn.IFS($C$16="Monthly",IF(BQ23=BR23,0,($C$5+$C$13)/$C$11),$C$16="Quarterly",IF(BQ24=BR24,0,($C$5+$C$13)/$C$12),$C$16="Annually",IF(BQ25=BR25,0,($C$5+$C$13)/($C$6)*(IF(ROUNDDOWN($C$6,0)&lt;BQ25,(ROUNDDOWN(BQ25,0)-$C$6),1))))))</f>
        <v>0</v>
      </c>
      <c r="BR48" s="71" cm="1">
        <f t="array" aca="1" ref="BR48" ca="1">IF(BR47=0,0,IF(BR23&lt;=$C$15,0,_xlfn.IFS($C$16="Monthly",IF(BR23=BS23,0,($C$5+$C$13)/$C$11),$C$16="Quarterly",IF(BR24=BS24,0,($C$5+$C$13)/$C$12),$C$16="Annually",IF(BR25=BS25,0,($C$5+$C$13)/($C$6)*(IF(ROUNDDOWN($C$6,0)&lt;BR25,(ROUNDDOWN(BR25,0)-$C$6),1))))))</f>
        <v>0</v>
      </c>
      <c r="BS48" s="71" cm="1">
        <f t="array" aca="1" ref="BS48" ca="1">IF(BS47=0,0,IF(BS23&lt;=$C$15,0,_xlfn.IFS($C$16="Monthly",IF(BS23=BT23,0,($C$5+$C$13)/$C$11),$C$16="Quarterly",IF(BS24=BT24,0,($C$5+$C$13)/$C$12),$C$16="Annually",IF(BS25=BT25,0,($C$5+$C$13)/($C$6)*(IF(ROUNDDOWN($C$6,0)&lt;BS25,(ROUNDDOWN(BS25,0)-$C$6),1))))))</f>
        <v>0</v>
      </c>
      <c r="BT48" s="71" cm="1">
        <f t="array" aca="1" ref="BT48" ca="1">IF(BT47=0,0,IF(BT23&lt;=$C$15,0,_xlfn.IFS($C$16="Monthly",IF(BT23=BU23,0,($C$5+$C$13)/$C$11),$C$16="Quarterly",IF(BT24=BU24,0,($C$5+$C$13)/$C$12),$C$16="Annually",IF(BT25=BU25,0,($C$5+$C$13)/($C$6)*(IF(ROUNDDOWN($C$6,0)&lt;BT25,(ROUNDDOWN(BT25,0)-$C$6),1))))))</f>
        <v>0</v>
      </c>
      <c r="BU48" s="71" cm="1">
        <f t="array" aca="1" ref="BU48" ca="1">IF(BU47=0,0,IF(BU23&lt;=$C$15,0,_xlfn.IFS($C$16="Monthly",IF(BU23=BV23,0,($C$5+$C$13)/$C$11),$C$16="Quarterly",IF(BU24=BV24,0,($C$5+$C$13)/$C$12),$C$16="Annually",IF(BU25=BV25,0,($C$5+$C$13)/($C$6)*(IF(ROUNDDOWN($C$6,0)&lt;BU25,(ROUNDDOWN(BU25,0)-$C$6),1))))))</f>
        <v>0</v>
      </c>
      <c r="BV48" s="71" cm="1">
        <f t="array" aca="1" ref="BV48" ca="1">IF(BV47=0,0,IF(BV23&lt;=$C$15,0,_xlfn.IFS($C$16="Monthly",IF(BV23=BW23,0,($C$5+$C$13)/$C$11),$C$16="Quarterly",IF(BV24=BW24,0,($C$5+$C$13)/$C$12),$C$16="Annually",IF(BV25=BW25,0,($C$5+$C$13)/($C$6)*(IF(ROUNDDOWN($C$6,0)&lt;BV25,(ROUNDDOWN(BV25,0)-$C$6),1))))))</f>
        <v>0</v>
      </c>
      <c r="BW48" s="71" cm="1">
        <f t="array" aca="1" ref="BW48" ca="1">IF(BW47=0,0,IF(BW23&lt;=$C$15,0,_xlfn.IFS($C$16="Monthly",IF(BW23=BX23,0,($C$5+$C$13)/$C$11),$C$16="Quarterly",IF(BW24=BX24,0,($C$5+$C$13)/$C$12),$C$16="Annually",IF(BW25=BX25,0,($C$5+$C$13)/($C$6)*(IF(ROUNDDOWN($C$6,0)&lt;BW25,(ROUNDDOWN(BW25,0)-$C$6),1))))))</f>
        <v>0</v>
      </c>
      <c r="BX48" s="71" cm="1">
        <f t="array" aca="1" ref="BX48" ca="1">IF(BX47=0,0,IF(BX23&lt;=$C$15,0,_xlfn.IFS($C$16="Monthly",IF(BX23=BY23,0,($C$5+$C$13)/$C$11),$C$16="Quarterly",IF(BX24=BY24,0,($C$5+$C$13)/$C$12),$C$16="Annually",IF(BX25=BY25,0,($C$5+$C$13)/($C$6)*(IF(ROUNDDOWN($C$6,0)&lt;BX25,(ROUNDDOWN(BX25,0)-$C$6),1))))))</f>
        <v>3.6110696148141437</v>
      </c>
      <c r="BY48" s="71" cm="1">
        <f t="array" aca="1" ref="BY48" ca="1">IF(BY47=0,0,IF(BY23&lt;=$C$15,0,_xlfn.IFS($C$16="Monthly",IF(BY23=BZ23,0,($C$5+$C$13)/$C$11),$C$16="Quarterly",IF(BY24=BZ24,0,($C$5+$C$13)/$C$12),$C$16="Annually",IF(BY25=BZ25,0,($C$5+$C$13)/($C$6)*(IF(ROUNDDOWN($C$6,0)&lt;BY25,(ROUNDDOWN(BY25,0)-$C$6),1))))))</f>
        <v>0</v>
      </c>
      <c r="BZ48" s="71" cm="1">
        <f t="array" aca="1" ref="BZ48" ca="1">IF(BZ47=0,0,IF(BZ23&lt;=$C$15,0,_xlfn.IFS($C$16="Monthly",IF(BZ23=CA23,0,($C$5+$C$13)/$C$11),$C$16="Quarterly",IF(BZ24=CA24,0,($C$5+$C$13)/$C$12),$C$16="Annually",IF(BZ25=CA25,0,($C$5+$C$13)/($C$6)*(IF(ROUNDDOWN($C$6,0)&lt;BZ25,(ROUNDDOWN(BZ25,0)-$C$6),1))))))</f>
        <v>0</v>
      </c>
      <c r="CA48" s="71" cm="1">
        <f t="array" aca="1" ref="CA48" ca="1">IF(CA47=0,0,IF(CA23&lt;=$C$15,0,_xlfn.IFS($C$16="Monthly",IF(CA23=CB23,0,($C$5+$C$13)/$C$11),$C$16="Quarterly",IF(CA24=CB24,0,($C$5+$C$13)/$C$12),$C$16="Annually",IF(CA25=CB25,0,($C$5+$C$13)/($C$6)*(IF(ROUNDDOWN($C$6,0)&lt;CA25,(ROUNDDOWN(CA25,0)-$C$6),1))))))</f>
        <v>0</v>
      </c>
      <c r="CB48" s="71" cm="1">
        <f t="array" aca="1" ref="CB48" ca="1">IF(CB47=0,0,IF(CB23&lt;=$C$15,0,_xlfn.IFS($C$16="Monthly",IF(CB23=CC23,0,($C$5+$C$13)/$C$11),$C$16="Quarterly",IF(CB24=CC24,0,($C$5+$C$13)/$C$12),$C$16="Annually",IF(CB25=CC25,0,($C$5+$C$13)/($C$6)*(IF(ROUNDDOWN($C$6,0)&lt;CB25,(ROUNDDOWN(CB25,0)-$C$6),1))))))</f>
        <v>0</v>
      </c>
      <c r="CC48" s="71" cm="1">
        <f t="array" aca="1" ref="CC48" ca="1">IF(CC47=0,0,IF(CC23&lt;=$C$15,0,_xlfn.IFS($C$16="Monthly",IF(CC23=CD23,0,($C$5+$C$13)/$C$11),$C$16="Quarterly",IF(CC24=CD24,0,($C$5+$C$13)/$C$12),$C$16="Annually",IF(CC25=CD25,0,($C$5+$C$13)/($C$6)*(IF(ROUNDDOWN($C$6,0)&lt;CC25,(ROUNDDOWN(CC25,0)-$C$6),1))))))</f>
        <v>0</v>
      </c>
      <c r="CD48" s="71" cm="1">
        <f t="array" aca="1" ref="CD48" ca="1">IF(CD47=0,0,IF(CD23&lt;=$C$15,0,_xlfn.IFS($C$16="Monthly",IF(CD23=CE23,0,($C$5+$C$13)/$C$11),$C$16="Quarterly",IF(CD24=CE24,0,($C$5+$C$13)/$C$12),$C$16="Annually",IF(CD25=CE25,0,($C$5+$C$13)/($C$6)*(IF(ROUNDDOWN($C$6,0)&lt;CD25,(ROUNDDOWN(CD25,0)-$C$6),1))))))</f>
        <v>0</v>
      </c>
      <c r="CE48" s="71" cm="1">
        <f t="array" aca="1" ref="CE48" ca="1">IF(CE47=0,0,IF(CE23&lt;=$C$15,0,_xlfn.IFS($C$16="Monthly",IF(CE23=CF23,0,($C$5+$C$13)/$C$11),$C$16="Quarterly",IF(CE24=CF24,0,($C$5+$C$13)/$C$12),$C$16="Annually",IF(CE25=CF25,0,($C$5+$C$13)/($C$6)*(IF(ROUNDDOWN($C$6,0)&lt;CE25,(ROUNDDOWN(CE25,0)-$C$6),1))))))</f>
        <v>0</v>
      </c>
      <c r="CF48" s="71" cm="1">
        <f t="array" aca="1" ref="CF48" ca="1">IF(CF47=0,0,IF(CF23&lt;=$C$15,0,_xlfn.IFS($C$16="Monthly",IF(CF23=CG23,0,($C$5+$C$13)/$C$11),$C$16="Quarterly",IF(CF24=CG24,0,($C$5+$C$13)/$C$12),$C$16="Annually",IF(CF25=CG25,0,($C$5+$C$13)/($C$6)*(IF(ROUNDDOWN($C$6,0)&lt;CF25,(ROUNDDOWN(CF25,0)-$C$6),1))))))</f>
        <v>0</v>
      </c>
      <c r="CG48" s="71" cm="1">
        <f t="array" aca="1" ref="CG48" ca="1">IF(CG47=0,0,IF(CG23&lt;=$C$15,0,_xlfn.IFS($C$16="Monthly",IF(CG23=CH23,0,($C$5+$C$13)/$C$11),$C$16="Quarterly",IF(CG24=CH24,0,($C$5+$C$13)/$C$12),$C$16="Annually",IF(CG25=CH25,0,($C$5+$C$13)/($C$6)*(IF(ROUNDDOWN($C$6,0)&lt;CG25,(ROUNDDOWN(CG25,0)-$C$6),1))))))</f>
        <v>0</v>
      </c>
      <c r="CH48" s="71" cm="1">
        <f t="array" aca="1" ref="CH48" ca="1">IF(CH47=0,0,IF(CH23&lt;=$C$15,0,_xlfn.IFS($C$16="Monthly",IF(CH23=CI23,0,($C$5+$C$13)/$C$11),$C$16="Quarterly",IF(CH24=CI24,0,($C$5+$C$13)/$C$12),$C$16="Annually",IF(CH25=CI25,0,($C$5+$C$13)/($C$6)*(IF(ROUNDDOWN($C$6,0)&lt;CH25,(ROUNDDOWN(CH25,0)-$C$6),1))))))</f>
        <v>0</v>
      </c>
      <c r="CI48" s="71" cm="1">
        <f t="array" aca="1" ref="CI48" ca="1">IF(CI47=0,0,IF(CI23&lt;=$C$15,0,_xlfn.IFS($C$16="Monthly",IF(CI23=CJ23,0,($C$5+$C$13)/$C$11),$C$16="Quarterly",IF(CI24=CJ24,0,($C$5+$C$13)/$C$12),$C$16="Annually",IF(CI25=CJ25,0,($C$5+$C$13)/($C$6)*(IF(ROUNDDOWN($C$6,0)&lt;CI25,(ROUNDDOWN(CI25,0)-$C$6),1))))))</f>
        <v>0</v>
      </c>
      <c r="CJ48" s="71" cm="1">
        <f t="array" aca="1" ref="CJ48" ca="1">IF(CJ47=0,0,IF(CJ23&lt;=$C$15,0,_xlfn.IFS($C$16="Monthly",IF(CJ23=CK23,0,($C$5+$C$13)/$C$11),$C$16="Quarterly",IF(CJ24=CK24,0,($C$5+$C$13)/$C$12),$C$16="Annually",IF(CJ25=CK25,0,($C$5+$C$13)/($C$6)*(IF(ROUNDDOWN($C$6,0)&lt;CJ25,(ROUNDDOWN(CJ25,0)-$C$6),1))))))</f>
        <v>3.6110696148141437</v>
      </c>
      <c r="CK48" s="71" cm="1">
        <f t="array" aca="1" ref="CK48" ca="1">IF(CK47=0,0,IF(CK23&lt;=$C$15,0,_xlfn.IFS($C$16="Monthly",IF(CK23=CL23,0,($C$5+$C$13)/$C$11),$C$16="Quarterly",IF(CK24=CL24,0,($C$5+$C$13)/$C$12),$C$16="Annually",IF(CK25=CL25,0,($C$5+$C$13)/($C$6)*(IF(ROUNDDOWN($C$6,0)&lt;CK25,(ROUNDDOWN(CK25,0)-$C$6),1))))))</f>
        <v>0</v>
      </c>
      <c r="CL48" s="71" cm="1">
        <f t="array" aca="1" ref="CL48" ca="1">IF(CL47=0,0,IF(CL23&lt;=$C$15,0,_xlfn.IFS($C$16="Monthly",IF(CL23=CM23,0,($C$5+$C$13)/$C$11),$C$16="Quarterly",IF(CL24=CM24,0,($C$5+$C$13)/$C$12),$C$16="Annually",IF(CL25=CM25,0,($C$5+$C$13)/($C$6)*(IF(ROUNDDOWN($C$6,0)&lt;CL25,(ROUNDDOWN(CL25,0)-$C$6),1))))))</f>
        <v>0</v>
      </c>
      <c r="CM48" s="71" cm="1">
        <f t="array" aca="1" ref="CM48" ca="1">IF(CM47=0,0,IF(CM23&lt;=$C$15,0,_xlfn.IFS($C$16="Monthly",IF(CM23=CN23,0,($C$5+$C$13)/$C$11),$C$16="Quarterly",IF(CM24=CN24,0,($C$5+$C$13)/$C$12),$C$16="Annually",IF(CM25=CN25,0,($C$5+$C$13)/($C$6)*(IF(ROUNDDOWN($C$6,0)&lt;CM25,(ROUNDDOWN(CM25,0)-$C$6),1))))))</f>
        <v>0</v>
      </c>
      <c r="CN48" s="71" cm="1">
        <f t="array" aca="1" ref="CN48" ca="1">IF(CN47=0,0,IF(CN23&lt;=$C$15,0,_xlfn.IFS($C$16="Monthly",IF(CN23=CO23,0,($C$5+$C$13)/$C$11),$C$16="Quarterly",IF(CN24=CO24,0,($C$5+$C$13)/$C$12),$C$16="Annually",IF(CN25=CO25,0,($C$5+$C$13)/($C$6)*(IF(ROUNDDOWN($C$6,0)&lt;CN25,(ROUNDDOWN(CN25,0)-$C$6),1))))))</f>
        <v>0</v>
      </c>
      <c r="CO48" s="71" cm="1">
        <f t="array" aca="1" ref="CO48" ca="1">IF(CO47=0,0,IF(CO23&lt;=$C$15,0,_xlfn.IFS($C$16="Monthly",IF(CO23=CP23,0,($C$5+$C$13)/$C$11),$C$16="Quarterly",IF(CO24=CP24,0,($C$5+$C$13)/$C$12),$C$16="Annually",IF(CO25=CP25,0,($C$5+$C$13)/($C$6)*(IF(ROUNDDOWN($C$6,0)&lt;CO25,(ROUNDDOWN(CO25,0)-$C$6),1))))))</f>
        <v>0</v>
      </c>
      <c r="CP48" s="71" cm="1">
        <f t="array" aca="1" ref="CP48" ca="1">IF(CP47=0,0,IF(CP23&lt;=$C$15,0,_xlfn.IFS($C$16="Monthly",IF(CP23=CQ23,0,($C$5+$C$13)/$C$11),$C$16="Quarterly",IF(CP24=CQ24,0,($C$5+$C$13)/$C$12),$C$16="Annually",IF(CP25=CQ25,0,($C$5+$C$13)/($C$6)*(IF(ROUNDDOWN($C$6,0)&lt;CP25,(ROUNDDOWN(CP25,0)-$C$6),1))))))</f>
        <v>0</v>
      </c>
      <c r="CQ48" s="71" cm="1">
        <f t="array" aca="1" ref="CQ48" ca="1">IF(CQ47=0,0,IF(CQ23&lt;=$C$15,0,_xlfn.IFS($C$16="Monthly",IF(CQ23=CR23,0,($C$5+$C$13)/$C$11),$C$16="Quarterly",IF(CQ24=CR24,0,($C$5+$C$13)/$C$12),$C$16="Annually",IF(CQ25=CR25,0,($C$5+$C$13)/($C$6)*(IF(ROUNDDOWN($C$6,0)&lt;CQ25,(ROUNDDOWN(CQ25,0)-$C$6),1))))))</f>
        <v>0</v>
      </c>
      <c r="CR48" s="71" cm="1">
        <f t="array" aca="1" ref="CR48" ca="1">IF(CR47=0,0,IF(CR23&lt;=$C$15,0,_xlfn.IFS($C$16="Monthly",IF(CR23=CS23,0,($C$5+$C$13)/$C$11),$C$16="Quarterly",IF(CR24=CS24,0,($C$5+$C$13)/$C$12),$C$16="Annually",IF(CR25=CS25,0,($C$5+$C$13)/($C$6)*(IF(ROUNDDOWN($C$6,0)&lt;CR25,(ROUNDDOWN(CR25,0)-$C$6),1))))))</f>
        <v>0</v>
      </c>
      <c r="CS48" s="71" cm="1">
        <f t="array" aca="1" ref="CS48" ca="1">IF(CS47=0,0,IF(CS23&lt;=$C$15,0,_xlfn.IFS($C$16="Monthly",IF(CS23=CT23,0,($C$5+$C$13)/$C$11),$C$16="Quarterly",IF(CS24=CT24,0,($C$5+$C$13)/$C$12),$C$16="Annually",IF(CS25=CT25,0,($C$5+$C$13)/($C$6)*(IF(ROUNDDOWN($C$6,0)&lt;CS25,(ROUNDDOWN(CS25,0)-$C$6),1))))))</f>
        <v>0</v>
      </c>
      <c r="CT48" s="71" cm="1">
        <f t="array" aca="1" ref="CT48" ca="1">IF(CT47=0,0,IF(CT23&lt;=$C$15,0,_xlfn.IFS($C$16="Monthly",IF(CT23=CU23,0,($C$5+$C$13)/$C$11),$C$16="Quarterly",IF(CT24=CU24,0,($C$5+$C$13)/$C$12),$C$16="Annually",IF(CT25=CU25,0,($C$5+$C$13)/($C$6)*(IF(ROUNDDOWN($C$6,0)&lt;CT25,(ROUNDDOWN(CT25,0)-$C$6),1))))))</f>
        <v>0</v>
      </c>
      <c r="CU48" s="71" cm="1">
        <f t="array" aca="1" ref="CU48" ca="1">IF(CU47=0,0,IF(CU23&lt;=$C$15,0,_xlfn.IFS($C$16="Monthly",IF(CU23=CV23,0,($C$5+$C$13)/$C$11),$C$16="Quarterly",IF(CU24=CV24,0,($C$5+$C$13)/$C$12),$C$16="Annually",IF(CU25=CV25,0,($C$5+$C$13)/($C$6)*(IF(ROUNDDOWN($C$6,0)&lt;CU25,(ROUNDDOWN(CU25,0)-$C$6),1))))))</f>
        <v>0</v>
      </c>
      <c r="CV48" s="71" cm="1">
        <f t="array" aca="1" ref="CV48" ca="1">IF(CV47=0,0,IF(CV23&lt;=$C$15,0,_xlfn.IFS($C$16="Monthly",IF(CV23=CW23,0,($C$5+$C$13)/$C$11),$C$16="Quarterly",IF(CV24=CW24,0,($C$5+$C$13)/$C$12),$C$16="Annually",IF(CV25=CW25,0,($C$5+$C$13)/($C$6)*(IF(ROUNDDOWN($C$6,0)&lt;CV25,(ROUNDDOWN(CV25,0)-$C$6),1))))))</f>
        <v>3.6110696148141437</v>
      </c>
      <c r="CW48" s="71" cm="1">
        <f t="array" aca="1" ref="CW48" ca="1">IF(CW47=0,0,IF(CW23&lt;=$C$15,0,_xlfn.IFS($C$16="Monthly",IF(CW23=CX23,0,($C$5+$C$13)/$C$11),$C$16="Quarterly",IF(CW24=CX24,0,($C$5+$C$13)/$C$12),$C$16="Annually",IF(CW25=CX25,0,($C$5+$C$13)/($C$6)*(IF(ROUNDDOWN($C$6,0)&lt;CW25,(ROUNDDOWN(CW25,0)-$C$6),1))))))</f>
        <v>0</v>
      </c>
      <c r="CX48" s="71" cm="1">
        <f t="array" aca="1" ref="CX48" ca="1">IF(CX47=0,0,IF(CX23&lt;=$C$15,0,_xlfn.IFS($C$16="Monthly",IF(CX23=CY23,0,($C$5+$C$13)/$C$11),$C$16="Quarterly",IF(CX24=CY24,0,($C$5+$C$13)/$C$12),$C$16="Annually",IF(CX25=CY25,0,($C$5+$C$13)/($C$6)*(IF(ROUNDDOWN($C$6,0)&lt;CX25,(ROUNDDOWN(CX25,0)-$C$6),1))))))</f>
        <v>0</v>
      </c>
      <c r="CY48" s="71" cm="1">
        <f t="array" aca="1" ref="CY48" ca="1">IF(CY47=0,0,IF(CY23&lt;=$C$15,0,_xlfn.IFS($C$16="Monthly",IF(CY23=CZ23,0,($C$5+$C$13)/$C$11),$C$16="Quarterly",IF(CY24=CZ24,0,($C$5+$C$13)/$C$12),$C$16="Annually",IF(CY25=CZ25,0,($C$5+$C$13)/($C$6)*(IF(ROUNDDOWN($C$6,0)&lt;CY25,(ROUNDDOWN(CY25,0)-$C$6),1))))))</f>
        <v>0</v>
      </c>
      <c r="CZ48" s="71" cm="1">
        <f t="array" aca="1" ref="CZ48" ca="1">IF(CZ47=0,0,IF(CZ23&lt;=$C$15,0,_xlfn.IFS($C$16="Monthly",IF(CZ23=DA23,0,($C$5+$C$13)/$C$11),$C$16="Quarterly",IF(CZ24=DA24,0,($C$5+$C$13)/$C$12),$C$16="Annually",IF(CZ25=DA25,0,($C$5+$C$13)/($C$6)*(IF(ROUNDDOWN($C$6,0)&lt;CZ25,(ROUNDDOWN(CZ25,0)-$C$6),1))))))</f>
        <v>0</v>
      </c>
      <c r="DA48" s="71" cm="1">
        <f t="array" aca="1" ref="DA48" ca="1">IF(DA47=0,0,IF(DA23&lt;=$C$15,0,_xlfn.IFS($C$16="Monthly",IF(DA23=DB23,0,($C$5+$C$13)/$C$11),$C$16="Quarterly",IF(DA24=DB24,0,($C$5+$C$13)/$C$12),$C$16="Annually",IF(DA25=DB25,0,($C$5+$C$13)/($C$6)*(IF(ROUNDDOWN($C$6,0)&lt;DA25,(ROUNDDOWN(DA25,0)-$C$6),1))))))</f>
        <v>0</v>
      </c>
      <c r="DB48" s="71" cm="1">
        <f t="array" aca="1" ref="DB48" ca="1">IF(DB47=0,0,IF(DB23&lt;=$C$15,0,_xlfn.IFS($C$16="Monthly",IF(DB23=DC23,0,($C$5+$C$13)/$C$11),$C$16="Quarterly",IF(DB24=DC24,0,($C$5+$C$13)/$C$12),$C$16="Annually",IF(DB25=DC25,0,($C$5+$C$13)/($C$6)*(IF(ROUNDDOWN($C$6,0)&lt;DB25,(ROUNDDOWN(DB25,0)-$C$6),1))))))</f>
        <v>0</v>
      </c>
      <c r="DC48" s="71" cm="1">
        <f t="array" aca="1" ref="DC48" ca="1">IF(DC47=0,0,IF(DC23&lt;=$C$15,0,_xlfn.IFS($C$16="Monthly",IF(DC23=DD23,0,($C$5+$C$13)/$C$11),$C$16="Quarterly",IF(DC24=DD24,0,($C$5+$C$13)/$C$12),$C$16="Annually",IF(DC25=DD25,0,($C$5+$C$13)/($C$6)*(IF(ROUNDDOWN($C$6,0)&lt;DC25,(ROUNDDOWN(DC25,0)-$C$6),1))))))</f>
        <v>0</v>
      </c>
      <c r="DD48" s="71" cm="1">
        <f t="array" aca="1" ref="DD48" ca="1">IF(DD47=0,0,IF(DD23&lt;=$C$15,0,_xlfn.IFS($C$16="Monthly",IF(DD23=DE23,0,($C$5+$C$13)/$C$11),$C$16="Quarterly",IF(DD24=DE24,0,($C$5+$C$13)/$C$12),$C$16="Annually",IF(DD25=DE25,0,($C$5+$C$13)/($C$6)*(IF(ROUNDDOWN($C$6,0)&lt;DD25,(ROUNDDOWN(DD25,0)-$C$6),1))))))</f>
        <v>0</v>
      </c>
      <c r="DE48" s="71" cm="1">
        <f t="array" aca="1" ref="DE48" ca="1">IF(DE47=0,0,IF(DE23&lt;=$C$15,0,_xlfn.IFS($C$16="Monthly",IF(DE23=DF23,0,($C$5+$C$13)/$C$11),$C$16="Quarterly",IF(DE24=DF24,0,($C$5+$C$13)/$C$12),$C$16="Annually",IF(DE25=DF25,0,($C$5+$C$13)/($C$6)*(IF(ROUNDDOWN($C$6,0)&lt;DE25,(ROUNDDOWN(DE25,0)-$C$6),1))))))</f>
        <v>0</v>
      </c>
      <c r="DF48" s="71" cm="1">
        <f t="array" aca="1" ref="DF48" ca="1">IF(DF47=0,0,IF(DF23&lt;=$C$15,0,_xlfn.IFS($C$16="Monthly",IF(DF23=DG23,0,($C$5+$C$13)/$C$11),$C$16="Quarterly",IF(DF24=DG24,0,($C$5+$C$13)/$C$12),$C$16="Annually",IF(DF25=DG25,0,($C$5+$C$13)/($C$6)*(IF(ROUNDDOWN($C$6,0)&lt;DF25,(ROUNDDOWN(DF25,0)-$C$6),1))))))</f>
        <v>0</v>
      </c>
      <c r="DG48" s="71" cm="1">
        <f t="array" aca="1" ref="DG48" ca="1">IF(DG47=0,0,IF(DG23&lt;=$C$15,0,_xlfn.IFS($C$16="Monthly",IF(DG23=DH23,0,($C$5+$C$13)/$C$11),$C$16="Quarterly",IF(DG24=DH24,0,($C$5+$C$13)/$C$12),$C$16="Annually",IF(DG25=DH25,0,($C$5+$C$13)/($C$6)*(IF(ROUNDDOWN($C$6,0)&lt;DG25,(ROUNDDOWN(DG25,0)-$C$6),1))))))</f>
        <v>0</v>
      </c>
      <c r="DH48" s="71" cm="1">
        <f t="array" aca="1" ref="DH48" ca="1">IF(DH47=0,0,IF(DH23&lt;=$C$15,0,_xlfn.IFS($C$16="Monthly",IF(DH23=DI23,0,($C$5+$C$13)/$C$11),$C$16="Quarterly",IF(DH24=DI24,0,($C$5+$C$13)/$C$12),$C$16="Annually",IF(DH25=DI25,0,($C$5+$C$13)/($C$6)*(IF(ROUNDDOWN($C$6,0)&lt;DH25,(ROUNDDOWN(DH25,0)-$C$6),1))))))</f>
        <v>3.6110696148141437</v>
      </c>
      <c r="DI48" s="71" cm="1">
        <f t="array" aca="1" ref="DI48" ca="1">IF(DI47=0,0,IF(DI23&lt;=$C$15,0,_xlfn.IFS($C$16="Monthly",IF(DI23=DJ23,0,($C$5+$C$13)/$C$11),$C$16="Quarterly",IF(DI24=DJ24,0,($C$5+$C$13)/$C$12),$C$16="Annually",IF(DI25=DJ25,0,($C$5+$C$13)/($C$6)*(IF(ROUNDDOWN($C$6,0)&lt;DI25,(ROUNDDOWN(DI25,0)-$C$6),1))))))</f>
        <v>0</v>
      </c>
      <c r="DJ48" s="71" cm="1">
        <f t="array" aca="1" ref="DJ48" ca="1">IF(DJ47=0,0,IF(DJ23&lt;=$C$15,0,_xlfn.IFS($C$16="Monthly",IF(DJ23=DK23,0,($C$5+$C$13)/$C$11),$C$16="Quarterly",IF(DJ24=DK24,0,($C$5+$C$13)/$C$12),$C$16="Annually",IF(DJ25=DK25,0,($C$5+$C$13)/($C$6)*(IF(ROUNDDOWN($C$6,0)&lt;DJ25,(ROUNDDOWN(DJ25,0)-$C$6),1))))))</f>
        <v>0</v>
      </c>
      <c r="DK48" s="71" cm="1">
        <f t="array" aca="1" ref="DK48" ca="1">IF(DK47=0,0,IF(DK23&lt;=$C$15,0,_xlfn.IFS($C$16="Monthly",IF(DK23=DL23,0,($C$5+$C$13)/$C$11),$C$16="Quarterly",IF(DK24=DL24,0,($C$5+$C$13)/$C$12),$C$16="Annually",IF(DK25=DL25,0,($C$5+$C$13)/($C$6)*(IF(ROUNDDOWN($C$6,0)&lt;DK25,(ROUNDDOWN(DK25,0)-$C$6),1))))))</f>
        <v>0</v>
      </c>
      <c r="DL48" s="71" cm="1">
        <f t="array" aca="1" ref="DL48" ca="1">IF(DL47=0,0,IF(DL23&lt;=$C$15,0,_xlfn.IFS($C$16="Monthly",IF(DL23=DM23,0,($C$5+$C$13)/$C$11),$C$16="Quarterly",IF(DL24=DM24,0,($C$5+$C$13)/$C$12),$C$16="Annually",IF(DL25=DM25,0,($C$5+$C$13)/($C$6)*(IF(ROUNDDOWN($C$6,0)&lt;DL25,(ROUNDDOWN(DL25,0)-$C$6),1))))))</f>
        <v>0</v>
      </c>
      <c r="DM48" s="71" cm="1">
        <f t="array" aca="1" ref="DM48" ca="1">IF(DM47=0,0,IF(DM23&lt;=$C$15,0,_xlfn.IFS($C$16="Monthly",IF(DM23=DN23,0,($C$5+$C$13)/$C$11),$C$16="Quarterly",IF(DM24=DN24,0,($C$5+$C$13)/$C$12),$C$16="Annually",IF(DM25=DN25,0,($C$5+$C$13)/($C$6)*(IF(ROUNDDOWN($C$6,0)&lt;DM25,(ROUNDDOWN(DM25,0)-$C$6),1))))))</f>
        <v>0</v>
      </c>
      <c r="DN48" s="71" cm="1">
        <f t="array" aca="1" ref="DN48" ca="1">IF(DN47=0,0,IF(DN23&lt;=$C$15,0,_xlfn.IFS($C$16="Monthly",IF(DN23=DO23,0,($C$5+$C$13)/$C$11),$C$16="Quarterly",IF(DN24=DO24,0,($C$5+$C$13)/$C$12),$C$16="Annually",IF(DN25=DO25,0,($C$5+$C$13)/($C$6)*(IF(ROUNDDOWN($C$6,0)&lt;DN25,(ROUNDDOWN(DN25,0)-$C$6),1))))))</f>
        <v>0</v>
      </c>
      <c r="DO48" s="71" cm="1">
        <f t="array" aca="1" ref="DO48" ca="1">IF(DO47=0,0,IF(DO23&lt;=$C$15,0,_xlfn.IFS($C$16="Monthly",IF(DO23=DP23,0,($C$5+$C$13)/$C$11),$C$16="Quarterly",IF(DO24=DP24,0,($C$5+$C$13)/$C$12),$C$16="Annually",IF(DO25=DP25,0,($C$5+$C$13)/($C$6)*(IF(ROUNDDOWN($C$6,0)&lt;DO25,(ROUNDDOWN(DO25,0)-$C$6),1))))))</f>
        <v>0</v>
      </c>
      <c r="DP48" s="71" cm="1">
        <f t="array" aca="1" ref="DP48" ca="1">IF(DP47=0,0,IF(DP23&lt;=$C$15,0,_xlfn.IFS($C$16="Monthly",IF(DP23=DQ23,0,($C$5+$C$13)/$C$11),$C$16="Quarterly",IF(DP24=DQ24,0,($C$5+$C$13)/$C$12),$C$16="Annually",IF(DP25=DQ25,0,($C$5+$C$13)/($C$6)*(IF(ROUNDDOWN($C$6,0)&lt;DP25,(ROUNDDOWN(DP25,0)-$C$6),1))))))</f>
        <v>0</v>
      </c>
      <c r="DQ48" s="71" cm="1">
        <f t="array" aca="1" ref="DQ48" ca="1">IF(DQ47=0,0,IF(DQ23&lt;=$C$15,0,_xlfn.IFS($C$16="Monthly",IF(DQ23=DR23,0,($C$5+$C$13)/$C$11),$C$16="Quarterly",IF(DQ24=DR24,0,($C$5+$C$13)/$C$12),$C$16="Annually",IF(DQ25=DR25,0,($C$5+$C$13)/($C$6)*(IF(ROUNDDOWN($C$6,0)&lt;DQ25,(ROUNDDOWN(DQ25,0)-$C$6),1))))))</f>
        <v>0</v>
      </c>
      <c r="DR48" s="71" cm="1">
        <f t="array" aca="1" ref="DR48" ca="1">IF(DR47=0,0,IF(DR23&lt;=$C$15,0,_xlfn.IFS($C$16="Monthly",IF(DR23=DS23,0,($C$5+$C$13)/$C$11),$C$16="Quarterly",IF(DR24=DS24,0,($C$5+$C$13)/$C$12),$C$16="Annually",IF(DR25=DS25,0,($C$5+$C$13)/($C$6)*(IF(ROUNDDOWN($C$6,0)&lt;DR25,(ROUNDDOWN(DR25,0)-$C$6),1))))))</f>
        <v>0</v>
      </c>
      <c r="DS48" s="71" cm="1">
        <f t="array" aca="1" ref="DS48" ca="1">IF(DS47=0,0,IF(DS23&lt;=$C$15,0,_xlfn.IFS($C$16="Monthly",IF(DS23=DT23,0,($C$5+$C$13)/$C$11),$C$16="Quarterly",IF(DS24=DT24,0,($C$5+$C$13)/$C$12),$C$16="Annually",IF(DS25=DT25,0,($C$5+$C$13)/($C$6)*(IF(ROUNDDOWN($C$6,0)&lt;DS25,(ROUNDDOWN(DS25,0)-$C$6),1))))))</f>
        <v>0</v>
      </c>
      <c r="DT48" s="71" cm="1">
        <f t="array" aca="1" ref="DT48" ca="1">IF(DT47=0,0,IF(DT23&lt;=$C$15,0,_xlfn.IFS($C$16="Monthly",IF(DT23=DU23,0,($C$5+$C$13)/$C$11),$C$16="Quarterly",IF(DT24=DU24,0,($C$5+$C$13)/$C$12),$C$16="Annually",IF(DT25=DU25,0,($C$5+$C$13)/($C$6)*(IF(ROUNDDOWN($C$6,0)&lt;DT25,(ROUNDDOWN(DT25,0)-$C$6),1))))))</f>
        <v>3.6110696148141437</v>
      </c>
      <c r="DU48" s="71" cm="1">
        <f t="array" aca="1" ref="DU48" ca="1">IF(DU47=0,0,IF(DU23&lt;=$C$15,0,_xlfn.IFS($C$16="Monthly",IF(DU23=DV23,0,($C$5+$C$13)/$C$11),$C$16="Quarterly",IF(DU24=DV24,0,($C$5+$C$13)/$C$12),$C$16="Annually",IF(DU25=DV25,0,($C$5+$C$13)/($C$6)*(IF(ROUNDDOWN($C$6,0)&lt;DU25,(ROUNDDOWN(DU25,0)-$C$6),1))))))</f>
        <v>0</v>
      </c>
      <c r="DV48" s="71" cm="1">
        <f t="array" aca="1" ref="DV48" ca="1">IF(DV47=0,0,IF(DV23&lt;=$C$15,0,_xlfn.IFS($C$16="Monthly",IF(DV23=DW23,0,($C$5+$C$13)/$C$11),$C$16="Quarterly",IF(DV24=DW24,0,($C$5+$C$13)/$C$12),$C$16="Annually",IF(DV25=DW25,0,($C$5+$C$13)/($C$6)*(IF(ROUNDDOWN($C$6,0)&lt;DV25,(ROUNDDOWN(DV25,0)-$C$6),1))))))</f>
        <v>0</v>
      </c>
      <c r="DW48" s="71" cm="1">
        <f t="array" aca="1" ref="DW48" ca="1">IF(DW47=0,0,IF(DW23&lt;=$C$15,0,_xlfn.IFS($C$16="Monthly",IF(DW23=DX23,0,($C$5+$C$13)/$C$11),$C$16="Quarterly",IF(DW24=DX24,0,($C$5+$C$13)/$C$12),$C$16="Annually",IF(DW25=DX25,0,($C$5+$C$13)/($C$6)*(IF(ROUNDDOWN($C$6,0)&lt;DW25,(ROUNDDOWN(DW25,0)-$C$6),1))))))</f>
        <v>0</v>
      </c>
      <c r="DX48" s="71" cm="1">
        <f t="array" aca="1" ref="DX48" ca="1">IF(DX47=0,0,IF(DX23&lt;=$C$15,0,_xlfn.IFS($C$16="Monthly",IF(DX23=DY23,0,($C$5+$C$13)/$C$11),$C$16="Quarterly",IF(DX24=DY24,0,($C$5+$C$13)/$C$12),$C$16="Annually",IF(DX25=DY25,0,($C$5+$C$13)/($C$6)*(IF(ROUNDDOWN($C$6,0)&lt;DX25,(ROUNDDOWN(DX25,0)-$C$6),1))))))</f>
        <v>0</v>
      </c>
      <c r="DY48" s="71" cm="1">
        <f t="array" aca="1" ref="DY48" ca="1">IF(DY47=0,0,IF(DY23&lt;=$C$15,0,_xlfn.IFS($C$16="Monthly",IF(DY23=DZ23,0,($C$5+$C$13)/$C$11),$C$16="Quarterly",IF(DY24=DZ24,0,($C$5+$C$13)/$C$12),$C$16="Annually",IF(DY25=DZ25,0,($C$5+$C$13)/($C$6)*(IF(ROUNDDOWN($C$6,0)&lt;DY25,(ROUNDDOWN(DY25,0)-$C$6),1))))))</f>
        <v>0</v>
      </c>
      <c r="DZ48" s="71" cm="1">
        <f t="array" aca="1" ref="DZ48" ca="1">IF(DZ47=0,0,IF(DZ23&lt;=$C$15,0,_xlfn.IFS($C$16="Monthly",IF(DZ23=EA23,0,($C$5+$C$13)/$C$11),$C$16="Quarterly",IF(DZ24=EA24,0,($C$5+$C$13)/$C$12),$C$16="Annually",IF(DZ25=EA25,0,($C$5+$C$13)/($C$6)*(IF(ROUNDDOWN($C$6,0)&lt;DZ25,(ROUNDDOWN(DZ25,0)-$C$6),1))))))</f>
        <v>0</v>
      </c>
      <c r="EA48" s="71" cm="1">
        <f t="array" aca="1" ref="EA48" ca="1">IF(EA47=0,0,IF(EA23&lt;=$C$15,0,_xlfn.IFS($C$16="Monthly",IF(EA23=EB23,0,($C$5+$C$13)/$C$11),$C$16="Quarterly",IF(EA24=EB24,0,($C$5+$C$13)/$C$12),$C$16="Annually",IF(EA25=EB25,0,($C$5+$C$13)/($C$6)*(IF(ROUNDDOWN($C$6,0)&lt;EA25,(ROUNDDOWN(EA25,0)-$C$6),1))))))</f>
        <v>0</v>
      </c>
      <c r="EB48" s="71" cm="1">
        <f t="array" aca="1" ref="EB48" ca="1">IF(EB47=0,0,IF(EB23&lt;=$C$15,0,_xlfn.IFS($C$16="Monthly",IF(EB23=EC23,0,($C$5+$C$13)/$C$11),$C$16="Quarterly",IF(EB24=EC24,0,($C$5+$C$13)/$C$12),$C$16="Annually",IF(EB25=EC25,0,($C$5+$C$13)/($C$6)*(IF(ROUNDDOWN($C$6,0)&lt;EB25,(ROUNDDOWN(EB25,0)-$C$6),1))))))</f>
        <v>0</v>
      </c>
      <c r="EC48" s="71" cm="1">
        <f t="array" aca="1" ref="EC48" ca="1">IF(EC47=0,0,IF(EC23&lt;=$C$15,0,_xlfn.IFS($C$16="Monthly",IF(EC23=ED23,0,($C$5+$C$13)/$C$11),$C$16="Quarterly",IF(EC24=ED24,0,($C$5+$C$13)/$C$12),$C$16="Annually",IF(EC25=ED25,0,($C$5+$C$13)/($C$6)*(IF(ROUNDDOWN($C$6,0)&lt;EC25,(ROUNDDOWN(EC25,0)-$C$6),1))))))</f>
        <v>0</v>
      </c>
      <c r="ED48" s="71" cm="1">
        <f t="array" aca="1" ref="ED48" ca="1">IF(ED47=0,0,IF(ED23&lt;=$C$15,0,_xlfn.IFS($C$16="Monthly",IF(ED23=EE23,0,($C$5+$C$13)/$C$11),$C$16="Quarterly",IF(ED24=EE24,0,($C$5+$C$13)/$C$12),$C$16="Annually",IF(ED25=EE25,0,($C$5+$C$13)/($C$6)*(IF(ROUNDDOWN($C$6,0)&lt;ED25,(ROUNDDOWN(ED25,0)-$C$6),1))))))</f>
        <v>0</v>
      </c>
      <c r="EE48" s="71" cm="1">
        <f t="array" aca="1" ref="EE48" ca="1">IF(EE47=0,0,IF(EE23&lt;=$C$15,0,_xlfn.IFS($C$16="Monthly",IF(EE23=EF23,0,($C$5+$C$13)/$C$11),$C$16="Quarterly",IF(EE24=EF24,0,($C$5+$C$13)/$C$12),$C$16="Annually",IF(EE25=EF25,0,($C$5+$C$13)/($C$6)*(IF(ROUNDDOWN($C$6,0)&lt;EE25,(ROUNDDOWN(EE25,0)-$C$6),1))))))</f>
        <v>0</v>
      </c>
      <c r="EF48" s="71" cm="1">
        <f t="array" aca="1" ref="EF48" ca="1">IF(EF47=0,0,IF(EF23&lt;=$C$15,0,_xlfn.IFS($C$16="Monthly",IF(EF23=EG23,0,($C$5+$C$13)/$C$11),$C$16="Quarterly",IF(EF24=EG24,0,($C$5+$C$13)/$C$12),$C$16="Annually",IF(EF25=EG25,0,($C$5+$C$13)/($C$6)*(IF(ROUNDDOWN($C$6,0)&lt;EF25,(ROUNDDOWN(EF25,0)-$C$6),1))))))</f>
        <v>3.6110696148141437</v>
      </c>
      <c r="EG48" s="71" cm="1">
        <f t="array" aca="1" ref="EG48" ca="1">IF(EG47=0,0,IF(EG23&lt;=$C$15,0,_xlfn.IFS($C$16="Monthly",IF(EG23=EH23,0,($C$5+$C$13)/$C$11),$C$16="Quarterly",IF(EG24=EH24,0,($C$5+$C$13)/$C$12),$C$16="Annually",IF(EG25=EH25,0,($C$5+$C$13)/($C$6)*(IF(ROUNDDOWN($C$6,0)&lt;EG25,(ROUNDDOWN(EG25,0)-$C$6),1))))))</f>
        <v>0</v>
      </c>
      <c r="EH48" s="71" cm="1">
        <f t="array" aca="1" ref="EH48" ca="1">IF(EH47=0,0,IF(EH23&lt;=$C$15,0,_xlfn.IFS($C$16="Monthly",IF(EH23=EI23,0,($C$5+$C$13)/$C$11),$C$16="Quarterly",IF(EH24=EI24,0,($C$5+$C$13)/$C$12),$C$16="Annually",IF(EH25=EI25,0,($C$5+$C$13)/($C$6)*(IF(ROUNDDOWN($C$6,0)&lt;EH25,(ROUNDDOWN(EH25,0)-$C$6),1))))))</f>
        <v>0</v>
      </c>
      <c r="EI48" s="71" cm="1">
        <f t="array" aca="1" ref="EI48" ca="1">IF(EI47=0,0,IF(EI23&lt;=$C$15,0,_xlfn.IFS($C$16="Monthly",IF(EI23=EJ23,0,($C$5+$C$13)/$C$11),$C$16="Quarterly",IF(EI24=EJ24,0,($C$5+$C$13)/$C$12),$C$16="Annually",IF(EI25=EJ25,0,($C$5+$C$13)/($C$6)*(IF(ROUNDDOWN($C$6,0)&lt;EI25,(ROUNDDOWN(EI25,0)-$C$6),1))))))</f>
        <v>0</v>
      </c>
      <c r="EJ48" s="71" cm="1">
        <f t="array" aca="1" ref="EJ48" ca="1">IF(EJ47=0,0,IF(EJ23&lt;=$C$15,0,_xlfn.IFS($C$16="Monthly",IF(EJ23=EK23,0,($C$5+$C$13)/$C$11),$C$16="Quarterly",IF(EJ24=EK24,0,($C$5+$C$13)/$C$12),$C$16="Annually",IF(EJ25=EK25,0,($C$5+$C$13)/($C$6)*(IF(ROUNDDOWN($C$6,0)&lt;EJ25,(ROUNDDOWN(EJ25,0)-$C$6),1))))))</f>
        <v>0</v>
      </c>
      <c r="EK48" s="71" cm="1">
        <f t="array" aca="1" ref="EK48" ca="1">IF(EK47=0,0,IF(EK23&lt;=$C$15,0,_xlfn.IFS($C$16="Monthly",IF(EK23=EL23,0,($C$5+$C$13)/$C$11),$C$16="Quarterly",IF(EK24=EL24,0,($C$5+$C$13)/$C$12),$C$16="Annually",IF(EK25=EL25,0,($C$5+$C$13)/($C$6)*(IF(ROUNDDOWN($C$6,0)&lt;EK25,(ROUNDDOWN(EK25,0)-$C$6),1))))))</f>
        <v>0</v>
      </c>
      <c r="EL48" s="71" cm="1">
        <f t="array" aca="1" ref="EL48" ca="1">IF(EL47=0,0,IF(EL23&lt;=$C$15,0,_xlfn.IFS($C$16="Monthly",IF(EL23=EM23,0,($C$5+$C$13)/$C$11),$C$16="Quarterly",IF(EL24=EM24,0,($C$5+$C$13)/$C$12),$C$16="Annually",IF(EL25=EM25,0,($C$5+$C$13)/($C$6)*(IF(ROUNDDOWN($C$6,0)&lt;EL25,(ROUNDDOWN(EL25,0)-$C$6),1))))))</f>
        <v>0</v>
      </c>
      <c r="EM48" s="71" cm="1">
        <f t="array" aca="1" ref="EM48" ca="1">IF(EM47=0,0,IF(EM23&lt;=$C$15,0,_xlfn.IFS($C$16="Monthly",IF(EM23=EN23,0,($C$5+$C$13)/$C$11),$C$16="Quarterly",IF(EM24=EN24,0,($C$5+$C$13)/$C$12),$C$16="Annually",IF(EM25=EN25,0,($C$5+$C$13)/($C$6)*(IF(ROUNDDOWN($C$6,0)&lt;EM25,(ROUNDDOWN(EM25,0)-$C$6),1))))))</f>
        <v>0</v>
      </c>
      <c r="EN48" s="71" cm="1">
        <f t="array" aca="1" ref="EN48" ca="1">IF(EN47=0,0,IF(EN23&lt;=$C$15,0,_xlfn.IFS($C$16="Monthly",IF(EN23=EO23,0,($C$5+$C$13)/$C$11),$C$16="Quarterly",IF(EN24=EO24,0,($C$5+$C$13)/$C$12),$C$16="Annually",IF(EN25=EO25,0,($C$5+$C$13)/($C$6)*(IF(ROUNDDOWN($C$6,0)&lt;EN25,(ROUNDDOWN(EN25,0)-$C$6),1))))))</f>
        <v>0</v>
      </c>
      <c r="EO48" s="71" cm="1">
        <f t="array" aca="1" ref="EO48" ca="1">IF(EO47=0,0,IF(EO23&lt;=$C$15,0,_xlfn.IFS($C$16="Monthly",IF(EO23=EP23,0,($C$5+$C$13)/$C$11),$C$16="Quarterly",IF(EO24=EP24,0,($C$5+$C$13)/$C$12),$C$16="Annually",IF(EO25=EP25,0,($C$5+$C$13)/($C$6)*(IF(ROUNDDOWN($C$6,0)&lt;EO25,(ROUNDDOWN(EO25,0)-$C$6),1))))))</f>
        <v>0</v>
      </c>
      <c r="EP48" s="71" cm="1">
        <f t="array" aca="1" ref="EP48" ca="1">IF(EP47=0,0,IF(EP23&lt;=$C$15,0,_xlfn.IFS($C$16="Monthly",IF(EP23=EQ23,0,($C$5+$C$13)/$C$11),$C$16="Quarterly",IF(EP24=EQ24,0,($C$5+$C$13)/$C$12),$C$16="Annually",IF(EP25=EQ25,0,($C$5+$C$13)/($C$6)*(IF(ROUNDDOWN($C$6,0)&lt;EP25,(ROUNDDOWN(EP25,0)-$C$6),1))))))</f>
        <v>0</v>
      </c>
      <c r="EQ48" s="71" cm="1">
        <f t="array" aca="1" ref="EQ48" ca="1">IF(EQ47=0,0,IF(EQ23&lt;=$C$15,0,_xlfn.IFS($C$16="Monthly",IF(EQ23=ER23,0,($C$5+$C$13)/$C$11),$C$16="Quarterly",IF(EQ24=ER24,0,($C$5+$C$13)/$C$12),$C$16="Annually",IF(EQ25=ER25,0,($C$5+$C$13)/($C$6)*(IF(ROUNDDOWN($C$6,0)&lt;EQ25,(ROUNDDOWN(EQ25,0)-$C$6),1))))))</f>
        <v>0</v>
      </c>
      <c r="ER48" s="71" cm="1">
        <f t="array" aca="1" ref="ER48" ca="1">IF(ER47=0,0,IF(ER23&lt;=$C$15,0,_xlfn.IFS($C$16="Monthly",IF(ER23=ES23,0,($C$5+$C$13)/$C$11),$C$16="Quarterly",IF(ER24=ES24,0,($C$5+$C$13)/$C$12),$C$16="Annually",IF(ER25=ES25,0,($C$5+$C$13)/($C$6)*(IF(ROUNDDOWN($C$6,0)&lt;ER25,(ROUNDDOWN(ER25,0)-$C$6),1))))))</f>
        <v>3.6110696148141437</v>
      </c>
      <c r="ES48" s="71" cm="1">
        <f t="array" aca="1" ref="ES48" ca="1">IF(ES47=0,0,IF(ES23&lt;=$C$15,0,_xlfn.IFS($C$16="Monthly",IF(ES23=ET23,0,($C$5+$C$13)/$C$11),$C$16="Quarterly",IF(ES24=ET24,0,($C$5+$C$13)/$C$12),$C$16="Annually",IF(ES25=ET25,0,($C$5+$C$13)/($C$6)*(IF(ROUNDDOWN($C$6,0)&lt;ES25,(ROUNDDOWN(ES25,0)-$C$6),1))))))</f>
        <v>0</v>
      </c>
      <c r="ET48" s="71" cm="1">
        <f t="array" aca="1" ref="ET48" ca="1">IF(ET47=0,0,IF(ET23&lt;=$C$15,0,_xlfn.IFS($C$16="Monthly",IF(ET23=EU23,0,($C$5+$C$13)/$C$11),$C$16="Quarterly",IF(ET24=EU24,0,($C$5+$C$13)/$C$12),$C$16="Annually",IF(ET25=EU25,0,($C$5+$C$13)/($C$6)*(IF(ROUNDDOWN($C$6,0)&lt;ET25,(ROUNDDOWN(ET25,0)-$C$6),1))))))</f>
        <v>0</v>
      </c>
      <c r="EU48" s="71" cm="1">
        <f t="array" aca="1" ref="EU48" ca="1">IF(EU47=0,0,IF(EU23&lt;=$C$15,0,_xlfn.IFS($C$16="Monthly",IF(EU23=EV23,0,($C$5+$C$13)/$C$11),$C$16="Quarterly",IF(EU24=EV24,0,($C$5+$C$13)/$C$12),$C$16="Annually",IF(EU25=EV25,0,($C$5+$C$13)/($C$6)*(IF(ROUNDDOWN($C$6,0)&lt;EU25,(ROUNDDOWN(EU25,0)-$C$6),1))))))</f>
        <v>0</v>
      </c>
      <c r="EV48" s="71" cm="1">
        <f t="array" aca="1" ref="EV48" ca="1">IF(EV47=0,0,IF(EV23&lt;=$C$15,0,_xlfn.IFS($C$16="Monthly",IF(EV23=EW23,0,($C$5+$C$13)/$C$11),$C$16="Quarterly",IF(EV24=EW24,0,($C$5+$C$13)/$C$12),$C$16="Annually",IF(EV25=EW25,0,($C$5+$C$13)/($C$6)*(IF(ROUNDDOWN($C$6,0)&lt;EV25,(ROUNDDOWN(EV25,0)-$C$6),1))))))</f>
        <v>0</v>
      </c>
      <c r="EW48" s="71" cm="1">
        <f t="array" aca="1" ref="EW48" ca="1">IF(EW47=0,0,IF(EW23&lt;=$C$15,0,_xlfn.IFS($C$16="Monthly",IF(EW23=EX23,0,($C$5+$C$13)/$C$11),$C$16="Quarterly",IF(EW24=EX24,0,($C$5+$C$13)/$C$12),$C$16="Annually",IF(EW25=EX25,0,($C$5+$C$13)/($C$6)*(IF(ROUNDDOWN($C$6,0)&lt;EW25,(ROUNDDOWN(EW25,0)-$C$6),1))))))</f>
        <v>0</v>
      </c>
      <c r="EX48" s="71" cm="1">
        <f t="array" aca="1" ref="EX48" ca="1">IF(EX47=0,0,IF(EX23&lt;=$C$15,0,_xlfn.IFS($C$16="Monthly",IF(EX23=EY23,0,($C$5+$C$13)/$C$11),$C$16="Quarterly",IF(EX24=EY24,0,($C$5+$C$13)/$C$12),$C$16="Annually",IF(EX25=EY25,0,($C$5+$C$13)/($C$6)*(IF(ROUNDDOWN($C$6,0)&lt;EX25,(ROUNDDOWN(EX25,0)-$C$6),1))))))</f>
        <v>0</v>
      </c>
      <c r="EY48" s="71" cm="1">
        <f t="array" aca="1" ref="EY48" ca="1">IF(EY47=0,0,IF(EY23&lt;=$C$15,0,_xlfn.IFS($C$16="Monthly",IF(EY23=EZ23,0,($C$5+$C$13)/$C$11),$C$16="Quarterly",IF(EY24=EZ24,0,($C$5+$C$13)/$C$12),$C$16="Annually",IF(EY25=EZ25,0,($C$5+$C$13)/($C$6)*(IF(ROUNDDOWN($C$6,0)&lt;EY25,(ROUNDDOWN(EY25,0)-$C$6),1))))))</f>
        <v>0</v>
      </c>
      <c r="EZ48" s="71" cm="1">
        <f t="array" aca="1" ref="EZ48" ca="1">IF(EZ47=0,0,IF(EZ23&lt;=$C$15,0,_xlfn.IFS($C$16="Monthly",IF(EZ23=FA23,0,($C$5+$C$13)/$C$11),$C$16="Quarterly",IF(EZ24=FA24,0,($C$5+$C$13)/$C$12),$C$16="Annually",IF(EZ25=FA25,0,($C$5+$C$13)/($C$6)*(IF(ROUNDDOWN($C$6,0)&lt;EZ25,(ROUNDDOWN(EZ25,0)-$C$6),1))))))</f>
        <v>0</v>
      </c>
      <c r="FA48" s="71" cm="1">
        <f t="array" aca="1" ref="FA48" ca="1">IF(FA47=0,0,IF(FA23&lt;=$C$15,0,_xlfn.IFS($C$16="Monthly",IF(FA23=FB23,0,($C$5+$C$13)/$C$11),$C$16="Quarterly",IF(FA24=FB24,0,($C$5+$C$13)/$C$12),$C$16="Annually",IF(FA25=FB25,0,($C$5+$C$13)/($C$6)*(IF(ROUNDDOWN($C$6,0)&lt;FA25,(ROUNDDOWN(FA25,0)-$C$6),1))))))</f>
        <v>0</v>
      </c>
      <c r="FB48" s="71" cm="1">
        <f t="array" aca="1" ref="FB48" ca="1">IF(FB47=0,0,IF(FB23&lt;=$C$15,0,_xlfn.IFS($C$16="Monthly",IF(FB23=FC23,0,($C$5+$C$13)/$C$11),$C$16="Quarterly",IF(FB24=FC24,0,($C$5+$C$13)/$C$12),$C$16="Annually",IF(FB25=FC25,0,($C$5+$C$13)/($C$6)*(IF(ROUNDDOWN($C$6,0)&lt;FB25,(ROUNDDOWN(FB25,0)-$C$6),1))))))</f>
        <v>0</v>
      </c>
      <c r="FC48" s="71" cm="1">
        <f t="array" aca="1" ref="FC48" ca="1">IF(FC47=0,0,IF(FC23&lt;=$C$15,0,_xlfn.IFS($C$16="Monthly",IF(FC23=FD23,0,($C$5+$C$13)/$C$11),$C$16="Quarterly",IF(FC24=FD24,0,($C$5+$C$13)/$C$12),$C$16="Annually",IF(FC25=FD25,0,($C$5+$C$13)/($C$6)*(IF(ROUNDDOWN($C$6,0)&lt;FC25,(ROUNDDOWN(FC25,0)-$C$6),1))))))</f>
        <v>0</v>
      </c>
      <c r="FD48" s="71" cm="1">
        <f t="array" aca="1" ref="FD48" ca="1">IF(FD47=0,0,IF(FD23&lt;=$C$15,0,_xlfn.IFS($C$16="Monthly",IF(FD23=FE23,0,($C$5+$C$13)/$C$11),$C$16="Quarterly",IF(FD24=FE24,0,($C$5+$C$13)/$C$12),$C$16="Annually",IF(FD25=FE25,0,($C$5+$C$13)/($C$6)*(IF(ROUNDDOWN($C$6,0)&lt;FD25,(ROUNDDOWN(FD25,0)-$C$6),1))))))</f>
        <v>3.6110696148141437</v>
      </c>
      <c r="FE48" s="71" cm="1">
        <f t="array" aca="1" ref="FE48" ca="1">IF(FE47=0,0,IF(FE23&lt;=$C$15,0,_xlfn.IFS($C$16="Monthly",IF(FE23=FF23,0,($C$5+$C$13)/$C$11),$C$16="Quarterly",IF(FE24=FF24,0,($C$5+$C$13)/$C$12),$C$16="Annually",IF(FE25=FF25,0,($C$5+$C$13)/($C$6)*(IF(ROUNDDOWN($C$6,0)&lt;FE25,(ROUNDDOWN(FE25,0)-$C$6),1))))))</f>
        <v>0</v>
      </c>
      <c r="FF48" s="71" cm="1">
        <f t="array" aca="1" ref="FF48" ca="1">IF(FF47=0,0,IF(FF23&lt;=$C$15,0,_xlfn.IFS($C$16="Monthly",IF(FF23=FG23,0,($C$5+$C$13)/$C$11),$C$16="Quarterly",IF(FF24=FG24,0,($C$5+$C$13)/$C$12),$C$16="Annually",IF(FF25=FG25,0,($C$5+$C$13)/($C$6)*(IF(ROUNDDOWN($C$6,0)&lt;FF25,(ROUNDDOWN(FF25,0)-$C$6),1))))))</f>
        <v>0</v>
      </c>
      <c r="FG48" s="71" cm="1">
        <f t="array" aca="1" ref="FG48" ca="1">IF(FG47=0,0,IF(FG23&lt;=$C$15,0,_xlfn.IFS($C$16="Monthly",IF(FG23=FH23,0,($C$5+$C$13)/$C$11),$C$16="Quarterly",IF(FG24=FH24,0,($C$5+$C$13)/$C$12),$C$16="Annually",IF(FG25=FH25,0,($C$5+$C$13)/($C$6)*(IF(ROUNDDOWN($C$6,0)&lt;FG25,(ROUNDDOWN(FG25,0)-$C$6),1))))))</f>
        <v>0</v>
      </c>
      <c r="FH48" s="71" cm="1">
        <f t="array" aca="1" ref="FH48" ca="1">IF(FH47=0,0,IF(FH23&lt;=$C$15,0,_xlfn.IFS($C$16="Monthly",IF(FH23=FI23,0,($C$5+$C$13)/$C$11),$C$16="Quarterly",IF(FH24=FI24,0,($C$5+$C$13)/$C$12),$C$16="Annually",IF(FH25=FI25,0,($C$5+$C$13)/($C$6)*(IF(ROUNDDOWN($C$6,0)&lt;FH25,(ROUNDDOWN(FH25,0)-$C$6),1))))))</f>
        <v>0</v>
      </c>
      <c r="FI48" s="71" cm="1">
        <f t="array" aca="1" ref="FI48" ca="1">IF(FI47=0,0,IF(FI23&lt;=$C$15,0,_xlfn.IFS($C$16="Monthly",IF(FI23=FJ23,0,($C$5+$C$13)/$C$11),$C$16="Quarterly",IF(FI24=FJ24,0,($C$5+$C$13)/$C$12),$C$16="Annually",IF(FI25=FJ25,0,($C$5+$C$13)/($C$6)*(IF(ROUNDDOWN($C$6,0)&lt;FI25,(ROUNDDOWN(FI25,0)-$C$6),1))))))</f>
        <v>0</v>
      </c>
      <c r="FJ48" s="71" cm="1">
        <f t="array" aca="1" ref="FJ48" ca="1">IF(FJ47=0,0,IF(FJ23&lt;=$C$15,0,_xlfn.IFS($C$16="Monthly",IF(FJ23=FK23,0,($C$5+$C$13)/$C$11),$C$16="Quarterly",IF(FJ24=FK24,0,($C$5+$C$13)/$C$12),$C$16="Annually",IF(FJ25=FK25,0,($C$5+$C$13)/($C$6)*(IF(ROUNDDOWN($C$6,0)&lt;FJ25,(ROUNDDOWN(FJ25,0)-$C$6),1))))))</f>
        <v>0</v>
      </c>
      <c r="FK48" s="71" cm="1">
        <f t="array" aca="1" ref="FK48" ca="1">IF(FK47=0,0,IF(FK23&lt;=$C$15,0,_xlfn.IFS($C$16="Monthly",IF(FK23=FL23,0,($C$5+$C$13)/$C$11),$C$16="Quarterly",IF(FK24=FL24,0,($C$5+$C$13)/$C$12),$C$16="Annually",IF(FK25=FL25,0,($C$5+$C$13)/($C$6)*(IF(ROUNDDOWN($C$6,0)&lt;FK25,(ROUNDDOWN(FK25,0)-$C$6),1))))))</f>
        <v>0</v>
      </c>
      <c r="FL48" s="71" cm="1">
        <f t="array" aca="1" ref="FL48" ca="1">IF(FL47=0,0,IF(FL23&lt;=$C$15,0,_xlfn.IFS($C$16="Monthly",IF(FL23=FM23,0,($C$5+$C$13)/$C$11),$C$16="Quarterly",IF(FL24=FM24,0,($C$5+$C$13)/$C$12),$C$16="Annually",IF(FL25=FM25,0,($C$5+$C$13)/($C$6)*(IF(ROUNDDOWN($C$6,0)&lt;FL25,(ROUNDDOWN(FL25,0)-$C$6),1))))))</f>
        <v>0</v>
      </c>
      <c r="FM48" s="71" cm="1">
        <f t="array" aca="1" ref="FM48" ca="1">IF(FM47=0,0,IF(FM23&lt;=$C$15,0,_xlfn.IFS($C$16="Monthly",IF(FM23=FN23,0,($C$5+$C$13)/$C$11),$C$16="Quarterly",IF(FM24=FN24,0,($C$5+$C$13)/$C$12),$C$16="Annually",IF(FM25=FN25,0,($C$5+$C$13)/($C$6)*(IF(ROUNDDOWN($C$6,0)&lt;FM25,(ROUNDDOWN(FM25,0)-$C$6),1))))))</f>
        <v>0</v>
      </c>
      <c r="FN48" s="71" cm="1">
        <f t="array" aca="1" ref="FN48" ca="1">IF(FN47=0,0,IF(FN23&lt;=$C$15,0,_xlfn.IFS($C$16="Monthly",IF(FN23=FO23,0,($C$5+$C$13)/$C$11),$C$16="Quarterly",IF(FN24=FO24,0,($C$5+$C$13)/$C$12),$C$16="Annually",IF(FN25=FO25,0,($C$5+$C$13)/($C$6)*(IF(ROUNDDOWN($C$6,0)&lt;FN25,(ROUNDDOWN(FN25,0)-$C$6),1))))))</f>
        <v>0</v>
      </c>
      <c r="FO48" s="71" cm="1">
        <f t="array" aca="1" ref="FO48" ca="1">IF(FO47=0,0,IF(FO23&lt;=$C$15,0,_xlfn.IFS($C$16="Monthly",IF(FO23=FP23,0,($C$5+$C$13)/$C$11),$C$16="Quarterly",IF(FO24=FP24,0,($C$5+$C$13)/$C$12),$C$16="Annually",IF(FO25=FP25,0,($C$5+$C$13)/($C$6)*(IF(ROUNDDOWN($C$6,0)&lt;FO25,(ROUNDDOWN(FO25,0)-$C$6),1))))))</f>
        <v>0</v>
      </c>
      <c r="FP48" s="71" cm="1">
        <f t="array" aca="1" ref="FP48" ca="1">IF(FP47=0,0,IF(FP23&lt;=$C$15,0,_xlfn.IFS($C$16="Monthly",IF(FP23=FQ23,0,($C$5+$C$13)/$C$11),$C$16="Quarterly",IF(FP24=FQ24,0,($C$5+$C$13)/$C$12),$C$16="Annually",IF(FP25=FQ25,0,($C$5+$C$13)/($C$6)*(IF(ROUNDDOWN($C$6,0)&lt;FP25,(ROUNDDOWN(FP25,0)-$C$6),1))))))</f>
        <v>3.6110696148141437</v>
      </c>
      <c r="FQ48" s="71" cm="1">
        <f t="array" aca="1" ref="FQ48" ca="1">IF(FQ47=0,0,IF(FQ23&lt;=$C$15,0,_xlfn.IFS($C$16="Monthly",IF(FQ23=FR23,0,($C$5+$C$13)/$C$11),$C$16="Quarterly",IF(FQ24=FR24,0,($C$5+$C$13)/$C$12),$C$16="Annually",IF(FQ25=FR25,0,($C$5+$C$13)/($C$6)*(IF(ROUNDDOWN($C$6,0)&lt;FQ25,(ROUNDDOWN(FQ25,0)-$C$6),1))))))</f>
        <v>0</v>
      </c>
      <c r="FR48" s="71" cm="1">
        <f t="array" aca="1" ref="FR48" ca="1">IF(FR47=0,0,IF(FR23&lt;=$C$15,0,_xlfn.IFS($C$16="Monthly",IF(FR23=FS23,0,($C$5+$C$13)/$C$11),$C$16="Quarterly",IF(FR24=FS24,0,($C$5+$C$13)/$C$12),$C$16="Annually",IF(FR25=FS25,0,($C$5+$C$13)/($C$6)*(IF(ROUNDDOWN($C$6,0)&lt;FR25,(ROUNDDOWN(FR25,0)-$C$6),1))))))</f>
        <v>0</v>
      </c>
      <c r="FS48" s="71" cm="1">
        <f t="array" aca="1" ref="FS48" ca="1">IF(FS47=0,0,IF(FS23&lt;=$C$15,0,_xlfn.IFS($C$16="Monthly",IF(FS23=FT23,0,($C$5+$C$13)/$C$11),$C$16="Quarterly",IF(FS24=FT24,0,($C$5+$C$13)/$C$12),$C$16="Annually",IF(FS25=FT25,0,($C$5+$C$13)/($C$6)*(IF(ROUNDDOWN($C$6,0)&lt;FS25,(ROUNDDOWN(FS25,0)-$C$6),1))))))</f>
        <v>0</v>
      </c>
      <c r="FT48" s="71" cm="1">
        <f t="array" aca="1" ref="FT48" ca="1">IF(FT47=0,0,IF(FT23&lt;=$C$15,0,_xlfn.IFS($C$16="Monthly",IF(FT23=FU23,0,($C$5+$C$13)/$C$11),$C$16="Quarterly",IF(FT24=FU24,0,($C$5+$C$13)/$C$12),$C$16="Annually",IF(FT25=FU25,0,($C$5+$C$13)/($C$6)*(IF(ROUNDDOWN($C$6,0)&lt;FT25,(ROUNDDOWN(FT25,0)-$C$6),1))))))</f>
        <v>0</v>
      </c>
      <c r="FU48" s="71" cm="1">
        <f t="array" aca="1" ref="FU48" ca="1">IF(FU47=0,0,IF(FU23&lt;=$C$15,0,_xlfn.IFS($C$16="Monthly",IF(FU23=FV23,0,($C$5+$C$13)/$C$11),$C$16="Quarterly",IF(FU24=FV24,0,($C$5+$C$13)/$C$12),$C$16="Annually",IF(FU25=FV25,0,($C$5+$C$13)/($C$6)*(IF(ROUNDDOWN($C$6,0)&lt;FU25,(ROUNDDOWN(FU25,0)-$C$6),1))))))</f>
        <v>0</v>
      </c>
      <c r="FV48" s="71" cm="1">
        <f t="array" aca="1" ref="FV48" ca="1">IF(FV47=0,0,IF(FV23&lt;=$C$15,0,_xlfn.IFS($C$16="Monthly",IF(FV23=FW23,0,($C$5+$C$13)/$C$11),$C$16="Quarterly",IF(FV24=FW24,0,($C$5+$C$13)/$C$12),$C$16="Annually",IF(FV25=FW25,0,($C$5+$C$13)/($C$6)*(IF(ROUNDDOWN($C$6,0)&lt;FV25,(ROUNDDOWN(FV25,0)-$C$6),1))))))</f>
        <v>0</v>
      </c>
      <c r="FW48" s="71" cm="1">
        <f t="array" aca="1" ref="FW48" ca="1">IF(FW47=0,0,IF(FW23&lt;=$C$15,0,_xlfn.IFS($C$16="Monthly",IF(FW23=FX23,0,($C$5+$C$13)/$C$11),$C$16="Quarterly",IF(FW24=FX24,0,($C$5+$C$13)/$C$12),$C$16="Annually",IF(FW25=FX25,0,($C$5+$C$13)/($C$6)*(IF(ROUNDDOWN($C$6,0)&lt;FW25,(ROUNDDOWN(FW25,0)-$C$6),1))))))</f>
        <v>0</v>
      </c>
      <c r="FX48" s="71" cm="1">
        <f t="array" aca="1" ref="FX48" ca="1">IF(FX47=0,0,IF(FX23&lt;=$C$15,0,_xlfn.IFS($C$16="Monthly",IF(FX23=FY23,0,($C$5+$C$13)/$C$11),$C$16="Quarterly",IF(FX24=FY24,0,($C$5+$C$13)/$C$12),$C$16="Annually",IF(FX25=FY25,0,($C$5+$C$13)/($C$6)*(IF(ROUNDDOWN($C$6,0)&lt;FX25,(ROUNDDOWN(FX25,0)-$C$6),1))))))</f>
        <v>0</v>
      </c>
      <c r="FY48" s="71" cm="1">
        <f t="array" aca="1" ref="FY48" ca="1">IF(FY47=0,0,IF(FY23&lt;=$C$15,0,_xlfn.IFS($C$16="Monthly",IF(FY23=FZ23,0,($C$5+$C$13)/$C$11),$C$16="Quarterly",IF(FY24=FZ24,0,($C$5+$C$13)/$C$12),$C$16="Annually",IF(FY25=FZ25,0,($C$5+$C$13)/($C$6)*(IF(ROUNDDOWN($C$6,0)&lt;FY25,(ROUNDDOWN(FY25,0)-$C$6),1))))))</f>
        <v>0</v>
      </c>
      <c r="FZ48" s="71" cm="1">
        <f t="array" aca="1" ref="FZ48" ca="1">IF(FZ47=0,0,IF(FZ23&lt;=$C$15,0,_xlfn.IFS($C$16="Monthly",IF(FZ23=GA23,0,($C$5+$C$13)/$C$11),$C$16="Quarterly",IF(FZ24=GA24,0,($C$5+$C$13)/$C$12),$C$16="Annually",IF(FZ25=GA25,0,($C$5+$C$13)/($C$6)*(IF(ROUNDDOWN($C$6,0)&lt;FZ25,(ROUNDDOWN(FZ25,0)-$C$6),1))))))</f>
        <v>0</v>
      </c>
      <c r="GA48" s="71" cm="1">
        <f t="array" aca="1" ref="GA48" ca="1">IF(GA47=0,0,IF(GA23&lt;=$C$15,0,_xlfn.IFS($C$16="Monthly",IF(GA23=GB23,0,($C$5+$C$13)/$C$11),$C$16="Quarterly",IF(GA24=GB24,0,($C$5+$C$13)/$C$12),$C$16="Annually",IF(GA25=GB25,0,($C$5+$C$13)/($C$6)*(IF(ROUNDDOWN($C$6,0)&lt;GA25,(ROUNDDOWN(GA25,0)-$C$6),1))))))</f>
        <v>0</v>
      </c>
      <c r="GB48" s="71" cm="1">
        <f t="array" aca="1" ref="GB48" ca="1">IF(GB47=0,0,IF(GB23&lt;=$C$15,0,_xlfn.IFS($C$16="Monthly",IF(GB23=GC23,0,($C$5+$C$13)/$C$11),$C$16="Quarterly",IF(GB24=GC24,0,($C$5+$C$13)/$C$12),$C$16="Annually",IF(GB25=GC25,0,($C$5+$C$13)/($C$6)*(IF(ROUNDDOWN($C$6,0)&lt;GB25,(ROUNDDOWN(GB25,0)-$C$6),1))))))</f>
        <v>3.6110696148141437</v>
      </c>
      <c r="GC48" s="71" cm="1">
        <f t="array" aca="1" ref="GC48" ca="1">IF(GC47=0,0,IF(GC23&lt;=$C$15,0,_xlfn.IFS($C$16="Monthly",IF(GC23=GD23,0,($C$5+$C$13)/$C$11),$C$16="Quarterly",IF(GC24=GD24,0,($C$5+$C$13)/$C$12),$C$16="Annually",IF(GC25=GD25,0,($C$5+$C$13)/($C$6)*(IF(ROUNDDOWN($C$6,0)&lt;GC25,(ROUNDDOWN(GC25,0)-$C$6),1))))))</f>
        <v>0</v>
      </c>
      <c r="GD48" s="71" cm="1">
        <f t="array" aca="1" ref="GD48" ca="1">IF(GD47=0,0,IF(GD23&lt;=$C$15,0,_xlfn.IFS($C$16="Monthly",IF(GD23=GE23,0,($C$5+$C$13)/$C$11),$C$16="Quarterly",IF(GD24=GE24,0,($C$5+$C$13)/$C$12),$C$16="Annually",IF(GD25=GE25,0,($C$5+$C$13)/($C$6)*(IF(ROUNDDOWN($C$6,0)&lt;GD25,(ROUNDDOWN(GD25,0)-$C$6),1))))))</f>
        <v>0</v>
      </c>
      <c r="GE48" s="71" cm="1">
        <f t="array" aca="1" ref="GE48" ca="1">IF(GE47=0,0,IF(GE23&lt;=$C$15,0,_xlfn.IFS($C$16="Monthly",IF(GE23=GF23,0,($C$5+$C$13)/$C$11),$C$16="Quarterly",IF(GE24=GF24,0,($C$5+$C$13)/$C$12),$C$16="Annually",IF(GE25=GF25,0,($C$5+$C$13)/($C$6)*(IF(ROUNDDOWN($C$6,0)&lt;GE25,(ROUNDDOWN(GE25,0)-$C$6),1))))))</f>
        <v>0</v>
      </c>
      <c r="GF48" s="71" cm="1">
        <f t="array" aca="1" ref="GF48" ca="1">IF(GF47=0,0,IF(GF23&lt;=$C$15,0,_xlfn.IFS($C$16="Monthly",IF(GF23=GG23,0,($C$5+$C$13)/$C$11),$C$16="Quarterly",IF(GF24=GG24,0,($C$5+$C$13)/$C$12),$C$16="Annually",IF(GF25=GG25,0,($C$5+$C$13)/($C$6)*(IF(ROUNDDOWN($C$6,0)&lt;GF25,(ROUNDDOWN(GF25,0)-$C$6),1))))))</f>
        <v>0</v>
      </c>
      <c r="GG48" s="71" cm="1">
        <f t="array" aca="1" ref="GG48" ca="1">IF(GG47=0,0,IF(GG23&lt;=$C$15,0,_xlfn.IFS($C$16="Monthly",IF(GG23=GH23,0,($C$5+$C$13)/$C$11),$C$16="Quarterly",IF(GG24=GH24,0,($C$5+$C$13)/$C$12),$C$16="Annually",IF(GG25=GH25,0,($C$5+$C$13)/($C$6)*(IF(ROUNDDOWN($C$6,0)&lt;GG25,(ROUNDDOWN(GG25,0)-$C$6),1))))))</f>
        <v>0</v>
      </c>
      <c r="GH48" s="71" cm="1">
        <f t="array" aca="1" ref="GH48" ca="1">IF(GH47=0,0,IF(GH23&lt;=$C$15,0,_xlfn.IFS($C$16="Monthly",IF(GH23=GI23,0,($C$5+$C$13)/$C$11),$C$16="Quarterly",IF(GH24=GI24,0,($C$5+$C$13)/$C$12),$C$16="Annually",IF(GH25=GI25,0,($C$5+$C$13)/($C$6)*(IF(ROUNDDOWN($C$6,0)&lt;GH25,(ROUNDDOWN(GH25,0)-$C$6),1))))))</f>
        <v>0</v>
      </c>
      <c r="GI48" s="71" cm="1">
        <f t="array" aca="1" ref="GI48" ca="1">IF(GI47=0,0,IF(GI23&lt;=$C$15,0,_xlfn.IFS($C$16="Monthly",IF(GI23=GJ23,0,($C$5+$C$13)/$C$11),$C$16="Quarterly",IF(GI24=GJ24,0,($C$5+$C$13)/$C$12),$C$16="Annually",IF(GI25=GJ25,0,($C$5+$C$13)/($C$6)*(IF(ROUNDDOWN($C$6,0)&lt;GI25,(ROUNDDOWN(GI25,0)-$C$6),1))))))</f>
        <v>0</v>
      </c>
      <c r="GJ48" s="71" cm="1">
        <f t="array" aca="1" ref="GJ48" ca="1">IF(GJ47=0,0,IF(GJ23&lt;=$C$15,0,_xlfn.IFS($C$16="Monthly",IF(GJ23=GK23,0,($C$5+$C$13)/$C$11),$C$16="Quarterly",IF(GJ24=GK24,0,($C$5+$C$13)/$C$12),$C$16="Annually",IF(GJ25=GK25,0,($C$5+$C$13)/($C$6)*(IF(ROUNDDOWN($C$6,0)&lt;GJ25,(ROUNDDOWN(GJ25,0)-$C$6),1))))))</f>
        <v>0</v>
      </c>
      <c r="GK48" s="71" cm="1">
        <f t="array" aca="1" ref="GK48" ca="1">IF(GK47=0,0,IF(GK23&lt;=$C$15,0,_xlfn.IFS($C$16="Monthly",IF(GK23=GL23,0,($C$5+$C$13)/$C$11),$C$16="Quarterly",IF(GK24=GL24,0,($C$5+$C$13)/$C$12),$C$16="Annually",IF(GK25=GL25,0,($C$5+$C$13)/($C$6)*(IF(ROUNDDOWN($C$6,0)&lt;GK25,(ROUNDDOWN(GK25,0)-$C$6),1))))))</f>
        <v>0</v>
      </c>
      <c r="GL48" s="71" cm="1">
        <f t="array" aca="1" ref="GL48" ca="1">IF(GL47=0,0,IF(GL23&lt;=$C$15,0,_xlfn.IFS($C$16="Monthly",IF(GL23=GM23,0,($C$5+$C$13)/$C$11),$C$16="Quarterly",IF(GL24=GM24,0,($C$5+$C$13)/$C$12),$C$16="Annually",IF(GL25=GM25,0,($C$5+$C$13)/($C$6)*(IF(ROUNDDOWN($C$6,0)&lt;GL25,(ROUNDDOWN(GL25,0)-$C$6),1))))))</f>
        <v>0</v>
      </c>
      <c r="GM48" s="71" cm="1">
        <f t="array" aca="1" ref="GM48" ca="1">IF(GM47=0,0,IF(GM23&lt;=$C$15,0,_xlfn.IFS($C$16="Monthly",IF(GM23=GN23,0,($C$5+$C$13)/$C$11),$C$16="Quarterly",IF(GM24=GN24,0,($C$5+$C$13)/$C$12),$C$16="Annually",IF(GM25=GN25,0,($C$5+$C$13)/($C$6)*(IF(ROUNDDOWN($C$6,0)&lt;GM25,(ROUNDDOWN(GM25,0)-$C$6),1))))))</f>
        <v>0</v>
      </c>
      <c r="GN48" s="71" cm="1">
        <f t="array" aca="1" ref="GN48" ca="1">IF(GN47=0,0,IF(GN23&lt;=$C$15,0,_xlfn.IFS($C$16="Monthly",IF(GN23=GO23,0,($C$5+$C$13)/$C$11),$C$16="Quarterly",IF(GN24=GO24,0,($C$5+$C$13)/$C$12),$C$16="Annually",IF(GN25=GO25,0,($C$5+$C$13)/($C$6)*(IF(ROUNDDOWN($C$6,0)&lt;GN25,(ROUNDDOWN(GN25,0)-$C$6),1))))))</f>
        <v>3.6110696148141437</v>
      </c>
      <c r="GO48" s="71" cm="1">
        <f t="array" aca="1" ref="GO48" ca="1">IF(GO47=0,0,IF(GO23&lt;=$C$15,0,_xlfn.IFS($C$16="Monthly",IF(GO23=GP23,0,($C$5+$C$13)/$C$11),$C$16="Quarterly",IF(GO24=GP24,0,($C$5+$C$13)/$C$12),$C$16="Annually",IF(GO25=GP25,0,($C$5+$C$13)/($C$6)*(IF(ROUNDDOWN($C$6,0)&lt;GO25,(ROUNDDOWN(GO25,0)-$C$6),1))))))</f>
        <v>0</v>
      </c>
      <c r="GP48" s="71" cm="1">
        <f t="array" aca="1" ref="GP48" ca="1">IF(GP47=0,0,IF(GP23&lt;=$C$15,0,_xlfn.IFS($C$16="Monthly",IF(GP23=GQ23,0,($C$5+$C$13)/$C$11),$C$16="Quarterly",IF(GP24=GQ24,0,($C$5+$C$13)/$C$12),$C$16="Annually",IF(GP25=GQ25,0,($C$5+$C$13)/($C$6)*(IF(ROUNDDOWN($C$6,0)&lt;GP25,(ROUNDDOWN(GP25,0)-$C$6),1))))))</f>
        <v>0</v>
      </c>
      <c r="GQ48" s="71" cm="1">
        <f t="array" aca="1" ref="GQ48" ca="1">IF(GQ47=0,0,IF(GQ23&lt;=$C$15,0,_xlfn.IFS($C$16="Monthly",IF(GQ23=GR23,0,($C$5+$C$13)/$C$11),$C$16="Quarterly",IF(GQ24=GR24,0,($C$5+$C$13)/$C$12),$C$16="Annually",IF(GQ25=GR25,0,($C$5+$C$13)/($C$6)*(IF(ROUNDDOWN($C$6,0)&lt;GQ25,(ROUNDDOWN(GQ25,0)-$C$6),1))))))</f>
        <v>0</v>
      </c>
      <c r="GR48" s="71" cm="1">
        <f t="array" aca="1" ref="GR48" ca="1">IF(GR47=0,0,IF(GR23&lt;=$C$15,0,_xlfn.IFS($C$16="Monthly",IF(GR23=GS23,0,($C$5+$C$13)/$C$11),$C$16="Quarterly",IF(GR24=GS24,0,($C$5+$C$13)/$C$12),$C$16="Annually",IF(GR25=GS25,0,($C$5+$C$13)/($C$6)*(IF(ROUNDDOWN($C$6,0)&lt;GR25,(ROUNDDOWN(GR25,0)-$C$6),1))))))</f>
        <v>0</v>
      </c>
      <c r="GS48" s="71" cm="1">
        <f t="array" aca="1" ref="GS48" ca="1">IF(GS47=0,0,IF(GS23&lt;=$C$15,0,_xlfn.IFS($C$16="Monthly",IF(GS23=GT23,0,($C$5+$C$13)/$C$11),$C$16="Quarterly",IF(GS24=GT24,0,($C$5+$C$13)/$C$12),$C$16="Annually",IF(GS25=GT25,0,($C$5+$C$13)/($C$6)*(IF(ROUNDDOWN($C$6,0)&lt;GS25,(ROUNDDOWN(GS25,0)-$C$6),1))))))</f>
        <v>0</v>
      </c>
      <c r="GT48" s="71" cm="1">
        <f t="array" aca="1" ref="GT48" ca="1">IF(GT47=0,0,IF(GT23&lt;=$C$15,0,_xlfn.IFS($C$16="Monthly",IF(GT23=GU23,0,($C$5+$C$13)/$C$11),$C$16="Quarterly",IF(GT24=GU24,0,($C$5+$C$13)/$C$12),$C$16="Annually",IF(GT25=GU25,0,($C$5+$C$13)/($C$6)*(IF(ROUNDDOWN($C$6,0)&lt;GT25,(ROUNDDOWN(GT25,0)-$C$6),1))))))</f>
        <v>0</v>
      </c>
      <c r="GU48" s="71" cm="1">
        <f t="array" aca="1" ref="GU48" ca="1">IF(GU47=0,0,IF(GU23&lt;=$C$15,0,_xlfn.IFS($C$16="Monthly",IF(GU23=GV23,0,($C$5+$C$13)/$C$11),$C$16="Quarterly",IF(GU24=GV24,0,($C$5+$C$13)/$C$12),$C$16="Annually",IF(GU25=GV25,0,($C$5+$C$13)/($C$6)*(IF(ROUNDDOWN($C$6,0)&lt;GU25,(ROUNDDOWN(GU25,0)-$C$6),1))))))</f>
        <v>0</v>
      </c>
      <c r="GV48" s="71" cm="1">
        <f t="array" aca="1" ref="GV48" ca="1">IF(GV47=0,0,IF(GV23&lt;=$C$15,0,_xlfn.IFS($C$16="Monthly",IF(GV23=GW23,0,($C$5+$C$13)/$C$11),$C$16="Quarterly",IF(GV24=GW24,0,($C$5+$C$13)/$C$12),$C$16="Annually",IF(GV25=GW25,0,($C$5+$C$13)/($C$6)*(IF(ROUNDDOWN($C$6,0)&lt;GV25,(ROUNDDOWN(GV25,0)-$C$6),1))))))</f>
        <v>0</v>
      </c>
      <c r="GW48" s="71" cm="1">
        <f t="array" aca="1" ref="GW48" ca="1">IF(GW47=0,0,IF(GW23&lt;=$C$15,0,_xlfn.IFS($C$16="Monthly",IF(GW23=GX23,0,($C$5+$C$13)/$C$11),$C$16="Quarterly",IF(GW24=GX24,0,($C$5+$C$13)/$C$12),$C$16="Annually",IF(GW25=GX25,0,($C$5+$C$13)/($C$6)*(IF(ROUNDDOWN($C$6,0)&lt;GW25,(ROUNDDOWN(GW25,0)-$C$6),1))))))</f>
        <v>0</v>
      </c>
      <c r="GX48" s="71" cm="1">
        <f t="array" aca="1" ref="GX48" ca="1">IF(GX47=0,0,IF(GX23&lt;=$C$15,0,_xlfn.IFS($C$16="Monthly",IF(GX23=GY23,0,($C$5+$C$13)/$C$11),$C$16="Quarterly",IF(GX24=GY24,0,($C$5+$C$13)/$C$12),$C$16="Annually",IF(GX25=GY25,0,($C$5+$C$13)/($C$6)*(IF(ROUNDDOWN($C$6,0)&lt;GX25,(ROUNDDOWN(GX25,0)-$C$6),1))))))</f>
        <v>0</v>
      </c>
      <c r="GY48" s="71" cm="1">
        <f t="array" aca="1" ref="GY48" ca="1">IF(GY47=0,0,IF(GY23&lt;=$C$15,0,_xlfn.IFS($C$16="Monthly",IF(GY23=GZ23,0,($C$5+$C$13)/$C$11),$C$16="Quarterly",IF(GY24=GZ24,0,($C$5+$C$13)/$C$12),$C$16="Annually",IF(GY25=GZ25,0,($C$5+$C$13)/($C$6)*(IF(ROUNDDOWN($C$6,0)&lt;GY25,(ROUNDDOWN(GY25,0)-$C$6),1))))))</f>
        <v>0</v>
      </c>
      <c r="GZ48" s="71" cm="1">
        <f t="array" aca="1" ref="GZ48" ca="1">IF(GZ47=0,0,IF(GZ23&lt;=$C$15,0,_xlfn.IFS($C$16="Monthly",IF(GZ23=HA23,0,($C$5+$C$13)/$C$11),$C$16="Quarterly",IF(GZ24=HA24,0,($C$5+$C$13)/$C$12),$C$16="Annually",IF(GZ25=HA25,0,($C$5+$C$13)/($C$6)*(IF(ROUNDDOWN($C$6,0)&lt;GZ25,(ROUNDDOWN(GZ25,0)-$C$6),1))))))</f>
        <v>0</v>
      </c>
      <c r="HA48" s="71" cm="1">
        <f t="array" aca="1" ref="HA48" ca="1">IF(HA47=0,0,IF(HA23&lt;=$C$15,0,_xlfn.IFS($C$16="Monthly",IF(HA23=HB23,0,($C$5+$C$13)/$C$11),$C$16="Quarterly",IF(HA24=HB24,0,($C$5+$C$13)/$C$12),$C$16="Annually",IF(HA25=HB25,0,($C$5+$C$13)/($C$6)*(IF(ROUNDDOWN($C$6,0)&lt;HA25,(ROUNDDOWN(HA25,0)-$C$6),1))))))</f>
        <v>0</v>
      </c>
      <c r="HB48" s="71" cm="1">
        <f t="array" aca="1" ref="HB48" ca="1">IF(HB47=0,0,IF(HB23&lt;=$C$15,0,_xlfn.IFS($C$16="Monthly",IF(HB23=HC23,0,($C$5+$C$13)/$C$11),$C$16="Quarterly",IF(HB24=HC24,0,($C$5+$C$13)/$C$12),$C$16="Annually",IF(HB25=HC25,0,($C$5+$C$13)/($C$6)*(IF(ROUNDDOWN($C$6,0)&lt;HB25,(ROUNDDOWN(HB25,0)-$C$6),1))))))</f>
        <v>0</v>
      </c>
      <c r="HC48" s="71" cm="1">
        <f t="array" aca="1" ref="HC48" ca="1">IF(HC47=0,0,IF(HC23&lt;=$C$15,0,_xlfn.IFS($C$16="Monthly",IF(HC23=HD23,0,($C$5+$C$13)/$C$11),$C$16="Quarterly",IF(HC24=HD24,0,($C$5+$C$13)/$C$12),$C$16="Annually",IF(HC25=HD25,0,($C$5+$C$13)/($C$6)*(IF(ROUNDDOWN($C$6,0)&lt;HC25,(ROUNDDOWN(HC25,0)-$C$6),1))))))</f>
        <v>0</v>
      </c>
      <c r="HD48" s="71" cm="1">
        <f t="array" aca="1" ref="HD48" ca="1">IF(HD47=0,0,IF(HD23&lt;=$C$15,0,_xlfn.IFS($C$16="Monthly",IF(HD23=HE23,0,($C$5+$C$13)/$C$11),$C$16="Quarterly",IF(HD24=HE24,0,($C$5+$C$13)/$C$12),$C$16="Annually",IF(HD25=HE25,0,($C$5+$C$13)/($C$6)*(IF(ROUNDDOWN($C$6,0)&lt;HD25,(ROUNDDOWN(HD25,0)-$C$6),1))))))</f>
        <v>0</v>
      </c>
      <c r="HE48" s="71" cm="1">
        <f t="array" aca="1" ref="HE48" ca="1">IF(HE47=0,0,IF(HE23&lt;=$C$15,0,_xlfn.IFS($C$16="Monthly",IF(HE23=HF23,0,($C$5+$C$13)/$C$11),$C$16="Quarterly",IF(HE24=HF24,0,($C$5+$C$13)/$C$12),$C$16="Annually",IF(HE25=HF25,0,($C$5+$C$13)/($C$6)*(IF(ROUNDDOWN($C$6,0)&lt;HE25,(ROUNDDOWN(HE25,0)-$C$6),1))))))</f>
        <v>0</v>
      </c>
      <c r="HF48" s="71" cm="1">
        <f t="array" aca="1" ref="HF48" ca="1">IF(HF47=0,0,IF(HF23&lt;=$C$15,0,_xlfn.IFS($C$16="Monthly",IF(HF23=HG23,0,($C$5+$C$13)/$C$11),$C$16="Quarterly",IF(HF24=HG24,0,($C$5+$C$13)/$C$12),$C$16="Annually",IF(HF25=HG25,0,($C$5+$C$13)/($C$6)*(IF(ROUNDDOWN($C$6,0)&lt;HF25,(ROUNDDOWN(HF25,0)-$C$6),1))))))</f>
        <v>0</v>
      </c>
      <c r="HG48" s="71" cm="1">
        <f t="array" aca="1" ref="HG48" ca="1">IF(HG47=0,0,IF(HG23&lt;=$C$15,0,_xlfn.IFS($C$16="Monthly",IF(HG23=HH23,0,($C$5+$C$13)/$C$11),$C$16="Quarterly",IF(HG24=HH24,0,($C$5+$C$13)/$C$12),$C$16="Annually",IF(HG25=HH25,0,($C$5+$C$13)/($C$6)*(IF(ROUNDDOWN($C$6,0)&lt;HG25,(ROUNDDOWN(HG25,0)-$C$6),1))))))</f>
        <v>0</v>
      </c>
      <c r="HH48" s="71" cm="1">
        <f t="array" aca="1" ref="HH48" ca="1">IF(HH47=0,0,IF(HH23&lt;=$C$15,0,_xlfn.IFS($C$16="Monthly",IF(HH23=HI23,0,($C$5+$C$13)/$C$11),$C$16="Quarterly",IF(HH24=HI24,0,($C$5+$C$13)/$C$12),$C$16="Annually",IF(HH25=HI25,0,($C$5+$C$13)/($C$6)*(IF(ROUNDDOWN($C$6,0)&lt;HH25,(ROUNDDOWN(HH25,0)-$C$6),1))))))</f>
        <v>0</v>
      </c>
      <c r="HI48" s="71" cm="1">
        <f t="array" aca="1" ref="HI48" ca="1">IF(HI47=0,0,IF(HI23&lt;=$C$15,0,_xlfn.IFS($C$16="Monthly",IF(HI23=HJ23,0,($C$5+$C$13)/$C$11),$C$16="Quarterly",IF(HI24=HJ24,0,($C$5+$C$13)/$C$12),$C$16="Annually",IF(HI25=HJ25,0,($C$5+$C$13)/($C$6)*(IF(ROUNDDOWN($C$6,0)&lt;HI25,(ROUNDDOWN(HI25,0)-$C$6),1))))))</f>
        <v>0</v>
      </c>
      <c r="HJ48" s="71" cm="1">
        <f t="array" aca="1" ref="HJ48" ca="1">IF(HJ47=0,0,IF(HJ23&lt;=$C$15,0,_xlfn.IFS($C$16="Monthly",IF(HJ23=HK23,0,($C$5+$C$13)/$C$11),$C$16="Quarterly",IF(HJ24=HK24,0,($C$5+$C$13)/$C$12),$C$16="Annually",IF(HJ25=HK25,0,($C$5+$C$13)/($C$6)*(IF(ROUNDDOWN($C$6,0)&lt;HJ25,(ROUNDDOWN(HJ25,0)-$C$6),1))))))</f>
        <v>0</v>
      </c>
      <c r="HK48" s="71" cm="1">
        <f t="array" aca="1" ref="HK48" ca="1">IF(HK47=0,0,IF(HK23&lt;=$C$15,0,_xlfn.IFS($C$16="Monthly",IF(HK23=HL23,0,($C$5+$C$13)/$C$11),$C$16="Quarterly",IF(HK24=HL24,0,($C$5+$C$13)/$C$12),$C$16="Annually",IF(HK25=HL25,0,($C$5+$C$13)/($C$6)*(IF(ROUNDDOWN($C$6,0)&lt;HK25,(ROUNDDOWN(HK25,0)-$C$6),1))))))</f>
        <v>0</v>
      </c>
      <c r="HL48" s="71" cm="1">
        <f t="array" aca="1" ref="HL48" ca="1">IF(HL47=0,0,IF(HL23&lt;=$C$15,0,_xlfn.IFS($C$16="Monthly",IF(HL23=HM23,0,($C$5+$C$13)/$C$11),$C$16="Quarterly",IF(HL24=HM24,0,($C$5+$C$13)/$C$12),$C$16="Annually",IF(HL25=HM25,0,($C$5+$C$13)/($C$6)*(IF(ROUNDDOWN($C$6,0)&lt;HL25,(ROUNDDOWN(HL25,0)-$C$6),1))))))</f>
        <v>0</v>
      </c>
      <c r="HM48" s="71" cm="1">
        <f t="array" aca="1" ref="HM48" ca="1">IF(HM47=0,0,IF(HM23&lt;=$C$15,0,_xlfn.IFS($C$16="Monthly",IF(HM23=HN23,0,($C$5+$C$13)/$C$11),$C$16="Quarterly",IF(HM24=HN24,0,($C$5+$C$13)/$C$12),$C$16="Annually",IF(HM25=HN25,0,($C$5+$C$13)/($C$6)*(IF(ROUNDDOWN($C$6,0)&lt;HM25,(ROUNDDOWN(HM25,0)-$C$6),1))))))</f>
        <v>0</v>
      </c>
      <c r="HN48" s="71" cm="1">
        <f t="array" aca="1" ref="HN48" ca="1">IF(HN47=0,0,IF(HN23&lt;=$C$15,0,_xlfn.IFS($C$16="Monthly",IF(HN23=HO23,0,($C$5+$C$13)/$C$11),$C$16="Quarterly",IF(HN24=HO24,0,($C$5+$C$13)/$C$12),$C$16="Annually",IF(HN25=HO25,0,($C$5+$C$13)/($C$6)*(IF(ROUNDDOWN($C$6,0)&lt;HN25,(ROUNDDOWN(HN25,0)-$C$6),1))))))</f>
        <v>0</v>
      </c>
      <c r="HO48" s="71" cm="1">
        <f t="array" aca="1" ref="HO48" ca="1">IF(HO47=0,0,IF(HO23&lt;=$C$15,0,_xlfn.IFS($C$16="Monthly",IF(HO23=HP23,0,($C$5+$C$13)/$C$11),$C$16="Quarterly",IF(HO24=HP24,0,($C$5+$C$13)/$C$12),$C$16="Annually",IF(HO25=HP25,0,($C$5+$C$13)/($C$6)*(IF(ROUNDDOWN($C$6,0)&lt;HO25,(ROUNDDOWN(HO25,0)-$C$6),1))))))</f>
        <v>0</v>
      </c>
      <c r="HP48" s="71" cm="1">
        <f t="array" aca="1" ref="HP48" ca="1">IF(HP47=0,0,IF(HP23&lt;=$C$15,0,_xlfn.IFS($C$16="Monthly",IF(HP23=HQ23,0,($C$5+$C$13)/$C$11),$C$16="Quarterly",IF(HP24=HQ24,0,($C$5+$C$13)/$C$12),$C$16="Annually",IF(HP25=HQ25,0,($C$5+$C$13)/($C$6)*(IF(ROUNDDOWN($C$6,0)&lt;HP25,(ROUNDDOWN(HP25,0)-$C$6),1))))))</f>
        <v>0</v>
      </c>
      <c r="HQ48" s="71" cm="1">
        <f t="array" aca="1" ref="HQ48" ca="1">IF(HQ47=0,0,IF(HQ23&lt;=$C$15,0,_xlfn.IFS($C$16="Monthly",IF(HQ23=HR23,0,($C$5+$C$13)/$C$11),$C$16="Quarterly",IF(HQ24=HR24,0,($C$5+$C$13)/$C$12),$C$16="Annually",IF(HQ25=HR25,0,($C$5+$C$13)/($C$6)*(IF(ROUNDDOWN($C$6,0)&lt;HQ25,(ROUNDDOWN(HQ25,0)-$C$6),1))))))</f>
        <v>0</v>
      </c>
      <c r="HR48" s="71" cm="1">
        <f t="array" aca="1" ref="HR48" ca="1">IF(HR47=0,0,IF(HR23&lt;=$C$15,0,_xlfn.IFS($C$16="Monthly",IF(HR23=HS23,0,($C$5+$C$13)/$C$11),$C$16="Quarterly",IF(HR24=HS24,0,($C$5+$C$13)/$C$12),$C$16="Annually",IF(HR25=HS25,0,($C$5+$C$13)/($C$6)*(IF(ROUNDDOWN($C$6,0)&lt;HR25,(ROUNDDOWN(HR25,0)-$C$6),1))))))</f>
        <v>0</v>
      </c>
      <c r="HS48" s="71" cm="1">
        <f t="array" aca="1" ref="HS48" ca="1">IF(HS47=0,0,IF(HS23&lt;=$C$15,0,_xlfn.IFS($C$16="Monthly",IF(HS23=HT23,0,($C$5+$C$13)/$C$11),$C$16="Quarterly",IF(HS24=HT24,0,($C$5+$C$13)/$C$12),$C$16="Annually",IF(HS25=HT25,0,($C$5+$C$13)/($C$6)*(IF(ROUNDDOWN($C$6,0)&lt;HS25,(ROUNDDOWN(HS25,0)-$C$6),1))))))</f>
        <v>0</v>
      </c>
      <c r="HT48" s="71" cm="1">
        <f t="array" aca="1" ref="HT48" ca="1">IF(HT47=0,0,IF(HT23&lt;=$C$15,0,_xlfn.IFS($C$16="Monthly",IF(HT23=HU23,0,($C$5+$C$13)/$C$11),$C$16="Quarterly",IF(HT24=HU24,0,($C$5+$C$13)/$C$12),$C$16="Annually",IF(HT25=HU25,0,($C$5+$C$13)/($C$6)*(IF(ROUNDDOWN($C$6,0)&lt;HT25,(ROUNDDOWN(HT25,0)-$C$6),1))))))</f>
        <v>0</v>
      </c>
      <c r="HU48" s="71" cm="1">
        <f t="array" aca="1" ref="HU48" ca="1">IF(HU47=0,0,IF(HU23&lt;=$C$15,0,_xlfn.IFS($C$16="Monthly",IF(HU23=HV23,0,($C$5+$C$13)/$C$11),$C$16="Quarterly",IF(HU24=HV24,0,($C$5+$C$13)/$C$12),$C$16="Annually",IF(HU25=HV25,0,($C$5+$C$13)/($C$6)*(IF(ROUNDDOWN($C$6,0)&lt;HU25,(ROUNDDOWN(HU25,0)-$C$6),1))))))</f>
        <v>0</v>
      </c>
      <c r="HV48" s="71" cm="1">
        <f t="array" aca="1" ref="HV48" ca="1">IF(HV47=0,0,IF(HV23&lt;=$C$15,0,_xlfn.IFS($C$16="Monthly",IF(HV23=HW23,0,($C$5+$C$13)/$C$11),$C$16="Quarterly",IF(HV24=HW24,0,($C$5+$C$13)/$C$12),$C$16="Annually",IF(HV25=HW25,0,($C$5+$C$13)/($C$6)*(IF(ROUNDDOWN($C$6,0)&lt;HV25,(ROUNDDOWN(HV25,0)-$C$6),1))))))</f>
        <v>0</v>
      </c>
      <c r="HW48" s="71" cm="1">
        <f t="array" aca="1" ref="HW48" ca="1">IF(HW47=0,0,IF(HW23&lt;=$C$15,0,_xlfn.IFS($C$16="Monthly",IF(HW23=HX23,0,($C$5+$C$13)/$C$11),$C$16="Quarterly",IF(HW24=HX24,0,($C$5+$C$13)/$C$12),$C$16="Annually",IF(HW25=HX25,0,($C$5+$C$13)/($C$6)*(IF(ROUNDDOWN($C$6,0)&lt;HW25,(ROUNDDOWN(HW25,0)-$C$6),1))))))</f>
        <v>0</v>
      </c>
      <c r="HX48" s="71" cm="1">
        <f t="array" aca="1" ref="HX48" ca="1">IF(HX47=0,0,IF(HX23&lt;=$C$15,0,_xlfn.IFS($C$16="Monthly",IF(HX23=HY23,0,($C$5+$C$13)/$C$11),$C$16="Quarterly",IF(HX24=HY24,0,($C$5+$C$13)/$C$12),$C$16="Annually",IF(HX25=HY25,0,($C$5+$C$13)/($C$6)*(IF(ROUNDDOWN($C$6,0)&lt;HX25,(ROUNDDOWN(HX25,0)-$C$6),1))))))</f>
        <v>0</v>
      </c>
      <c r="HY48" s="71" cm="1">
        <f t="array" aca="1" ref="HY48" ca="1">IF(HY47=0,0,IF(HY23&lt;=$C$15,0,_xlfn.IFS($C$16="Monthly",IF(HY23=HZ23,0,($C$5+$C$13)/$C$11),$C$16="Quarterly",IF(HY24=HZ24,0,($C$5+$C$13)/$C$12),$C$16="Annually",IF(HY25=HZ25,0,($C$5+$C$13)/($C$6)*(IF(ROUNDDOWN($C$6,0)&lt;HY25,(ROUNDDOWN(HY25,0)-$C$6),1))))))</f>
        <v>0</v>
      </c>
      <c r="HZ48" s="71" cm="1">
        <f t="array" aca="1" ref="HZ48" ca="1">IF(HZ47=0,0,IF(HZ23&lt;=$C$15,0,_xlfn.IFS($C$16="Monthly",IF(HZ23=IA23,0,($C$5+$C$13)/$C$11),$C$16="Quarterly",IF(HZ24=IA24,0,($C$5+$C$13)/$C$12),$C$16="Annually",IF(HZ25=IA25,0,($C$5+$C$13)/($C$6)*(IF(ROUNDDOWN($C$6,0)&lt;HZ25,(ROUNDDOWN(HZ25,0)-$C$6),1))))))</f>
        <v>0</v>
      </c>
      <c r="IA48" s="71" cm="1">
        <f t="array" aca="1" ref="IA48" ca="1">IF(IA47=0,0,IF(IA23&lt;=$C$15,0,_xlfn.IFS($C$16="Monthly",IF(IA23=IB23,0,($C$5+$C$13)/$C$11),$C$16="Quarterly",IF(IA24=IB24,0,($C$5+$C$13)/$C$12),$C$16="Annually",IF(IA25=IB25,0,($C$5+$C$13)/($C$6)*(IF(ROUNDDOWN($C$6,0)&lt;IA25,(ROUNDDOWN(IA25,0)-$C$6),1))))))</f>
        <v>0</v>
      </c>
      <c r="IB48" s="71" cm="1">
        <f t="array" aca="1" ref="IB48" ca="1">IF(IB47=0,0,IF(IB23&lt;=$C$15,0,_xlfn.IFS($C$16="Monthly",IF(IB23=IC23,0,($C$5+$C$13)/$C$11),$C$16="Quarterly",IF(IB24=IC24,0,($C$5+$C$13)/$C$12),$C$16="Annually",IF(IB25=IC25,0,($C$5+$C$13)/($C$6)*(IF(ROUNDDOWN($C$6,0)&lt;IB25,(ROUNDDOWN(IB25,0)-$C$6),1))))))</f>
        <v>0</v>
      </c>
      <c r="IC48" s="71" cm="1">
        <f t="array" aca="1" ref="IC48" ca="1">IF(IC47=0,0,IF(IC23&lt;=$C$15,0,_xlfn.IFS($C$16="Monthly",IF(IC23=ID23,0,($C$5+$C$13)/$C$11),$C$16="Quarterly",IF(IC24=ID24,0,($C$5+$C$13)/$C$12),$C$16="Annually",IF(IC25=ID25,0,($C$5+$C$13)/($C$6)*(IF(ROUNDDOWN($C$6,0)&lt;IC25,(ROUNDDOWN(IC25,0)-$C$6),1))))))</f>
        <v>0</v>
      </c>
    </row>
    <row r="49" spans="2:237" x14ac:dyDescent="0.3">
      <c r="B49" s="70" t="s">
        <v>45</v>
      </c>
      <c r="C49" s="3">
        <f t="shared" ref="C49:Q49" si="59">C47-C48</f>
        <v>0</v>
      </c>
      <c r="D49" s="3">
        <f t="shared" si="59"/>
        <v>0</v>
      </c>
      <c r="E49" s="3">
        <f t="shared" si="59"/>
        <v>0</v>
      </c>
      <c r="F49" s="3">
        <f t="shared" si="59"/>
        <v>0</v>
      </c>
      <c r="G49" s="3">
        <f t="shared" si="59"/>
        <v>0</v>
      </c>
      <c r="H49" s="3">
        <f t="shared" si="59"/>
        <v>0</v>
      </c>
      <c r="I49" s="3">
        <f t="shared" si="59"/>
        <v>0</v>
      </c>
      <c r="J49" s="3">
        <f t="shared" si="59"/>
        <v>0</v>
      </c>
      <c r="K49" s="3">
        <f t="shared" si="59"/>
        <v>0</v>
      </c>
      <c r="L49" s="3">
        <f t="shared" si="59"/>
        <v>0</v>
      </c>
      <c r="M49" s="3">
        <f t="shared" si="59"/>
        <v>0</v>
      </c>
      <c r="N49" s="3">
        <f t="shared" si="59"/>
        <v>0</v>
      </c>
      <c r="O49" s="3">
        <f t="shared" si="59"/>
        <v>0</v>
      </c>
      <c r="P49" s="3">
        <f t="shared" si="59"/>
        <v>0</v>
      </c>
      <c r="Q49" s="3">
        <f t="shared" ca="1" si="59"/>
        <v>54.166044222212157</v>
      </c>
      <c r="R49" s="3">
        <f t="shared" ref="R49:CC49" ca="1" si="60">R47-R48</f>
        <v>54.166044222211717</v>
      </c>
      <c r="S49" s="3">
        <f t="shared" ca="1" si="60"/>
        <v>54.166044222211717</v>
      </c>
      <c r="T49" s="3">
        <f t="shared" ca="1" si="60"/>
        <v>54.16604422221215</v>
      </c>
      <c r="U49" s="3">
        <f t="shared" ca="1" si="60"/>
        <v>54.166044222211717</v>
      </c>
      <c r="V49" s="3">
        <f t="shared" ca="1" si="60"/>
        <v>54.166044222211291</v>
      </c>
      <c r="W49" s="3">
        <f t="shared" ca="1" si="60"/>
        <v>54.166044222211276</v>
      </c>
      <c r="X49" s="3">
        <f t="shared" ca="1" si="60"/>
        <v>54.16604422221215</v>
      </c>
      <c r="Y49" s="3">
        <f t="shared" ca="1" si="60"/>
        <v>54.166044222211717</v>
      </c>
      <c r="Z49" s="3">
        <f t="shared" ca="1" si="60"/>
        <v>54.166044222211291</v>
      </c>
      <c r="AA49" s="3">
        <f t="shared" ca="1" si="60"/>
        <v>54.166044222211291</v>
      </c>
      <c r="AB49" s="3">
        <f t="shared" ca="1" si="60"/>
        <v>50.554974607397163</v>
      </c>
      <c r="AC49" s="3">
        <f t="shared" ca="1" si="60"/>
        <v>50.554974607396744</v>
      </c>
      <c r="AD49" s="3">
        <f t="shared" ca="1" si="60"/>
        <v>50.554974607396318</v>
      </c>
      <c r="AE49" s="3">
        <f t="shared" ca="1" si="60"/>
        <v>50.554974607398016</v>
      </c>
      <c r="AF49" s="3">
        <f t="shared" ca="1" si="60"/>
        <v>50.554974607398044</v>
      </c>
      <c r="AG49" s="3">
        <f t="shared" ca="1" si="60"/>
        <v>50.554974607397632</v>
      </c>
      <c r="AH49" s="3">
        <f t="shared" ca="1" si="60"/>
        <v>50.554974607397632</v>
      </c>
      <c r="AI49" s="3">
        <f t="shared" ca="1" si="60"/>
        <v>50.554974607398009</v>
      </c>
      <c r="AJ49" s="3">
        <f t="shared" ca="1" si="60"/>
        <v>50.554974607397604</v>
      </c>
      <c r="AK49" s="3">
        <f t="shared" ca="1" si="60"/>
        <v>50.554974607397206</v>
      </c>
      <c r="AL49" s="3">
        <f t="shared" ca="1" si="60"/>
        <v>50.554974607397192</v>
      </c>
      <c r="AM49" s="3">
        <f t="shared" ca="1" si="60"/>
        <v>50.554974607398066</v>
      </c>
      <c r="AN49" s="3">
        <f t="shared" ca="1" si="60"/>
        <v>46.943904992583519</v>
      </c>
      <c r="AO49" s="3">
        <f t="shared" ca="1" si="60"/>
        <v>46.94390499258315</v>
      </c>
      <c r="AP49" s="3">
        <f t="shared" ca="1" si="60"/>
        <v>46.943904992583036</v>
      </c>
      <c r="AQ49" s="3">
        <f t="shared" ca="1" si="60"/>
        <v>46.943904992583022</v>
      </c>
      <c r="AR49" s="3">
        <f t="shared" ca="1" si="60"/>
        <v>46.943904992582631</v>
      </c>
      <c r="AS49" s="3">
        <f t="shared" ca="1" si="60"/>
        <v>46.943904992582233</v>
      </c>
      <c r="AT49" s="3">
        <f t="shared" ca="1" si="60"/>
        <v>46.943904992583931</v>
      </c>
      <c r="AU49" s="3">
        <f t="shared" ca="1" si="60"/>
        <v>46.943904992583903</v>
      </c>
      <c r="AV49" s="3">
        <f t="shared" ca="1" si="60"/>
        <v>46.943904992583519</v>
      </c>
      <c r="AW49" s="3">
        <f t="shared" ca="1" si="60"/>
        <v>46.943904992583548</v>
      </c>
      <c r="AX49" s="3">
        <f t="shared" ca="1" si="60"/>
        <v>46.943904992583924</v>
      </c>
      <c r="AY49" s="3">
        <f t="shared" ca="1" si="60"/>
        <v>46.943904992583519</v>
      </c>
      <c r="AZ49" s="3">
        <f t="shared" ca="1" si="60"/>
        <v>43.332835377769008</v>
      </c>
      <c r="BA49" s="3">
        <f t="shared" ca="1" si="60"/>
        <v>43.332835377769051</v>
      </c>
      <c r="BB49" s="3">
        <f t="shared" ca="1" si="60"/>
        <v>43.332835377769811</v>
      </c>
      <c r="BC49" s="3">
        <f t="shared" ca="1" si="60"/>
        <v>43.332835377769378</v>
      </c>
      <c r="BD49" s="3">
        <f t="shared" ca="1" si="60"/>
        <v>43.332835377769037</v>
      </c>
      <c r="BE49" s="3">
        <f t="shared" ca="1" si="60"/>
        <v>43.332835377768951</v>
      </c>
      <c r="BF49" s="3">
        <f t="shared" ca="1" si="60"/>
        <v>43.332835377768937</v>
      </c>
      <c r="BG49" s="3">
        <f t="shared" ca="1" si="60"/>
        <v>43.33283537776849</v>
      </c>
      <c r="BH49" s="3">
        <f t="shared" ca="1" si="60"/>
        <v>43.33283537776812</v>
      </c>
      <c r="BI49" s="3">
        <f t="shared" ca="1" si="60"/>
        <v>43.332835377769847</v>
      </c>
      <c r="BJ49" s="3">
        <f t="shared" ca="1" si="60"/>
        <v>43.332835377769818</v>
      </c>
      <c r="BK49" s="3">
        <f t="shared" ca="1" si="60"/>
        <v>43.332835377769435</v>
      </c>
      <c r="BL49" s="3">
        <f t="shared" ca="1" si="60"/>
        <v>39.72176576295535</v>
      </c>
      <c r="BM49" s="3">
        <f t="shared" ca="1" si="60"/>
        <v>39.721765762955783</v>
      </c>
      <c r="BN49" s="3">
        <f t="shared" ca="1" si="60"/>
        <v>39.721765762955265</v>
      </c>
      <c r="BO49" s="3">
        <f t="shared" ca="1" si="60"/>
        <v>39.721765762954867</v>
      </c>
      <c r="BP49" s="3">
        <f t="shared" ca="1" si="60"/>
        <v>39.721765762954938</v>
      </c>
      <c r="BQ49" s="3">
        <f t="shared" ca="1" si="60"/>
        <v>39.721765762955727</v>
      </c>
      <c r="BR49" s="3">
        <f t="shared" ca="1" si="60"/>
        <v>39.721765762955293</v>
      </c>
      <c r="BS49" s="3">
        <f t="shared" ca="1" si="60"/>
        <v>39.721765762954895</v>
      </c>
      <c r="BT49" s="3">
        <f t="shared" ca="1" si="60"/>
        <v>39.721765762954838</v>
      </c>
      <c r="BU49" s="3">
        <f t="shared" ca="1" si="60"/>
        <v>39.721765762954853</v>
      </c>
      <c r="BV49" s="3">
        <f t="shared" ca="1" si="60"/>
        <v>39.721765762954405</v>
      </c>
      <c r="BW49" s="3">
        <f t="shared" ca="1" si="60"/>
        <v>39.721765762954035</v>
      </c>
      <c r="BX49" s="3">
        <f t="shared" ca="1" si="60"/>
        <v>36.110696148141649</v>
      </c>
      <c r="BY49" s="3">
        <f t="shared" ca="1" si="60"/>
        <v>36.110696148141677</v>
      </c>
      <c r="BZ49" s="3">
        <f t="shared" ca="1" si="60"/>
        <v>36.11069614814118</v>
      </c>
      <c r="CA49" s="3">
        <f t="shared" ca="1" si="60"/>
        <v>36.110696148141209</v>
      </c>
      <c r="CB49" s="3">
        <f t="shared" ca="1" si="60"/>
        <v>36.11069614814167</v>
      </c>
      <c r="CC49" s="3">
        <f t="shared" ca="1" si="60"/>
        <v>36.11069614814118</v>
      </c>
      <c r="CD49" s="3">
        <f t="shared" ref="CD49:EO49" ca="1" si="61">CD47-CD48</f>
        <v>36.110696148140782</v>
      </c>
      <c r="CE49" s="3">
        <f t="shared" ca="1" si="61"/>
        <v>36.110696148140796</v>
      </c>
      <c r="CF49" s="3">
        <f t="shared" ca="1" si="61"/>
        <v>36.110696148141614</v>
      </c>
      <c r="CG49" s="3">
        <f t="shared" ca="1" si="61"/>
        <v>36.110696148141209</v>
      </c>
      <c r="CH49" s="3">
        <f t="shared" ca="1" si="61"/>
        <v>36.110696148140811</v>
      </c>
      <c r="CI49" s="3">
        <f t="shared" ca="1" si="61"/>
        <v>36.110696148140754</v>
      </c>
      <c r="CJ49" s="3">
        <f t="shared" ca="1" si="61"/>
        <v>32.499626533326655</v>
      </c>
      <c r="CK49" s="3">
        <f t="shared" ca="1" si="61"/>
        <v>32.499626533326264</v>
      </c>
      <c r="CL49" s="3">
        <f t="shared" ca="1" si="61"/>
        <v>32.499626533325781</v>
      </c>
      <c r="CM49" s="3">
        <f t="shared" ca="1" si="61"/>
        <v>32.499626533327508</v>
      </c>
      <c r="CN49" s="3">
        <f t="shared" ca="1" si="61"/>
        <v>32.499626533327564</v>
      </c>
      <c r="CO49" s="3">
        <f t="shared" ca="1" si="61"/>
        <v>32.499626533327096</v>
      </c>
      <c r="CP49" s="3">
        <f t="shared" ca="1" si="61"/>
        <v>32.499626533327124</v>
      </c>
      <c r="CQ49" s="3">
        <f t="shared" ca="1" si="61"/>
        <v>32.499626533327529</v>
      </c>
      <c r="CR49" s="3">
        <f t="shared" ca="1" si="61"/>
        <v>32.499626533327067</v>
      </c>
      <c r="CS49" s="3">
        <f t="shared" ca="1" si="61"/>
        <v>32.499626533326698</v>
      </c>
      <c r="CT49" s="3">
        <f t="shared" ca="1" si="61"/>
        <v>32.499626533326712</v>
      </c>
      <c r="CU49" s="3">
        <f t="shared" ca="1" si="61"/>
        <v>32.499626533327529</v>
      </c>
      <c r="CV49" s="3">
        <f t="shared" ca="1" si="61"/>
        <v>28.888556918513007</v>
      </c>
      <c r="CW49" s="3">
        <f t="shared" ca="1" si="61"/>
        <v>28.88855691851267</v>
      </c>
      <c r="CX49" s="3">
        <f t="shared" ca="1" si="61"/>
        <v>28.888556918512499</v>
      </c>
      <c r="CY49" s="3">
        <f t="shared" ca="1" si="61"/>
        <v>28.888556918512514</v>
      </c>
      <c r="CZ49" s="3">
        <f t="shared" ca="1" si="61"/>
        <v>28.888556918512151</v>
      </c>
      <c r="DA49" s="3">
        <f t="shared" ca="1" si="61"/>
        <v>28.888556918511696</v>
      </c>
      <c r="DB49" s="3">
        <f t="shared" ca="1" si="61"/>
        <v>28.888556918513423</v>
      </c>
      <c r="DC49" s="3">
        <f t="shared" ca="1" si="61"/>
        <v>28.888556918513423</v>
      </c>
      <c r="DD49" s="3">
        <f t="shared" ca="1" si="61"/>
        <v>28.888556918512982</v>
      </c>
      <c r="DE49" s="3">
        <f t="shared" ca="1" si="61"/>
        <v>28.888556918513039</v>
      </c>
      <c r="DF49" s="3">
        <f t="shared" ca="1" si="61"/>
        <v>28.888556918513444</v>
      </c>
      <c r="DG49" s="3">
        <f t="shared" ca="1" si="61"/>
        <v>28.888556918512979</v>
      </c>
      <c r="DH49" s="3">
        <f t="shared" ca="1" si="61"/>
        <v>25.277487303698496</v>
      </c>
      <c r="DI49" s="3">
        <f t="shared" ca="1" si="61"/>
        <v>25.277487303698571</v>
      </c>
      <c r="DJ49" s="3">
        <f t="shared" ca="1" si="61"/>
        <v>25.277487303699271</v>
      </c>
      <c r="DK49" s="3">
        <f t="shared" ca="1" si="61"/>
        <v>25.277487303698862</v>
      </c>
      <c r="DL49" s="3">
        <f t="shared" ca="1" si="61"/>
        <v>25.277487303698557</v>
      </c>
      <c r="DM49" s="3">
        <f t="shared" ca="1" si="61"/>
        <v>25.277487303698415</v>
      </c>
      <c r="DN49" s="3">
        <f t="shared" ca="1" si="61"/>
        <v>25.277487303698429</v>
      </c>
      <c r="DO49" s="3">
        <f t="shared" ca="1" si="61"/>
        <v>25.27748730369801</v>
      </c>
      <c r="DP49" s="3">
        <f t="shared" ca="1" si="61"/>
        <v>25.277487303697583</v>
      </c>
      <c r="DQ49" s="3">
        <f t="shared" ca="1" si="61"/>
        <v>25.277487303699338</v>
      </c>
      <c r="DR49" s="3">
        <f t="shared" ca="1" si="61"/>
        <v>25.277487303699338</v>
      </c>
      <c r="DS49" s="3">
        <f t="shared" ca="1" si="61"/>
        <v>25.277487303698894</v>
      </c>
      <c r="DT49" s="3">
        <f t="shared" ca="1" si="61"/>
        <v>21.666417688884838</v>
      </c>
      <c r="DU49" s="3">
        <f t="shared" ca="1" si="61"/>
        <v>21.666417688885304</v>
      </c>
      <c r="DV49" s="3">
        <f t="shared" ca="1" si="61"/>
        <v>21.666417688884721</v>
      </c>
      <c r="DW49" s="3">
        <f t="shared" ca="1" si="61"/>
        <v>21.666417688884351</v>
      </c>
      <c r="DX49" s="3">
        <f t="shared" ca="1" si="61"/>
        <v>21.666417688884458</v>
      </c>
      <c r="DY49" s="3">
        <f t="shared" ca="1" si="61"/>
        <v>21.666417688885186</v>
      </c>
      <c r="DZ49" s="3">
        <f t="shared" ca="1" si="61"/>
        <v>21.666417688884778</v>
      </c>
      <c r="EA49" s="3">
        <f t="shared" ca="1" si="61"/>
        <v>21.666417688884415</v>
      </c>
      <c r="EB49" s="3">
        <f t="shared" ca="1" si="61"/>
        <v>21.666417688884302</v>
      </c>
      <c r="EC49" s="3">
        <f t="shared" ca="1" si="61"/>
        <v>21.666417688884344</v>
      </c>
      <c r="ED49" s="3">
        <f t="shared" ca="1" si="61"/>
        <v>21.666417688883925</v>
      </c>
      <c r="EE49" s="3">
        <f t="shared" ca="1" si="61"/>
        <v>21.666417688883495</v>
      </c>
      <c r="EF49" s="3">
        <f t="shared" ca="1" si="61"/>
        <v>18.055348074071137</v>
      </c>
      <c r="EG49" s="3">
        <f t="shared" ca="1" si="61"/>
        <v>18.055348074071198</v>
      </c>
      <c r="EH49" s="3">
        <f t="shared" ca="1" si="61"/>
        <v>18.055348074070636</v>
      </c>
      <c r="EI49" s="3">
        <f t="shared" ca="1" si="61"/>
        <v>18.055348074070693</v>
      </c>
      <c r="EJ49" s="3">
        <f t="shared" ca="1" si="61"/>
        <v>18.05534807407119</v>
      </c>
      <c r="EK49" s="3">
        <f t="shared" ca="1" si="61"/>
        <v>18.055348074070636</v>
      </c>
      <c r="EL49" s="3">
        <f t="shared" ca="1" si="61"/>
        <v>18.055348074070267</v>
      </c>
      <c r="EM49" s="3">
        <f t="shared" ca="1" si="61"/>
        <v>18.055348074070316</v>
      </c>
      <c r="EN49" s="3">
        <f t="shared" ca="1" si="61"/>
        <v>18.055348074071073</v>
      </c>
      <c r="EO49" s="3">
        <f t="shared" ca="1" si="61"/>
        <v>18.055348074070693</v>
      </c>
      <c r="EP49" s="3">
        <f t="shared" ref="EP49:HA49" ca="1" si="62">EP47-EP48</f>
        <v>18.055348074070331</v>
      </c>
      <c r="EQ49" s="3">
        <f t="shared" ca="1" si="62"/>
        <v>18.055348074070213</v>
      </c>
      <c r="ER49" s="3">
        <f t="shared" ca="1" si="62"/>
        <v>14.444278459256145</v>
      </c>
      <c r="ES49" s="3">
        <f t="shared" ca="1" si="62"/>
        <v>14.444278459255782</v>
      </c>
      <c r="ET49" s="3">
        <f t="shared" ca="1" si="62"/>
        <v>14.444278459255235</v>
      </c>
      <c r="EU49" s="3">
        <f t="shared" ca="1" si="62"/>
        <v>14.444278459256994</v>
      </c>
      <c r="EV49" s="3">
        <f t="shared" ca="1" si="62"/>
        <v>14.444278459257083</v>
      </c>
      <c r="EW49" s="3">
        <f t="shared" ca="1" si="62"/>
        <v>14.44427845925655</v>
      </c>
      <c r="EX49" s="3">
        <f t="shared" ca="1" si="62"/>
        <v>14.444278459256608</v>
      </c>
      <c r="EY49" s="3">
        <f t="shared" ca="1" si="62"/>
        <v>14.444278459257047</v>
      </c>
      <c r="EZ49" s="3">
        <f t="shared" ca="1" si="62"/>
        <v>14.444278459256521</v>
      </c>
      <c r="FA49" s="3">
        <f t="shared" ca="1" si="62"/>
        <v>14.44427845925618</v>
      </c>
      <c r="FB49" s="3">
        <f t="shared" ca="1" si="62"/>
        <v>14.44427845925623</v>
      </c>
      <c r="FC49" s="3">
        <f t="shared" ca="1" si="62"/>
        <v>14.444278459256987</v>
      </c>
      <c r="FD49" s="3">
        <f t="shared" ca="1" si="62"/>
        <v>10.833208844442494</v>
      </c>
      <c r="FE49" s="3">
        <f t="shared" ca="1" si="62"/>
        <v>10.833208844442188</v>
      </c>
      <c r="FF49" s="3">
        <f t="shared" ca="1" si="62"/>
        <v>10.833208844441955</v>
      </c>
      <c r="FG49" s="3">
        <f t="shared" ca="1" si="62"/>
        <v>10.833208844442002</v>
      </c>
      <c r="FH49" s="3">
        <f t="shared" ca="1" si="62"/>
        <v>10.833208844441668</v>
      </c>
      <c r="FI49" s="3">
        <f t="shared" ca="1" si="62"/>
        <v>10.833208844441149</v>
      </c>
      <c r="FJ49" s="3">
        <f t="shared" ca="1" si="62"/>
        <v>10.833208844442909</v>
      </c>
      <c r="FK49" s="3">
        <f t="shared" ca="1" si="62"/>
        <v>10.83320884444294</v>
      </c>
      <c r="FL49" s="3">
        <f t="shared" ca="1" si="62"/>
        <v>10.833208844442435</v>
      </c>
      <c r="FM49" s="3">
        <f t="shared" ca="1" si="62"/>
        <v>10.833208844442522</v>
      </c>
      <c r="FN49" s="3">
        <f t="shared" ca="1" si="62"/>
        <v>10.833208844442961</v>
      </c>
      <c r="FO49" s="3">
        <f t="shared" ca="1" si="62"/>
        <v>10.833208844442435</v>
      </c>
      <c r="FP49" s="3">
        <f t="shared" ca="1" si="62"/>
        <v>7.2221392296279792</v>
      </c>
      <c r="FQ49" s="3">
        <f t="shared" ca="1" si="62"/>
        <v>7.2221392296280857</v>
      </c>
      <c r="FR49" s="3">
        <f t="shared" ca="1" si="62"/>
        <v>7.2221392296287288</v>
      </c>
      <c r="FS49" s="3">
        <f t="shared" ca="1" si="62"/>
        <v>7.2221392296283504</v>
      </c>
      <c r="FT49" s="3">
        <f t="shared" ca="1" si="62"/>
        <v>7.2221392296280733</v>
      </c>
      <c r="FU49" s="3">
        <f t="shared" ca="1" si="62"/>
        <v>7.222139229627869</v>
      </c>
      <c r="FV49" s="3">
        <f t="shared" ca="1" si="62"/>
        <v>7.222139229627917</v>
      </c>
      <c r="FW49" s="3">
        <f t="shared" ca="1" si="62"/>
        <v>7.2221392296275244</v>
      </c>
      <c r="FX49" s="3">
        <f t="shared" ca="1" si="62"/>
        <v>7.2221392296270341</v>
      </c>
      <c r="FY49" s="3">
        <f t="shared" ca="1" si="62"/>
        <v>7.2221392296288229</v>
      </c>
      <c r="FZ49" s="3">
        <f t="shared" ca="1" si="62"/>
        <v>7.2221392296288531</v>
      </c>
      <c r="GA49" s="3">
        <f t="shared" ca="1" si="62"/>
        <v>7.2221392296283486</v>
      </c>
      <c r="GB49" s="3">
        <f t="shared" ca="1" si="62"/>
        <v>3.6110696148143213</v>
      </c>
      <c r="GC49" s="3">
        <f t="shared" ca="1" si="62"/>
        <v>3.6110696148148178</v>
      </c>
      <c r="GD49" s="3">
        <f t="shared" ca="1" si="62"/>
        <v>3.6110696148141774</v>
      </c>
      <c r="GE49" s="3">
        <f t="shared" ca="1" si="62"/>
        <v>3.6110696148138359</v>
      </c>
      <c r="GF49" s="3">
        <f t="shared" ca="1" si="62"/>
        <v>3.6110696148139714</v>
      </c>
      <c r="GG49" s="3">
        <f t="shared" ca="1" si="62"/>
        <v>3.6110696148146428</v>
      </c>
      <c r="GH49" s="3">
        <f t="shared" ca="1" si="62"/>
        <v>3.6110696148142654</v>
      </c>
      <c r="GI49" s="3">
        <f t="shared" ca="1" si="62"/>
        <v>3.6110696148139301</v>
      </c>
      <c r="GJ49" s="3">
        <f t="shared" ca="1" si="62"/>
        <v>3.6110696148137547</v>
      </c>
      <c r="GK49" s="3">
        <f t="shared" ca="1" si="62"/>
        <v>3.611069614813831</v>
      </c>
      <c r="GL49" s="3">
        <f t="shared" ca="1" si="62"/>
        <v>3.6110696148134385</v>
      </c>
      <c r="GM49" s="3">
        <f t="shared" ca="1" si="62"/>
        <v>3.6110696148129473</v>
      </c>
      <c r="GN49" s="3">
        <f t="shared" ca="1" si="62"/>
        <v>6.2216898299993773E-13</v>
      </c>
      <c r="GO49" s="3">
        <f t="shared" ca="1" si="62"/>
        <v>7.1009864655025012E-13</v>
      </c>
      <c r="GP49" s="3">
        <f t="shared" ca="1" si="62"/>
        <v>9.0594198809412774E-14</v>
      </c>
      <c r="GQ49" s="3">
        <f t="shared" ca="1" si="62"/>
        <v>1.7807977314987511E-13</v>
      </c>
      <c r="GR49" s="3">
        <f t="shared" ca="1" si="62"/>
        <v>7.0343730840249918E-13</v>
      </c>
      <c r="GS49" s="3">
        <f t="shared" ca="1" si="62"/>
        <v>9.1482377229112899E-14</v>
      </c>
      <c r="GT49" s="3">
        <f t="shared" ca="1" si="62"/>
        <v>-2.4913404672588513E-13</v>
      </c>
      <c r="GU49" s="3">
        <f t="shared" ca="1" si="62"/>
        <v>-1.7186252421197423E-13</v>
      </c>
      <c r="GV49" s="3">
        <f t="shared" ca="1" si="62"/>
        <v>5.2846615972157451E-13</v>
      </c>
      <c r="GW49" s="3">
        <f t="shared" ca="1" si="62"/>
        <v>1.794120407794253E-13</v>
      </c>
      <c r="GX49" s="3">
        <f t="shared" ca="1" si="62"/>
        <v>-1.5587531265737198E-13</v>
      </c>
      <c r="GY49" s="3">
        <f t="shared" ca="1" si="62"/>
        <v>-3.3217872896784684E-13</v>
      </c>
      <c r="GZ49" s="3">
        <f t="shared" ca="1" si="62"/>
        <v>-2.2604140781368187E-13</v>
      </c>
      <c r="HA49" s="3">
        <f t="shared" ca="1" si="62"/>
        <v>-5.9019455989073322E-13</v>
      </c>
      <c r="HB49" s="3">
        <f t="shared" ref="HB49:IC49" ca="1" si="63">HB47-HB48</f>
        <v>-1.1963763313360687E-12</v>
      </c>
      <c r="HC49" s="3">
        <f t="shared" ca="1" si="63"/>
        <v>6.2216898299993773E-13</v>
      </c>
      <c r="HD49" s="3">
        <f t="shared" ca="1" si="63"/>
        <v>7.1009864655025012E-13</v>
      </c>
      <c r="HE49" s="3">
        <f t="shared" ca="1" si="63"/>
        <v>9.0594198809412774E-14</v>
      </c>
      <c r="HF49" s="3">
        <f t="shared" ca="1" si="63"/>
        <v>1.7807977314987511E-13</v>
      </c>
      <c r="HG49" s="3">
        <f t="shared" ca="1" si="63"/>
        <v>7.0343730840249918E-13</v>
      </c>
      <c r="HH49" s="3">
        <f t="shared" ca="1" si="63"/>
        <v>9.1482377229112899E-14</v>
      </c>
      <c r="HI49" s="3">
        <f t="shared" ca="1" si="63"/>
        <v>-2.4913404672588513E-13</v>
      </c>
      <c r="HJ49" s="3">
        <f t="shared" ca="1" si="63"/>
        <v>-1.7186252421197423E-13</v>
      </c>
      <c r="HK49" s="3">
        <f t="shared" ca="1" si="63"/>
        <v>5.2846615972157451E-13</v>
      </c>
      <c r="HL49" s="3">
        <f t="shared" ca="1" si="63"/>
        <v>1.794120407794253E-13</v>
      </c>
      <c r="HM49" s="3">
        <f t="shared" ca="1" si="63"/>
        <v>-1.5587531265737198E-13</v>
      </c>
      <c r="HN49" s="3">
        <f t="shared" ca="1" si="63"/>
        <v>-3.3217872896784684E-13</v>
      </c>
      <c r="HO49" s="3">
        <f t="shared" ca="1" si="63"/>
        <v>-2.2604140781368187E-13</v>
      </c>
      <c r="HP49" s="3">
        <f t="shared" ca="1" si="63"/>
        <v>-5.9019455989073322E-13</v>
      </c>
      <c r="HQ49" s="3">
        <f t="shared" ca="1" si="63"/>
        <v>-1.1963763313360687E-12</v>
      </c>
      <c r="HR49" s="3">
        <f t="shared" ca="1" si="63"/>
        <v>6.2216898299993773E-13</v>
      </c>
      <c r="HS49" s="3">
        <f t="shared" ca="1" si="63"/>
        <v>7.1009864655025012E-13</v>
      </c>
      <c r="HT49" s="3">
        <f t="shared" ca="1" si="63"/>
        <v>9.0594198809412774E-14</v>
      </c>
      <c r="HU49" s="3">
        <f t="shared" ca="1" si="63"/>
        <v>1.7807977314987511E-13</v>
      </c>
      <c r="HV49" s="3">
        <f t="shared" ca="1" si="63"/>
        <v>7.0343730840249918E-13</v>
      </c>
      <c r="HW49" s="3">
        <f t="shared" ca="1" si="63"/>
        <v>9.1482377229112899E-14</v>
      </c>
      <c r="HX49" s="3">
        <f t="shared" ca="1" si="63"/>
        <v>-2.4913404672588513E-13</v>
      </c>
      <c r="HY49" s="3">
        <f t="shared" ca="1" si="63"/>
        <v>-1.7186252421197423E-13</v>
      </c>
      <c r="HZ49" s="3">
        <f t="shared" ca="1" si="63"/>
        <v>5.2846615972157451E-13</v>
      </c>
      <c r="IA49" s="3">
        <f t="shared" ca="1" si="63"/>
        <v>1.794120407794253E-13</v>
      </c>
      <c r="IB49" s="3">
        <f t="shared" ca="1" si="63"/>
        <v>-1.5587531265737198E-13</v>
      </c>
      <c r="IC49" s="3">
        <f t="shared" ca="1" si="63"/>
        <v>-3.3217872896784684E-13</v>
      </c>
    </row>
    <row r="50" spans="2:237" x14ac:dyDescent="0.3">
      <c r="B50" s="70" t="s">
        <v>44</v>
      </c>
      <c r="C50" s="3">
        <f>(C47+C49)/2*C27</f>
        <v>0</v>
      </c>
      <c r="D50" s="3">
        <f t="shared" ref="D50:BO50" si="64">(D47+D49)/2*D27</f>
        <v>0</v>
      </c>
      <c r="E50" s="3">
        <f t="shared" si="64"/>
        <v>0</v>
      </c>
      <c r="F50" s="3">
        <f t="shared" si="64"/>
        <v>0</v>
      </c>
      <c r="G50" s="3">
        <f t="shared" si="64"/>
        <v>0</v>
      </c>
      <c r="H50" s="3">
        <f t="shared" si="64"/>
        <v>0</v>
      </c>
      <c r="I50" s="3">
        <f t="shared" si="64"/>
        <v>0</v>
      </c>
      <c r="J50" s="3">
        <f t="shared" si="64"/>
        <v>0</v>
      </c>
      <c r="K50" s="3">
        <f t="shared" si="64"/>
        <v>0</v>
      </c>
      <c r="L50" s="3">
        <f t="shared" si="64"/>
        <v>0</v>
      </c>
      <c r="M50" s="3">
        <f t="shared" si="64"/>
        <v>0</v>
      </c>
      <c r="N50" s="3">
        <f t="shared" si="64"/>
        <v>0</v>
      </c>
      <c r="O50" s="3">
        <f t="shared" si="64"/>
        <v>0</v>
      </c>
      <c r="P50" s="3">
        <f t="shared" si="64"/>
        <v>0</v>
      </c>
      <c r="Q50" s="3">
        <f t="shared" ca="1" si="64"/>
        <v>0.42881451675917964</v>
      </c>
      <c r="R50" s="3">
        <f t="shared" ca="1" si="64"/>
        <v>0.42881451675917615</v>
      </c>
      <c r="S50" s="3">
        <f t="shared" ca="1" si="64"/>
        <v>0.42881451675917615</v>
      </c>
      <c r="T50" s="3">
        <f t="shared" ca="1" si="64"/>
        <v>0.42881451675917959</v>
      </c>
      <c r="U50" s="3">
        <f t="shared" ca="1" si="64"/>
        <v>0.42881451675917615</v>
      </c>
      <c r="V50" s="3">
        <f t="shared" ca="1" si="64"/>
        <v>0.42881451675917276</v>
      </c>
      <c r="W50" s="3">
        <f t="shared" ca="1" si="64"/>
        <v>0.42881451675917265</v>
      </c>
      <c r="X50" s="3">
        <f t="shared" ca="1" si="64"/>
        <v>0.42881451675917959</v>
      </c>
      <c r="Y50" s="3">
        <f t="shared" ca="1" si="64"/>
        <v>0.42881451675917615</v>
      </c>
      <c r="Z50" s="3">
        <f t="shared" ca="1" si="64"/>
        <v>0.42881451675917276</v>
      </c>
      <c r="AA50" s="3">
        <f t="shared" ca="1" si="64"/>
        <v>0.42881451675917276</v>
      </c>
      <c r="AB50" s="3">
        <f t="shared" ca="1" si="64"/>
        <v>0.41452069953386689</v>
      </c>
      <c r="AC50" s="3">
        <f t="shared" ca="1" si="64"/>
        <v>0.40022688230855757</v>
      </c>
      <c r="AD50" s="3">
        <f t="shared" ca="1" si="64"/>
        <v>0.40022688230855424</v>
      </c>
      <c r="AE50" s="3">
        <f t="shared" ca="1" si="64"/>
        <v>0.40022688230856768</v>
      </c>
      <c r="AF50" s="3">
        <f t="shared" ca="1" si="64"/>
        <v>0.4002268823085679</v>
      </c>
      <c r="AG50" s="3">
        <f t="shared" ca="1" si="64"/>
        <v>0.40022688230856462</v>
      </c>
      <c r="AH50" s="3">
        <f t="shared" ca="1" si="64"/>
        <v>0.40022688230856462</v>
      </c>
      <c r="AI50" s="3">
        <f t="shared" ca="1" si="64"/>
        <v>0.40022688230856762</v>
      </c>
      <c r="AJ50" s="3">
        <f t="shared" ca="1" si="64"/>
        <v>0.4002268823085644</v>
      </c>
      <c r="AK50" s="3">
        <f t="shared" ca="1" si="64"/>
        <v>0.40022688230856124</v>
      </c>
      <c r="AL50" s="3">
        <f t="shared" ca="1" si="64"/>
        <v>0.40022688230856113</v>
      </c>
      <c r="AM50" s="3">
        <f t="shared" ca="1" si="64"/>
        <v>0.40022688230856807</v>
      </c>
      <c r="AN50" s="3">
        <f t="shared" ca="1" si="64"/>
        <v>0.38593306508325886</v>
      </c>
      <c r="AO50" s="3">
        <f t="shared" ca="1" si="64"/>
        <v>0.37163924785794999</v>
      </c>
      <c r="AP50" s="3">
        <f t="shared" ca="1" si="64"/>
        <v>0.37163924785794905</v>
      </c>
      <c r="AQ50" s="3">
        <f t="shared" ca="1" si="64"/>
        <v>0.37163924785794894</v>
      </c>
      <c r="AR50" s="3">
        <f t="shared" ca="1" si="64"/>
        <v>0.37163924785794589</v>
      </c>
      <c r="AS50" s="3">
        <f t="shared" ca="1" si="64"/>
        <v>0.37163924785794272</v>
      </c>
      <c r="AT50" s="3">
        <f t="shared" ca="1" si="64"/>
        <v>0.37163924785795616</v>
      </c>
      <c r="AU50" s="3">
        <f t="shared" ca="1" si="64"/>
        <v>0.37163924785795593</v>
      </c>
      <c r="AV50" s="3">
        <f t="shared" ca="1" si="64"/>
        <v>0.37163924785795288</v>
      </c>
      <c r="AW50" s="3">
        <f t="shared" ca="1" si="64"/>
        <v>0.3716392478579531</v>
      </c>
      <c r="AX50" s="3">
        <f t="shared" ca="1" si="64"/>
        <v>0.3716392478579561</v>
      </c>
      <c r="AY50" s="3">
        <f t="shared" ca="1" si="64"/>
        <v>0.37163924785795288</v>
      </c>
      <c r="AZ50" s="3">
        <f t="shared" ca="1" si="64"/>
        <v>0.35734543063264401</v>
      </c>
      <c r="BA50" s="3">
        <f t="shared" ca="1" si="64"/>
        <v>0.34305161340733836</v>
      </c>
      <c r="BB50" s="3">
        <f t="shared" ca="1" si="64"/>
        <v>0.34305161340734436</v>
      </c>
      <c r="BC50" s="3">
        <f t="shared" ca="1" si="64"/>
        <v>0.34305161340734092</v>
      </c>
      <c r="BD50" s="3">
        <f t="shared" ca="1" si="64"/>
        <v>0.34305161340733825</v>
      </c>
      <c r="BE50" s="3">
        <f t="shared" ca="1" si="64"/>
        <v>0.34305161340733759</v>
      </c>
      <c r="BF50" s="3">
        <f t="shared" ca="1" si="64"/>
        <v>0.34305161340733747</v>
      </c>
      <c r="BG50" s="3">
        <f t="shared" ca="1" si="64"/>
        <v>0.34305161340733392</v>
      </c>
      <c r="BH50" s="3">
        <f t="shared" ca="1" si="64"/>
        <v>0.34305161340733098</v>
      </c>
      <c r="BI50" s="3">
        <f t="shared" ca="1" si="64"/>
        <v>0.34305161340734464</v>
      </c>
      <c r="BJ50" s="3">
        <f t="shared" ca="1" si="64"/>
        <v>0.34305161340734441</v>
      </c>
      <c r="BK50" s="3">
        <f t="shared" ca="1" si="64"/>
        <v>0.34305161340734136</v>
      </c>
      <c r="BL50" s="3">
        <f t="shared" ca="1" si="64"/>
        <v>0.32875779618203588</v>
      </c>
      <c r="BM50" s="3">
        <f t="shared" ca="1" si="64"/>
        <v>0.31446397895673334</v>
      </c>
      <c r="BN50" s="3">
        <f t="shared" ca="1" si="64"/>
        <v>0.31446397895672923</v>
      </c>
      <c r="BO50" s="3">
        <f t="shared" ca="1" si="64"/>
        <v>0.31446397895672606</v>
      </c>
      <c r="BP50" s="3">
        <f t="shared" ref="BP50:EA50" ca="1" si="65">(BP47+BP49)/2*BP27</f>
        <v>0.31446397895672662</v>
      </c>
      <c r="BQ50" s="3">
        <f t="shared" ca="1" si="65"/>
        <v>0.31446397895673284</v>
      </c>
      <c r="BR50" s="3">
        <f t="shared" ca="1" si="65"/>
        <v>0.31446397895672945</v>
      </c>
      <c r="BS50" s="3">
        <f t="shared" ca="1" si="65"/>
        <v>0.31446397895672629</v>
      </c>
      <c r="BT50" s="3">
        <f t="shared" ca="1" si="65"/>
        <v>0.31446397895672584</v>
      </c>
      <c r="BU50" s="3">
        <f t="shared" ca="1" si="65"/>
        <v>0.31446397895672595</v>
      </c>
      <c r="BV50" s="3">
        <f t="shared" ca="1" si="65"/>
        <v>0.3144639789567224</v>
      </c>
      <c r="BW50" s="3">
        <f t="shared" ca="1" si="65"/>
        <v>0.31446397895671946</v>
      </c>
      <c r="BX50" s="3">
        <f t="shared" ca="1" si="65"/>
        <v>0.30017016173142741</v>
      </c>
      <c r="BY50" s="3">
        <f t="shared" ca="1" si="65"/>
        <v>0.28587634450612165</v>
      </c>
      <c r="BZ50" s="3">
        <f t="shared" ca="1" si="65"/>
        <v>0.28587634450611771</v>
      </c>
      <c r="CA50" s="3">
        <f t="shared" ca="1" si="65"/>
        <v>0.28587634450611793</v>
      </c>
      <c r="CB50" s="3">
        <f t="shared" ca="1" si="65"/>
        <v>0.28587634450612159</v>
      </c>
      <c r="CC50" s="3">
        <f t="shared" ca="1" si="65"/>
        <v>0.28587634450611771</v>
      </c>
      <c r="CD50" s="3">
        <f t="shared" ca="1" si="65"/>
        <v>0.28587634450611454</v>
      </c>
      <c r="CE50" s="3">
        <f t="shared" ca="1" si="65"/>
        <v>0.28587634450611465</v>
      </c>
      <c r="CF50" s="3">
        <f t="shared" ca="1" si="65"/>
        <v>0.28587634450612115</v>
      </c>
      <c r="CG50" s="3">
        <f t="shared" ca="1" si="65"/>
        <v>0.28587634450611793</v>
      </c>
      <c r="CH50" s="3">
        <f t="shared" ca="1" si="65"/>
        <v>0.28587634450611477</v>
      </c>
      <c r="CI50" s="3">
        <f t="shared" ca="1" si="65"/>
        <v>0.28587634450611432</v>
      </c>
      <c r="CJ50" s="3">
        <f t="shared" ca="1" si="65"/>
        <v>0.27158252728080867</v>
      </c>
      <c r="CK50" s="3">
        <f t="shared" ca="1" si="65"/>
        <v>0.25728871005549964</v>
      </c>
      <c r="CL50" s="3">
        <f t="shared" ca="1" si="65"/>
        <v>0.25728871005549581</v>
      </c>
      <c r="CM50" s="3">
        <f t="shared" ca="1" si="65"/>
        <v>0.25728871005550946</v>
      </c>
      <c r="CN50" s="3">
        <f t="shared" ca="1" si="65"/>
        <v>0.25728871005550991</v>
      </c>
      <c r="CO50" s="3">
        <f t="shared" ca="1" si="65"/>
        <v>0.25728871005550619</v>
      </c>
      <c r="CP50" s="3">
        <f t="shared" ca="1" si="65"/>
        <v>0.25728871005550641</v>
      </c>
      <c r="CQ50" s="3">
        <f t="shared" ca="1" si="65"/>
        <v>0.25728871005550963</v>
      </c>
      <c r="CR50" s="3">
        <f t="shared" ca="1" si="65"/>
        <v>0.25728871005550596</v>
      </c>
      <c r="CS50" s="3">
        <f t="shared" ca="1" si="65"/>
        <v>0.25728871005550302</v>
      </c>
      <c r="CT50" s="3">
        <f t="shared" ca="1" si="65"/>
        <v>0.25728871005550313</v>
      </c>
      <c r="CU50" s="3">
        <f t="shared" ca="1" si="65"/>
        <v>0.25728871005550963</v>
      </c>
      <c r="CV50" s="3">
        <f t="shared" ca="1" si="65"/>
        <v>0.24299489283020068</v>
      </c>
      <c r="CW50" s="3">
        <f t="shared" ca="1" si="65"/>
        <v>0.228701075604892</v>
      </c>
      <c r="CX50" s="3">
        <f t="shared" ca="1" si="65"/>
        <v>0.22870107560489064</v>
      </c>
      <c r="CY50" s="3">
        <f t="shared" ca="1" si="65"/>
        <v>0.22870107560489075</v>
      </c>
      <c r="CZ50" s="3">
        <f t="shared" ca="1" si="65"/>
        <v>0.22870107560488789</v>
      </c>
      <c r="DA50" s="3">
        <f t="shared" ca="1" si="65"/>
        <v>0.22870107560488429</v>
      </c>
      <c r="DB50" s="3">
        <f t="shared" ca="1" si="65"/>
        <v>0.22870107560489794</v>
      </c>
      <c r="DC50" s="3">
        <f t="shared" ca="1" si="65"/>
        <v>0.22870107560489794</v>
      </c>
      <c r="DD50" s="3">
        <f t="shared" ca="1" si="65"/>
        <v>0.22870107560489447</v>
      </c>
      <c r="DE50" s="3">
        <f t="shared" ca="1" si="65"/>
        <v>0.22870107560489492</v>
      </c>
      <c r="DF50" s="3">
        <f t="shared" ca="1" si="65"/>
        <v>0.22870107560489811</v>
      </c>
      <c r="DG50" s="3">
        <f t="shared" ca="1" si="65"/>
        <v>0.22870107560489444</v>
      </c>
      <c r="DH50" s="3">
        <f t="shared" ca="1" si="65"/>
        <v>0.2144072583795858</v>
      </c>
      <c r="DI50" s="3">
        <f t="shared" ca="1" si="65"/>
        <v>0.20011344115428037</v>
      </c>
      <c r="DJ50" s="3">
        <f t="shared" ca="1" si="65"/>
        <v>0.20011344115428592</v>
      </c>
      <c r="DK50" s="3">
        <f t="shared" ca="1" si="65"/>
        <v>0.20011344115428267</v>
      </c>
      <c r="DL50" s="3">
        <f t="shared" ca="1" si="65"/>
        <v>0.20011344115428026</v>
      </c>
      <c r="DM50" s="3">
        <f t="shared" ca="1" si="65"/>
        <v>0.20011344115427912</v>
      </c>
      <c r="DN50" s="3">
        <f t="shared" ca="1" si="65"/>
        <v>0.20011344115427926</v>
      </c>
      <c r="DO50" s="3">
        <f t="shared" ca="1" si="65"/>
        <v>0.20011344115427593</v>
      </c>
      <c r="DP50" s="3">
        <f t="shared" ca="1" si="65"/>
        <v>0.20011344115427254</v>
      </c>
      <c r="DQ50" s="3">
        <f t="shared" ca="1" si="65"/>
        <v>0.20011344115428645</v>
      </c>
      <c r="DR50" s="3">
        <f t="shared" ca="1" si="65"/>
        <v>0.20011344115428645</v>
      </c>
      <c r="DS50" s="3">
        <f t="shared" ca="1" si="65"/>
        <v>0.20011344115428292</v>
      </c>
      <c r="DT50" s="3">
        <f t="shared" ca="1" si="65"/>
        <v>0.18581962392897766</v>
      </c>
      <c r="DU50" s="3">
        <f t="shared" ca="1" si="65"/>
        <v>0.17152580670367534</v>
      </c>
      <c r="DV50" s="3">
        <f t="shared" ca="1" si="65"/>
        <v>0.17152580670367071</v>
      </c>
      <c r="DW50" s="3">
        <f t="shared" ca="1" si="65"/>
        <v>0.17152580670366779</v>
      </c>
      <c r="DX50" s="3">
        <f t="shared" ca="1" si="65"/>
        <v>0.17152580670366863</v>
      </c>
      <c r="DY50" s="3">
        <f t="shared" ca="1" si="65"/>
        <v>0.1715258067036744</v>
      </c>
      <c r="DZ50" s="3">
        <f t="shared" ca="1" si="65"/>
        <v>0.17152580670367118</v>
      </c>
      <c r="EA50" s="3">
        <f t="shared" ca="1" si="65"/>
        <v>0.17152580670366829</v>
      </c>
      <c r="EB50" s="3">
        <f t="shared" ref="EB50:GM50" ca="1" si="66">(EB47+EB49)/2*EB27</f>
        <v>0.17152580670366741</v>
      </c>
      <c r="EC50" s="3">
        <f t="shared" ca="1" si="66"/>
        <v>0.17152580670366774</v>
      </c>
      <c r="ED50" s="3">
        <f t="shared" ca="1" si="66"/>
        <v>0.17152580670366441</v>
      </c>
      <c r="EE50" s="3">
        <f t="shared" ca="1" si="66"/>
        <v>0.17152580670366102</v>
      </c>
      <c r="EF50" s="3">
        <f t="shared" ca="1" si="66"/>
        <v>0.15723198947836919</v>
      </c>
      <c r="EG50" s="3">
        <f t="shared" ca="1" si="66"/>
        <v>0.14293817225306366</v>
      </c>
      <c r="EH50" s="3">
        <f t="shared" ca="1" si="66"/>
        <v>0.14293817225305921</v>
      </c>
      <c r="EI50" s="3">
        <f t="shared" ca="1" si="66"/>
        <v>0.14293817225305966</v>
      </c>
      <c r="EJ50" s="3">
        <f t="shared" ca="1" si="66"/>
        <v>0.1429381722530636</v>
      </c>
      <c r="EK50" s="3">
        <f t="shared" ca="1" si="66"/>
        <v>0.14293817225305921</v>
      </c>
      <c r="EL50" s="3">
        <f t="shared" ca="1" si="66"/>
        <v>0.1429381722530563</v>
      </c>
      <c r="EM50" s="3">
        <f t="shared" ca="1" si="66"/>
        <v>0.14293817225305669</v>
      </c>
      <c r="EN50" s="3">
        <f t="shared" ca="1" si="66"/>
        <v>0.14293817225306268</v>
      </c>
      <c r="EO50" s="3">
        <f t="shared" ca="1" si="66"/>
        <v>0.14293817225305966</v>
      </c>
      <c r="EP50" s="3">
        <f t="shared" ca="1" si="66"/>
        <v>0.1429381722530568</v>
      </c>
      <c r="EQ50" s="3">
        <f t="shared" ca="1" si="66"/>
        <v>0.14293817225305586</v>
      </c>
      <c r="ER50" s="3">
        <f t="shared" ca="1" si="66"/>
        <v>0.12864435502775048</v>
      </c>
      <c r="ES50" s="3">
        <f t="shared" ca="1" si="66"/>
        <v>0.11435053780244162</v>
      </c>
      <c r="ET50" s="3">
        <f t="shared" ca="1" si="66"/>
        <v>0.11435053780243729</v>
      </c>
      <c r="EU50" s="3">
        <f t="shared" ca="1" si="66"/>
        <v>0.1143505378024512</v>
      </c>
      <c r="EV50" s="3">
        <f t="shared" ca="1" si="66"/>
        <v>0.11435053780245191</v>
      </c>
      <c r="EW50" s="3">
        <f t="shared" ca="1" si="66"/>
        <v>0.11435053780244769</v>
      </c>
      <c r="EX50" s="3">
        <f t="shared" ca="1" si="66"/>
        <v>0.11435053780244817</v>
      </c>
      <c r="EY50" s="3">
        <f t="shared" ca="1" si="66"/>
        <v>0.11435053780245164</v>
      </c>
      <c r="EZ50" s="3">
        <f t="shared" ca="1" si="66"/>
        <v>0.11435053780244747</v>
      </c>
      <c r="FA50" s="3">
        <f t="shared" ca="1" si="66"/>
        <v>0.11435053780244477</v>
      </c>
      <c r="FB50" s="3">
        <f t="shared" ca="1" si="66"/>
        <v>0.11435053780244517</v>
      </c>
      <c r="FC50" s="3">
        <f t="shared" ca="1" si="66"/>
        <v>0.11435053780245115</v>
      </c>
      <c r="FD50" s="3">
        <f t="shared" ca="1" si="66"/>
        <v>0.10005672057714241</v>
      </c>
      <c r="FE50" s="3">
        <f t="shared" ca="1" si="66"/>
        <v>8.5762903351833994E-2</v>
      </c>
      <c r="FF50" s="3">
        <f t="shared" ca="1" si="66"/>
        <v>8.5762903351832148E-2</v>
      </c>
      <c r="FG50" s="3">
        <f t="shared" ca="1" si="66"/>
        <v>8.5762903351832523E-2</v>
      </c>
      <c r="FH50" s="3">
        <f t="shared" ca="1" si="66"/>
        <v>8.5762903351829872E-2</v>
      </c>
      <c r="FI50" s="3">
        <f t="shared" ca="1" si="66"/>
        <v>8.5762903351825764E-2</v>
      </c>
      <c r="FJ50" s="3">
        <f t="shared" ca="1" si="66"/>
        <v>8.5762903351839712E-2</v>
      </c>
      <c r="FK50" s="3">
        <f t="shared" ca="1" si="66"/>
        <v>8.5762903351839948E-2</v>
      </c>
      <c r="FL50" s="3">
        <f t="shared" ca="1" si="66"/>
        <v>8.5762903351835951E-2</v>
      </c>
      <c r="FM50" s="3">
        <f t="shared" ca="1" si="66"/>
        <v>8.5762903351836645E-2</v>
      </c>
      <c r="FN50" s="3">
        <f t="shared" ca="1" si="66"/>
        <v>8.5762903351840114E-2</v>
      </c>
      <c r="FO50" s="3">
        <f t="shared" ca="1" si="66"/>
        <v>8.5762903351835951E-2</v>
      </c>
      <c r="FP50" s="3">
        <f t="shared" ca="1" si="66"/>
        <v>7.1469086126527498E-2</v>
      </c>
      <c r="FQ50" s="3">
        <f t="shared" ca="1" si="66"/>
        <v>5.7175268901222348E-2</v>
      </c>
      <c r="FR50" s="3">
        <f t="shared" ca="1" si="66"/>
        <v>5.7175268901227441E-2</v>
      </c>
      <c r="FS50" s="3">
        <f t="shared" ca="1" si="66"/>
        <v>5.7175268901224444E-2</v>
      </c>
      <c r="FT50" s="3">
        <f t="shared" ca="1" si="66"/>
        <v>5.7175268901222251E-2</v>
      </c>
      <c r="FU50" s="3">
        <f t="shared" ca="1" si="66"/>
        <v>5.7175268901220634E-2</v>
      </c>
      <c r="FV50" s="3">
        <f t="shared" ca="1" si="66"/>
        <v>5.7175268901221016E-2</v>
      </c>
      <c r="FW50" s="3">
        <f t="shared" ca="1" si="66"/>
        <v>5.7175268901217907E-2</v>
      </c>
      <c r="FX50" s="3">
        <f t="shared" ca="1" si="66"/>
        <v>5.7175268901214028E-2</v>
      </c>
      <c r="FY50" s="3">
        <f t="shared" ca="1" si="66"/>
        <v>5.7175268901228184E-2</v>
      </c>
      <c r="FZ50" s="3">
        <f t="shared" ca="1" si="66"/>
        <v>5.7175268901228427E-2</v>
      </c>
      <c r="GA50" s="3">
        <f t="shared" ca="1" si="66"/>
        <v>5.717526890122443E-2</v>
      </c>
      <c r="GB50" s="3">
        <f t="shared" ca="1" si="66"/>
        <v>4.288145167591937E-2</v>
      </c>
      <c r="GC50" s="3">
        <f t="shared" ca="1" si="66"/>
        <v>2.8587634450617311E-2</v>
      </c>
      <c r="GD50" s="3">
        <f t="shared" ca="1" si="66"/>
        <v>2.8587634450612239E-2</v>
      </c>
      <c r="GE50" s="3">
        <f t="shared" ca="1" si="66"/>
        <v>2.8587634450609536E-2</v>
      </c>
      <c r="GF50" s="3">
        <f t="shared" ca="1" si="66"/>
        <v>2.8587634450610609E-2</v>
      </c>
      <c r="GG50" s="3">
        <f t="shared" ca="1" si="66"/>
        <v>2.8587634450615924E-2</v>
      </c>
      <c r="GH50" s="3">
        <f t="shared" ca="1" si="66"/>
        <v>2.8587634450612937E-2</v>
      </c>
      <c r="GI50" s="3">
        <f t="shared" ca="1" si="66"/>
        <v>2.8587634450610282E-2</v>
      </c>
      <c r="GJ50" s="3">
        <f t="shared" ca="1" si="66"/>
        <v>2.8587634450608895E-2</v>
      </c>
      <c r="GK50" s="3">
        <f t="shared" ca="1" si="66"/>
        <v>2.8587634450609498E-2</v>
      </c>
      <c r="GL50" s="3">
        <f t="shared" ca="1" si="66"/>
        <v>2.858763445060639E-2</v>
      </c>
      <c r="GM50" s="3">
        <f t="shared" ca="1" si="66"/>
        <v>2.85876344506025E-2</v>
      </c>
      <c r="GN50" s="3">
        <f t="shared" ref="GN50:IC50" ca="1" si="67">(GN47+GN49)/2*GN27</f>
        <v>1.4293817225310913E-2</v>
      </c>
      <c r="GO50" s="3">
        <f t="shared" ca="1" si="67"/>
        <v>5.6216142851894807E-15</v>
      </c>
      <c r="GP50" s="3">
        <f t="shared" ca="1" si="67"/>
        <v>7.1720407390785122E-16</v>
      </c>
      <c r="GQ50" s="3">
        <f t="shared" ca="1" si="67"/>
        <v>1.409798204103178E-15</v>
      </c>
      <c r="GR50" s="3">
        <f t="shared" ca="1" si="67"/>
        <v>5.5688786915197856E-15</v>
      </c>
      <c r="GS50" s="3">
        <f t="shared" ca="1" si="67"/>
        <v>7.2423548639714389E-16</v>
      </c>
      <c r="GT50" s="3">
        <f t="shared" ca="1" si="67"/>
        <v>-1.9723112032465907E-15</v>
      </c>
      <c r="GU50" s="3">
        <f t="shared" ca="1" si="67"/>
        <v>-1.3605783166781294E-15</v>
      </c>
      <c r="GV50" s="3">
        <f t="shared" ca="1" si="67"/>
        <v>4.183690431129132E-15</v>
      </c>
      <c r="GW50" s="3">
        <f t="shared" ca="1" si="67"/>
        <v>1.4203453228371171E-15</v>
      </c>
      <c r="GX50" s="3">
        <f t="shared" ca="1" si="67"/>
        <v>-1.2340128918708615E-15</v>
      </c>
      <c r="GY50" s="3">
        <f t="shared" ca="1" si="67"/>
        <v>-2.6297482709954542E-15</v>
      </c>
      <c r="GZ50" s="3">
        <f t="shared" ca="1" si="67"/>
        <v>-1.7894944785249818E-15</v>
      </c>
      <c r="HA50" s="3">
        <f t="shared" ca="1" si="67"/>
        <v>-4.6723735991349714E-15</v>
      </c>
      <c r="HB50" s="3">
        <f t="shared" ca="1" si="67"/>
        <v>-9.4713126230772107E-15</v>
      </c>
      <c r="HC50" s="3">
        <f t="shared" ca="1" si="67"/>
        <v>4.9255044487495072E-15</v>
      </c>
      <c r="HD50" s="3">
        <f t="shared" ca="1" si="67"/>
        <v>5.6216142851894807E-15</v>
      </c>
      <c r="HE50" s="3">
        <f t="shared" ca="1" si="67"/>
        <v>7.1720407390785122E-16</v>
      </c>
      <c r="HF50" s="3">
        <f t="shared" ca="1" si="67"/>
        <v>1.409798204103178E-15</v>
      </c>
      <c r="HG50" s="3">
        <f t="shared" ca="1" si="67"/>
        <v>5.5688786915197856E-15</v>
      </c>
      <c r="HH50" s="3">
        <f t="shared" ca="1" si="67"/>
        <v>7.2423548639714389E-16</v>
      </c>
      <c r="HI50" s="3">
        <f t="shared" ca="1" si="67"/>
        <v>-1.9723112032465907E-15</v>
      </c>
      <c r="HJ50" s="3">
        <f t="shared" ca="1" si="67"/>
        <v>-1.3605783166781294E-15</v>
      </c>
      <c r="HK50" s="3">
        <f t="shared" ca="1" si="67"/>
        <v>4.183690431129132E-15</v>
      </c>
      <c r="HL50" s="3">
        <f t="shared" ca="1" si="67"/>
        <v>1.4203453228371171E-15</v>
      </c>
      <c r="HM50" s="3">
        <f t="shared" ca="1" si="67"/>
        <v>-1.2340128918708615E-15</v>
      </c>
      <c r="HN50" s="3">
        <f t="shared" ca="1" si="67"/>
        <v>-2.6297482709954542E-15</v>
      </c>
      <c r="HO50" s="3">
        <f t="shared" ca="1" si="67"/>
        <v>-1.7894944785249818E-15</v>
      </c>
      <c r="HP50" s="3">
        <f t="shared" ca="1" si="67"/>
        <v>-4.6723735991349714E-15</v>
      </c>
      <c r="HQ50" s="3">
        <f t="shared" ca="1" si="67"/>
        <v>-9.4713126230772107E-15</v>
      </c>
      <c r="HR50" s="3">
        <f t="shared" ca="1" si="67"/>
        <v>4.9255044487495072E-15</v>
      </c>
      <c r="HS50" s="3">
        <f t="shared" ca="1" si="67"/>
        <v>5.6216142851894807E-15</v>
      </c>
      <c r="HT50" s="3">
        <f t="shared" ca="1" si="67"/>
        <v>7.1720407390785122E-16</v>
      </c>
      <c r="HU50" s="3">
        <f t="shared" ca="1" si="67"/>
        <v>1.409798204103178E-15</v>
      </c>
      <c r="HV50" s="3">
        <f t="shared" ca="1" si="67"/>
        <v>5.5688786915197856E-15</v>
      </c>
      <c r="HW50" s="3">
        <f t="shared" ca="1" si="67"/>
        <v>7.2423548639714389E-16</v>
      </c>
      <c r="HX50" s="3">
        <f t="shared" ca="1" si="67"/>
        <v>-1.9723112032465907E-15</v>
      </c>
      <c r="HY50" s="3">
        <f t="shared" ca="1" si="67"/>
        <v>-1.3605783166781294E-15</v>
      </c>
      <c r="HZ50" s="3">
        <f t="shared" ca="1" si="67"/>
        <v>4.183690431129132E-15</v>
      </c>
      <c r="IA50" s="3">
        <f t="shared" ca="1" si="67"/>
        <v>1.4203453228371171E-15</v>
      </c>
      <c r="IB50" s="3">
        <f t="shared" ca="1" si="67"/>
        <v>-1.2340128918708615E-15</v>
      </c>
      <c r="IC50" s="3">
        <f t="shared" ca="1" si="67"/>
        <v>-2.6297482709954542E-15</v>
      </c>
    </row>
    <row r="51" spans="2:237" x14ac:dyDescent="0.3">
      <c r="B51" s="7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</row>
    <row r="52" spans="2:237" x14ac:dyDescent="0.3">
      <c r="B52" s="70"/>
      <c r="D52" s="3"/>
      <c r="E52" s="3"/>
      <c r="F52" s="3"/>
      <c r="G52" s="71"/>
    </row>
    <row r="53" spans="2:237" ht="23.4" x14ac:dyDescent="0.45">
      <c r="B53" s="78" t="s">
        <v>147</v>
      </c>
      <c r="D53" s="3"/>
      <c r="E53" s="3"/>
      <c r="F53" s="3"/>
      <c r="G53" s="71"/>
    </row>
    <row r="54" spans="2:237" x14ac:dyDescent="0.3">
      <c r="B54" s="70" t="s">
        <v>148</v>
      </c>
      <c r="C54" t="str">
        <f>C22</f>
        <v>FY 2025</v>
      </c>
      <c r="D54" s="3" t="s">
        <v>54</v>
      </c>
      <c r="E54" t="s">
        <v>55</v>
      </c>
      <c r="F54" t="s">
        <v>56</v>
      </c>
      <c r="G54" t="s">
        <v>57</v>
      </c>
      <c r="H54" s="3" t="s">
        <v>58</v>
      </c>
      <c r="I54" t="s">
        <v>59</v>
      </c>
      <c r="J54" s="3" t="s">
        <v>149</v>
      </c>
      <c r="K54" t="s">
        <v>150</v>
      </c>
      <c r="L54" s="3" t="s">
        <v>151</v>
      </c>
      <c r="M54" t="s">
        <v>152</v>
      </c>
      <c r="N54" s="3" t="s">
        <v>153</v>
      </c>
      <c r="O54" t="s">
        <v>154</v>
      </c>
      <c r="P54" s="3" t="s">
        <v>155</v>
      </c>
      <c r="Q54" t="s">
        <v>156</v>
      </c>
      <c r="R54" s="3" t="s">
        <v>157</v>
      </c>
      <c r="S54" t="s">
        <v>158</v>
      </c>
      <c r="T54" s="3" t="s">
        <v>159</v>
      </c>
      <c r="U54" t="s">
        <v>160</v>
      </c>
      <c r="V54" s="3" t="s">
        <v>161</v>
      </c>
      <c r="W54" t="s">
        <v>162</v>
      </c>
      <c r="X54" s="3" t="s">
        <v>163</v>
      </c>
      <c r="Y54" t="s">
        <v>164</v>
      </c>
    </row>
    <row r="55" spans="2:237" x14ac:dyDescent="0.3">
      <c r="B55" s="70" t="s">
        <v>36</v>
      </c>
      <c r="C55" s="71">
        <f ca="1">SUMIFS($C$44:$IC$44,$C$22:$IC$22,C54)</f>
        <v>0.79549216172183945</v>
      </c>
      <c r="D55" s="71">
        <f t="shared" ref="D55:Y55" ca="1" si="68">SUMIFS($C$44:$IC$44,$C$22:$IC$22,D54)</f>
        <v>2.6071150144239192</v>
      </c>
      <c r="E55" s="71">
        <f t="shared" si="68"/>
        <v>0</v>
      </c>
      <c r="F55" s="71">
        <f t="shared" si="68"/>
        <v>0</v>
      </c>
      <c r="G55" s="71">
        <f t="shared" si="68"/>
        <v>0</v>
      </c>
      <c r="H55" s="71">
        <f t="shared" si="68"/>
        <v>0</v>
      </c>
      <c r="I55" s="71">
        <f t="shared" si="68"/>
        <v>0</v>
      </c>
      <c r="J55" s="71">
        <f t="shared" si="68"/>
        <v>0</v>
      </c>
      <c r="K55" s="71">
        <f t="shared" si="68"/>
        <v>0</v>
      </c>
      <c r="L55" s="71">
        <f t="shared" si="68"/>
        <v>0</v>
      </c>
      <c r="M55" s="71">
        <f t="shared" si="68"/>
        <v>0</v>
      </c>
      <c r="N55" s="71">
        <f t="shared" si="68"/>
        <v>0</v>
      </c>
      <c r="O55" s="71">
        <f t="shared" si="68"/>
        <v>0</v>
      </c>
      <c r="P55" s="71">
        <f t="shared" si="68"/>
        <v>0</v>
      </c>
      <c r="Q55" s="71">
        <f t="shared" si="68"/>
        <v>0</v>
      </c>
      <c r="R55" s="71">
        <f t="shared" si="68"/>
        <v>0</v>
      </c>
      <c r="S55" s="71">
        <f t="shared" si="68"/>
        <v>0</v>
      </c>
      <c r="T55" s="71">
        <f t="shared" si="68"/>
        <v>0</v>
      </c>
      <c r="U55" s="71">
        <f t="shared" si="68"/>
        <v>0</v>
      </c>
      <c r="V55" s="71">
        <f t="shared" si="68"/>
        <v>0</v>
      </c>
      <c r="W55" s="71">
        <f t="shared" si="68"/>
        <v>0</v>
      </c>
      <c r="X55" s="71">
        <f t="shared" si="68"/>
        <v>0</v>
      </c>
      <c r="Y55" s="71">
        <f t="shared" si="68"/>
        <v>0</v>
      </c>
    </row>
    <row r="56" spans="2:237" x14ac:dyDescent="0.3">
      <c r="B56" s="70" t="s">
        <v>142</v>
      </c>
      <c r="C56" s="71">
        <f>+SUMIFS($C$48:$IC$48,$C$22:$IC$22,C54)</f>
        <v>0</v>
      </c>
      <c r="D56" s="71">
        <f t="shared" ref="D56:Y56" ca="1" si="69">+SUMIFS($C$48:$IC$48,$C$22:$IC$22,D54)</f>
        <v>0</v>
      </c>
      <c r="E56" s="71">
        <f t="shared" ca="1" si="69"/>
        <v>3.6110696148141437</v>
      </c>
      <c r="F56" s="71">
        <f t="shared" ca="1" si="69"/>
        <v>3.6110696148141437</v>
      </c>
      <c r="G56" s="71">
        <f t="shared" ca="1" si="69"/>
        <v>3.6110696148141437</v>
      </c>
      <c r="H56" s="71">
        <f t="shared" ca="1" si="69"/>
        <v>3.6110696148141437</v>
      </c>
      <c r="I56" s="71">
        <f t="shared" ca="1" si="69"/>
        <v>3.6110696148141437</v>
      </c>
      <c r="J56" s="71">
        <f t="shared" ca="1" si="69"/>
        <v>3.6110696148141437</v>
      </c>
      <c r="K56" s="71">
        <f t="shared" ca="1" si="69"/>
        <v>3.6110696148141437</v>
      </c>
      <c r="L56" s="71">
        <f t="shared" ca="1" si="69"/>
        <v>3.6110696148141437</v>
      </c>
      <c r="M56" s="71">
        <f t="shared" ca="1" si="69"/>
        <v>3.6110696148141437</v>
      </c>
      <c r="N56" s="71">
        <f t="shared" ca="1" si="69"/>
        <v>3.6110696148141437</v>
      </c>
      <c r="O56" s="71">
        <f t="shared" ca="1" si="69"/>
        <v>3.6110696148141437</v>
      </c>
      <c r="P56" s="71">
        <f t="shared" ca="1" si="69"/>
        <v>3.6110696148141437</v>
      </c>
      <c r="Q56" s="71">
        <f t="shared" ca="1" si="69"/>
        <v>3.6110696148141437</v>
      </c>
      <c r="R56" s="71">
        <f t="shared" ca="1" si="69"/>
        <v>3.6110696148141437</v>
      </c>
      <c r="S56" s="71">
        <f t="shared" ca="1" si="69"/>
        <v>3.6110696148141437</v>
      </c>
      <c r="T56" s="71">
        <f t="shared" si="69"/>
        <v>0</v>
      </c>
      <c r="U56" s="71">
        <f t="shared" si="69"/>
        <v>0</v>
      </c>
      <c r="V56" s="71">
        <f t="shared" si="69"/>
        <v>0</v>
      </c>
      <c r="W56" s="71">
        <f t="shared" si="69"/>
        <v>0</v>
      </c>
      <c r="X56" s="71">
        <f t="shared" si="69"/>
        <v>0</v>
      </c>
      <c r="Y56" s="71">
        <f t="shared" si="69"/>
        <v>0</v>
      </c>
    </row>
    <row r="57" spans="2:237" x14ac:dyDescent="0.3">
      <c r="B57" s="70" t="s">
        <v>44</v>
      </c>
      <c r="C57" s="71">
        <f>+SUMIFS($C$50:$IC$50,$C$22:$IC$22,C54)</f>
        <v>0</v>
      </c>
      <c r="D57" s="71">
        <f t="shared" ref="D57:Y57" ca="1" si="70">+SUMIFS($C$50:$IC$50,$C$22:$IC$22,D54)</f>
        <v>1.7152580670367117</v>
      </c>
      <c r="E57" s="71">
        <f t="shared" ca="1" si="70"/>
        <v>5.0171298460823364</v>
      </c>
      <c r="F57" s="71">
        <f t="shared" ca="1" si="70"/>
        <v>4.6740782326750043</v>
      </c>
      <c r="G57" s="71">
        <f t="shared" ca="1" si="70"/>
        <v>4.3310266192676758</v>
      </c>
      <c r="H57" s="71">
        <f t="shared" ca="1" si="70"/>
        <v>3.9879750058603221</v>
      </c>
      <c r="I57" s="71">
        <f t="shared" ca="1" si="70"/>
        <v>3.6449233924529887</v>
      </c>
      <c r="J57" s="71">
        <f t="shared" ca="1" si="70"/>
        <v>3.3018717790456384</v>
      </c>
      <c r="K57" s="71">
        <f t="shared" ca="1" si="70"/>
        <v>2.958820165638306</v>
      </c>
      <c r="L57" s="71">
        <f t="shared" ca="1" si="70"/>
        <v>2.615768552230977</v>
      </c>
      <c r="M57" s="71">
        <f t="shared" ca="1" si="70"/>
        <v>2.2727169388236228</v>
      </c>
      <c r="N57" s="71">
        <f t="shared" ca="1" si="70"/>
        <v>1.9296653254162897</v>
      </c>
      <c r="O57" s="71">
        <f t="shared" ca="1" si="70"/>
        <v>1.5866137120089399</v>
      </c>
      <c r="P57" s="71">
        <f t="shared" ca="1" si="70"/>
        <v>1.2435620986016072</v>
      </c>
      <c r="Q57" s="71">
        <f t="shared" ca="1" si="70"/>
        <v>0.90051048519427823</v>
      </c>
      <c r="R57" s="71">
        <f t="shared" ca="1" si="70"/>
        <v>0.55745887178692366</v>
      </c>
      <c r="S57" s="71">
        <f ca="1">+SUMIFS($C$50:$IC$50,$C$22:$IC$22,S54)</f>
        <v>0.21440725837957736</v>
      </c>
      <c r="T57" s="71">
        <f t="shared" si="70"/>
        <v>0</v>
      </c>
      <c r="U57" s="71">
        <f t="shared" si="70"/>
        <v>0</v>
      </c>
      <c r="V57" s="71">
        <f t="shared" si="70"/>
        <v>0</v>
      </c>
      <c r="W57" s="71">
        <f t="shared" si="70"/>
        <v>0</v>
      </c>
      <c r="X57" s="71">
        <f t="shared" si="70"/>
        <v>0</v>
      </c>
      <c r="Y57" s="71">
        <f t="shared" si="70"/>
        <v>0</v>
      </c>
    </row>
    <row r="58" spans="2:237" x14ac:dyDescent="0.3">
      <c r="B58" s="70"/>
      <c r="D58" s="3"/>
      <c r="E58" s="3"/>
      <c r="F58" s="3"/>
      <c r="G58" s="71"/>
    </row>
    <row r="59" spans="2:237" x14ac:dyDescent="0.3">
      <c r="B59" s="70" t="s">
        <v>210</v>
      </c>
      <c r="C59">
        <v>0</v>
      </c>
      <c r="D59" s="3">
        <v>1</v>
      </c>
      <c r="E59" s="3">
        <f>D59+1</f>
        <v>2</v>
      </c>
      <c r="F59" s="3">
        <f t="shared" ref="F59:Y59" si="71">E59+1</f>
        <v>3</v>
      </c>
      <c r="G59" s="3">
        <f t="shared" si="71"/>
        <v>4</v>
      </c>
      <c r="H59" s="3">
        <f t="shared" si="71"/>
        <v>5</v>
      </c>
      <c r="I59" s="3">
        <f t="shared" si="71"/>
        <v>6</v>
      </c>
      <c r="J59" s="3">
        <f t="shared" si="71"/>
        <v>7</v>
      </c>
      <c r="K59" s="3">
        <f t="shared" si="71"/>
        <v>8</v>
      </c>
      <c r="L59" s="3">
        <f t="shared" si="71"/>
        <v>9</v>
      </c>
      <c r="M59" s="3">
        <f t="shared" si="71"/>
        <v>10</v>
      </c>
      <c r="N59" s="3">
        <f t="shared" si="71"/>
        <v>11</v>
      </c>
      <c r="O59" s="3">
        <f t="shared" si="71"/>
        <v>12</v>
      </c>
      <c r="P59" s="3">
        <f t="shared" si="71"/>
        <v>13</v>
      </c>
      <c r="Q59" s="3">
        <f t="shared" si="71"/>
        <v>14</v>
      </c>
      <c r="R59" s="3">
        <f t="shared" si="71"/>
        <v>15</v>
      </c>
      <c r="S59" s="3">
        <f t="shared" si="71"/>
        <v>16</v>
      </c>
      <c r="T59" s="3">
        <f t="shared" si="71"/>
        <v>17</v>
      </c>
      <c r="U59" s="3">
        <f t="shared" si="71"/>
        <v>18</v>
      </c>
      <c r="V59" s="3">
        <f t="shared" si="71"/>
        <v>19</v>
      </c>
      <c r="W59" s="3">
        <f t="shared" si="71"/>
        <v>20</v>
      </c>
      <c r="X59" s="3">
        <f t="shared" si="71"/>
        <v>21</v>
      </c>
      <c r="Y59" s="3">
        <f t="shared" si="71"/>
        <v>22</v>
      </c>
    </row>
    <row r="60" spans="2:237" x14ac:dyDescent="0.3">
      <c r="B60" s="70" t="s">
        <v>36</v>
      </c>
      <c r="C60" s="71">
        <f ca="1">SUMIFS($C$44:$IC$44,$C$25:$IC$25,C59)</f>
        <v>3.402607176145759</v>
      </c>
      <c r="D60" s="71">
        <f t="shared" ref="D60:Y60" si="72">SUMIFS($C$44:$IC$44,$C$25:$IC$25,D59)</f>
        <v>0</v>
      </c>
      <c r="E60" s="71">
        <f t="shared" si="72"/>
        <v>0</v>
      </c>
      <c r="F60" s="71">
        <f t="shared" si="72"/>
        <v>0</v>
      </c>
      <c r="G60" s="71">
        <f t="shared" si="72"/>
        <v>0</v>
      </c>
      <c r="H60" s="71">
        <f t="shared" si="72"/>
        <v>0</v>
      </c>
      <c r="I60" s="71">
        <f t="shared" si="72"/>
        <v>0</v>
      </c>
      <c r="J60" s="71">
        <f t="shared" si="72"/>
        <v>0</v>
      </c>
      <c r="K60" s="71">
        <f t="shared" si="72"/>
        <v>0</v>
      </c>
      <c r="L60" s="71">
        <f t="shared" si="72"/>
        <v>0</v>
      </c>
      <c r="M60" s="71">
        <f t="shared" si="72"/>
        <v>0</v>
      </c>
      <c r="N60" s="71">
        <f t="shared" si="72"/>
        <v>0</v>
      </c>
      <c r="O60" s="71">
        <f t="shared" si="72"/>
        <v>0</v>
      </c>
      <c r="P60" s="71">
        <f t="shared" si="72"/>
        <v>0</v>
      </c>
      <c r="Q60" s="71">
        <f t="shared" si="72"/>
        <v>0</v>
      </c>
      <c r="R60" s="71">
        <f t="shared" si="72"/>
        <v>0</v>
      </c>
      <c r="S60" s="71">
        <f t="shared" si="72"/>
        <v>0</v>
      </c>
      <c r="T60" s="71">
        <f t="shared" si="72"/>
        <v>0</v>
      </c>
      <c r="U60" s="71">
        <f t="shared" si="72"/>
        <v>0</v>
      </c>
      <c r="V60" s="71">
        <f t="shared" si="72"/>
        <v>0</v>
      </c>
      <c r="W60" s="71">
        <f t="shared" si="72"/>
        <v>0</v>
      </c>
      <c r="X60" s="71">
        <f t="shared" si="72"/>
        <v>0</v>
      </c>
      <c r="Y60" s="71">
        <f t="shared" si="72"/>
        <v>0</v>
      </c>
    </row>
    <row r="61" spans="2:237" x14ac:dyDescent="0.3">
      <c r="B61" s="70" t="s">
        <v>142</v>
      </c>
      <c r="C61" s="71">
        <f ca="1">+SUMIFS($C$48:$IC$48,$C$25:$IC$25,C59)</f>
        <v>0</v>
      </c>
      <c r="D61" s="71">
        <f ca="1">+SUMIFS($C$48:$IC$48,$C$25:$IC$25,D59)</f>
        <v>3.6110696148141437</v>
      </c>
      <c r="E61" s="71">
        <f t="shared" ref="E61:Y61" ca="1" si="73">+SUMIFS($C$48:$IC$48,$C$25:$IC$25,E59)</f>
        <v>3.6110696148141437</v>
      </c>
      <c r="F61" s="71">
        <f t="shared" ca="1" si="73"/>
        <v>3.6110696148141437</v>
      </c>
      <c r="G61" s="71">
        <f t="shared" ca="1" si="73"/>
        <v>3.6110696148141437</v>
      </c>
      <c r="H61" s="71">
        <f t="shared" ca="1" si="73"/>
        <v>3.6110696148141437</v>
      </c>
      <c r="I61" s="71">
        <f t="shared" ca="1" si="73"/>
        <v>3.6110696148141437</v>
      </c>
      <c r="J61" s="71">
        <f t="shared" ca="1" si="73"/>
        <v>3.6110696148141437</v>
      </c>
      <c r="K61" s="71">
        <f ca="1">+SUMIFS($C$48:$IC$48,$C$25:$IC$25,K59)</f>
        <v>3.6110696148141437</v>
      </c>
      <c r="L61" s="71">
        <f t="shared" ca="1" si="73"/>
        <v>3.6110696148141437</v>
      </c>
      <c r="M61" s="71">
        <f t="shared" ca="1" si="73"/>
        <v>3.6110696148141437</v>
      </c>
      <c r="N61" s="71">
        <f t="shared" ca="1" si="73"/>
        <v>3.6110696148141437</v>
      </c>
      <c r="O61" s="71">
        <f t="shared" ca="1" si="73"/>
        <v>3.6110696148141437</v>
      </c>
      <c r="P61" s="71">
        <f t="shared" ca="1" si="73"/>
        <v>3.6110696148141437</v>
      </c>
      <c r="Q61" s="71">
        <f t="shared" ca="1" si="73"/>
        <v>3.6110696148141437</v>
      </c>
      <c r="R61" s="71">
        <f t="shared" ca="1" si="73"/>
        <v>3.6110696148141437</v>
      </c>
      <c r="S61" s="71">
        <f t="shared" si="73"/>
        <v>0</v>
      </c>
      <c r="T61" s="71">
        <f t="shared" si="73"/>
        <v>0</v>
      </c>
      <c r="U61" s="71">
        <f t="shared" si="73"/>
        <v>0</v>
      </c>
      <c r="V61" s="71">
        <f t="shared" si="73"/>
        <v>0</v>
      </c>
      <c r="W61" s="71">
        <f t="shared" si="73"/>
        <v>0</v>
      </c>
      <c r="X61" s="71">
        <f t="shared" si="73"/>
        <v>0</v>
      </c>
      <c r="Y61" s="71">
        <f t="shared" si="73"/>
        <v>0</v>
      </c>
    </row>
    <row r="62" spans="2:237" x14ac:dyDescent="0.3">
      <c r="B62" s="70" t="s">
        <v>44</v>
      </c>
      <c r="C62" s="71">
        <f ca="1">+SUMIFS($C$50:$IC$50,$C$25:$IC$25,C59)</f>
        <v>1.5331994932902647E-14</v>
      </c>
      <c r="D62" s="71">
        <f t="shared" ref="D62:Y62" ca="1" si="74">+SUMIFS($C$50:$IC$50,$C$25:$IC$25,D59)</f>
        <v>5.1314803838848002</v>
      </c>
      <c r="E62" s="71">
        <f t="shared" ca="1" si="74"/>
        <v>4.7884287704774575</v>
      </c>
      <c r="F62" s="71">
        <f t="shared" ca="1" si="74"/>
        <v>4.4453771570701077</v>
      </c>
      <c r="G62" s="71">
        <f t="shared" ca="1" si="74"/>
        <v>4.1023255436627686</v>
      </c>
      <c r="H62" s="71">
        <f t="shared" ca="1" si="74"/>
        <v>3.759273930255425</v>
      </c>
      <c r="I62" s="71">
        <f t="shared" ca="1" si="74"/>
        <v>3.4162223168481023</v>
      </c>
      <c r="J62" s="71">
        <f t="shared" ca="1" si="74"/>
        <v>3.0731707034407596</v>
      </c>
      <c r="K62" s="71">
        <f t="shared" ca="1" si="74"/>
        <v>2.7301190900334089</v>
      </c>
      <c r="L62" s="71">
        <f t="shared" ca="1" si="74"/>
        <v>2.3870674766260698</v>
      </c>
      <c r="M62" s="71">
        <f t="shared" ca="1" si="74"/>
        <v>2.0440158632187262</v>
      </c>
      <c r="N62" s="71">
        <f t="shared" ca="1" si="74"/>
        <v>1.7009642498114037</v>
      </c>
      <c r="O62" s="71">
        <f t="shared" ca="1" si="74"/>
        <v>1.3579126364040606</v>
      </c>
      <c r="P62" s="71">
        <f t="shared" ca="1" si="74"/>
        <v>1.0148610229967101</v>
      </c>
      <c r="Q62" s="71">
        <f t="shared" ca="1" si="74"/>
        <v>0.67180940958937041</v>
      </c>
      <c r="R62" s="71">
        <f t="shared" ca="1" si="74"/>
        <v>0.32875779618202711</v>
      </c>
      <c r="S62" s="71">
        <f t="shared" si="74"/>
        <v>0</v>
      </c>
      <c r="T62" s="71">
        <f t="shared" si="74"/>
        <v>0</v>
      </c>
      <c r="U62" s="71">
        <f t="shared" si="74"/>
        <v>0</v>
      </c>
      <c r="V62" s="71">
        <f t="shared" si="74"/>
        <v>0</v>
      </c>
      <c r="W62" s="71">
        <f t="shared" si="74"/>
        <v>0</v>
      </c>
      <c r="X62" s="71">
        <f t="shared" si="74"/>
        <v>0</v>
      </c>
      <c r="Y62" s="71">
        <f t="shared" si="74"/>
        <v>0</v>
      </c>
    </row>
    <row r="63" spans="2:237" x14ac:dyDescent="0.3">
      <c r="B63" s="316"/>
      <c r="C63" s="316"/>
      <c r="D63" s="316"/>
      <c r="E63" s="316"/>
      <c r="F63" s="316"/>
      <c r="G63" s="316"/>
      <c r="H63" s="316"/>
      <c r="I63" s="316"/>
      <c r="J63" s="316"/>
      <c r="K63" s="316"/>
    </row>
    <row r="64" spans="2:237" s="6" customFormat="1" x14ac:dyDescent="0.3"/>
    <row r="65" spans="2:8" x14ac:dyDescent="0.3">
      <c r="B65" s="39"/>
      <c r="E65" s="3"/>
      <c r="F65" s="3"/>
      <c r="G65" s="71"/>
      <c r="H65" s="3"/>
    </row>
    <row r="66" spans="2:8" x14ac:dyDescent="0.3">
      <c r="B66" s="39"/>
      <c r="E66" s="3"/>
      <c r="F66" s="3"/>
      <c r="G66" s="71"/>
      <c r="H66" s="3"/>
    </row>
    <row r="67" spans="2:8" x14ac:dyDescent="0.3">
      <c r="B67" s="39"/>
      <c r="E67" s="3"/>
      <c r="F67" s="3"/>
      <c r="G67" s="71"/>
      <c r="H67" s="3"/>
    </row>
    <row r="68" spans="2:8" x14ac:dyDescent="0.3">
      <c r="B68" s="39"/>
      <c r="E68" s="3"/>
      <c r="F68" s="3"/>
      <c r="G68" s="71"/>
      <c r="H68" s="3"/>
    </row>
    <row r="69" spans="2:8" x14ac:dyDescent="0.3">
      <c r="B69" s="39"/>
      <c r="E69" s="3"/>
      <c r="F69" s="3"/>
      <c r="G69" s="71"/>
      <c r="H69" s="3"/>
    </row>
    <row r="70" spans="2:8" x14ac:dyDescent="0.3">
      <c r="B70" s="39"/>
      <c r="E70" s="3"/>
      <c r="F70" s="3"/>
      <c r="G70" s="71"/>
      <c r="H70" s="3"/>
    </row>
    <row r="71" spans="2:8" x14ac:dyDescent="0.3">
      <c r="B71" s="39"/>
      <c r="E71" s="3"/>
      <c r="F71" s="3"/>
      <c r="G71" s="71"/>
      <c r="H71" s="3"/>
    </row>
    <row r="72" spans="2:8" x14ac:dyDescent="0.3">
      <c r="B72" s="39"/>
      <c r="E72" s="3"/>
      <c r="F72" s="3"/>
      <c r="G72" s="71"/>
      <c r="H72" s="3"/>
    </row>
    <row r="73" spans="2:8" x14ac:dyDescent="0.3">
      <c r="B73" s="39"/>
      <c r="E73" s="3"/>
      <c r="F73" s="3"/>
      <c r="G73" s="71"/>
      <c r="H73" s="3"/>
    </row>
    <row r="74" spans="2:8" x14ac:dyDescent="0.3">
      <c r="B74" s="39"/>
      <c r="E74" s="3"/>
      <c r="F74" s="3"/>
      <c r="G74" s="71"/>
      <c r="H74" s="3"/>
    </row>
    <row r="75" spans="2:8" x14ac:dyDescent="0.3">
      <c r="B75" s="39"/>
      <c r="E75" s="3"/>
      <c r="F75" s="3"/>
      <c r="G75" s="71"/>
      <c r="H75" s="3"/>
    </row>
    <row r="76" spans="2:8" x14ac:dyDescent="0.3">
      <c r="B76" s="39"/>
      <c r="E76" s="3"/>
      <c r="F76" s="3"/>
      <c r="G76" s="71"/>
      <c r="H76" s="3"/>
    </row>
    <row r="77" spans="2:8" x14ac:dyDescent="0.3">
      <c r="B77" s="39"/>
      <c r="E77" s="3"/>
      <c r="F77" s="3"/>
      <c r="G77" s="71"/>
      <c r="H77" s="3"/>
    </row>
    <row r="78" spans="2:8" x14ac:dyDescent="0.3">
      <c r="B78" s="39"/>
      <c r="E78" s="3"/>
      <c r="F78" s="3"/>
      <c r="G78" s="71"/>
      <c r="H78" s="3"/>
    </row>
    <row r="79" spans="2:8" x14ac:dyDescent="0.3">
      <c r="B79" s="39"/>
      <c r="E79" s="3"/>
      <c r="F79" s="3"/>
      <c r="G79" s="71"/>
      <c r="H79" s="3"/>
    </row>
    <row r="80" spans="2:8" x14ac:dyDescent="0.3">
      <c r="B80" s="39"/>
      <c r="E80" s="3"/>
      <c r="F80" s="3"/>
      <c r="G80" s="71"/>
      <c r="H80" s="3"/>
    </row>
    <row r="81" spans="2:8" x14ac:dyDescent="0.3">
      <c r="B81" s="39"/>
      <c r="E81" s="3"/>
      <c r="F81" s="3"/>
      <c r="G81" s="71"/>
      <c r="H81" s="3"/>
    </row>
    <row r="82" spans="2:8" x14ac:dyDescent="0.3">
      <c r="B82" s="39"/>
      <c r="E82" s="3"/>
      <c r="F82" s="3"/>
      <c r="G82" s="71"/>
      <c r="H82" s="3"/>
    </row>
    <row r="83" spans="2:8" x14ac:dyDescent="0.3">
      <c r="B83" s="39"/>
      <c r="E83" s="3"/>
      <c r="F83" s="3"/>
      <c r="G83" s="71"/>
      <c r="H83" s="3"/>
    </row>
    <row r="84" spans="2:8" x14ac:dyDescent="0.3">
      <c r="B84" s="39"/>
      <c r="E84" s="3"/>
      <c r="F84" s="3"/>
      <c r="G84" s="71"/>
      <c r="H84" s="3"/>
    </row>
    <row r="85" spans="2:8" x14ac:dyDescent="0.3">
      <c r="B85" s="39"/>
      <c r="E85" s="3"/>
      <c r="F85" s="3"/>
      <c r="G85" s="71"/>
      <c r="H85" s="3"/>
    </row>
    <row r="86" spans="2:8" x14ac:dyDescent="0.3">
      <c r="B86" s="39"/>
      <c r="E86" s="3"/>
      <c r="F86" s="3"/>
      <c r="G86" s="71"/>
      <c r="H86" s="3"/>
    </row>
    <row r="87" spans="2:8" x14ac:dyDescent="0.3">
      <c r="B87" s="39"/>
      <c r="E87" s="3"/>
      <c r="F87" s="3"/>
      <c r="G87" s="71"/>
      <c r="H87" s="3"/>
    </row>
    <row r="88" spans="2:8" x14ac:dyDescent="0.3">
      <c r="B88" s="39"/>
      <c r="E88" s="3"/>
      <c r="F88" s="3"/>
      <c r="G88" s="71"/>
      <c r="H88" s="3"/>
    </row>
    <row r="89" spans="2:8" x14ac:dyDescent="0.3">
      <c r="B89" s="39"/>
      <c r="E89" s="3"/>
      <c r="F89" s="3"/>
      <c r="G89" s="71"/>
      <c r="H89" s="3"/>
    </row>
    <row r="90" spans="2:8" x14ac:dyDescent="0.3">
      <c r="B90" s="39"/>
      <c r="E90" s="3"/>
      <c r="F90" s="3"/>
      <c r="G90" s="71"/>
      <c r="H90" s="3"/>
    </row>
    <row r="91" spans="2:8" x14ac:dyDescent="0.3">
      <c r="B91" s="39"/>
      <c r="E91" s="3"/>
      <c r="F91" s="3"/>
      <c r="G91" s="71"/>
      <c r="H91" s="3"/>
    </row>
    <row r="92" spans="2:8" x14ac:dyDescent="0.3">
      <c r="B92" s="39"/>
      <c r="E92" s="3"/>
      <c r="F92" s="3"/>
      <c r="G92" s="71"/>
      <c r="H92" s="3"/>
    </row>
    <row r="93" spans="2:8" x14ac:dyDescent="0.3">
      <c r="B93" s="39"/>
      <c r="E93" s="3"/>
      <c r="F93" s="3"/>
      <c r="G93" s="71"/>
      <c r="H93" s="3"/>
    </row>
    <row r="94" spans="2:8" x14ac:dyDescent="0.3">
      <c r="B94" s="39"/>
      <c r="E94" s="3"/>
      <c r="F94" s="3"/>
      <c r="G94" s="71"/>
      <c r="H94" s="3"/>
    </row>
    <row r="95" spans="2:8" x14ac:dyDescent="0.3">
      <c r="B95" s="39"/>
      <c r="E95" s="3"/>
      <c r="F95" s="3"/>
      <c r="G95" s="71"/>
      <c r="H95" s="3"/>
    </row>
    <row r="96" spans="2:8" x14ac:dyDescent="0.3">
      <c r="B96" s="39"/>
      <c r="E96" s="3"/>
      <c r="F96" s="3"/>
      <c r="G96" s="71"/>
      <c r="H96" s="3"/>
    </row>
    <row r="97" spans="2:8" x14ac:dyDescent="0.3">
      <c r="B97" s="39"/>
      <c r="E97" s="3"/>
      <c r="F97" s="3"/>
      <c r="G97" s="71"/>
      <c r="H97" s="3"/>
    </row>
    <row r="98" spans="2:8" x14ac:dyDescent="0.3">
      <c r="B98" s="39"/>
      <c r="E98" s="3"/>
      <c r="F98" s="3"/>
      <c r="G98" s="71"/>
      <c r="H98" s="3"/>
    </row>
    <row r="99" spans="2:8" x14ac:dyDescent="0.3">
      <c r="B99" s="39"/>
      <c r="E99" s="3"/>
      <c r="F99" s="3"/>
      <c r="G99" s="71"/>
      <c r="H99" s="3"/>
    </row>
    <row r="100" spans="2:8" x14ac:dyDescent="0.3">
      <c r="B100" s="39"/>
      <c r="E100" s="3"/>
      <c r="F100" s="3"/>
      <c r="G100" s="71"/>
      <c r="H100" s="3"/>
    </row>
    <row r="101" spans="2:8" x14ac:dyDescent="0.3">
      <c r="B101" s="39"/>
      <c r="E101" s="3"/>
      <c r="F101" s="3"/>
      <c r="G101" s="71"/>
      <c r="H101" s="3"/>
    </row>
    <row r="102" spans="2:8" x14ac:dyDescent="0.3">
      <c r="B102" s="39"/>
      <c r="E102" s="3"/>
      <c r="F102" s="3"/>
      <c r="G102" s="71"/>
      <c r="H102" s="3"/>
    </row>
    <row r="103" spans="2:8" x14ac:dyDescent="0.3">
      <c r="B103" s="39"/>
      <c r="E103" s="3"/>
      <c r="F103" s="3"/>
      <c r="G103" s="71"/>
      <c r="H103" s="3"/>
    </row>
    <row r="104" spans="2:8" x14ac:dyDescent="0.3">
      <c r="B104" s="39"/>
      <c r="E104" s="3"/>
      <c r="F104" s="3"/>
      <c r="G104" s="71"/>
      <c r="H104" s="3"/>
    </row>
    <row r="105" spans="2:8" x14ac:dyDescent="0.3">
      <c r="B105" s="39"/>
      <c r="E105" s="3"/>
      <c r="F105" s="3"/>
      <c r="G105" s="71"/>
      <c r="H105" s="3"/>
    </row>
    <row r="106" spans="2:8" x14ac:dyDescent="0.3">
      <c r="B106" s="39"/>
      <c r="E106" s="3"/>
      <c r="F106" s="3"/>
      <c r="G106" s="71"/>
      <c r="H106" s="3"/>
    </row>
    <row r="107" spans="2:8" x14ac:dyDescent="0.3">
      <c r="B107" s="39"/>
      <c r="E107" s="3"/>
      <c r="F107" s="3"/>
      <c r="G107" s="71"/>
      <c r="H107" s="3"/>
    </row>
    <row r="108" spans="2:8" x14ac:dyDescent="0.3">
      <c r="B108" s="39"/>
      <c r="E108" s="3"/>
      <c r="F108" s="3"/>
      <c r="G108" s="71"/>
      <c r="H108" s="3"/>
    </row>
    <row r="109" spans="2:8" x14ac:dyDescent="0.3">
      <c r="B109" s="39"/>
      <c r="E109" s="3"/>
      <c r="F109" s="3"/>
      <c r="G109" s="71"/>
      <c r="H109" s="3"/>
    </row>
    <row r="110" spans="2:8" x14ac:dyDescent="0.3">
      <c r="B110" s="39"/>
      <c r="E110" s="3"/>
      <c r="F110" s="3"/>
      <c r="G110" s="71"/>
      <c r="H110" s="3"/>
    </row>
    <row r="111" spans="2:8" x14ac:dyDescent="0.3">
      <c r="B111" s="39"/>
      <c r="E111" s="3"/>
      <c r="F111" s="3"/>
      <c r="G111" s="71"/>
      <c r="H111" s="3"/>
    </row>
    <row r="112" spans="2:8" x14ac:dyDescent="0.3">
      <c r="B112" s="39"/>
      <c r="E112" s="3"/>
      <c r="F112" s="3"/>
      <c r="G112" s="71"/>
      <c r="H112" s="3"/>
    </row>
    <row r="113" spans="2:8" x14ac:dyDescent="0.3">
      <c r="B113" s="39"/>
      <c r="E113" s="3"/>
      <c r="F113" s="3"/>
      <c r="G113" s="71"/>
      <c r="H113" s="3"/>
    </row>
    <row r="114" spans="2:8" x14ac:dyDescent="0.3">
      <c r="B114" s="39"/>
      <c r="E114" s="3"/>
      <c r="F114" s="3"/>
      <c r="G114" s="71"/>
      <c r="H114" s="3"/>
    </row>
    <row r="115" spans="2:8" x14ac:dyDescent="0.3">
      <c r="B115" s="39"/>
      <c r="E115" s="3"/>
      <c r="F115" s="3"/>
      <c r="G115" s="71"/>
      <c r="H115" s="3"/>
    </row>
    <row r="116" spans="2:8" x14ac:dyDescent="0.3">
      <c r="B116" s="39"/>
      <c r="E116" s="3"/>
      <c r="F116" s="3"/>
      <c r="G116" s="71"/>
      <c r="H116" s="3"/>
    </row>
    <row r="117" spans="2:8" x14ac:dyDescent="0.3">
      <c r="B117" s="39"/>
      <c r="E117" s="3"/>
      <c r="F117" s="3"/>
      <c r="G117" s="71"/>
      <c r="H117" s="3"/>
    </row>
    <row r="118" spans="2:8" x14ac:dyDescent="0.3">
      <c r="B118" s="39"/>
      <c r="E118" s="3"/>
      <c r="F118" s="3"/>
      <c r="G118" s="71"/>
      <c r="H118" s="3"/>
    </row>
    <row r="119" spans="2:8" x14ac:dyDescent="0.3">
      <c r="B119" s="39"/>
      <c r="E119" s="3"/>
      <c r="F119" s="3"/>
      <c r="G119" s="71"/>
      <c r="H119" s="3"/>
    </row>
    <row r="120" spans="2:8" x14ac:dyDescent="0.3">
      <c r="B120" s="39"/>
      <c r="E120" s="3"/>
      <c r="F120" s="3"/>
      <c r="G120" s="71"/>
      <c r="H120" s="3"/>
    </row>
    <row r="121" spans="2:8" x14ac:dyDescent="0.3">
      <c r="B121" s="39"/>
      <c r="E121" s="3"/>
      <c r="F121" s="3"/>
      <c r="G121" s="71"/>
      <c r="H121" s="3"/>
    </row>
    <row r="122" spans="2:8" x14ac:dyDescent="0.3">
      <c r="B122" s="39"/>
      <c r="E122" s="3"/>
      <c r="F122" s="3"/>
      <c r="G122" s="71"/>
      <c r="H122" s="3"/>
    </row>
    <row r="123" spans="2:8" x14ac:dyDescent="0.3">
      <c r="B123" s="39"/>
      <c r="E123" s="3"/>
      <c r="F123" s="3"/>
      <c r="G123" s="71"/>
      <c r="H123" s="3"/>
    </row>
    <row r="124" spans="2:8" x14ac:dyDescent="0.3">
      <c r="B124" s="39"/>
      <c r="E124" s="3"/>
      <c r="F124" s="3"/>
      <c r="G124" s="71"/>
      <c r="H124" s="3"/>
    </row>
    <row r="125" spans="2:8" x14ac:dyDescent="0.3">
      <c r="B125" s="39"/>
      <c r="E125" s="3"/>
      <c r="F125" s="3"/>
      <c r="G125" s="71"/>
      <c r="H125" s="3"/>
    </row>
    <row r="126" spans="2:8" x14ac:dyDescent="0.3">
      <c r="B126" s="44"/>
      <c r="C126" s="6"/>
      <c r="D126" s="6"/>
      <c r="E126" s="72"/>
      <c r="F126" s="72"/>
      <c r="G126" s="71"/>
      <c r="H126" s="72"/>
    </row>
    <row r="127" spans="2:8" x14ac:dyDescent="0.3">
      <c r="B127" s="39"/>
      <c r="E127" s="3"/>
      <c r="F127" s="3"/>
      <c r="G127" s="71"/>
      <c r="H127" s="3"/>
    </row>
    <row r="128" spans="2:8" x14ac:dyDescent="0.3">
      <c r="B128" s="39"/>
      <c r="E128" s="3"/>
      <c r="F128" s="3"/>
      <c r="G128" s="71"/>
      <c r="H128" s="3"/>
    </row>
    <row r="129" spans="2:8" x14ac:dyDescent="0.3">
      <c r="B129" s="39"/>
      <c r="E129" s="3"/>
      <c r="F129" s="3"/>
      <c r="G129" s="71"/>
      <c r="H129" s="3"/>
    </row>
    <row r="130" spans="2:8" x14ac:dyDescent="0.3">
      <c r="B130" s="39"/>
      <c r="E130" s="3"/>
      <c r="F130" s="3"/>
      <c r="G130" s="71"/>
      <c r="H130" s="3"/>
    </row>
    <row r="131" spans="2:8" x14ac:dyDescent="0.3">
      <c r="B131" s="39"/>
      <c r="E131" s="3"/>
      <c r="F131" s="3"/>
      <c r="G131" s="71"/>
      <c r="H131" s="3"/>
    </row>
    <row r="132" spans="2:8" x14ac:dyDescent="0.3">
      <c r="B132" s="39"/>
      <c r="E132" s="3"/>
      <c r="F132" s="3"/>
      <c r="G132" s="71"/>
      <c r="H132" s="3"/>
    </row>
    <row r="133" spans="2:8" x14ac:dyDescent="0.3">
      <c r="B133" s="39"/>
      <c r="E133" s="3"/>
      <c r="F133" s="3"/>
      <c r="G133" s="71"/>
      <c r="H133" s="3"/>
    </row>
    <row r="134" spans="2:8" x14ac:dyDescent="0.3">
      <c r="B134" s="39"/>
      <c r="E134" s="3"/>
      <c r="F134" s="3"/>
      <c r="G134" s="71"/>
      <c r="H134" s="3"/>
    </row>
    <row r="135" spans="2:8" x14ac:dyDescent="0.3">
      <c r="B135" s="39"/>
      <c r="E135" s="3"/>
      <c r="F135" s="3"/>
      <c r="G135" s="71"/>
      <c r="H135" s="3"/>
    </row>
    <row r="136" spans="2:8" x14ac:dyDescent="0.3">
      <c r="B136" s="39"/>
      <c r="E136" s="3"/>
      <c r="F136" s="3"/>
      <c r="G136" s="71"/>
      <c r="H136" s="3"/>
    </row>
    <row r="137" spans="2:8" x14ac:dyDescent="0.3">
      <c r="B137" s="39"/>
      <c r="E137" s="3"/>
      <c r="F137" s="3"/>
      <c r="G137" s="71"/>
      <c r="H137" s="3"/>
    </row>
    <row r="138" spans="2:8" x14ac:dyDescent="0.3">
      <c r="B138" s="39"/>
      <c r="E138" s="3"/>
      <c r="F138" s="3"/>
      <c r="G138" s="71"/>
      <c r="H138" s="3"/>
    </row>
    <row r="139" spans="2:8" x14ac:dyDescent="0.3">
      <c r="B139" s="39"/>
      <c r="E139" s="3"/>
      <c r="F139" s="3"/>
      <c r="G139" s="71"/>
      <c r="H139" s="3"/>
    </row>
    <row r="140" spans="2:8" x14ac:dyDescent="0.3">
      <c r="B140" s="39"/>
      <c r="E140" s="3"/>
      <c r="F140" s="3"/>
      <c r="G140" s="71"/>
      <c r="H140" s="3"/>
    </row>
    <row r="141" spans="2:8" x14ac:dyDescent="0.3">
      <c r="B141" s="39"/>
      <c r="E141" s="3"/>
      <c r="F141" s="3"/>
      <c r="G141" s="71"/>
      <c r="H141" s="3"/>
    </row>
    <row r="142" spans="2:8" x14ac:dyDescent="0.3">
      <c r="B142" s="39"/>
      <c r="E142" s="3"/>
      <c r="F142" s="3"/>
      <c r="G142" s="71"/>
      <c r="H142" s="3"/>
    </row>
    <row r="143" spans="2:8" x14ac:dyDescent="0.3">
      <c r="B143" s="39"/>
      <c r="E143" s="3"/>
      <c r="F143" s="3"/>
      <c r="G143" s="71"/>
      <c r="H143" s="3"/>
    </row>
    <row r="144" spans="2:8" x14ac:dyDescent="0.3">
      <c r="B144" s="39"/>
      <c r="E144" s="3"/>
      <c r="F144" s="3"/>
      <c r="G144" s="71"/>
      <c r="H144" s="3"/>
    </row>
    <row r="145" spans="2:8" x14ac:dyDescent="0.3">
      <c r="B145" s="39"/>
      <c r="E145" s="3"/>
      <c r="F145" s="3"/>
      <c r="G145" s="71"/>
      <c r="H145" s="3"/>
    </row>
    <row r="146" spans="2:8" x14ac:dyDescent="0.3">
      <c r="B146" s="39"/>
      <c r="E146" s="3"/>
      <c r="F146" s="3"/>
      <c r="G146" s="71"/>
      <c r="H146" s="3"/>
    </row>
  </sheetData>
  <mergeCells count="3">
    <mergeCell ref="B63:K63"/>
    <mergeCell ref="B2:D2"/>
    <mergeCell ref="B10:D10"/>
  </mergeCells>
  <phoneticPr fontId="10" type="noConversion"/>
  <dataValidations disablePrompts="1" count="1">
    <dataValidation type="list" allowBlank="1" showInputMessage="1" showErrorMessage="1" sqref="C16" xr:uid="{B59C0CCD-7A90-4CDE-8B80-504C315391C0}">
      <formula1>"Monthly, Quarterly, Annually"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FF69-73F4-43DA-84D0-00F910EF59A2}">
  <sheetPr>
    <tabColor rgb="FFFF0000"/>
  </sheetPr>
  <dimension ref="A1:AB288"/>
  <sheetViews>
    <sheetView zoomScale="70" zoomScaleNormal="70" workbookViewId="0">
      <pane xSplit="2" ySplit="2" topLeftCell="C35" activePane="bottomRight" state="frozen"/>
      <selection pane="topRight" activeCell="C1" sqref="C1"/>
      <selection pane="bottomLeft" activeCell="A5" sqref="A5"/>
      <selection pane="bottomRight" activeCell="F37" sqref="F37"/>
    </sheetView>
  </sheetViews>
  <sheetFormatPr defaultRowHeight="14.4" x14ac:dyDescent="0.3"/>
  <cols>
    <col min="1" max="1" width="2" style="6" bestFit="1" customWidth="1"/>
    <col min="2" max="2" width="60.44140625" bestFit="1" customWidth="1"/>
    <col min="3" max="3" width="16.33203125" bestFit="1" customWidth="1"/>
    <col min="4" max="4" width="14" customWidth="1"/>
    <col min="5" max="5" width="10.44140625" bestFit="1" customWidth="1"/>
    <col min="6" max="6" width="15.33203125" bestFit="1" customWidth="1"/>
    <col min="7" max="20" width="15.44140625" bestFit="1" customWidth="1"/>
    <col min="21" max="21" width="12.44140625" bestFit="1" customWidth="1"/>
    <col min="22" max="22" width="5.88671875" bestFit="1" customWidth="1"/>
    <col min="23" max="28" width="5.77734375" bestFit="1" customWidth="1"/>
  </cols>
  <sheetData>
    <row r="1" spans="1:28" x14ac:dyDescent="0.3">
      <c r="B1" t="s">
        <v>167</v>
      </c>
      <c r="E1">
        <v>0</v>
      </c>
      <c r="F1">
        <f>IFERROR(IF(E1+1&lt;=Inputs!$D$4,E1+1,"-"),"-")</f>
        <v>1</v>
      </c>
      <c r="G1">
        <f>IFERROR(IF(F1+1&lt;=Inputs!$D$4,F1+1,"-"),"-")</f>
        <v>2</v>
      </c>
      <c r="H1">
        <f>IFERROR(IF(G1+1&lt;=Inputs!$D$4,G1+1,"-"),"-")</f>
        <v>3</v>
      </c>
      <c r="I1">
        <f>IFERROR(IF(H1+1&lt;=Inputs!$D$4,H1+1,"-"),"-")</f>
        <v>4</v>
      </c>
      <c r="J1">
        <f>IFERROR(IF(I1+1&lt;=Inputs!$D$4,I1+1,"-"),"-")</f>
        <v>5</v>
      </c>
      <c r="K1">
        <f>IFERROR(IF(J1+1&lt;=Inputs!$D$4,J1+1,"-"),"-")</f>
        <v>6</v>
      </c>
      <c r="L1">
        <f>IFERROR(IF(K1+1&lt;=Inputs!$D$4,K1+1,"-"),"-")</f>
        <v>7</v>
      </c>
      <c r="M1">
        <f>IFERROR(IF(L1+1&lt;=Inputs!$D$4,L1+1,"-"),"-")</f>
        <v>8</v>
      </c>
      <c r="N1">
        <f>IFERROR(IF(M1+1&lt;=Inputs!$D$4,M1+1,"-"),"-")</f>
        <v>9</v>
      </c>
      <c r="O1">
        <f>IFERROR(IF(N1+1&lt;=Inputs!$D$4,N1+1,"-"),"-")</f>
        <v>10</v>
      </c>
      <c r="P1">
        <f>IFERROR(IF(O1+1&lt;=Inputs!$D$4,O1+1,"-"),"-")</f>
        <v>11</v>
      </c>
      <c r="Q1">
        <f>IFERROR(IF(P1+1&lt;=Inputs!$D$4,P1+1,"-"),"-")</f>
        <v>12</v>
      </c>
      <c r="R1">
        <f>IFERROR(IF(Q1+1&lt;=Inputs!$D$4,Q1+1,"-"),"-")</f>
        <v>13</v>
      </c>
      <c r="S1">
        <f>IFERROR(IF(R1+1&lt;=Inputs!$D$4,R1+1,"-"),"-")</f>
        <v>14</v>
      </c>
      <c r="T1">
        <f>IFERROR(IF(S1+1&lt;=Inputs!$D$4,S1+1,"-"),"-")</f>
        <v>15</v>
      </c>
      <c r="U1" t="str">
        <f>IFERROR(IF(T1+1&lt;=Inputs!$D$4,T1+1,"-"),"-")</f>
        <v>-</v>
      </c>
      <c r="V1" t="str">
        <f>IFERROR(IF(U1+1&lt;=Inputs!$D$4,U1+1,"-"),"-")</f>
        <v>-</v>
      </c>
      <c r="W1" t="str">
        <f>IFERROR(IF(V1+1&lt;=Inputs!$D$4,V1+1,"-"),"-")</f>
        <v>-</v>
      </c>
      <c r="X1" t="str">
        <f>IFERROR(IF(W1+1&lt;=Inputs!$D$4,W1+1,"-"),"-")</f>
        <v>-</v>
      </c>
      <c r="Y1" t="str">
        <f>IFERROR(IF(X1+1&lt;=Inputs!$D$4,X1+1,"-"),"-")</f>
        <v>-</v>
      </c>
      <c r="Z1" t="str">
        <f>IFERROR(IF(Y1+1&lt;=Inputs!$D$4,Y1+1,"-"),"-")</f>
        <v>-</v>
      </c>
      <c r="AA1" t="str">
        <f>IFERROR(IF(Z1+1&lt;=Inputs!$D$4,Z1+1,"-"),"-")</f>
        <v>-</v>
      </c>
      <c r="AB1" t="str">
        <f>IFERROR(IF(AA1+1&lt;=Inputs!$D$4,AA1+1,"-"),"-")</f>
        <v>-</v>
      </c>
    </row>
    <row r="2" spans="1:28" ht="15" thickBot="1" x14ac:dyDescent="0.35">
      <c r="B2" t="s">
        <v>20</v>
      </c>
      <c r="E2" s="30">
        <f>Inputs!G5+1</f>
        <v>45992</v>
      </c>
      <c r="F2" s="30">
        <f>EOMONTH(E2,11)+1</f>
        <v>46357</v>
      </c>
      <c r="G2" s="30">
        <f t="shared" ref="G2:AB2" si="0">EOMONTH(F2,11)+1</f>
        <v>46722</v>
      </c>
      <c r="H2" s="30">
        <f t="shared" si="0"/>
        <v>47088</v>
      </c>
      <c r="I2" s="30">
        <f t="shared" si="0"/>
        <v>47453</v>
      </c>
      <c r="J2" s="30">
        <f t="shared" si="0"/>
        <v>47818</v>
      </c>
      <c r="K2" s="30">
        <f t="shared" si="0"/>
        <v>48183</v>
      </c>
      <c r="L2" s="30">
        <f t="shared" si="0"/>
        <v>48549</v>
      </c>
      <c r="M2" s="30">
        <f t="shared" si="0"/>
        <v>48914</v>
      </c>
      <c r="N2" s="30">
        <f t="shared" si="0"/>
        <v>49279</v>
      </c>
      <c r="O2" s="30">
        <f t="shared" si="0"/>
        <v>49644</v>
      </c>
      <c r="P2" s="30">
        <f t="shared" si="0"/>
        <v>50010</v>
      </c>
      <c r="Q2" s="30">
        <f t="shared" si="0"/>
        <v>50375</v>
      </c>
      <c r="R2" s="30">
        <f t="shared" si="0"/>
        <v>50740</v>
      </c>
      <c r="S2" s="30">
        <f t="shared" si="0"/>
        <v>51105</v>
      </c>
      <c r="T2" s="30">
        <f t="shared" si="0"/>
        <v>51471</v>
      </c>
      <c r="U2" s="30">
        <f t="shared" si="0"/>
        <v>51836</v>
      </c>
      <c r="V2" s="30">
        <f t="shared" si="0"/>
        <v>52201</v>
      </c>
      <c r="W2" s="30">
        <f t="shared" si="0"/>
        <v>52566</v>
      </c>
      <c r="X2" s="30">
        <f t="shared" si="0"/>
        <v>52932</v>
      </c>
      <c r="Y2" s="30">
        <f t="shared" si="0"/>
        <v>53297</v>
      </c>
      <c r="Z2" s="30">
        <f t="shared" si="0"/>
        <v>53662</v>
      </c>
      <c r="AA2" s="30">
        <f t="shared" si="0"/>
        <v>54027</v>
      </c>
      <c r="AB2" s="30">
        <f t="shared" si="0"/>
        <v>54393</v>
      </c>
    </row>
    <row r="3" spans="1:28" x14ac:dyDescent="0.3">
      <c r="E3" s="225"/>
      <c r="F3" s="226">
        <f>_xlfn.DAYS(F2,E2)</f>
        <v>365</v>
      </c>
      <c r="G3" s="226">
        <f t="shared" ref="G3:AB3" si="1">_xlfn.DAYS(G2,F2)</f>
        <v>365</v>
      </c>
      <c r="H3" s="226">
        <f t="shared" si="1"/>
        <v>366</v>
      </c>
      <c r="I3" s="226">
        <f t="shared" si="1"/>
        <v>365</v>
      </c>
      <c r="J3" s="226">
        <f t="shared" si="1"/>
        <v>365</v>
      </c>
      <c r="K3" s="226">
        <f t="shared" si="1"/>
        <v>365</v>
      </c>
      <c r="L3" s="226">
        <f t="shared" si="1"/>
        <v>366</v>
      </c>
      <c r="M3" s="226">
        <f t="shared" si="1"/>
        <v>365</v>
      </c>
      <c r="N3" s="226">
        <f t="shared" si="1"/>
        <v>365</v>
      </c>
      <c r="O3" s="226">
        <f t="shared" si="1"/>
        <v>365</v>
      </c>
      <c r="P3" s="226">
        <f t="shared" si="1"/>
        <v>366</v>
      </c>
      <c r="Q3" s="226">
        <f t="shared" si="1"/>
        <v>365</v>
      </c>
      <c r="R3" s="226">
        <f t="shared" si="1"/>
        <v>365</v>
      </c>
      <c r="S3" s="226">
        <f t="shared" si="1"/>
        <v>365</v>
      </c>
      <c r="T3" s="226">
        <f t="shared" si="1"/>
        <v>366</v>
      </c>
      <c r="U3" s="226">
        <f t="shared" si="1"/>
        <v>365</v>
      </c>
      <c r="V3" s="226">
        <f t="shared" si="1"/>
        <v>365</v>
      </c>
      <c r="W3" s="226">
        <f t="shared" si="1"/>
        <v>365</v>
      </c>
      <c r="X3" s="226">
        <f t="shared" si="1"/>
        <v>366</v>
      </c>
      <c r="Y3" s="226">
        <f t="shared" si="1"/>
        <v>365</v>
      </c>
      <c r="Z3" s="226">
        <f t="shared" si="1"/>
        <v>365</v>
      </c>
      <c r="AA3" s="226">
        <f t="shared" si="1"/>
        <v>365</v>
      </c>
      <c r="AB3" s="226">
        <f t="shared" si="1"/>
        <v>366</v>
      </c>
    </row>
    <row r="4" spans="1:28" x14ac:dyDescent="0.3"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</row>
    <row r="5" spans="1:28" ht="31.8" thickBot="1" x14ac:dyDescent="0.65">
      <c r="A5" s="6">
        <v>1</v>
      </c>
      <c r="B5" s="97" t="s">
        <v>115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</row>
    <row r="6" spans="1:28" ht="15" thickBot="1" x14ac:dyDescent="0.35">
      <c r="B6" s="12" t="s">
        <v>116</v>
      </c>
      <c r="C6" s="82">
        <v>0.05</v>
      </c>
      <c r="D6" s="11"/>
      <c r="E6" s="11"/>
      <c r="F6" s="46">
        <f>C6*'Project Cost Details'!G3/10^7</f>
        <v>1.8053999999999999</v>
      </c>
      <c r="G6" s="46">
        <f>IF(G1="-",0,F6*(1+G7))</f>
        <v>1.89567</v>
      </c>
      <c r="H6" s="46">
        <f t="shared" ref="H6:AB6" si="2">IF(H1="-",0,G6*(1+H7))</f>
        <v>1.9904535000000001</v>
      </c>
      <c r="I6" s="46">
        <f t="shared" si="2"/>
        <v>2.0899761750000003</v>
      </c>
      <c r="J6" s="46">
        <f t="shared" si="2"/>
        <v>2.1944749837500006</v>
      </c>
      <c r="K6" s="46">
        <f t="shared" si="2"/>
        <v>2.3041987329375009</v>
      </c>
      <c r="L6" s="46">
        <f t="shared" si="2"/>
        <v>2.4194086695843762</v>
      </c>
      <c r="M6" s="46">
        <f t="shared" si="2"/>
        <v>2.5403791030635952</v>
      </c>
      <c r="N6" s="46">
        <f t="shared" si="2"/>
        <v>2.6673980582167749</v>
      </c>
      <c r="O6" s="46">
        <f t="shared" si="2"/>
        <v>2.8007679611276139</v>
      </c>
      <c r="P6" s="46">
        <f t="shared" si="2"/>
        <v>2.9408063591839948</v>
      </c>
      <c r="Q6" s="46">
        <f t="shared" si="2"/>
        <v>3.0878466771431947</v>
      </c>
      <c r="R6" s="46">
        <f t="shared" si="2"/>
        <v>3.2422390110003545</v>
      </c>
      <c r="S6" s="46">
        <f t="shared" si="2"/>
        <v>3.4043509615503722</v>
      </c>
      <c r="T6" s="46">
        <f t="shared" si="2"/>
        <v>3.5745685096278907</v>
      </c>
      <c r="U6" s="46">
        <f t="shared" si="2"/>
        <v>0</v>
      </c>
      <c r="V6" s="46">
        <f t="shared" si="2"/>
        <v>0</v>
      </c>
      <c r="W6" s="46">
        <f t="shared" si="2"/>
        <v>0</v>
      </c>
      <c r="X6" s="46">
        <f t="shared" si="2"/>
        <v>0</v>
      </c>
      <c r="Y6" s="46">
        <f t="shared" si="2"/>
        <v>0</v>
      </c>
      <c r="Z6" s="46">
        <f t="shared" si="2"/>
        <v>0</v>
      </c>
      <c r="AA6" s="46">
        <f t="shared" si="2"/>
        <v>0</v>
      </c>
      <c r="AB6" s="46">
        <f t="shared" si="2"/>
        <v>0</v>
      </c>
    </row>
    <row r="7" spans="1:28" x14ac:dyDescent="0.3">
      <c r="B7" t="s">
        <v>117</v>
      </c>
      <c r="F7" s="22">
        <v>0</v>
      </c>
      <c r="G7" s="22">
        <v>0.05</v>
      </c>
      <c r="H7" s="22">
        <v>0.05</v>
      </c>
      <c r="I7" s="22">
        <v>0.05</v>
      </c>
      <c r="J7" s="22">
        <v>0.05</v>
      </c>
      <c r="K7" s="22">
        <v>0.05</v>
      </c>
      <c r="L7" s="22">
        <v>0.05</v>
      </c>
      <c r="M7" s="22">
        <v>0.05</v>
      </c>
      <c r="N7" s="22">
        <v>0.05</v>
      </c>
      <c r="O7" s="22">
        <v>0.05</v>
      </c>
      <c r="P7" s="22">
        <v>0.05</v>
      </c>
      <c r="Q7" s="22">
        <v>0.05</v>
      </c>
      <c r="R7" s="22">
        <v>0.05</v>
      </c>
      <c r="S7" s="22">
        <v>0.05</v>
      </c>
      <c r="T7" s="22">
        <v>0.05</v>
      </c>
      <c r="U7" s="22"/>
    </row>
    <row r="9" spans="1:28" ht="31.2" x14ac:dyDescent="0.6">
      <c r="A9" s="6">
        <v>2</v>
      </c>
      <c r="B9" s="97" t="s">
        <v>51</v>
      </c>
      <c r="C9" t="s">
        <v>172</v>
      </c>
      <c r="D9" t="s">
        <v>173</v>
      </c>
    </row>
    <row r="10" spans="1:28" x14ac:dyDescent="0.3">
      <c r="B10" t="s">
        <v>168</v>
      </c>
      <c r="C10">
        <v>1</v>
      </c>
      <c r="D10" s="1">
        <v>50000</v>
      </c>
    </row>
    <row r="11" spans="1:28" x14ac:dyDescent="0.3">
      <c r="B11" t="s">
        <v>169</v>
      </c>
      <c r="C11">
        <v>4</v>
      </c>
      <c r="D11" s="1">
        <v>25000</v>
      </c>
    </row>
    <row r="12" spans="1:28" x14ac:dyDescent="0.3">
      <c r="B12" t="s">
        <v>170</v>
      </c>
      <c r="C12">
        <v>8</v>
      </c>
      <c r="D12" s="1">
        <v>28000</v>
      </c>
    </row>
    <row r="13" spans="1:28" x14ac:dyDescent="0.3">
      <c r="B13" t="s">
        <v>171</v>
      </c>
      <c r="C13">
        <v>2</v>
      </c>
      <c r="D13" s="1">
        <v>30000</v>
      </c>
    </row>
    <row r="14" spans="1:28" x14ac:dyDescent="0.3">
      <c r="D14" s="1"/>
    </row>
    <row r="15" spans="1:28" ht="15" thickBot="1" x14ac:dyDescent="0.35">
      <c r="D15" s="1"/>
    </row>
    <row r="16" spans="1:28" ht="15" thickBot="1" x14ac:dyDescent="0.35">
      <c r="B16" s="7" t="s">
        <v>2</v>
      </c>
      <c r="C16" s="8"/>
      <c r="D16" s="13">
        <f>SUMPRODUCT(C10:C15,D10:D15)</f>
        <v>434000</v>
      </c>
      <c r="E16" s="8"/>
      <c r="F16" s="9">
        <f>D16*12/10^7</f>
        <v>0.52080000000000004</v>
      </c>
      <c r="G16" s="9">
        <f>IF(G1="-",0,F16*(1+G17))</f>
        <v>0.5468400000000001</v>
      </c>
      <c r="H16" s="9">
        <f t="shared" ref="H16:T16" si="3">IF(H1="-",0,G16*(1+H17))</f>
        <v>0.57418200000000008</v>
      </c>
      <c r="I16" s="9">
        <f t="shared" si="3"/>
        <v>0.60289110000000012</v>
      </c>
      <c r="J16" s="9">
        <f t="shared" si="3"/>
        <v>0.63303565500000014</v>
      </c>
      <c r="K16" s="9">
        <f t="shared" si="3"/>
        <v>0.66468743775000017</v>
      </c>
      <c r="L16" s="9">
        <f t="shared" si="3"/>
        <v>0.69792180963750017</v>
      </c>
      <c r="M16" s="9">
        <f t="shared" si="3"/>
        <v>0.7328179001193752</v>
      </c>
      <c r="N16" s="9">
        <f t="shared" si="3"/>
        <v>0.76945879512534399</v>
      </c>
      <c r="O16" s="9">
        <f t="shared" si="3"/>
        <v>0.80793173488161119</v>
      </c>
      <c r="P16" s="9">
        <f t="shared" si="3"/>
        <v>0.84832832162569183</v>
      </c>
      <c r="Q16" s="9">
        <f t="shared" si="3"/>
        <v>0.89074473770697649</v>
      </c>
      <c r="R16" s="9">
        <f t="shared" si="3"/>
        <v>0.93528197459232532</v>
      </c>
      <c r="S16" s="9">
        <f t="shared" si="3"/>
        <v>0.9820460733219416</v>
      </c>
      <c r="T16" s="9">
        <f t="shared" si="3"/>
        <v>1.0311483769880387</v>
      </c>
      <c r="U16" s="9">
        <f t="shared" ref="U16" si="4">IF(U1="-",0,T16*(1+U17))</f>
        <v>0</v>
      </c>
      <c r="V16" s="9">
        <f t="shared" ref="V16" si="5">IF(V1="-",0,U16*(1+V17))</f>
        <v>0</v>
      </c>
      <c r="W16" s="9">
        <f t="shared" ref="W16" si="6">IF(W1="-",0,V16*(1+W17))</f>
        <v>0</v>
      </c>
      <c r="X16" s="9">
        <f t="shared" ref="X16" si="7">IF(X1="-",0,W16*(1+X17))</f>
        <v>0</v>
      </c>
      <c r="Y16" s="9">
        <f t="shared" ref="Y16" si="8">IF(Y1="-",0,X16*(1+Y17))</f>
        <v>0</v>
      </c>
      <c r="Z16" s="9">
        <f t="shared" ref="Z16" si="9">IF(Z1="-",0,Y16*(1+Z17))</f>
        <v>0</v>
      </c>
      <c r="AA16" s="9">
        <f t="shared" ref="AA16" si="10">IF(AA1="-",0,Z16*(1+AA17))</f>
        <v>0</v>
      </c>
      <c r="AB16" s="9">
        <f t="shared" ref="AB16" si="11">IF(AB1="-",0,AA16*(1+AB17))</f>
        <v>0</v>
      </c>
    </row>
    <row r="17" spans="1:28" x14ac:dyDescent="0.3">
      <c r="B17" t="s">
        <v>117</v>
      </c>
      <c r="G17" s="22">
        <v>0.05</v>
      </c>
      <c r="H17" s="22">
        <f>IF(H1="-",0,G17)</f>
        <v>0.05</v>
      </c>
      <c r="I17" s="22">
        <f t="shared" ref="I17:AB17" si="12">IF(I1="-",0,H17)</f>
        <v>0.05</v>
      </c>
      <c r="J17" s="22">
        <f t="shared" si="12"/>
        <v>0.05</v>
      </c>
      <c r="K17" s="22">
        <f t="shared" si="12"/>
        <v>0.05</v>
      </c>
      <c r="L17" s="22">
        <f t="shared" si="12"/>
        <v>0.05</v>
      </c>
      <c r="M17" s="22">
        <f t="shared" si="12"/>
        <v>0.05</v>
      </c>
      <c r="N17" s="22">
        <f t="shared" si="12"/>
        <v>0.05</v>
      </c>
      <c r="O17" s="22">
        <f t="shared" si="12"/>
        <v>0.05</v>
      </c>
      <c r="P17" s="22">
        <f t="shared" si="12"/>
        <v>0.05</v>
      </c>
      <c r="Q17" s="22">
        <f t="shared" si="12"/>
        <v>0.05</v>
      </c>
      <c r="R17" s="22">
        <f t="shared" si="12"/>
        <v>0.05</v>
      </c>
      <c r="S17" s="22">
        <f t="shared" si="12"/>
        <v>0.05</v>
      </c>
      <c r="T17" s="22">
        <f t="shared" si="12"/>
        <v>0.05</v>
      </c>
      <c r="U17" s="22">
        <f t="shared" si="12"/>
        <v>0</v>
      </c>
      <c r="V17" s="22">
        <f t="shared" si="12"/>
        <v>0</v>
      </c>
      <c r="W17" s="22">
        <f t="shared" si="12"/>
        <v>0</v>
      </c>
      <c r="X17" s="22">
        <f t="shared" si="12"/>
        <v>0</v>
      </c>
      <c r="Y17" s="22">
        <f t="shared" si="12"/>
        <v>0</v>
      </c>
      <c r="Z17" s="22">
        <f t="shared" si="12"/>
        <v>0</v>
      </c>
      <c r="AA17" s="22">
        <f t="shared" si="12"/>
        <v>0</v>
      </c>
      <c r="AB17" s="22">
        <f t="shared" si="12"/>
        <v>0</v>
      </c>
    </row>
    <row r="19" spans="1:28" ht="31.2" x14ac:dyDescent="0.6">
      <c r="A19" s="6">
        <v>3</v>
      </c>
      <c r="B19" s="97" t="s">
        <v>165</v>
      </c>
    </row>
    <row r="20" spans="1:28" x14ac:dyDescent="0.3">
      <c r="B20" t="s">
        <v>174</v>
      </c>
      <c r="C20">
        <v>350</v>
      </c>
      <c r="D20" t="s">
        <v>49</v>
      </c>
      <c r="F20" s="84">
        <f>C20*24*365</f>
        <v>3066000</v>
      </c>
      <c r="G20" s="37">
        <f>F20</f>
        <v>3066000</v>
      </c>
      <c r="H20" s="37">
        <f t="shared" ref="H20:T20" si="13">G20</f>
        <v>3066000</v>
      </c>
      <c r="I20" s="37">
        <f t="shared" si="13"/>
        <v>3066000</v>
      </c>
      <c r="J20" s="37">
        <f t="shared" si="13"/>
        <v>3066000</v>
      </c>
      <c r="K20" s="37">
        <f t="shared" si="13"/>
        <v>3066000</v>
      </c>
      <c r="L20" s="37">
        <f t="shared" si="13"/>
        <v>3066000</v>
      </c>
      <c r="M20" s="37">
        <f t="shared" si="13"/>
        <v>3066000</v>
      </c>
      <c r="N20" s="37">
        <f t="shared" si="13"/>
        <v>3066000</v>
      </c>
      <c r="O20" s="37">
        <f t="shared" si="13"/>
        <v>3066000</v>
      </c>
      <c r="P20" s="37">
        <f t="shared" si="13"/>
        <v>3066000</v>
      </c>
      <c r="Q20" s="37">
        <f t="shared" si="13"/>
        <v>3066000</v>
      </c>
      <c r="R20" s="37">
        <f t="shared" si="13"/>
        <v>3066000</v>
      </c>
      <c r="S20" s="37">
        <f t="shared" si="13"/>
        <v>3066000</v>
      </c>
      <c r="T20" s="37">
        <f t="shared" si="13"/>
        <v>3066000</v>
      </c>
      <c r="U20" s="37">
        <f t="shared" ref="U20:AB20" si="14">T20</f>
        <v>3066000</v>
      </c>
      <c r="V20" s="37">
        <f t="shared" si="14"/>
        <v>3066000</v>
      </c>
      <c r="W20" s="37">
        <f t="shared" si="14"/>
        <v>3066000</v>
      </c>
      <c r="X20" s="37">
        <f t="shared" si="14"/>
        <v>3066000</v>
      </c>
      <c r="Y20" s="37">
        <f t="shared" si="14"/>
        <v>3066000</v>
      </c>
      <c r="Z20" s="37">
        <f t="shared" si="14"/>
        <v>3066000</v>
      </c>
      <c r="AA20" s="37">
        <f t="shared" si="14"/>
        <v>3066000</v>
      </c>
      <c r="AB20" s="37">
        <f t="shared" si="14"/>
        <v>3066000</v>
      </c>
    </row>
    <row r="21" spans="1:28" x14ac:dyDescent="0.3">
      <c r="B21" t="s">
        <v>175</v>
      </c>
      <c r="C21">
        <v>475</v>
      </c>
      <c r="D21" t="s">
        <v>177</v>
      </c>
      <c r="F21" s="84">
        <f>C21*C20*12</f>
        <v>1995000</v>
      </c>
      <c r="G21" s="84">
        <f>F21</f>
        <v>1995000</v>
      </c>
      <c r="H21" s="84">
        <f>G21</f>
        <v>1995000</v>
      </c>
      <c r="I21" s="84">
        <f t="shared" ref="I21:T21" si="15">H21</f>
        <v>1995000</v>
      </c>
      <c r="J21" s="84">
        <f t="shared" si="15"/>
        <v>1995000</v>
      </c>
      <c r="K21" s="84">
        <f t="shared" si="15"/>
        <v>1995000</v>
      </c>
      <c r="L21" s="84">
        <f t="shared" si="15"/>
        <v>1995000</v>
      </c>
      <c r="M21" s="84">
        <f t="shared" si="15"/>
        <v>1995000</v>
      </c>
      <c r="N21" s="84">
        <f t="shared" si="15"/>
        <v>1995000</v>
      </c>
      <c r="O21" s="84">
        <f t="shared" si="15"/>
        <v>1995000</v>
      </c>
      <c r="P21" s="84">
        <f t="shared" si="15"/>
        <v>1995000</v>
      </c>
      <c r="Q21" s="84">
        <f t="shared" si="15"/>
        <v>1995000</v>
      </c>
      <c r="R21" s="84">
        <f t="shared" si="15"/>
        <v>1995000</v>
      </c>
      <c r="S21" s="84">
        <f t="shared" si="15"/>
        <v>1995000</v>
      </c>
      <c r="T21" s="84">
        <f t="shared" si="15"/>
        <v>1995000</v>
      </c>
      <c r="U21" s="84">
        <f t="shared" ref="U21:AB21" si="16">T21</f>
        <v>1995000</v>
      </c>
      <c r="V21" s="84">
        <f t="shared" si="16"/>
        <v>1995000</v>
      </c>
      <c r="W21" s="84">
        <f t="shared" si="16"/>
        <v>1995000</v>
      </c>
      <c r="X21" s="84">
        <f t="shared" si="16"/>
        <v>1995000</v>
      </c>
      <c r="Y21" s="84">
        <f t="shared" si="16"/>
        <v>1995000</v>
      </c>
      <c r="Z21" s="84">
        <f t="shared" si="16"/>
        <v>1995000</v>
      </c>
      <c r="AA21" s="84">
        <f t="shared" si="16"/>
        <v>1995000</v>
      </c>
      <c r="AB21" s="84">
        <f t="shared" si="16"/>
        <v>1995000</v>
      </c>
    </row>
    <row r="22" spans="1:28" x14ac:dyDescent="0.3">
      <c r="B22" t="s">
        <v>176</v>
      </c>
      <c r="C22">
        <v>7.15</v>
      </c>
      <c r="D22" t="s">
        <v>178</v>
      </c>
      <c r="F22" s="37">
        <f>F20*$C$22</f>
        <v>21921900</v>
      </c>
      <c r="G22" s="37">
        <f t="shared" ref="G22:T22" si="17">G20*$C$22</f>
        <v>21921900</v>
      </c>
      <c r="H22" s="37">
        <f t="shared" si="17"/>
        <v>21921900</v>
      </c>
      <c r="I22" s="37">
        <f t="shared" si="17"/>
        <v>21921900</v>
      </c>
      <c r="J22" s="37">
        <f t="shared" si="17"/>
        <v>21921900</v>
      </c>
      <c r="K22" s="37">
        <f t="shared" si="17"/>
        <v>21921900</v>
      </c>
      <c r="L22" s="37">
        <f t="shared" si="17"/>
        <v>21921900</v>
      </c>
      <c r="M22" s="37">
        <f t="shared" si="17"/>
        <v>21921900</v>
      </c>
      <c r="N22" s="37">
        <f t="shared" si="17"/>
        <v>21921900</v>
      </c>
      <c r="O22" s="37">
        <f t="shared" si="17"/>
        <v>21921900</v>
      </c>
      <c r="P22" s="37">
        <f t="shared" si="17"/>
        <v>21921900</v>
      </c>
      <c r="Q22" s="37">
        <f t="shared" si="17"/>
        <v>21921900</v>
      </c>
      <c r="R22" s="37">
        <f t="shared" si="17"/>
        <v>21921900</v>
      </c>
      <c r="S22" s="37">
        <f t="shared" si="17"/>
        <v>21921900</v>
      </c>
      <c r="T22" s="37">
        <f t="shared" si="17"/>
        <v>21921900</v>
      </c>
      <c r="U22" s="37">
        <f t="shared" ref="U22:AB22" si="18">U20*$C$22</f>
        <v>21921900</v>
      </c>
      <c r="V22" s="37">
        <f t="shared" si="18"/>
        <v>21921900</v>
      </c>
      <c r="W22" s="37">
        <f t="shared" si="18"/>
        <v>21921900</v>
      </c>
      <c r="X22" s="37">
        <f t="shared" si="18"/>
        <v>21921900</v>
      </c>
      <c r="Y22" s="37">
        <f t="shared" si="18"/>
        <v>21921900</v>
      </c>
      <c r="Z22" s="37">
        <f t="shared" si="18"/>
        <v>21921900</v>
      </c>
      <c r="AA22" s="37">
        <f t="shared" si="18"/>
        <v>21921900</v>
      </c>
      <c r="AB22" s="37">
        <f t="shared" si="18"/>
        <v>21921900</v>
      </c>
    </row>
    <row r="23" spans="1:28" x14ac:dyDescent="0.3">
      <c r="B23" t="s">
        <v>50</v>
      </c>
      <c r="C23">
        <v>0.06</v>
      </c>
      <c r="D23" t="s">
        <v>178</v>
      </c>
      <c r="F23" s="37">
        <f>$C$23*F20</f>
        <v>183960</v>
      </c>
      <c r="G23" s="37">
        <f t="shared" ref="G23:T23" si="19">$C$23*G20</f>
        <v>183960</v>
      </c>
      <c r="H23" s="37">
        <f t="shared" si="19"/>
        <v>183960</v>
      </c>
      <c r="I23" s="37">
        <f t="shared" si="19"/>
        <v>183960</v>
      </c>
      <c r="J23" s="37">
        <f t="shared" si="19"/>
        <v>183960</v>
      </c>
      <c r="K23" s="37">
        <f t="shared" si="19"/>
        <v>183960</v>
      </c>
      <c r="L23" s="37">
        <f t="shared" si="19"/>
        <v>183960</v>
      </c>
      <c r="M23" s="37">
        <f t="shared" si="19"/>
        <v>183960</v>
      </c>
      <c r="N23" s="37">
        <f t="shared" si="19"/>
        <v>183960</v>
      </c>
      <c r="O23" s="37">
        <f t="shared" si="19"/>
        <v>183960</v>
      </c>
      <c r="P23" s="37">
        <f t="shared" si="19"/>
        <v>183960</v>
      </c>
      <c r="Q23" s="37">
        <f t="shared" si="19"/>
        <v>183960</v>
      </c>
      <c r="R23" s="37">
        <f t="shared" si="19"/>
        <v>183960</v>
      </c>
      <c r="S23" s="37">
        <f t="shared" si="19"/>
        <v>183960</v>
      </c>
      <c r="T23" s="37">
        <f t="shared" si="19"/>
        <v>183960</v>
      </c>
      <c r="U23" s="37">
        <f t="shared" ref="U23:AB23" si="20">$C$23*U20</f>
        <v>183960</v>
      </c>
      <c r="V23" s="37">
        <f t="shared" si="20"/>
        <v>183960</v>
      </c>
      <c r="W23" s="37">
        <f t="shared" si="20"/>
        <v>183960</v>
      </c>
      <c r="X23" s="37">
        <f t="shared" si="20"/>
        <v>183960</v>
      </c>
      <c r="Y23" s="37">
        <f t="shared" si="20"/>
        <v>183960</v>
      </c>
      <c r="Z23" s="37">
        <f t="shared" si="20"/>
        <v>183960</v>
      </c>
      <c r="AA23" s="37">
        <f t="shared" si="20"/>
        <v>183960</v>
      </c>
      <c r="AB23" s="37">
        <f t="shared" si="20"/>
        <v>183960</v>
      </c>
    </row>
    <row r="24" spans="1:28" ht="15" thickBot="1" x14ac:dyDescent="0.35">
      <c r="B24" t="s">
        <v>179</v>
      </c>
      <c r="C24" s="85">
        <v>0.3</v>
      </c>
      <c r="D24" t="s">
        <v>178</v>
      </c>
      <c r="F24" s="37">
        <f>$C$24*F20</f>
        <v>919800</v>
      </c>
      <c r="G24" s="37">
        <f t="shared" ref="G24:T24" si="21">$C$24*G20</f>
        <v>919800</v>
      </c>
      <c r="H24" s="37">
        <f t="shared" si="21"/>
        <v>919800</v>
      </c>
      <c r="I24" s="37">
        <f t="shared" si="21"/>
        <v>919800</v>
      </c>
      <c r="J24" s="37">
        <f t="shared" si="21"/>
        <v>919800</v>
      </c>
      <c r="K24" s="37">
        <f t="shared" si="21"/>
        <v>919800</v>
      </c>
      <c r="L24" s="37">
        <f t="shared" si="21"/>
        <v>919800</v>
      </c>
      <c r="M24" s="37">
        <f t="shared" si="21"/>
        <v>919800</v>
      </c>
      <c r="N24" s="37">
        <f t="shared" si="21"/>
        <v>919800</v>
      </c>
      <c r="O24" s="37">
        <f t="shared" si="21"/>
        <v>919800</v>
      </c>
      <c r="P24" s="37">
        <f t="shared" si="21"/>
        <v>919800</v>
      </c>
      <c r="Q24" s="37">
        <f t="shared" si="21"/>
        <v>919800</v>
      </c>
      <c r="R24" s="37">
        <f t="shared" si="21"/>
        <v>919800</v>
      </c>
      <c r="S24" s="37">
        <f t="shared" si="21"/>
        <v>919800</v>
      </c>
      <c r="T24" s="37">
        <f t="shared" si="21"/>
        <v>919800</v>
      </c>
      <c r="U24" s="37">
        <f t="shared" ref="U24:AB24" si="22">$C$24*U20</f>
        <v>919800</v>
      </c>
      <c r="V24" s="37">
        <f t="shared" si="22"/>
        <v>919800</v>
      </c>
      <c r="W24" s="37">
        <f t="shared" si="22"/>
        <v>919800</v>
      </c>
      <c r="X24" s="37">
        <f t="shared" si="22"/>
        <v>919800</v>
      </c>
      <c r="Y24" s="37">
        <f t="shared" si="22"/>
        <v>919800</v>
      </c>
      <c r="Z24" s="37">
        <f t="shared" si="22"/>
        <v>919800</v>
      </c>
      <c r="AA24" s="37">
        <f t="shared" si="22"/>
        <v>919800</v>
      </c>
      <c r="AB24" s="37">
        <f t="shared" si="22"/>
        <v>919800</v>
      </c>
    </row>
    <row r="25" spans="1:28" ht="15" thickBot="1" x14ac:dyDescent="0.35">
      <c r="B25" s="7" t="s">
        <v>2</v>
      </c>
      <c r="C25" s="8"/>
      <c r="D25" s="8"/>
      <c r="E25" s="8"/>
      <c r="F25" s="9">
        <f>IF(F1="-",0,SUM(F21:F24)/10^7)</f>
        <v>2.5020660000000001</v>
      </c>
      <c r="G25" s="9">
        <f t="shared" ref="G25:AB25" si="23">IF(G1="-",0,SUM(G21:G24)/10^7)</f>
        <v>2.5020660000000001</v>
      </c>
      <c r="H25" s="9">
        <f t="shared" si="23"/>
        <v>2.5020660000000001</v>
      </c>
      <c r="I25" s="9">
        <f t="shared" si="23"/>
        <v>2.5020660000000001</v>
      </c>
      <c r="J25" s="9">
        <f t="shared" si="23"/>
        <v>2.5020660000000001</v>
      </c>
      <c r="K25" s="9">
        <f t="shared" si="23"/>
        <v>2.5020660000000001</v>
      </c>
      <c r="L25" s="9">
        <f t="shared" si="23"/>
        <v>2.5020660000000001</v>
      </c>
      <c r="M25" s="9">
        <f t="shared" si="23"/>
        <v>2.5020660000000001</v>
      </c>
      <c r="N25" s="9">
        <f t="shared" si="23"/>
        <v>2.5020660000000001</v>
      </c>
      <c r="O25" s="9">
        <f t="shared" si="23"/>
        <v>2.5020660000000001</v>
      </c>
      <c r="P25" s="9">
        <f t="shared" si="23"/>
        <v>2.5020660000000001</v>
      </c>
      <c r="Q25" s="9">
        <f t="shared" si="23"/>
        <v>2.5020660000000001</v>
      </c>
      <c r="R25" s="9">
        <f t="shared" si="23"/>
        <v>2.5020660000000001</v>
      </c>
      <c r="S25" s="9">
        <f t="shared" si="23"/>
        <v>2.5020660000000001</v>
      </c>
      <c r="T25" s="9">
        <f t="shared" si="23"/>
        <v>2.5020660000000001</v>
      </c>
      <c r="U25" s="9">
        <f t="shared" si="23"/>
        <v>0</v>
      </c>
      <c r="V25" s="9">
        <f t="shared" si="23"/>
        <v>0</v>
      </c>
      <c r="W25" s="9">
        <f t="shared" si="23"/>
        <v>0</v>
      </c>
      <c r="X25" s="9">
        <f t="shared" si="23"/>
        <v>0</v>
      </c>
      <c r="Y25" s="9">
        <f t="shared" si="23"/>
        <v>0</v>
      </c>
      <c r="Z25" s="9">
        <f t="shared" si="23"/>
        <v>0</v>
      </c>
      <c r="AA25" s="9">
        <f t="shared" si="23"/>
        <v>0</v>
      </c>
      <c r="AB25" s="9">
        <f t="shared" si="23"/>
        <v>0</v>
      </c>
    </row>
    <row r="27" spans="1:28" ht="31.2" x14ac:dyDescent="0.6">
      <c r="A27" s="6">
        <v>4</v>
      </c>
      <c r="B27" s="97" t="s">
        <v>180</v>
      </c>
    </row>
    <row r="28" spans="1:28" ht="15" thickBot="1" x14ac:dyDescent="0.35">
      <c r="B28" t="s">
        <v>181</v>
      </c>
      <c r="C28">
        <v>10</v>
      </c>
      <c r="D28" t="s">
        <v>183</v>
      </c>
      <c r="F28">
        <f>C28*365</f>
        <v>3650</v>
      </c>
      <c r="G28">
        <f>F28</f>
        <v>3650</v>
      </c>
      <c r="H28">
        <f t="shared" ref="H28:AB28" si="24">G28</f>
        <v>3650</v>
      </c>
      <c r="I28">
        <f t="shared" si="24"/>
        <v>3650</v>
      </c>
      <c r="J28">
        <f t="shared" si="24"/>
        <v>3650</v>
      </c>
      <c r="K28">
        <f t="shared" si="24"/>
        <v>3650</v>
      </c>
      <c r="L28">
        <f t="shared" si="24"/>
        <v>3650</v>
      </c>
      <c r="M28">
        <f t="shared" si="24"/>
        <v>3650</v>
      </c>
      <c r="N28">
        <f t="shared" si="24"/>
        <v>3650</v>
      </c>
      <c r="O28">
        <f t="shared" si="24"/>
        <v>3650</v>
      </c>
      <c r="P28">
        <f t="shared" si="24"/>
        <v>3650</v>
      </c>
      <c r="Q28">
        <f t="shared" si="24"/>
        <v>3650</v>
      </c>
      <c r="R28">
        <f t="shared" si="24"/>
        <v>3650</v>
      </c>
      <c r="S28">
        <f t="shared" si="24"/>
        <v>3650</v>
      </c>
      <c r="T28">
        <f t="shared" si="24"/>
        <v>3650</v>
      </c>
      <c r="U28">
        <f t="shared" si="24"/>
        <v>3650</v>
      </c>
      <c r="V28">
        <f t="shared" si="24"/>
        <v>3650</v>
      </c>
      <c r="W28">
        <f t="shared" si="24"/>
        <v>3650</v>
      </c>
      <c r="X28">
        <f t="shared" si="24"/>
        <v>3650</v>
      </c>
      <c r="Y28">
        <f t="shared" si="24"/>
        <v>3650</v>
      </c>
      <c r="Z28">
        <f t="shared" si="24"/>
        <v>3650</v>
      </c>
      <c r="AA28">
        <f t="shared" si="24"/>
        <v>3650</v>
      </c>
      <c r="AB28">
        <f t="shared" si="24"/>
        <v>3650</v>
      </c>
    </row>
    <row r="29" spans="1:28" ht="15" thickBot="1" x14ac:dyDescent="0.35">
      <c r="B29" s="7" t="s">
        <v>184</v>
      </c>
      <c r="C29" s="8">
        <v>180</v>
      </c>
      <c r="D29" s="8" t="s">
        <v>182</v>
      </c>
      <c r="E29" s="8"/>
      <c r="F29" s="86">
        <f>IF(F1="-",0,$C$29*F28/10^7)</f>
        <v>6.5699999999999995E-2</v>
      </c>
      <c r="G29" s="86">
        <f t="shared" ref="G29:AB29" si="25">IF(G1="-",0,$C$29*G28/10^7)</f>
        <v>6.5699999999999995E-2</v>
      </c>
      <c r="H29" s="86">
        <f t="shared" si="25"/>
        <v>6.5699999999999995E-2</v>
      </c>
      <c r="I29" s="86">
        <f t="shared" si="25"/>
        <v>6.5699999999999995E-2</v>
      </c>
      <c r="J29" s="86">
        <f t="shared" si="25"/>
        <v>6.5699999999999995E-2</v>
      </c>
      <c r="K29" s="86">
        <f t="shared" si="25"/>
        <v>6.5699999999999995E-2</v>
      </c>
      <c r="L29" s="86">
        <f t="shared" si="25"/>
        <v>6.5699999999999995E-2</v>
      </c>
      <c r="M29" s="86">
        <f t="shared" si="25"/>
        <v>6.5699999999999995E-2</v>
      </c>
      <c r="N29" s="86">
        <f t="shared" si="25"/>
        <v>6.5699999999999995E-2</v>
      </c>
      <c r="O29" s="86">
        <f t="shared" si="25"/>
        <v>6.5699999999999995E-2</v>
      </c>
      <c r="P29" s="86">
        <f t="shared" si="25"/>
        <v>6.5699999999999995E-2</v>
      </c>
      <c r="Q29" s="86">
        <f t="shared" si="25"/>
        <v>6.5699999999999995E-2</v>
      </c>
      <c r="R29" s="86">
        <f t="shared" si="25"/>
        <v>6.5699999999999995E-2</v>
      </c>
      <c r="S29" s="86">
        <f t="shared" si="25"/>
        <v>6.5699999999999995E-2</v>
      </c>
      <c r="T29" s="86">
        <f t="shared" si="25"/>
        <v>6.5699999999999995E-2</v>
      </c>
      <c r="U29" s="86">
        <f t="shared" si="25"/>
        <v>0</v>
      </c>
      <c r="V29" s="86">
        <f t="shared" si="25"/>
        <v>0</v>
      </c>
      <c r="W29" s="86">
        <f t="shared" si="25"/>
        <v>0</v>
      </c>
      <c r="X29" s="86">
        <f t="shared" si="25"/>
        <v>0</v>
      </c>
      <c r="Y29" s="86">
        <f t="shared" si="25"/>
        <v>0</v>
      </c>
      <c r="Z29" s="86">
        <f t="shared" si="25"/>
        <v>0</v>
      </c>
      <c r="AA29" s="86">
        <f t="shared" si="25"/>
        <v>0</v>
      </c>
      <c r="AB29" s="86">
        <f t="shared" si="25"/>
        <v>0</v>
      </c>
    </row>
    <row r="31" spans="1:28" ht="31.2" x14ac:dyDescent="0.6">
      <c r="A31" s="6">
        <v>5</v>
      </c>
      <c r="B31" s="97" t="s">
        <v>274</v>
      </c>
    </row>
    <row r="32" spans="1:28" x14ac:dyDescent="0.3">
      <c r="B32" t="s">
        <v>276</v>
      </c>
      <c r="C32">
        <f>Inputs!D12</f>
        <v>7</v>
      </c>
    </row>
    <row r="33" spans="1:28" x14ac:dyDescent="0.3">
      <c r="B33" t="s">
        <v>275</v>
      </c>
      <c r="F33" s="83">
        <v>0</v>
      </c>
      <c r="G33" s="83" cm="1">
        <f t="array" ref="G33">IFERROR(_xlfn.IFS(MOD(G1-1,$C$32)=0,Computations!D14/12*Inputs!$D$7,G1=Inputs!$D$4,Computations!D14/12*Inputs!$D$7),0)</f>
        <v>0</v>
      </c>
      <c r="H33" s="83" cm="1">
        <f t="array" ref="H33">IFERROR(_xlfn.IFS(MOD(H1-1,$C$32)=0,Computations!E14/12*Inputs!$D$7,H1=Inputs!$D$4,Computations!E14/12*Inputs!$D$7),0)</f>
        <v>0</v>
      </c>
      <c r="I33" s="83" cm="1">
        <f t="array" ref="I33">IFERROR(_xlfn.IFS(MOD(I1-1,$C$32)=0,Computations!F14/12*Inputs!$D$7,I1=Inputs!$D$4,Computations!F14/12*Inputs!$D$7),0)</f>
        <v>0</v>
      </c>
      <c r="J33" s="83" cm="1">
        <f t="array" ref="J33">IFERROR(_xlfn.IFS(MOD(J1-1,$C$32)=0,Computations!G14/12*Inputs!$D$7,J1=Inputs!$D$4,Computations!G14/12*Inputs!$D$7),0)</f>
        <v>0</v>
      </c>
      <c r="K33" s="83" cm="1">
        <f t="array" ref="K33">IFERROR(_xlfn.IFS(MOD(K1-1,$C$32)=0,Computations!H14/12*Inputs!$D$7,K1=Inputs!$D$4,Computations!H14/12*Inputs!$D$7),0)</f>
        <v>0</v>
      </c>
      <c r="L33" s="83" cm="1">
        <f t="array" ref="L33">IFERROR(_xlfn.IFS(MOD(L1-1,$C$32)=0,Computations!I14/12*Inputs!$D$7,L1=Inputs!$D$4,Computations!I14/12*Inputs!$D$7),0)</f>
        <v>0</v>
      </c>
      <c r="M33" s="83" cm="1">
        <f t="array" ref="M33">IFERROR(_xlfn.IFS(MOD(M1-1,$C$32)=0,Computations!J14/12*Inputs!$D$7,M1=Inputs!$D$4,Computations!J14/12*Inputs!$D$7),0)</f>
        <v>8.2367459954850428</v>
      </c>
      <c r="N33" s="83" cm="1">
        <f t="array" ref="N33">IFERROR(_xlfn.IFS(MOD(N1-1,$C$32)=0,Computations!K14/12*Inputs!$D$7,N1=Inputs!$D$4,Computations!K14/12*Inputs!$D$7),0)</f>
        <v>0</v>
      </c>
      <c r="O33" s="83" cm="1">
        <f t="array" ref="O33">IFERROR(_xlfn.IFS(MOD(O1-1,$C$32)=0,Computations!L14/12*Inputs!$D$7,O1=Inputs!$D$4,Computations!L14/12*Inputs!$D$7),0)</f>
        <v>0</v>
      </c>
      <c r="P33" s="83" cm="1">
        <f t="array" ref="P33">IFERROR(_xlfn.IFS(MOD(P1-1,$C$32)=0,Computations!M14/12*Inputs!$D$7,P1=Inputs!$D$4,Computations!M14/12*Inputs!$D$7),0)</f>
        <v>0</v>
      </c>
      <c r="Q33" s="83" cm="1">
        <f t="array" ref="Q33">IFERROR(_xlfn.IFS(MOD(Q1-1,$C$32)=0,Computations!N14/12*Inputs!$D$7,Q1=Inputs!$D$4,Computations!N14/12*Inputs!$D$7),0)</f>
        <v>0</v>
      </c>
      <c r="R33" s="83" cm="1">
        <f t="array" ref="R33">IFERROR(_xlfn.IFS(MOD(R1-1,$C$32)=0,Computations!O14/12*Inputs!$D$7,R1=Inputs!$D$4,Computations!O14/12*Inputs!$D$7),0)</f>
        <v>0</v>
      </c>
      <c r="S33" s="83" cm="1">
        <f t="array" ref="S33">IFERROR(_xlfn.IFS(MOD(S1-1,$C$32)=0,Computations!P14/12*Inputs!$D$7,S1=Inputs!$D$4,Computations!P14/12*Inputs!$D$7),0)</f>
        <v>0</v>
      </c>
      <c r="T33" s="83" cm="1">
        <f t="array" ref="T33">IFERROR(_xlfn.IFS(MOD(T1-1,$C$32)=0,Computations!Q14/12*Inputs!$D$7,T1=Inputs!$D$4,Computations!Q14/12*Inputs!$D$7),0)</f>
        <v>8.4250078106396611</v>
      </c>
      <c r="U33" s="83">
        <f>IFERROR(IF(MOD(U1-1,$C$32)=0,Computations!R14/12*Inputs!$D$7,0),IF(U1=Inputs!$D$4,Computations!R14/12*Inputs!$D$7,0))</f>
        <v>0</v>
      </c>
      <c r="V33" s="83">
        <f>IFERROR(IF(MOD(V1-1,$C$32)=0,Computations!S14/12*Inputs!$D$7,0),IF(V1=Inputs!$D$4,Computations!S14/12*Inputs!$D$7,0))</f>
        <v>0</v>
      </c>
      <c r="W33" s="83">
        <f>IFERROR(IF(MOD(W1-1,$C$32)=0,Computations!T14/12*Inputs!$D$7,0),IF(W1=Inputs!$D$4,Computations!T14/12*Inputs!$D$7,0))</f>
        <v>0</v>
      </c>
      <c r="X33" s="83">
        <f>IFERROR(IF(MOD(X1-1,$C$32)=0,Computations!U14/12*Inputs!$D$7,0),IF(X1=Inputs!$D$4,Computations!U14/12*Inputs!$D$7,0))</f>
        <v>0</v>
      </c>
      <c r="Y33" s="83">
        <f>IFERROR(IF(MOD(Y1-1,$C$32)=0,Computations!V14/12*Inputs!$D$7,0),IF(Y1=Inputs!$D$4,Computations!V14/12*Inputs!$D$7,0))</f>
        <v>0</v>
      </c>
      <c r="Z33" s="83">
        <f>IFERROR(IF(MOD(Z1-1,$C$32)=0,Computations!W14/12*Inputs!$D$7,0),IF(Z1=Inputs!$D$4,Computations!W14/12*Inputs!$D$7,0))</f>
        <v>0</v>
      </c>
      <c r="AA33" s="83">
        <f>IFERROR(IF(MOD(AA1-1,$C$32)=0,Computations!X14/12*Inputs!$D$7,0),IF(AA1=Inputs!$D$4,Computations!X14/12*Inputs!$D$7,0))</f>
        <v>0</v>
      </c>
      <c r="AB33" s="83">
        <f>IFERROR(IF(MOD(AB1-1,$C$32)=0,Computations!Y14/12*Inputs!$D$7,0),IF(AB1=Inputs!$D$4,Computations!Y14/12*Inputs!$D$7,0))</f>
        <v>0</v>
      </c>
    </row>
    <row r="35" spans="1:28" ht="31.2" x14ac:dyDescent="0.6">
      <c r="A35" s="6">
        <v>6</v>
      </c>
      <c r="B35" s="97" t="s">
        <v>315</v>
      </c>
    </row>
    <row r="36" spans="1:28" x14ac:dyDescent="0.3">
      <c r="B36" t="s">
        <v>317</v>
      </c>
      <c r="C36" t="s">
        <v>66</v>
      </c>
      <c r="F36" s="83">
        <f>(28474.08-2000-3388.95)*10.76</f>
        <v>248395.9988</v>
      </c>
      <c r="G36" s="3">
        <f>IF(G1="-",0,F36)</f>
        <v>248395.9988</v>
      </c>
      <c r="H36" s="3">
        <f t="shared" ref="H36:AB36" si="26">IF(H1="-",0,G36)</f>
        <v>248395.9988</v>
      </c>
      <c r="I36" s="3">
        <f t="shared" si="26"/>
        <v>248395.9988</v>
      </c>
      <c r="J36" s="3">
        <f t="shared" si="26"/>
        <v>248395.9988</v>
      </c>
      <c r="K36" s="3">
        <f t="shared" si="26"/>
        <v>248395.9988</v>
      </c>
      <c r="L36" s="3">
        <f t="shared" si="26"/>
        <v>248395.9988</v>
      </c>
      <c r="M36" s="3">
        <f t="shared" si="26"/>
        <v>248395.9988</v>
      </c>
      <c r="N36" s="3">
        <f t="shared" si="26"/>
        <v>248395.9988</v>
      </c>
      <c r="O36" s="3">
        <f t="shared" si="26"/>
        <v>248395.9988</v>
      </c>
      <c r="P36" s="3">
        <f t="shared" si="26"/>
        <v>248395.9988</v>
      </c>
      <c r="Q36" s="3">
        <f t="shared" si="26"/>
        <v>248395.9988</v>
      </c>
      <c r="R36" s="3">
        <f t="shared" si="26"/>
        <v>248395.9988</v>
      </c>
      <c r="S36" s="3">
        <f t="shared" si="26"/>
        <v>248395.9988</v>
      </c>
      <c r="T36" s="3">
        <f t="shared" si="26"/>
        <v>248395.9988</v>
      </c>
      <c r="U36" s="3">
        <f t="shared" si="26"/>
        <v>0</v>
      </c>
      <c r="V36" s="3">
        <f t="shared" si="26"/>
        <v>0</v>
      </c>
      <c r="W36" s="3">
        <f t="shared" si="26"/>
        <v>0</v>
      </c>
      <c r="X36" s="3">
        <f t="shared" si="26"/>
        <v>0</v>
      </c>
      <c r="Y36" s="3">
        <f t="shared" si="26"/>
        <v>0</v>
      </c>
      <c r="Z36" s="3">
        <f t="shared" si="26"/>
        <v>0</v>
      </c>
      <c r="AA36" s="3">
        <f t="shared" si="26"/>
        <v>0</v>
      </c>
      <c r="AB36" s="3">
        <f t="shared" si="26"/>
        <v>0</v>
      </c>
    </row>
    <row r="37" spans="1:28" x14ac:dyDescent="0.3">
      <c r="B37" t="s">
        <v>318</v>
      </c>
      <c r="C37" t="s">
        <v>319</v>
      </c>
      <c r="F37">
        <v>16</v>
      </c>
      <c r="G37" s="83">
        <f>IFERROR(IF(MOD(G1,Inputs!$N$18)&lt;&gt;0,F37*(1+G38),Inputs!$N$16),0)</f>
        <v>16</v>
      </c>
      <c r="H37" s="83">
        <f>IFERROR(IF(MOD(H1,Inputs!$N$18)&lt;&gt;0,G37*(1+H38),Inputs!$N$16),0)</f>
        <v>16.8</v>
      </c>
      <c r="I37" s="83">
        <f>IFERROR(IF(MOD(I1,Inputs!$N$18)&lt;&gt;0,H37*(1+I38),Inputs!$N$16),0)</f>
        <v>17.64</v>
      </c>
      <c r="J37" s="83">
        <f>IFERROR(IF(MOD(J1,Inputs!$N$18)&lt;&gt;0,I37*(1+J38),Inputs!$N$16),0)</f>
        <v>18.522000000000002</v>
      </c>
      <c r="K37" s="83">
        <f>IFERROR(IF(MOD(K1,Inputs!$N$18)&lt;&gt;0,J37*(1+K38),Inputs!$N$16),0)</f>
        <v>19.448100000000004</v>
      </c>
      <c r="L37" s="83">
        <f>IFERROR(IF(MOD(L1,Inputs!$N$18)&lt;&gt;0,K37*(1+L38),Inputs!$N$16),0)</f>
        <v>16</v>
      </c>
      <c r="M37" s="83">
        <f>IFERROR(IF(MOD(M1,Inputs!$N$18)&lt;&gt;0,L37*(1+M38),Inputs!$N$16),0)</f>
        <v>16</v>
      </c>
      <c r="N37" s="83">
        <f>IFERROR(IF(MOD(N1,Inputs!$N$18)&lt;&gt;0,M37*(1+N38),Inputs!$N$16),0)</f>
        <v>16</v>
      </c>
      <c r="O37" s="83">
        <f>IFERROR(IF(MOD(O1,Inputs!$N$18)&lt;&gt;0,N37*(1+O38),Inputs!$N$16),0)</f>
        <v>16.8</v>
      </c>
      <c r="P37" s="83">
        <f>IFERROR(IF(MOD(P1,Inputs!$N$18)&lt;&gt;0,O37*(1+P38),Inputs!$N$16),0)</f>
        <v>17.64</v>
      </c>
      <c r="Q37" s="83">
        <f>IFERROR(IF(MOD(Q1,Inputs!$N$18)&lt;&gt;0,P37*(1+Q38),Inputs!$N$16),0)</f>
        <v>18.522000000000002</v>
      </c>
      <c r="R37" s="83">
        <f>IFERROR(IF(MOD(R1,Inputs!$N$18)&lt;&gt;0,Q37*(1+R38),Inputs!$N$16),0)</f>
        <v>19.448100000000004</v>
      </c>
      <c r="S37" s="83">
        <f>IFERROR(IF(MOD(S1,Inputs!$N$18)&lt;&gt;0,R37*(1+S38),Inputs!$N$16),0)</f>
        <v>16</v>
      </c>
      <c r="T37" s="83">
        <f>IFERROR(IF(MOD(T1,Inputs!$N$18)&lt;&gt;0,S37*(1+T38),Inputs!$N$16),0)</f>
        <v>16.8</v>
      </c>
      <c r="U37" s="83">
        <f>IFERROR(IF(MOD(U1,Inputs!$N$18)&lt;&gt;0,T37*(1+U38),Inputs!$N$16),0)</f>
        <v>0</v>
      </c>
      <c r="V37" s="83">
        <f>IFERROR(IF(MOD(V1,Inputs!$N$18)&lt;&gt;0,U37*(1+V38),Inputs!$N$16),0)</f>
        <v>0</v>
      </c>
      <c r="W37" s="83">
        <f>IFERROR(IF(MOD(W1,Inputs!$N$18)&lt;&gt;0,V37*(1+W38),Inputs!$N$16),0)</f>
        <v>0</v>
      </c>
      <c r="X37" s="83">
        <f>IFERROR(IF(MOD(X1,Inputs!$N$18)&lt;&gt;0,W37*(1+X38),Inputs!$N$16),0)</f>
        <v>0</v>
      </c>
      <c r="Y37" s="83">
        <f>IFERROR(IF(MOD(Y1,Inputs!$N$18)&lt;&gt;0,X37*(1+Y38),Inputs!$N$16),0)</f>
        <v>0</v>
      </c>
      <c r="Z37" s="83">
        <f>IFERROR(IF(MOD(Z1,Inputs!$N$18)&lt;&gt;0,Y37*(1+Z38),Inputs!$N$16),0)</f>
        <v>0</v>
      </c>
      <c r="AA37" s="83">
        <f>IFERROR(IF(MOD(AA1,Inputs!$N$18)&lt;&gt;0,Z37*(1+AA38),Inputs!$N$16),0)</f>
        <v>0</v>
      </c>
      <c r="AB37" s="83">
        <f>IFERROR(IF(MOD(AB1,Inputs!$N$18)&lt;&gt;0,AA37*(1+AB38),Inputs!$N$16),0)</f>
        <v>0</v>
      </c>
    </row>
    <row r="38" spans="1:28" x14ac:dyDescent="0.3">
      <c r="B38" t="s">
        <v>117</v>
      </c>
      <c r="F38" s="22">
        <v>0</v>
      </c>
      <c r="G38" s="22">
        <v>0</v>
      </c>
      <c r="H38" s="22">
        <v>0.05</v>
      </c>
      <c r="I38" s="22">
        <v>0.05</v>
      </c>
      <c r="J38" s="22">
        <v>0.05</v>
      </c>
      <c r="K38" s="22">
        <v>0.05</v>
      </c>
      <c r="L38" s="22">
        <v>0.05</v>
      </c>
      <c r="M38" s="22">
        <v>0</v>
      </c>
      <c r="N38" s="22">
        <v>0</v>
      </c>
      <c r="O38" s="22">
        <v>0.05</v>
      </c>
      <c r="P38" s="22">
        <v>0.05</v>
      </c>
      <c r="Q38" s="22">
        <v>0.05</v>
      </c>
      <c r="R38" s="22">
        <v>0.05</v>
      </c>
      <c r="S38" s="22">
        <v>0.05</v>
      </c>
      <c r="T38" s="22">
        <v>0.05</v>
      </c>
      <c r="U38" s="22">
        <v>0.05</v>
      </c>
    </row>
    <row r="39" spans="1:28" ht="15" thickBot="1" x14ac:dyDescent="0.35">
      <c r="B39" t="s">
        <v>83</v>
      </c>
      <c r="C39" t="s">
        <v>61</v>
      </c>
      <c r="F39" s="84">
        <f>IFERROR((IF(MOD(F1-1,Inputs!$N$18)=0,F36*F37*3,0))-(IF(MOD(F1,Inputs!$N$18)=0,-F36*F37*3,0)),0)</f>
        <v>11923007.942400001</v>
      </c>
      <c r="G39" s="83">
        <f>IFERROR((IF(MOD(G1-1,Inputs!$N$18)=0,G36*G37*3,0))-(IF(MOD(G1,Inputs!$N$18)=0,G36*G37*3,0)),0)</f>
        <v>0</v>
      </c>
      <c r="H39" s="83">
        <f>IFERROR((IF(MOD(H1-1,Inputs!$N$18)=0,H36*H37*3,0))-(IF(MOD(H1,Inputs!$N$18)=0,H36*H37*3,0)),0)</f>
        <v>0</v>
      </c>
      <c r="I39" s="83">
        <f>IFERROR((IF(MOD(I1-1,Inputs!$N$18)=0,I36*I37*3,0))-(IF(MOD(I1,Inputs!$N$18)=0,I36*I37*3,0)),0)</f>
        <v>0</v>
      </c>
      <c r="J39" s="83">
        <f>IFERROR((IF(MOD(J1-1,Inputs!$N$18)=0,J36*J37*3,0))-(IF(MOD(J1,Inputs!$N$18)=0,J36*J37*3,0)),0)</f>
        <v>0</v>
      </c>
      <c r="K39" s="83">
        <f>IFERROR((IF(MOD(K1-1,Inputs!$N$18)=0,K36*K37*3,0))-(IF(MOD(K1,Inputs!$N$18)=0,K36*K37*3,0)),0)</f>
        <v>0</v>
      </c>
      <c r="L39" s="83">
        <f>IFERROR((IF(MOD(L1-1,Inputs!$N$18)=0,L36*L37*3,0))-(IF(MOD(L1,Inputs!$N$18)=0,L36*L37*3,0)),0)</f>
        <v>-11923007.942400001</v>
      </c>
      <c r="M39" s="83">
        <f>IFERROR((IF(MOD(M1-1,Inputs!$N$18)=0,M36*M37*3,0))-(IF(MOD(M1,Inputs!$N$18)=0,M36*M37*3,0)),0)</f>
        <v>11923007.942400001</v>
      </c>
      <c r="N39" s="83">
        <f>IFERROR((IF(MOD(N1-1,Inputs!$N$18)=0,N36*N37*3,0))-(IF(MOD(N1,Inputs!$N$18)=0,N36*N37*3,0)),0)</f>
        <v>0</v>
      </c>
      <c r="O39" s="83">
        <f>IFERROR((IF(MOD(O1-1,Inputs!$N$18)=0,O36*O37*3,0))-(IF(MOD(O1,Inputs!$N$18)=0,O36*O37*3,0)),0)</f>
        <v>0</v>
      </c>
      <c r="P39" s="83">
        <f>IFERROR((IF(MOD(P1-1,Inputs!$N$18)=0,P36*P37*3,0))-(IF(MOD(P1,Inputs!$N$18)=0,P36*P37*3,0)),0)</f>
        <v>0</v>
      </c>
      <c r="Q39" s="83">
        <f>IFERROR((IF(MOD(Q1-1,Inputs!$N$18)=0,Q36*Q37*3,0))-(IF(MOD(Q1,Inputs!$N$18)=0,Q36*Q37*3,0)),0)</f>
        <v>0</v>
      </c>
      <c r="R39" s="83">
        <f>IFERROR((IF(MOD(R1-1,Inputs!$N$18)=0,R36*R37*3,0))-(IF(MOD(R1,Inputs!$N$18)=0,R36*R37*3,0)),0)</f>
        <v>0</v>
      </c>
      <c r="S39" s="83">
        <f>IFERROR((IF(MOD(S1-1,Inputs!$N$18)=0,S36*S37*3,0))-(IF(MOD(S1,Inputs!$N$18)=0,S36*S37*3,0)),0)</f>
        <v>-11923007.942400001</v>
      </c>
      <c r="T39" s="83">
        <v>0</v>
      </c>
      <c r="U39" s="83">
        <f>IFERROR((IF(MOD(U1-1,Inputs!$N$18)=0,U36*U37*3,0))-(IF(MOD(U1,Inputs!$N$18)=0,U36*U37*3,0)),0)</f>
        <v>0</v>
      </c>
      <c r="V39" s="83">
        <f>IFERROR((IF(MOD(V1-1,Inputs!$N$18)=0,V36*V37*3,0))-(IF(MOD(V1,Inputs!$N$18)=0,V36*V37*3,0)),0)</f>
        <v>0</v>
      </c>
      <c r="W39" s="83">
        <f>IFERROR((IF(MOD(W1-1,Inputs!$N$18)=0,W36*W37*3,0))-(IF(MOD(W1,Inputs!$N$18)=0,W36*W37*3,0)),0)</f>
        <v>0</v>
      </c>
      <c r="X39" s="83">
        <f>IFERROR((IF(MOD(X1-1,Inputs!$N$18)=0,X36*X37*3,0))-(IF(MOD(X1,Inputs!$N$18)=0,X36*X37*3,0)),0)</f>
        <v>0</v>
      </c>
      <c r="Y39" s="83">
        <f>IFERROR((IF(MOD(Y1-1,Inputs!$N$18)=0,Y36*Y37*3,0))-(IF(MOD(Y1,Inputs!$N$18)=0,Y36*Y37*3,0)),0)</f>
        <v>0</v>
      </c>
      <c r="Z39" s="83">
        <f>IFERROR((IF(MOD(Z1-1,Inputs!$N$18)=0,Z36*Z37*3,0))-(IF(MOD(Z1,Inputs!$N$18)=0,Z36*Z37*3,0)),0)</f>
        <v>0</v>
      </c>
      <c r="AA39" s="83">
        <f>IFERROR((IF(MOD(AA1-1,Inputs!$N$18)=0,AA36*AA37*3,0))-(IF(MOD(AA1,Inputs!$N$18)=0,AA36*AA37*3,0)),0)</f>
        <v>0</v>
      </c>
      <c r="AB39" s="83">
        <f>IFERROR((IF(MOD(AB1-1,Inputs!$N$18)=0,AB36*AB37*3,0))-(IF(MOD(AB1,Inputs!$N$18)=0,AB36*AB37*3,0)),0)</f>
        <v>0</v>
      </c>
    </row>
    <row r="40" spans="1:28" ht="15" thickBot="1" x14ac:dyDescent="0.35">
      <c r="B40" s="7" t="s">
        <v>48</v>
      </c>
      <c r="C40" s="8"/>
      <c r="D40" s="8"/>
      <c r="E40" s="8"/>
      <c r="F40" s="9">
        <f>F36*F37*12+F39</f>
        <v>59615039.712000005</v>
      </c>
      <c r="G40" s="9">
        <f t="shared" ref="G40:AB40" si="27">G36*G37*12+G39</f>
        <v>47692031.769600004</v>
      </c>
      <c r="H40" s="9">
        <f t="shared" si="27"/>
        <v>50076633.35808</v>
      </c>
      <c r="I40" s="9">
        <f t="shared" si="27"/>
        <v>52580465.025984004</v>
      </c>
      <c r="J40" s="9">
        <f t="shared" si="27"/>
        <v>55209488.277283207</v>
      </c>
      <c r="K40" s="9">
        <f t="shared" si="27"/>
        <v>57969962.691147372</v>
      </c>
      <c r="L40" s="9">
        <f t="shared" si="27"/>
        <v>35769023.827200003</v>
      </c>
      <c r="M40" s="9">
        <f t="shared" si="27"/>
        <v>59615039.712000005</v>
      </c>
      <c r="N40" s="9">
        <f t="shared" si="27"/>
        <v>47692031.769600004</v>
      </c>
      <c r="O40" s="9">
        <f t="shared" si="27"/>
        <v>50076633.35808</v>
      </c>
      <c r="P40" s="9">
        <f t="shared" si="27"/>
        <v>52580465.025984004</v>
      </c>
      <c r="Q40" s="9">
        <f t="shared" si="27"/>
        <v>55209488.277283207</v>
      </c>
      <c r="R40" s="9">
        <f t="shared" si="27"/>
        <v>57969962.691147372</v>
      </c>
      <c r="S40" s="9">
        <f t="shared" si="27"/>
        <v>35769023.827200003</v>
      </c>
      <c r="T40" s="9">
        <f t="shared" si="27"/>
        <v>50076633.35808</v>
      </c>
      <c r="U40" s="9">
        <f t="shared" si="27"/>
        <v>0</v>
      </c>
      <c r="V40" s="9">
        <f t="shared" si="27"/>
        <v>0</v>
      </c>
      <c r="W40" s="9">
        <f t="shared" si="27"/>
        <v>0</v>
      </c>
      <c r="X40" s="9">
        <f t="shared" si="27"/>
        <v>0</v>
      </c>
      <c r="Y40" s="9">
        <f t="shared" si="27"/>
        <v>0</v>
      </c>
      <c r="Z40" s="9">
        <f t="shared" si="27"/>
        <v>0</v>
      </c>
      <c r="AA40" s="9">
        <f t="shared" si="27"/>
        <v>0</v>
      </c>
      <c r="AB40" s="10">
        <f t="shared" si="27"/>
        <v>0</v>
      </c>
    </row>
    <row r="42" spans="1:28" ht="31.2" x14ac:dyDescent="0.6">
      <c r="A42" s="6">
        <v>7</v>
      </c>
      <c r="B42" s="97" t="s">
        <v>392</v>
      </c>
    </row>
    <row r="43" spans="1:28" x14ac:dyDescent="0.3">
      <c r="B43" t="s">
        <v>393</v>
      </c>
      <c r="C43" t="s">
        <v>200</v>
      </c>
      <c r="F43" s="1">
        <v>0</v>
      </c>
      <c r="G43" s="1">
        <f>IF(G1="-",0,F43*1.05)</f>
        <v>0</v>
      </c>
      <c r="H43" s="1">
        <f t="shared" ref="H43:AB43" si="28">IF(H1="-",0,G43*1.05)</f>
        <v>0</v>
      </c>
      <c r="I43" s="1">
        <f t="shared" si="28"/>
        <v>0</v>
      </c>
      <c r="J43" s="1">
        <f t="shared" si="28"/>
        <v>0</v>
      </c>
      <c r="K43" s="1">
        <f t="shared" si="28"/>
        <v>0</v>
      </c>
      <c r="L43" s="1">
        <f t="shared" si="28"/>
        <v>0</v>
      </c>
      <c r="M43" s="1">
        <f t="shared" si="28"/>
        <v>0</v>
      </c>
      <c r="N43" s="1">
        <f t="shared" si="28"/>
        <v>0</v>
      </c>
      <c r="O43" s="1">
        <f t="shared" si="28"/>
        <v>0</v>
      </c>
      <c r="P43" s="1">
        <f t="shared" si="28"/>
        <v>0</v>
      </c>
      <c r="Q43" s="1">
        <f t="shared" si="28"/>
        <v>0</v>
      </c>
      <c r="R43" s="1">
        <f t="shared" si="28"/>
        <v>0</v>
      </c>
      <c r="S43" s="1">
        <f t="shared" si="28"/>
        <v>0</v>
      </c>
      <c r="T43" s="1">
        <f t="shared" si="28"/>
        <v>0</v>
      </c>
      <c r="U43" s="1">
        <f t="shared" si="28"/>
        <v>0</v>
      </c>
      <c r="V43" s="1">
        <f t="shared" si="28"/>
        <v>0</v>
      </c>
      <c r="W43" s="1">
        <f t="shared" si="28"/>
        <v>0</v>
      </c>
      <c r="X43" s="1">
        <f t="shared" si="28"/>
        <v>0</v>
      </c>
      <c r="Y43" s="1">
        <f t="shared" si="28"/>
        <v>0</v>
      </c>
      <c r="Z43" s="1">
        <f t="shared" si="28"/>
        <v>0</v>
      </c>
      <c r="AA43" s="1">
        <f t="shared" si="28"/>
        <v>0</v>
      </c>
      <c r="AB43" s="1">
        <f t="shared" si="28"/>
        <v>0</v>
      </c>
    </row>
    <row r="44" spans="1:28" x14ac:dyDescent="0.3">
      <c r="B44" t="s">
        <v>394</v>
      </c>
      <c r="C44" t="s">
        <v>204</v>
      </c>
      <c r="F44" s="3">
        <f>F43*12*1.18</f>
        <v>0</v>
      </c>
      <c r="G44" s="3">
        <f t="shared" ref="G44:AB44" si="29">G43*12*1.18</f>
        <v>0</v>
      </c>
      <c r="H44" s="3">
        <f t="shared" si="29"/>
        <v>0</v>
      </c>
      <c r="I44" s="3">
        <f t="shared" si="29"/>
        <v>0</v>
      </c>
      <c r="J44" s="3">
        <f t="shared" si="29"/>
        <v>0</v>
      </c>
      <c r="K44" s="3">
        <f t="shared" si="29"/>
        <v>0</v>
      </c>
      <c r="L44" s="3">
        <f t="shared" si="29"/>
        <v>0</v>
      </c>
      <c r="M44" s="3">
        <f t="shared" si="29"/>
        <v>0</v>
      </c>
      <c r="N44" s="3">
        <f t="shared" si="29"/>
        <v>0</v>
      </c>
      <c r="O44" s="3">
        <f t="shared" si="29"/>
        <v>0</v>
      </c>
      <c r="P44" s="3">
        <f t="shared" si="29"/>
        <v>0</v>
      </c>
      <c r="Q44" s="3">
        <f t="shared" si="29"/>
        <v>0</v>
      </c>
      <c r="R44" s="3">
        <f t="shared" si="29"/>
        <v>0</v>
      </c>
      <c r="S44" s="3">
        <f t="shared" si="29"/>
        <v>0</v>
      </c>
      <c r="T44" s="3">
        <f t="shared" si="29"/>
        <v>0</v>
      </c>
      <c r="U44" s="3">
        <f t="shared" si="29"/>
        <v>0</v>
      </c>
      <c r="V44" s="3">
        <f t="shared" si="29"/>
        <v>0</v>
      </c>
      <c r="W44" s="3">
        <f t="shared" si="29"/>
        <v>0</v>
      </c>
      <c r="X44" s="3">
        <f t="shared" si="29"/>
        <v>0</v>
      </c>
      <c r="Y44" s="3">
        <f t="shared" si="29"/>
        <v>0</v>
      </c>
      <c r="Z44" s="3">
        <f t="shared" si="29"/>
        <v>0</v>
      </c>
      <c r="AA44" s="3">
        <f t="shared" si="29"/>
        <v>0</v>
      </c>
      <c r="AB44" s="3">
        <f t="shared" si="29"/>
        <v>0</v>
      </c>
    </row>
    <row r="47" spans="1:28" ht="28.8" x14ac:dyDescent="0.55000000000000004">
      <c r="A47" s="6">
        <v>8</v>
      </c>
      <c r="B47" s="96" t="s">
        <v>227</v>
      </c>
    </row>
    <row r="48" spans="1:28" x14ac:dyDescent="0.3">
      <c r="B48" s="91" t="s">
        <v>228</v>
      </c>
    </row>
    <row r="49" spans="1:28" ht="15" thickBot="1" x14ac:dyDescent="0.35">
      <c r="B49" s="6" t="s">
        <v>74</v>
      </c>
    </row>
    <row r="50" spans="1:28" ht="15" thickBot="1" x14ac:dyDescent="0.35">
      <c r="A50" s="231">
        <v>2</v>
      </c>
      <c r="B50" t="str">
        <f>'Project Cost Details'!B3</f>
        <v>ASRS</v>
      </c>
      <c r="C50" t="s">
        <v>185</v>
      </c>
      <c r="D50" t="s">
        <v>1</v>
      </c>
    </row>
    <row r="51" spans="1:28" x14ac:dyDescent="0.3">
      <c r="B51" t="str">
        <f>'Project Cost Details'!B4</f>
        <v xml:space="preserve">   Racking system</v>
      </c>
      <c r="C51">
        <f>Inputs!$D$4/$A$50</f>
        <v>7.5</v>
      </c>
      <c r="D51" s="3">
        <f>'Project Capex'!D40</f>
        <v>15.041930112000001</v>
      </c>
      <c r="F51" s="3">
        <f>D51</f>
        <v>15.041930112000001</v>
      </c>
      <c r="G51" s="3">
        <f>F51</f>
        <v>15.041930112000001</v>
      </c>
      <c r="H51" s="3">
        <f t="shared" ref="H51:AB51" si="30">G51</f>
        <v>15.041930112000001</v>
      </c>
      <c r="I51" s="3">
        <f t="shared" si="30"/>
        <v>15.041930112000001</v>
      </c>
      <c r="J51" s="3">
        <f t="shared" si="30"/>
        <v>15.041930112000001</v>
      </c>
      <c r="K51" s="3">
        <f t="shared" si="30"/>
        <v>15.041930112000001</v>
      </c>
      <c r="L51" s="3">
        <f t="shared" si="30"/>
        <v>15.041930112000001</v>
      </c>
      <c r="M51" s="3">
        <f t="shared" si="30"/>
        <v>15.041930112000001</v>
      </c>
      <c r="N51" s="3">
        <f t="shared" si="30"/>
        <v>15.041930112000001</v>
      </c>
      <c r="O51" s="3">
        <f t="shared" si="30"/>
        <v>15.041930112000001</v>
      </c>
      <c r="P51" s="3">
        <f t="shared" si="30"/>
        <v>15.041930112000001</v>
      </c>
      <c r="Q51" s="3">
        <f t="shared" si="30"/>
        <v>15.041930112000001</v>
      </c>
      <c r="R51" s="3">
        <f t="shared" si="30"/>
        <v>15.041930112000001</v>
      </c>
      <c r="S51" s="3">
        <f t="shared" si="30"/>
        <v>15.041930112000001</v>
      </c>
      <c r="T51" s="3">
        <f t="shared" si="30"/>
        <v>15.041930112000001</v>
      </c>
      <c r="U51" s="3">
        <f t="shared" si="30"/>
        <v>15.041930112000001</v>
      </c>
      <c r="V51" s="3">
        <f t="shared" si="30"/>
        <v>15.041930112000001</v>
      </c>
      <c r="W51" s="3">
        <f t="shared" si="30"/>
        <v>15.041930112000001</v>
      </c>
      <c r="X51" s="3">
        <f t="shared" si="30"/>
        <v>15.041930112000001</v>
      </c>
      <c r="Y51" s="3">
        <f t="shared" si="30"/>
        <v>15.041930112000001</v>
      </c>
      <c r="Z51" s="3">
        <f t="shared" si="30"/>
        <v>15.041930112000001</v>
      </c>
      <c r="AA51" s="3">
        <f t="shared" si="30"/>
        <v>15.041930112000001</v>
      </c>
      <c r="AB51" s="3">
        <f t="shared" si="30"/>
        <v>15.041930112000001</v>
      </c>
    </row>
    <row r="52" spans="1:28" x14ac:dyDescent="0.3">
      <c r="B52" t="str">
        <f>'Project Cost Details'!B5</f>
        <v xml:space="preserve">   Cladding for high bay</v>
      </c>
      <c r="C52">
        <f>Inputs!$D$4/$A$50</f>
        <v>7.5</v>
      </c>
      <c r="D52" s="3">
        <f>'Project Capex'!D41</f>
        <v>1.4159999999999999</v>
      </c>
      <c r="F52" s="3">
        <f t="shared" ref="F52:F78" si="31">D52</f>
        <v>1.4159999999999999</v>
      </c>
      <c r="G52" s="3">
        <f t="shared" ref="G52:AB52" si="32">F52</f>
        <v>1.4159999999999999</v>
      </c>
      <c r="H52" s="3">
        <f t="shared" si="32"/>
        <v>1.4159999999999999</v>
      </c>
      <c r="I52" s="3">
        <f t="shared" si="32"/>
        <v>1.4159999999999999</v>
      </c>
      <c r="J52" s="3">
        <f t="shared" si="32"/>
        <v>1.4159999999999999</v>
      </c>
      <c r="K52" s="3">
        <f t="shared" si="32"/>
        <v>1.4159999999999999</v>
      </c>
      <c r="L52" s="3">
        <f t="shared" si="32"/>
        <v>1.4159999999999999</v>
      </c>
      <c r="M52" s="3">
        <f t="shared" si="32"/>
        <v>1.4159999999999999</v>
      </c>
      <c r="N52" s="3">
        <f t="shared" si="32"/>
        <v>1.4159999999999999</v>
      </c>
      <c r="O52" s="3">
        <f t="shared" si="32"/>
        <v>1.4159999999999999</v>
      </c>
      <c r="P52" s="3">
        <f t="shared" si="32"/>
        <v>1.4159999999999999</v>
      </c>
      <c r="Q52" s="3">
        <f t="shared" si="32"/>
        <v>1.4159999999999999</v>
      </c>
      <c r="R52" s="3">
        <f t="shared" si="32"/>
        <v>1.4159999999999999</v>
      </c>
      <c r="S52" s="3">
        <f t="shared" si="32"/>
        <v>1.4159999999999999</v>
      </c>
      <c r="T52" s="3">
        <f t="shared" si="32"/>
        <v>1.4159999999999999</v>
      </c>
      <c r="U52" s="3">
        <f t="shared" si="32"/>
        <v>1.4159999999999999</v>
      </c>
      <c r="V52" s="3">
        <f t="shared" si="32"/>
        <v>1.4159999999999999</v>
      </c>
      <c r="W52" s="3">
        <f t="shared" si="32"/>
        <v>1.4159999999999999</v>
      </c>
      <c r="X52" s="3">
        <f t="shared" si="32"/>
        <v>1.4159999999999999</v>
      </c>
      <c r="Y52" s="3">
        <f t="shared" si="32"/>
        <v>1.4159999999999999</v>
      </c>
      <c r="Z52" s="3">
        <f t="shared" si="32"/>
        <v>1.4159999999999999</v>
      </c>
      <c r="AA52" s="3">
        <f t="shared" si="32"/>
        <v>1.4159999999999999</v>
      </c>
      <c r="AB52" s="3">
        <f t="shared" si="32"/>
        <v>1.4159999999999999</v>
      </c>
    </row>
    <row r="53" spans="1:28" x14ac:dyDescent="0.3">
      <c r="B53" t="str">
        <f>'Project Cost Details'!B6</f>
        <v xml:space="preserve">   Double deep Stacker crane</v>
      </c>
      <c r="C53">
        <f>Inputs!$D$4/$A$50</f>
        <v>7.5</v>
      </c>
      <c r="D53" s="3">
        <f>'Project Capex'!D42</f>
        <v>6.5254000000000012</v>
      </c>
      <c r="F53" s="3">
        <f t="shared" si="31"/>
        <v>6.5254000000000012</v>
      </c>
      <c r="G53" s="3">
        <f t="shared" ref="G53:AB53" si="33">F53</f>
        <v>6.5254000000000012</v>
      </c>
      <c r="H53" s="3">
        <f t="shared" si="33"/>
        <v>6.5254000000000012</v>
      </c>
      <c r="I53" s="3">
        <f t="shared" si="33"/>
        <v>6.5254000000000012</v>
      </c>
      <c r="J53" s="3">
        <f t="shared" si="33"/>
        <v>6.5254000000000012</v>
      </c>
      <c r="K53" s="3">
        <f t="shared" si="33"/>
        <v>6.5254000000000012</v>
      </c>
      <c r="L53" s="3">
        <f t="shared" si="33"/>
        <v>6.5254000000000012</v>
      </c>
      <c r="M53" s="3">
        <f t="shared" si="33"/>
        <v>6.5254000000000012</v>
      </c>
      <c r="N53" s="3">
        <f t="shared" si="33"/>
        <v>6.5254000000000012</v>
      </c>
      <c r="O53" s="3">
        <f t="shared" si="33"/>
        <v>6.5254000000000012</v>
      </c>
      <c r="P53" s="3">
        <f t="shared" si="33"/>
        <v>6.5254000000000012</v>
      </c>
      <c r="Q53" s="3">
        <f t="shared" si="33"/>
        <v>6.5254000000000012</v>
      </c>
      <c r="R53" s="3">
        <f t="shared" si="33"/>
        <v>6.5254000000000012</v>
      </c>
      <c r="S53" s="3">
        <f t="shared" si="33"/>
        <v>6.5254000000000012</v>
      </c>
      <c r="T53" s="3">
        <f t="shared" si="33"/>
        <v>6.5254000000000012</v>
      </c>
      <c r="U53" s="3">
        <f t="shared" si="33"/>
        <v>6.5254000000000012</v>
      </c>
      <c r="V53" s="3">
        <f t="shared" si="33"/>
        <v>6.5254000000000012</v>
      </c>
      <c r="W53" s="3">
        <f t="shared" si="33"/>
        <v>6.5254000000000012</v>
      </c>
      <c r="X53" s="3">
        <f t="shared" si="33"/>
        <v>6.5254000000000012</v>
      </c>
      <c r="Y53" s="3">
        <f t="shared" si="33"/>
        <v>6.5254000000000012</v>
      </c>
      <c r="Z53" s="3">
        <f t="shared" si="33"/>
        <v>6.5254000000000012</v>
      </c>
      <c r="AA53" s="3">
        <f t="shared" si="33"/>
        <v>6.5254000000000012</v>
      </c>
      <c r="AB53" s="3">
        <f t="shared" si="33"/>
        <v>6.5254000000000012</v>
      </c>
    </row>
    <row r="54" spans="1:28" x14ac:dyDescent="0.3">
      <c r="B54" t="str">
        <f>'Project Cost Details'!B7</f>
        <v xml:space="preserve">   Bottom Rail with aisle accessories</v>
      </c>
      <c r="C54">
        <f>Inputs!$D$4/$A$50</f>
        <v>7.5</v>
      </c>
      <c r="D54" s="3">
        <f>'Project Capex'!D43</f>
        <v>1.5871925120000001</v>
      </c>
      <c r="F54" s="3">
        <f t="shared" si="31"/>
        <v>1.5871925120000001</v>
      </c>
      <c r="G54" s="3">
        <f t="shared" ref="G54:AB54" si="34">F54</f>
        <v>1.5871925120000001</v>
      </c>
      <c r="H54" s="3">
        <f t="shared" si="34"/>
        <v>1.5871925120000001</v>
      </c>
      <c r="I54" s="3">
        <f t="shared" si="34"/>
        <v>1.5871925120000001</v>
      </c>
      <c r="J54" s="3">
        <f t="shared" si="34"/>
        <v>1.5871925120000001</v>
      </c>
      <c r="K54" s="3">
        <f t="shared" si="34"/>
        <v>1.5871925120000001</v>
      </c>
      <c r="L54" s="3">
        <f t="shared" si="34"/>
        <v>1.5871925120000001</v>
      </c>
      <c r="M54" s="3">
        <f t="shared" si="34"/>
        <v>1.5871925120000001</v>
      </c>
      <c r="N54" s="3">
        <f t="shared" si="34"/>
        <v>1.5871925120000001</v>
      </c>
      <c r="O54" s="3">
        <f t="shared" si="34"/>
        <v>1.5871925120000001</v>
      </c>
      <c r="P54" s="3">
        <f t="shared" si="34"/>
        <v>1.5871925120000001</v>
      </c>
      <c r="Q54" s="3">
        <f t="shared" si="34"/>
        <v>1.5871925120000001</v>
      </c>
      <c r="R54" s="3">
        <f t="shared" si="34"/>
        <v>1.5871925120000001</v>
      </c>
      <c r="S54" s="3">
        <f t="shared" si="34"/>
        <v>1.5871925120000001</v>
      </c>
      <c r="T54" s="3">
        <f t="shared" si="34"/>
        <v>1.5871925120000001</v>
      </c>
      <c r="U54" s="3">
        <f t="shared" si="34"/>
        <v>1.5871925120000001</v>
      </c>
      <c r="V54" s="3">
        <f t="shared" si="34"/>
        <v>1.5871925120000001</v>
      </c>
      <c r="W54" s="3">
        <f t="shared" si="34"/>
        <v>1.5871925120000001</v>
      </c>
      <c r="X54" s="3">
        <f t="shared" si="34"/>
        <v>1.5871925120000001</v>
      </c>
      <c r="Y54" s="3">
        <f t="shared" si="34"/>
        <v>1.5871925120000001</v>
      </c>
      <c r="Z54" s="3">
        <f t="shared" si="34"/>
        <v>1.5871925120000001</v>
      </c>
      <c r="AA54" s="3">
        <f t="shared" si="34"/>
        <v>1.5871925120000001</v>
      </c>
      <c r="AB54" s="3">
        <f t="shared" si="34"/>
        <v>1.5871925120000001</v>
      </c>
    </row>
    <row r="55" spans="1:28" x14ac:dyDescent="0.3">
      <c r="B55" t="str">
        <f>'Project Cost Details'!B8</f>
        <v xml:space="preserve">   Conveyor system</v>
      </c>
      <c r="C55">
        <f>Inputs!$D$4/$A$50</f>
        <v>7.5</v>
      </c>
      <c r="D55" s="3">
        <f>'Project Capex'!D44</f>
        <v>1.7582000000000002</v>
      </c>
      <c r="F55" s="3">
        <f t="shared" si="31"/>
        <v>1.7582000000000002</v>
      </c>
      <c r="G55" s="3">
        <f t="shared" ref="G55:AB55" si="35">F55</f>
        <v>1.7582000000000002</v>
      </c>
      <c r="H55" s="3">
        <f t="shared" si="35"/>
        <v>1.7582000000000002</v>
      </c>
      <c r="I55" s="3">
        <f t="shared" si="35"/>
        <v>1.7582000000000002</v>
      </c>
      <c r="J55" s="3">
        <f t="shared" si="35"/>
        <v>1.7582000000000002</v>
      </c>
      <c r="K55" s="3">
        <f t="shared" si="35"/>
        <v>1.7582000000000002</v>
      </c>
      <c r="L55" s="3">
        <f t="shared" si="35"/>
        <v>1.7582000000000002</v>
      </c>
      <c r="M55" s="3">
        <f t="shared" si="35"/>
        <v>1.7582000000000002</v>
      </c>
      <c r="N55" s="3">
        <f t="shared" si="35"/>
        <v>1.7582000000000002</v>
      </c>
      <c r="O55" s="3">
        <f t="shared" si="35"/>
        <v>1.7582000000000002</v>
      </c>
      <c r="P55" s="3">
        <f t="shared" si="35"/>
        <v>1.7582000000000002</v>
      </c>
      <c r="Q55" s="3">
        <f t="shared" si="35"/>
        <v>1.7582000000000002</v>
      </c>
      <c r="R55" s="3">
        <f t="shared" si="35"/>
        <v>1.7582000000000002</v>
      </c>
      <c r="S55" s="3">
        <f t="shared" si="35"/>
        <v>1.7582000000000002</v>
      </c>
      <c r="T55" s="3">
        <f t="shared" si="35"/>
        <v>1.7582000000000002</v>
      </c>
      <c r="U55" s="3">
        <f t="shared" si="35"/>
        <v>1.7582000000000002</v>
      </c>
      <c r="V55" s="3">
        <f t="shared" si="35"/>
        <v>1.7582000000000002</v>
      </c>
      <c r="W55" s="3">
        <f t="shared" si="35"/>
        <v>1.7582000000000002</v>
      </c>
      <c r="X55" s="3">
        <f t="shared" si="35"/>
        <v>1.7582000000000002</v>
      </c>
      <c r="Y55" s="3">
        <f t="shared" si="35"/>
        <v>1.7582000000000002</v>
      </c>
      <c r="Z55" s="3">
        <f t="shared" si="35"/>
        <v>1.7582000000000002</v>
      </c>
      <c r="AA55" s="3">
        <f t="shared" si="35"/>
        <v>1.7582000000000002</v>
      </c>
      <c r="AB55" s="3">
        <f t="shared" si="35"/>
        <v>1.7582000000000002</v>
      </c>
    </row>
    <row r="56" spans="1:28" x14ac:dyDescent="0.3">
      <c r="B56" t="str">
        <f>'Project Cost Details'!B9</f>
        <v xml:space="preserve">   Critical spares</v>
      </c>
      <c r="C56">
        <f>Inputs!$D$4/$A$50</f>
        <v>7.5</v>
      </c>
      <c r="D56" s="3">
        <f>'Project Capex'!D45</f>
        <v>0.33040000000000003</v>
      </c>
      <c r="F56" s="3">
        <f t="shared" si="31"/>
        <v>0.33040000000000003</v>
      </c>
      <c r="G56" s="3">
        <f t="shared" ref="G56:AB56" si="36">F56</f>
        <v>0.33040000000000003</v>
      </c>
      <c r="H56" s="3">
        <f t="shared" si="36"/>
        <v>0.33040000000000003</v>
      </c>
      <c r="I56" s="3">
        <f t="shared" si="36"/>
        <v>0.33040000000000003</v>
      </c>
      <c r="J56" s="3">
        <f t="shared" si="36"/>
        <v>0.33040000000000003</v>
      </c>
      <c r="K56" s="3">
        <f t="shared" si="36"/>
        <v>0.33040000000000003</v>
      </c>
      <c r="L56" s="3">
        <f t="shared" si="36"/>
        <v>0.33040000000000003</v>
      </c>
      <c r="M56" s="3">
        <f t="shared" si="36"/>
        <v>0.33040000000000003</v>
      </c>
      <c r="N56" s="3">
        <f t="shared" si="36"/>
        <v>0.33040000000000003</v>
      </c>
      <c r="O56" s="3">
        <f t="shared" si="36"/>
        <v>0.33040000000000003</v>
      </c>
      <c r="P56" s="3">
        <f t="shared" si="36"/>
        <v>0.33040000000000003</v>
      </c>
      <c r="Q56" s="3">
        <f t="shared" si="36"/>
        <v>0.33040000000000003</v>
      </c>
      <c r="R56" s="3">
        <f t="shared" si="36"/>
        <v>0.33040000000000003</v>
      </c>
      <c r="S56" s="3">
        <f t="shared" si="36"/>
        <v>0.33040000000000003</v>
      </c>
      <c r="T56" s="3">
        <f t="shared" si="36"/>
        <v>0.33040000000000003</v>
      </c>
      <c r="U56" s="3">
        <f t="shared" si="36"/>
        <v>0.33040000000000003</v>
      </c>
      <c r="V56" s="3">
        <f t="shared" si="36"/>
        <v>0.33040000000000003</v>
      </c>
      <c r="W56" s="3">
        <f t="shared" si="36"/>
        <v>0.33040000000000003</v>
      </c>
      <c r="X56" s="3">
        <f t="shared" si="36"/>
        <v>0.33040000000000003</v>
      </c>
      <c r="Y56" s="3">
        <f t="shared" si="36"/>
        <v>0.33040000000000003</v>
      </c>
      <c r="Z56" s="3">
        <f t="shared" si="36"/>
        <v>0.33040000000000003</v>
      </c>
      <c r="AA56" s="3">
        <f t="shared" si="36"/>
        <v>0.33040000000000003</v>
      </c>
      <c r="AB56" s="3">
        <f t="shared" si="36"/>
        <v>0.33040000000000003</v>
      </c>
    </row>
    <row r="57" spans="1:28" x14ac:dyDescent="0.3">
      <c r="B57" t="str">
        <f>'Project Cost Details'!B10</f>
        <v xml:space="preserve">   Metal pallets</v>
      </c>
      <c r="C57">
        <f>Inputs!$D$4/$A$50</f>
        <v>7.5</v>
      </c>
      <c r="D57" s="3">
        <f>'Project Capex'!D46</f>
        <v>9.4815360000000002</v>
      </c>
      <c r="F57" s="3">
        <f t="shared" si="31"/>
        <v>9.4815360000000002</v>
      </c>
      <c r="G57" s="3">
        <f t="shared" ref="G57:AB57" si="37">F57</f>
        <v>9.4815360000000002</v>
      </c>
      <c r="H57" s="3">
        <f t="shared" si="37"/>
        <v>9.4815360000000002</v>
      </c>
      <c r="I57" s="3">
        <f t="shared" si="37"/>
        <v>9.4815360000000002</v>
      </c>
      <c r="J57" s="3">
        <f t="shared" si="37"/>
        <v>9.4815360000000002</v>
      </c>
      <c r="K57" s="3">
        <f t="shared" si="37"/>
        <v>9.4815360000000002</v>
      </c>
      <c r="L57" s="3">
        <f t="shared" si="37"/>
        <v>9.4815360000000002</v>
      </c>
      <c r="M57" s="3">
        <f t="shared" si="37"/>
        <v>9.4815360000000002</v>
      </c>
      <c r="N57" s="3">
        <f t="shared" si="37"/>
        <v>9.4815360000000002</v>
      </c>
      <c r="O57" s="3">
        <f t="shared" si="37"/>
        <v>9.4815360000000002</v>
      </c>
      <c r="P57" s="3">
        <f t="shared" si="37"/>
        <v>9.4815360000000002</v>
      </c>
      <c r="Q57" s="3">
        <f t="shared" si="37"/>
        <v>9.4815360000000002</v>
      </c>
      <c r="R57" s="3">
        <f t="shared" si="37"/>
        <v>9.4815360000000002</v>
      </c>
      <c r="S57" s="3">
        <f t="shared" si="37"/>
        <v>9.4815360000000002</v>
      </c>
      <c r="T57" s="3">
        <f t="shared" si="37"/>
        <v>9.4815360000000002</v>
      </c>
      <c r="U57" s="3">
        <f t="shared" si="37"/>
        <v>9.4815360000000002</v>
      </c>
      <c r="V57" s="3">
        <f t="shared" si="37"/>
        <v>9.4815360000000002</v>
      </c>
      <c r="W57" s="3">
        <f t="shared" si="37"/>
        <v>9.4815360000000002</v>
      </c>
      <c r="X57" s="3">
        <f t="shared" si="37"/>
        <v>9.4815360000000002</v>
      </c>
      <c r="Y57" s="3">
        <f t="shared" si="37"/>
        <v>9.4815360000000002</v>
      </c>
      <c r="Z57" s="3">
        <f t="shared" si="37"/>
        <v>9.4815360000000002</v>
      </c>
      <c r="AA57" s="3">
        <f t="shared" si="37"/>
        <v>9.4815360000000002</v>
      </c>
      <c r="AB57" s="3">
        <f t="shared" si="37"/>
        <v>9.4815360000000002</v>
      </c>
    </row>
    <row r="58" spans="1:28" x14ac:dyDescent="0.3">
      <c r="B58" t="str">
        <f>'Project Cost Details'!B11</f>
        <v xml:space="preserve">   Discount</v>
      </c>
      <c r="C58">
        <f>Inputs!$D$4/$A$50</f>
        <v>7.5</v>
      </c>
      <c r="D58" s="3">
        <f>'Project Capex'!D47</f>
        <v>-3.2658623999999997E-2</v>
      </c>
      <c r="F58" s="3">
        <f t="shared" si="31"/>
        <v>-3.2658623999999997E-2</v>
      </c>
      <c r="G58" s="3">
        <f t="shared" ref="G58:AB58" si="38">F58</f>
        <v>-3.2658623999999997E-2</v>
      </c>
      <c r="H58" s="3">
        <f t="shared" si="38"/>
        <v>-3.2658623999999997E-2</v>
      </c>
      <c r="I58" s="3">
        <f t="shared" si="38"/>
        <v>-3.2658623999999997E-2</v>
      </c>
      <c r="J58" s="3">
        <f t="shared" si="38"/>
        <v>-3.2658623999999997E-2</v>
      </c>
      <c r="K58" s="3">
        <f t="shared" si="38"/>
        <v>-3.2658623999999997E-2</v>
      </c>
      <c r="L58" s="3">
        <f t="shared" si="38"/>
        <v>-3.2658623999999997E-2</v>
      </c>
      <c r="M58" s="3">
        <f t="shared" si="38"/>
        <v>-3.2658623999999997E-2</v>
      </c>
      <c r="N58" s="3">
        <f t="shared" si="38"/>
        <v>-3.2658623999999997E-2</v>
      </c>
      <c r="O58" s="3">
        <f t="shared" si="38"/>
        <v>-3.2658623999999997E-2</v>
      </c>
      <c r="P58" s="3">
        <f t="shared" si="38"/>
        <v>-3.2658623999999997E-2</v>
      </c>
      <c r="Q58" s="3">
        <f t="shared" si="38"/>
        <v>-3.2658623999999997E-2</v>
      </c>
      <c r="R58" s="3">
        <f t="shared" si="38"/>
        <v>-3.2658623999999997E-2</v>
      </c>
      <c r="S58" s="3">
        <f t="shared" si="38"/>
        <v>-3.2658623999999997E-2</v>
      </c>
      <c r="T58" s="3">
        <f t="shared" si="38"/>
        <v>-3.2658623999999997E-2</v>
      </c>
      <c r="U58" s="3">
        <f t="shared" si="38"/>
        <v>-3.2658623999999997E-2</v>
      </c>
      <c r="V58" s="3">
        <f t="shared" si="38"/>
        <v>-3.2658623999999997E-2</v>
      </c>
      <c r="W58" s="3">
        <f t="shared" si="38"/>
        <v>-3.2658623999999997E-2</v>
      </c>
      <c r="X58" s="3">
        <f t="shared" si="38"/>
        <v>-3.2658623999999997E-2</v>
      </c>
      <c r="Y58" s="3">
        <f t="shared" si="38"/>
        <v>-3.2658623999999997E-2</v>
      </c>
      <c r="Z58" s="3">
        <f t="shared" si="38"/>
        <v>-3.2658623999999997E-2</v>
      </c>
      <c r="AA58" s="3">
        <f t="shared" si="38"/>
        <v>-3.2658623999999997E-2</v>
      </c>
      <c r="AB58" s="3">
        <f t="shared" si="38"/>
        <v>-3.2658623999999997E-2</v>
      </c>
    </row>
    <row r="59" spans="1:28" x14ac:dyDescent="0.3">
      <c r="B59" t="str">
        <f>'Project Cost Details'!B12</f>
        <v>Civil Cost</v>
      </c>
      <c r="D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B60" s="293" t="str">
        <f>'Project Cost Details'!B13</f>
        <v>Earthworks and soiling</v>
      </c>
      <c r="C60">
        <f>C58</f>
        <v>7.5</v>
      </c>
      <c r="D60" s="3">
        <f>'Project Capex'!D49</f>
        <v>1.593</v>
      </c>
      <c r="F60" s="3">
        <f t="shared" ref="F60:F73" si="39">D60</f>
        <v>1.593</v>
      </c>
      <c r="G60" s="3">
        <f t="shared" ref="G60:G73" si="40">F60</f>
        <v>1.593</v>
      </c>
      <c r="H60" s="3">
        <f t="shared" ref="H60:H73" si="41">G60</f>
        <v>1.593</v>
      </c>
      <c r="I60" s="3">
        <f t="shared" ref="I60:I73" si="42">H60</f>
        <v>1.593</v>
      </c>
      <c r="J60" s="3">
        <f t="shared" ref="J60:J73" si="43">I60</f>
        <v>1.593</v>
      </c>
      <c r="K60" s="3">
        <f t="shared" ref="K60:K73" si="44">J60</f>
        <v>1.593</v>
      </c>
      <c r="L60" s="3">
        <f t="shared" ref="L60:L73" si="45">K60</f>
        <v>1.593</v>
      </c>
      <c r="M60" s="3">
        <f t="shared" ref="M60:M73" si="46">L60</f>
        <v>1.593</v>
      </c>
      <c r="N60" s="3">
        <f t="shared" ref="N60:N73" si="47">M60</f>
        <v>1.593</v>
      </c>
      <c r="O60" s="3">
        <f t="shared" ref="O60:O73" si="48">N60</f>
        <v>1.593</v>
      </c>
      <c r="P60" s="3">
        <f t="shared" ref="P60:P73" si="49">O60</f>
        <v>1.593</v>
      </c>
      <c r="Q60" s="3">
        <f t="shared" ref="Q60:Q73" si="50">P60</f>
        <v>1.593</v>
      </c>
      <c r="R60" s="3">
        <f t="shared" ref="R60:R73" si="51">Q60</f>
        <v>1.593</v>
      </c>
      <c r="S60" s="3">
        <f t="shared" ref="S60:S73" si="52">R60</f>
        <v>1.593</v>
      </c>
      <c r="T60" s="3">
        <f t="shared" ref="T60:T73" si="53">S60</f>
        <v>1.593</v>
      </c>
      <c r="U60" s="3">
        <f t="shared" ref="U60:U73" si="54">T60</f>
        <v>1.593</v>
      </c>
      <c r="V60" s="3">
        <f t="shared" ref="V60:V73" si="55">U60</f>
        <v>1.593</v>
      </c>
      <c r="W60" s="3">
        <f t="shared" ref="W60:W73" si="56">V60</f>
        <v>1.593</v>
      </c>
      <c r="X60" s="3">
        <f t="shared" ref="X60:X73" si="57">W60</f>
        <v>1.593</v>
      </c>
      <c r="Y60" s="3">
        <f t="shared" ref="Y60:Y73" si="58">X60</f>
        <v>1.593</v>
      </c>
      <c r="Z60" s="3">
        <f t="shared" ref="Z60:Z73" si="59">Y60</f>
        <v>1.593</v>
      </c>
      <c r="AA60" s="3">
        <f t="shared" ref="AA60:AA73" si="60">Z60</f>
        <v>1.593</v>
      </c>
      <c r="AB60" s="3">
        <f t="shared" ref="AB60:AB73" si="61">AA60</f>
        <v>1.593</v>
      </c>
    </row>
    <row r="61" spans="1:28" x14ac:dyDescent="0.3">
      <c r="B61" s="293" t="str">
        <f>'Project Cost Details'!B14</f>
        <v>PCC works</v>
      </c>
      <c r="C61">
        <f>C60</f>
        <v>7.5</v>
      </c>
      <c r="D61" s="3">
        <f>'Project Capex'!D50</f>
        <v>0.53100000000000003</v>
      </c>
      <c r="F61" s="3">
        <f t="shared" si="39"/>
        <v>0.53100000000000003</v>
      </c>
      <c r="G61" s="3">
        <f t="shared" si="40"/>
        <v>0.53100000000000003</v>
      </c>
      <c r="H61" s="3">
        <f t="shared" si="41"/>
        <v>0.53100000000000003</v>
      </c>
      <c r="I61" s="3">
        <f t="shared" si="42"/>
        <v>0.53100000000000003</v>
      </c>
      <c r="J61" s="3">
        <f t="shared" si="43"/>
        <v>0.53100000000000003</v>
      </c>
      <c r="K61" s="3">
        <f t="shared" si="44"/>
        <v>0.53100000000000003</v>
      </c>
      <c r="L61" s="3">
        <f t="shared" si="45"/>
        <v>0.53100000000000003</v>
      </c>
      <c r="M61" s="3">
        <f t="shared" si="46"/>
        <v>0.53100000000000003</v>
      </c>
      <c r="N61" s="3">
        <f t="shared" si="47"/>
        <v>0.53100000000000003</v>
      </c>
      <c r="O61" s="3">
        <f t="shared" si="48"/>
        <v>0.53100000000000003</v>
      </c>
      <c r="P61" s="3">
        <f t="shared" si="49"/>
        <v>0.53100000000000003</v>
      </c>
      <c r="Q61" s="3">
        <f t="shared" si="50"/>
        <v>0.53100000000000003</v>
      </c>
      <c r="R61" s="3">
        <f t="shared" si="51"/>
        <v>0.53100000000000003</v>
      </c>
      <c r="S61" s="3">
        <f t="shared" si="52"/>
        <v>0.53100000000000003</v>
      </c>
      <c r="T61" s="3">
        <f t="shared" si="53"/>
        <v>0.53100000000000003</v>
      </c>
      <c r="U61" s="3">
        <f t="shared" si="54"/>
        <v>0.53100000000000003</v>
      </c>
      <c r="V61" s="3">
        <f t="shared" si="55"/>
        <v>0.53100000000000003</v>
      </c>
      <c r="W61" s="3">
        <f t="shared" si="56"/>
        <v>0.53100000000000003</v>
      </c>
      <c r="X61" s="3">
        <f t="shared" si="57"/>
        <v>0.53100000000000003</v>
      </c>
      <c r="Y61" s="3">
        <f t="shared" si="58"/>
        <v>0.53100000000000003</v>
      </c>
      <c r="Z61" s="3">
        <f t="shared" si="59"/>
        <v>0.53100000000000003</v>
      </c>
      <c r="AA61" s="3">
        <f t="shared" si="60"/>
        <v>0.53100000000000003</v>
      </c>
      <c r="AB61" s="3">
        <f t="shared" si="61"/>
        <v>0.53100000000000003</v>
      </c>
    </row>
    <row r="62" spans="1:28" x14ac:dyDescent="0.3">
      <c r="B62" s="293" t="str">
        <f>'Project Cost Details'!B15</f>
        <v>RCC works</v>
      </c>
      <c r="C62">
        <f t="shared" ref="C62:C72" si="62">C61</f>
        <v>7.5</v>
      </c>
      <c r="D62" s="3">
        <f>'Project Capex'!D51</f>
        <v>3.54</v>
      </c>
      <c r="F62" s="3">
        <f t="shared" si="39"/>
        <v>3.54</v>
      </c>
      <c r="G62" s="3">
        <f t="shared" si="40"/>
        <v>3.54</v>
      </c>
      <c r="H62" s="3">
        <f t="shared" si="41"/>
        <v>3.54</v>
      </c>
      <c r="I62" s="3">
        <f t="shared" si="42"/>
        <v>3.54</v>
      </c>
      <c r="J62" s="3">
        <f t="shared" si="43"/>
        <v>3.54</v>
      </c>
      <c r="K62" s="3">
        <f t="shared" si="44"/>
        <v>3.54</v>
      </c>
      <c r="L62" s="3">
        <f t="shared" si="45"/>
        <v>3.54</v>
      </c>
      <c r="M62" s="3">
        <f t="shared" si="46"/>
        <v>3.54</v>
      </c>
      <c r="N62" s="3">
        <f t="shared" si="47"/>
        <v>3.54</v>
      </c>
      <c r="O62" s="3">
        <f t="shared" si="48"/>
        <v>3.54</v>
      </c>
      <c r="P62" s="3">
        <f t="shared" si="49"/>
        <v>3.54</v>
      </c>
      <c r="Q62" s="3">
        <f t="shared" si="50"/>
        <v>3.54</v>
      </c>
      <c r="R62" s="3">
        <f t="shared" si="51"/>
        <v>3.54</v>
      </c>
      <c r="S62" s="3">
        <f t="shared" si="52"/>
        <v>3.54</v>
      </c>
      <c r="T62" s="3">
        <f t="shared" si="53"/>
        <v>3.54</v>
      </c>
      <c r="U62" s="3">
        <f t="shared" si="54"/>
        <v>3.54</v>
      </c>
      <c r="V62" s="3">
        <f t="shared" si="55"/>
        <v>3.54</v>
      </c>
      <c r="W62" s="3">
        <f t="shared" si="56"/>
        <v>3.54</v>
      </c>
      <c r="X62" s="3">
        <f t="shared" si="57"/>
        <v>3.54</v>
      </c>
      <c r="Y62" s="3">
        <f t="shared" si="58"/>
        <v>3.54</v>
      </c>
      <c r="Z62" s="3">
        <f t="shared" si="59"/>
        <v>3.54</v>
      </c>
      <c r="AA62" s="3">
        <f t="shared" si="60"/>
        <v>3.54</v>
      </c>
      <c r="AB62" s="3">
        <f t="shared" si="61"/>
        <v>3.54</v>
      </c>
    </row>
    <row r="63" spans="1:28" x14ac:dyDescent="0.3">
      <c r="B63" s="293" t="str">
        <f>'Project Cost Details'!B16</f>
        <v>Shuttering</v>
      </c>
      <c r="C63">
        <f t="shared" si="62"/>
        <v>7.5</v>
      </c>
      <c r="D63" s="3">
        <f>'Project Capex'!D52</f>
        <v>0.14749999999999996</v>
      </c>
      <c r="F63" s="3">
        <f t="shared" si="39"/>
        <v>0.14749999999999996</v>
      </c>
      <c r="G63" s="3">
        <f t="shared" si="40"/>
        <v>0.14749999999999996</v>
      </c>
      <c r="H63" s="3">
        <f t="shared" si="41"/>
        <v>0.14749999999999996</v>
      </c>
      <c r="I63" s="3">
        <f t="shared" si="42"/>
        <v>0.14749999999999996</v>
      </c>
      <c r="J63" s="3">
        <f t="shared" si="43"/>
        <v>0.14749999999999996</v>
      </c>
      <c r="K63" s="3">
        <f t="shared" si="44"/>
        <v>0.14749999999999996</v>
      </c>
      <c r="L63" s="3">
        <f t="shared" si="45"/>
        <v>0.14749999999999996</v>
      </c>
      <c r="M63" s="3">
        <f t="shared" si="46"/>
        <v>0.14749999999999996</v>
      </c>
      <c r="N63" s="3">
        <f t="shared" si="47"/>
        <v>0.14749999999999996</v>
      </c>
      <c r="O63" s="3">
        <f t="shared" si="48"/>
        <v>0.14749999999999996</v>
      </c>
      <c r="P63" s="3">
        <f t="shared" si="49"/>
        <v>0.14749999999999996</v>
      </c>
      <c r="Q63" s="3">
        <f t="shared" si="50"/>
        <v>0.14749999999999996</v>
      </c>
      <c r="R63" s="3">
        <f t="shared" si="51"/>
        <v>0.14749999999999996</v>
      </c>
      <c r="S63" s="3">
        <f t="shared" si="52"/>
        <v>0.14749999999999996</v>
      </c>
      <c r="T63" s="3">
        <f t="shared" si="53"/>
        <v>0.14749999999999996</v>
      </c>
      <c r="U63" s="3">
        <f t="shared" si="54"/>
        <v>0.14749999999999996</v>
      </c>
      <c r="V63" s="3">
        <f t="shared" si="55"/>
        <v>0.14749999999999996</v>
      </c>
      <c r="W63" s="3">
        <f t="shared" si="56"/>
        <v>0.14749999999999996</v>
      </c>
      <c r="X63" s="3">
        <f t="shared" si="57"/>
        <v>0.14749999999999996</v>
      </c>
      <c r="Y63" s="3">
        <f t="shared" si="58"/>
        <v>0.14749999999999996</v>
      </c>
      <c r="Z63" s="3">
        <f t="shared" si="59"/>
        <v>0.14749999999999996</v>
      </c>
      <c r="AA63" s="3">
        <f t="shared" si="60"/>
        <v>0.14749999999999996</v>
      </c>
      <c r="AB63" s="3">
        <f t="shared" si="61"/>
        <v>0.14749999999999996</v>
      </c>
    </row>
    <row r="64" spans="1:28" x14ac:dyDescent="0.3">
      <c r="B64" s="293" t="str">
        <f>'Project Cost Details'!B17</f>
        <v>TMT bards Fe 500</v>
      </c>
      <c r="C64">
        <f t="shared" si="62"/>
        <v>7.5</v>
      </c>
      <c r="D64" s="3">
        <f>'Project Capex'!D53</f>
        <v>2.4779999999999998</v>
      </c>
      <c r="F64" s="3">
        <f t="shared" si="39"/>
        <v>2.4779999999999998</v>
      </c>
      <c r="G64" s="3">
        <f t="shared" si="40"/>
        <v>2.4779999999999998</v>
      </c>
      <c r="H64" s="3">
        <f t="shared" si="41"/>
        <v>2.4779999999999998</v>
      </c>
      <c r="I64" s="3">
        <f t="shared" si="42"/>
        <v>2.4779999999999998</v>
      </c>
      <c r="J64" s="3">
        <f t="shared" si="43"/>
        <v>2.4779999999999998</v>
      </c>
      <c r="K64" s="3">
        <f t="shared" si="44"/>
        <v>2.4779999999999998</v>
      </c>
      <c r="L64" s="3">
        <f t="shared" si="45"/>
        <v>2.4779999999999998</v>
      </c>
      <c r="M64" s="3">
        <f t="shared" si="46"/>
        <v>2.4779999999999998</v>
      </c>
      <c r="N64" s="3">
        <f t="shared" si="47"/>
        <v>2.4779999999999998</v>
      </c>
      <c r="O64" s="3">
        <f t="shared" si="48"/>
        <v>2.4779999999999998</v>
      </c>
      <c r="P64" s="3">
        <f t="shared" si="49"/>
        <v>2.4779999999999998</v>
      </c>
      <c r="Q64" s="3">
        <f t="shared" si="50"/>
        <v>2.4779999999999998</v>
      </c>
      <c r="R64" s="3">
        <f t="shared" si="51"/>
        <v>2.4779999999999998</v>
      </c>
      <c r="S64" s="3">
        <f t="shared" si="52"/>
        <v>2.4779999999999998</v>
      </c>
      <c r="T64" s="3">
        <f t="shared" si="53"/>
        <v>2.4779999999999998</v>
      </c>
      <c r="U64" s="3">
        <f t="shared" si="54"/>
        <v>2.4779999999999998</v>
      </c>
      <c r="V64" s="3">
        <f t="shared" si="55"/>
        <v>2.4779999999999998</v>
      </c>
      <c r="W64" s="3">
        <f t="shared" si="56"/>
        <v>2.4779999999999998</v>
      </c>
      <c r="X64" s="3">
        <f t="shared" si="57"/>
        <v>2.4779999999999998</v>
      </c>
      <c r="Y64" s="3">
        <f t="shared" si="58"/>
        <v>2.4779999999999998</v>
      </c>
      <c r="Z64" s="3">
        <f t="shared" si="59"/>
        <v>2.4779999999999998</v>
      </c>
      <c r="AA64" s="3">
        <f t="shared" si="60"/>
        <v>2.4779999999999998</v>
      </c>
      <c r="AB64" s="3">
        <f t="shared" si="61"/>
        <v>2.4779999999999998</v>
      </c>
    </row>
    <row r="65" spans="1:28" x14ac:dyDescent="0.3">
      <c r="B65" s="293" t="str">
        <f>'Project Cost Details'!B18</f>
        <v>Masonary works</v>
      </c>
      <c r="C65">
        <f t="shared" si="62"/>
        <v>7.5</v>
      </c>
      <c r="D65" s="3">
        <f>'Project Capex'!D54</f>
        <v>7.0800000000000002E-2</v>
      </c>
      <c r="F65" s="3">
        <f t="shared" si="39"/>
        <v>7.0800000000000002E-2</v>
      </c>
      <c r="G65" s="3">
        <f t="shared" si="40"/>
        <v>7.0800000000000002E-2</v>
      </c>
      <c r="H65" s="3">
        <f t="shared" si="41"/>
        <v>7.0800000000000002E-2</v>
      </c>
      <c r="I65" s="3">
        <f t="shared" si="42"/>
        <v>7.0800000000000002E-2</v>
      </c>
      <c r="J65" s="3">
        <f t="shared" si="43"/>
        <v>7.0800000000000002E-2</v>
      </c>
      <c r="K65" s="3">
        <f t="shared" si="44"/>
        <v>7.0800000000000002E-2</v>
      </c>
      <c r="L65" s="3">
        <f t="shared" si="45"/>
        <v>7.0800000000000002E-2</v>
      </c>
      <c r="M65" s="3">
        <f t="shared" si="46"/>
        <v>7.0800000000000002E-2</v>
      </c>
      <c r="N65" s="3">
        <f t="shared" si="47"/>
        <v>7.0800000000000002E-2</v>
      </c>
      <c r="O65" s="3">
        <f t="shared" si="48"/>
        <v>7.0800000000000002E-2</v>
      </c>
      <c r="P65" s="3">
        <f t="shared" si="49"/>
        <v>7.0800000000000002E-2</v>
      </c>
      <c r="Q65" s="3">
        <f t="shared" si="50"/>
        <v>7.0800000000000002E-2</v>
      </c>
      <c r="R65" s="3">
        <f t="shared" si="51"/>
        <v>7.0800000000000002E-2</v>
      </c>
      <c r="S65" s="3">
        <f t="shared" si="52"/>
        <v>7.0800000000000002E-2</v>
      </c>
      <c r="T65" s="3">
        <f t="shared" si="53"/>
        <v>7.0800000000000002E-2</v>
      </c>
      <c r="U65" s="3">
        <f t="shared" si="54"/>
        <v>7.0800000000000002E-2</v>
      </c>
      <c r="V65" s="3">
        <f t="shared" si="55"/>
        <v>7.0800000000000002E-2</v>
      </c>
      <c r="W65" s="3">
        <f t="shared" si="56"/>
        <v>7.0800000000000002E-2</v>
      </c>
      <c r="X65" s="3">
        <f t="shared" si="57"/>
        <v>7.0800000000000002E-2</v>
      </c>
      <c r="Y65" s="3">
        <f t="shared" si="58"/>
        <v>7.0800000000000002E-2</v>
      </c>
      <c r="Z65" s="3">
        <f t="shared" si="59"/>
        <v>7.0800000000000002E-2</v>
      </c>
      <c r="AA65" s="3">
        <f t="shared" si="60"/>
        <v>7.0800000000000002E-2</v>
      </c>
      <c r="AB65" s="3">
        <f t="shared" si="61"/>
        <v>7.0800000000000002E-2</v>
      </c>
    </row>
    <row r="66" spans="1:28" x14ac:dyDescent="0.3">
      <c r="B66" s="293" t="str">
        <f>'Project Cost Details'!B19</f>
        <v>Plastering</v>
      </c>
      <c r="C66">
        <f t="shared" si="62"/>
        <v>7.5</v>
      </c>
      <c r="D66" s="3">
        <f>'Project Capex'!D55</f>
        <v>5.7525E-2</v>
      </c>
      <c r="F66" s="3">
        <f t="shared" si="39"/>
        <v>5.7525E-2</v>
      </c>
      <c r="G66" s="3">
        <f t="shared" si="40"/>
        <v>5.7525E-2</v>
      </c>
      <c r="H66" s="3">
        <f t="shared" si="41"/>
        <v>5.7525E-2</v>
      </c>
      <c r="I66" s="3">
        <f t="shared" si="42"/>
        <v>5.7525E-2</v>
      </c>
      <c r="J66" s="3">
        <f t="shared" si="43"/>
        <v>5.7525E-2</v>
      </c>
      <c r="K66" s="3">
        <f t="shared" si="44"/>
        <v>5.7525E-2</v>
      </c>
      <c r="L66" s="3">
        <f t="shared" si="45"/>
        <v>5.7525E-2</v>
      </c>
      <c r="M66" s="3">
        <f t="shared" si="46"/>
        <v>5.7525E-2</v>
      </c>
      <c r="N66" s="3">
        <f t="shared" si="47"/>
        <v>5.7525E-2</v>
      </c>
      <c r="O66" s="3">
        <f t="shared" si="48"/>
        <v>5.7525E-2</v>
      </c>
      <c r="P66" s="3">
        <f t="shared" si="49"/>
        <v>5.7525E-2</v>
      </c>
      <c r="Q66" s="3">
        <f t="shared" si="50"/>
        <v>5.7525E-2</v>
      </c>
      <c r="R66" s="3">
        <f t="shared" si="51"/>
        <v>5.7525E-2</v>
      </c>
      <c r="S66" s="3">
        <f t="shared" si="52"/>
        <v>5.7525E-2</v>
      </c>
      <c r="T66" s="3">
        <f t="shared" si="53"/>
        <v>5.7525E-2</v>
      </c>
      <c r="U66" s="3">
        <f t="shared" si="54"/>
        <v>5.7525E-2</v>
      </c>
      <c r="V66" s="3">
        <f t="shared" si="55"/>
        <v>5.7525E-2</v>
      </c>
      <c r="W66" s="3">
        <f t="shared" si="56"/>
        <v>5.7525E-2</v>
      </c>
      <c r="X66" s="3">
        <f t="shared" si="57"/>
        <v>5.7525E-2</v>
      </c>
      <c r="Y66" s="3">
        <f t="shared" si="58"/>
        <v>5.7525E-2</v>
      </c>
      <c r="Z66" s="3">
        <f t="shared" si="59"/>
        <v>5.7525E-2</v>
      </c>
      <c r="AA66" s="3">
        <f t="shared" si="60"/>
        <v>5.7525E-2</v>
      </c>
      <c r="AB66" s="3">
        <f t="shared" si="61"/>
        <v>5.7525E-2</v>
      </c>
    </row>
    <row r="67" spans="1:28" x14ac:dyDescent="0.3">
      <c r="B67" s="293" t="str">
        <f>'Project Cost Details'!B20</f>
        <v>VDF Flooring</v>
      </c>
      <c r="C67">
        <f t="shared" si="62"/>
        <v>7.5</v>
      </c>
      <c r="D67" s="3">
        <f>'Project Capex'!D56</f>
        <v>8.4959999999999994E-2</v>
      </c>
      <c r="F67" s="3">
        <f t="shared" si="39"/>
        <v>8.4959999999999994E-2</v>
      </c>
      <c r="G67" s="3">
        <f t="shared" si="40"/>
        <v>8.4959999999999994E-2</v>
      </c>
      <c r="H67" s="3">
        <f t="shared" si="41"/>
        <v>8.4959999999999994E-2</v>
      </c>
      <c r="I67" s="3">
        <f t="shared" si="42"/>
        <v>8.4959999999999994E-2</v>
      </c>
      <c r="J67" s="3">
        <f t="shared" si="43"/>
        <v>8.4959999999999994E-2</v>
      </c>
      <c r="K67" s="3">
        <f t="shared" si="44"/>
        <v>8.4959999999999994E-2</v>
      </c>
      <c r="L67" s="3">
        <f t="shared" si="45"/>
        <v>8.4959999999999994E-2</v>
      </c>
      <c r="M67" s="3">
        <f t="shared" si="46"/>
        <v>8.4959999999999994E-2</v>
      </c>
      <c r="N67" s="3">
        <f t="shared" si="47"/>
        <v>8.4959999999999994E-2</v>
      </c>
      <c r="O67" s="3">
        <f t="shared" si="48"/>
        <v>8.4959999999999994E-2</v>
      </c>
      <c r="P67" s="3">
        <f t="shared" si="49"/>
        <v>8.4959999999999994E-2</v>
      </c>
      <c r="Q67" s="3">
        <f t="shared" si="50"/>
        <v>8.4959999999999994E-2</v>
      </c>
      <c r="R67" s="3">
        <f t="shared" si="51"/>
        <v>8.4959999999999994E-2</v>
      </c>
      <c r="S67" s="3">
        <f t="shared" si="52"/>
        <v>8.4959999999999994E-2</v>
      </c>
      <c r="T67" s="3">
        <f t="shared" si="53"/>
        <v>8.4959999999999994E-2</v>
      </c>
      <c r="U67" s="3">
        <f t="shared" si="54"/>
        <v>8.4959999999999994E-2</v>
      </c>
      <c r="V67" s="3">
        <f t="shared" si="55"/>
        <v>8.4959999999999994E-2</v>
      </c>
      <c r="W67" s="3">
        <f t="shared" si="56"/>
        <v>8.4959999999999994E-2</v>
      </c>
      <c r="X67" s="3">
        <f t="shared" si="57"/>
        <v>8.4959999999999994E-2</v>
      </c>
      <c r="Y67" s="3">
        <f t="shared" si="58"/>
        <v>8.4959999999999994E-2</v>
      </c>
      <c r="Z67" s="3">
        <f t="shared" si="59"/>
        <v>8.4959999999999994E-2</v>
      </c>
      <c r="AA67" s="3">
        <f t="shared" si="60"/>
        <v>8.4959999999999994E-2</v>
      </c>
      <c r="AB67" s="3">
        <f t="shared" si="61"/>
        <v>8.4959999999999994E-2</v>
      </c>
    </row>
    <row r="68" spans="1:28" x14ac:dyDescent="0.3">
      <c r="B68" s="293" t="str">
        <f>'Project Cost Details'!B21</f>
        <v>J BOLTS installation</v>
      </c>
      <c r="C68">
        <f t="shared" si="62"/>
        <v>7.5</v>
      </c>
      <c r="D68" s="3">
        <f>'Project Capex'!D57</f>
        <v>0.1888</v>
      </c>
      <c r="F68" s="3">
        <f t="shared" si="39"/>
        <v>0.1888</v>
      </c>
      <c r="G68" s="3">
        <f t="shared" si="40"/>
        <v>0.1888</v>
      </c>
      <c r="H68" s="3">
        <f t="shared" si="41"/>
        <v>0.1888</v>
      </c>
      <c r="I68" s="3">
        <f t="shared" si="42"/>
        <v>0.1888</v>
      </c>
      <c r="J68" s="3">
        <f t="shared" si="43"/>
        <v>0.1888</v>
      </c>
      <c r="K68" s="3">
        <f t="shared" si="44"/>
        <v>0.1888</v>
      </c>
      <c r="L68" s="3">
        <f t="shared" si="45"/>
        <v>0.1888</v>
      </c>
      <c r="M68" s="3">
        <f t="shared" si="46"/>
        <v>0.1888</v>
      </c>
      <c r="N68" s="3">
        <f t="shared" si="47"/>
        <v>0.1888</v>
      </c>
      <c r="O68" s="3">
        <f t="shared" si="48"/>
        <v>0.1888</v>
      </c>
      <c r="P68" s="3">
        <f t="shared" si="49"/>
        <v>0.1888</v>
      </c>
      <c r="Q68" s="3">
        <f t="shared" si="50"/>
        <v>0.1888</v>
      </c>
      <c r="R68" s="3">
        <f t="shared" si="51"/>
        <v>0.1888</v>
      </c>
      <c r="S68" s="3">
        <f t="shared" si="52"/>
        <v>0.1888</v>
      </c>
      <c r="T68" s="3">
        <f t="shared" si="53"/>
        <v>0.1888</v>
      </c>
      <c r="U68" s="3">
        <f t="shared" si="54"/>
        <v>0.1888</v>
      </c>
      <c r="V68" s="3">
        <f t="shared" si="55"/>
        <v>0.1888</v>
      </c>
      <c r="W68" s="3">
        <f t="shared" si="56"/>
        <v>0.1888</v>
      </c>
      <c r="X68" s="3">
        <f t="shared" si="57"/>
        <v>0.1888</v>
      </c>
      <c r="Y68" s="3">
        <f t="shared" si="58"/>
        <v>0.1888</v>
      </c>
      <c r="Z68" s="3">
        <f t="shared" si="59"/>
        <v>0.1888</v>
      </c>
      <c r="AA68" s="3">
        <f t="shared" si="60"/>
        <v>0.1888</v>
      </c>
      <c r="AB68" s="3">
        <f t="shared" si="61"/>
        <v>0.1888</v>
      </c>
    </row>
    <row r="69" spans="1:28" x14ac:dyDescent="0.3">
      <c r="B69" s="293" t="str">
        <f>'Project Cost Details'!B22</f>
        <v>Baseplate Grouting</v>
      </c>
      <c r="C69">
        <f t="shared" si="62"/>
        <v>7.5</v>
      </c>
      <c r="D69" s="3">
        <f>'Project Capex'!D58</f>
        <v>0.10384</v>
      </c>
      <c r="F69" s="3">
        <f t="shared" si="39"/>
        <v>0.10384</v>
      </c>
      <c r="G69" s="3">
        <f t="shared" si="40"/>
        <v>0.10384</v>
      </c>
      <c r="H69" s="3">
        <f t="shared" si="41"/>
        <v>0.10384</v>
      </c>
      <c r="I69" s="3">
        <f t="shared" si="42"/>
        <v>0.10384</v>
      </c>
      <c r="J69" s="3">
        <f t="shared" si="43"/>
        <v>0.10384</v>
      </c>
      <c r="K69" s="3">
        <f t="shared" si="44"/>
        <v>0.10384</v>
      </c>
      <c r="L69" s="3">
        <f t="shared" si="45"/>
        <v>0.10384</v>
      </c>
      <c r="M69" s="3">
        <f t="shared" si="46"/>
        <v>0.10384</v>
      </c>
      <c r="N69" s="3">
        <f t="shared" si="47"/>
        <v>0.10384</v>
      </c>
      <c r="O69" s="3">
        <f t="shared" si="48"/>
        <v>0.10384</v>
      </c>
      <c r="P69" s="3">
        <f t="shared" si="49"/>
        <v>0.10384</v>
      </c>
      <c r="Q69" s="3">
        <f t="shared" si="50"/>
        <v>0.10384</v>
      </c>
      <c r="R69" s="3">
        <f t="shared" si="51"/>
        <v>0.10384</v>
      </c>
      <c r="S69" s="3">
        <f t="shared" si="52"/>
        <v>0.10384</v>
      </c>
      <c r="T69" s="3">
        <f t="shared" si="53"/>
        <v>0.10384</v>
      </c>
      <c r="U69" s="3">
        <f t="shared" si="54"/>
        <v>0.10384</v>
      </c>
      <c r="V69" s="3">
        <f t="shared" si="55"/>
        <v>0.10384</v>
      </c>
      <c r="W69" s="3">
        <f t="shared" si="56"/>
        <v>0.10384</v>
      </c>
      <c r="X69" s="3">
        <f t="shared" si="57"/>
        <v>0.10384</v>
      </c>
      <c r="Y69" s="3">
        <f t="shared" si="58"/>
        <v>0.10384</v>
      </c>
      <c r="Z69" s="3">
        <f t="shared" si="59"/>
        <v>0.10384</v>
      </c>
      <c r="AA69" s="3">
        <f t="shared" si="60"/>
        <v>0.10384</v>
      </c>
      <c r="AB69" s="3">
        <f t="shared" si="61"/>
        <v>0.10384</v>
      </c>
    </row>
    <row r="70" spans="1:28" x14ac:dyDescent="0.3">
      <c r="B70" s="293" t="str">
        <f>'Project Cost Details'!B23</f>
        <v>Miscellenous</v>
      </c>
      <c r="C70">
        <f t="shared" si="62"/>
        <v>7.5</v>
      </c>
      <c r="D70" s="3">
        <f>'Project Capex'!D59</f>
        <v>0.1416</v>
      </c>
      <c r="F70" s="3">
        <f t="shared" si="39"/>
        <v>0.1416</v>
      </c>
      <c r="G70" s="3">
        <f t="shared" si="40"/>
        <v>0.1416</v>
      </c>
      <c r="H70" s="3">
        <f t="shared" si="41"/>
        <v>0.1416</v>
      </c>
      <c r="I70" s="3">
        <f t="shared" si="42"/>
        <v>0.1416</v>
      </c>
      <c r="J70" s="3">
        <f t="shared" si="43"/>
        <v>0.1416</v>
      </c>
      <c r="K70" s="3">
        <f t="shared" si="44"/>
        <v>0.1416</v>
      </c>
      <c r="L70" s="3">
        <f t="shared" si="45"/>
        <v>0.1416</v>
      </c>
      <c r="M70" s="3">
        <f t="shared" si="46"/>
        <v>0.1416</v>
      </c>
      <c r="N70" s="3">
        <f t="shared" si="47"/>
        <v>0.1416</v>
      </c>
      <c r="O70" s="3">
        <f t="shared" si="48"/>
        <v>0.1416</v>
      </c>
      <c r="P70" s="3">
        <f t="shared" si="49"/>
        <v>0.1416</v>
      </c>
      <c r="Q70" s="3">
        <f t="shared" si="50"/>
        <v>0.1416</v>
      </c>
      <c r="R70" s="3">
        <f t="shared" si="51"/>
        <v>0.1416</v>
      </c>
      <c r="S70" s="3">
        <f t="shared" si="52"/>
        <v>0.1416</v>
      </c>
      <c r="T70" s="3">
        <f t="shared" si="53"/>
        <v>0.1416</v>
      </c>
      <c r="U70" s="3">
        <f t="shared" si="54"/>
        <v>0.1416</v>
      </c>
      <c r="V70" s="3">
        <f t="shared" si="55"/>
        <v>0.1416</v>
      </c>
      <c r="W70" s="3">
        <f t="shared" si="56"/>
        <v>0.1416</v>
      </c>
      <c r="X70" s="3">
        <f t="shared" si="57"/>
        <v>0.1416</v>
      </c>
      <c r="Y70" s="3">
        <f t="shared" si="58"/>
        <v>0.1416</v>
      </c>
      <c r="Z70" s="3">
        <f t="shared" si="59"/>
        <v>0.1416</v>
      </c>
      <c r="AA70" s="3">
        <f t="shared" si="60"/>
        <v>0.1416</v>
      </c>
      <c r="AB70" s="3">
        <f t="shared" si="61"/>
        <v>0.1416</v>
      </c>
    </row>
    <row r="71" spans="1:28" x14ac:dyDescent="0.3">
      <c r="B71" t="str">
        <f>'Project Cost Details'!B24</f>
        <v>Road</v>
      </c>
      <c r="C71">
        <f t="shared" si="62"/>
        <v>7.5</v>
      </c>
      <c r="D71" s="3">
        <f>'Project Capex'!D60</f>
        <v>1.6905075300000003</v>
      </c>
      <c r="F71" s="3">
        <f t="shared" si="39"/>
        <v>1.6905075300000003</v>
      </c>
      <c r="G71" s="3">
        <f t="shared" si="40"/>
        <v>1.6905075300000003</v>
      </c>
      <c r="H71" s="3">
        <f t="shared" si="41"/>
        <v>1.6905075300000003</v>
      </c>
      <c r="I71" s="3">
        <f t="shared" si="42"/>
        <v>1.6905075300000003</v>
      </c>
      <c r="J71" s="3">
        <f t="shared" si="43"/>
        <v>1.6905075300000003</v>
      </c>
      <c r="K71" s="3">
        <f t="shared" si="44"/>
        <v>1.6905075300000003</v>
      </c>
      <c r="L71" s="3">
        <f t="shared" si="45"/>
        <v>1.6905075300000003</v>
      </c>
      <c r="M71" s="3">
        <f t="shared" si="46"/>
        <v>1.6905075300000003</v>
      </c>
      <c r="N71" s="3">
        <f t="shared" si="47"/>
        <v>1.6905075300000003</v>
      </c>
      <c r="O71" s="3">
        <f t="shared" si="48"/>
        <v>1.6905075300000003</v>
      </c>
      <c r="P71" s="3">
        <f t="shared" si="49"/>
        <v>1.6905075300000003</v>
      </c>
      <c r="Q71" s="3">
        <f t="shared" si="50"/>
        <v>1.6905075300000003</v>
      </c>
      <c r="R71" s="3">
        <f t="shared" si="51"/>
        <v>1.6905075300000003</v>
      </c>
      <c r="S71" s="3">
        <f t="shared" si="52"/>
        <v>1.6905075300000003</v>
      </c>
      <c r="T71" s="3">
        <f t="shared" si="53"/>
        <v>1.6905075300000003</v>
      </c>
      <c r="U71" s="3">
        <f t="shared" si="54"/>
        <v>1.6905075300000003</v>
      </c>
      <c r="V71" s="3">
        <f t="shared" si="55"/>
        <v>1.6905075300000003</v>
      </c>
      <c r="W71" s="3">
        <f t="shared" si="56"/>
        <v>1.6905075300000003</v>
      </c>
      <c r="X71" s="3">
        <f t="shared" si="57"/>
        <v>1.6905075300000003</v>
      </c>
      <c r="Y71" s="3">
        <f t="shared" si="58"/>
        <v>1.6905075300000003</v>
      </c>
      <c r="Z71" s="3">
        <f t="shared" si="59"/>
        <v>1.6905075300000003</v>
      </c>
      <c r="AA71" s="3">
        <f t="shared" si="60"/>
        <v>1.6905075300000003</v>
      </c>
      <c r="AB71" s="3">
        <f t="shared" si="61"/>
        <v>1.6905075300000003</v>
      </c>
    </row>
    <row r="72" spans="1:28" x14ac:dyDescent="0.3">
      <c r="B72" t="str">
        <f>'Project Cost Details'!B25</f>
        <v>Electrical</v>
      </c>
      <c r="C72">
        <f t="shared" si="62"/>
        <v>7.5</v>
      </c>
      <c r="D72" s="3">
        <f>'Project Capex'!D61</f>
        <v>0</v>
      </c>
      <c r="F72" s="3">
        <f t="shared" si="39"/>
        <v>0</v>
      </c>
      <c r="G72" s="3">
        <f t="shared" si="40"/>
        <v>0</v>
      </c>
      <c r="H72" s="3">
        <f t="shared" si="41"/>
        <v>0</v>
      </c>
      <c r="I72" s="3">
        <f t="shared" si="42"/>
        <v>0</v>
      </c>
      <c r="J72" s="3">
        <f t="shared" si="43"/>
        <v>0</v>
      </c>
      <c r="K72" s="3">
        <f t="shared" si="44"/>
        <v>0</v>
      </c>
      <c r="L72" s="3">
        <f t="shared" si="45"/>
        <v>0</v>
      </c>
      <c r="M72" s="3">
        <f t="shared" si="46"/>
        <v>0</v>
      </c>
      <c r="N72" s="3">
        <f t="shared" si="47"/>
        <v>0</v>
      </c>
      <c r="O72" s="3">
        <f t="shared" si="48"/>
        <v>0</v>
      </c>
      <c r="P72" s="3">
        <f t="shared" si="49"/>
        <v>0</v>
      </c>
      <c r="Q72" s="3">
        <f t="shared" si="50"/>
        <v>0</v>
      </c>
      <c r="R72" s="3">
        <f t="shared" si="51"/>
        <v>0</v>
      </c>
      <c r="S72" s="3">
        <f t="shared" si="52"/>
        <v>0</v>
      </c>
      <c r="T72" s="3">
        <f t="shared" si="53"/>
        <v>0</v>
      </c>
      <c r="U72" s="3">
        <f t="shared" si="54"/>
        <v>0</v>
      </c>
      <c r="V72" s="3">
        <f t="shared" si="55"/>
        <v>0</v>
      </c>
      <c r="W72" s="3">
        <f t="shared" si="56"/>
        <v>0</v>
      </c>
      <c r="X72" s="3">
        <f t="shared" si="57"/>
        <v>0</v>
      </c>
      <c r="Y72" s="3">
        <f t="shared" si="58"/>
        <v>0</v>
      </c>
      <c r="Z72" s="3">
        <f t="shared" si="59"/>
        <v>0</v>
      </c>
      <c r="AA72" s="3">
        <f t="shared" si="60"/>
        <v>0</v>
      </c>
      <c r="AB72" s="3">
        <f t="shared" si="61"/>
        <v>0</v>
      </c>
    </row>
    <row r="73" spans="1:28" x14ac:dyDescent="0.3">
      <c r="B73" t="str">
        <f>'Project Cost Details'!B26</f>
        <v>CDA</v>
      </c>
      <c r="C73">
        <f>C72</f>
        <v>7.5</v>
      </c>
      <c r="D73" s="3">
        <f>'Project Capex'!D62</f>
        <v>0</v>
      </c>
      <c r="F73" s="3">
        <f t="shared" si="39"/>
        <v>0</v>
      </c>
      <c r="G73" s="3">
        <f t="shared" si="40"/>
        <v>0</v>
      </c>
      <c r="H73" s="3">
        <f t="shared" si="41"/>
        <v>0</v>
      </c>
      <c r="I73" s="3">
        <f t="shared" si="42"/>
        <v>0</v>
      </c>
      <c r="J73" s="3">
        <f t="shared" si="43"/>
        <v>0</v>
      </c>
      <c r="K73" s="3">
        <f t="shared" si="44"/>
        <v>0</v>
      </c>
      <c r="L73" s="3">
        <f t="shared" si="45"/>
        <v>0</v>
      </c>
      <c r="M73" s="3">
        <f t="shared" si="46"/>
        <v>0</v>
      </c>
      <c r="N73" s="3">
        <f t="shared" si="47"/>
        <v>0</v>
      </c>
      <c r="O73" s="3">
        <f t="shared" si="48"/>
        <v>0</v>
      </c>
      <c r="P73" s="3">
        <f t="shared" si="49"/>
        <v>0</v>
      </c>
      <c r="Q73" s="3">
        <f t="shared" si="50"/>
        <v>0</v>
      </c>
      <c r="R73" s="3">
        <f t="shared" si="51"/>
        <v>0</v>
      </c>
      <c r="S73" s="3">
        <f t="shared" si="52"/>
        <v>0</v>
      </c>
      <c r="T73" s="3">
        <f t="shared" si="53"/>
        <v>0</v>
      </c>
      <c r="U73" s="3">
        <f t="shared" si="54"/>
        <v>0</v>
      </c>
      <c r="V73" s="3">
        <f t="shared" si="55"/>
        <v>0</v>
      </c>
      <c r="W73" s="3">
        <f t="shared" si="56"/>
        <v>0</v>
      </c>
      <c r="X73" s="3">
        <f t="shared" si="57"/>
        <v>0</v>
      </c>
      <c r="Y73" s="3">
        <f t="shared" si="58"/>
        <v>0</v>
      </c>
      <c r="Z73" s="3">
        <f t="shared" si="59"/>
        <v>0</v>
      </c>
      <c r="AA73" s="3">
        <f t="shared" si="60"/>
        <v>0</v>
      </c>
      <c r="AB73" s="3">
        <f t="shared" si="61"/>
        <v>0</v>
      </c>
    </row>
    <row r="74" spans="1:28" x14ac:dyDescent="0.3">
      <c r="B74" t="str">
        <f>'Project Cost Details'!B27</f>
        <v>FHS and FAS for the ASRS</v>
      </c>
      <c r="C74">
        <f>C73</f>
        <v>7.5</v>
      </c>
      <c r="D74" s="3">
        <f>'Project Capex'!D63</f>
        <v>0</v>
      </c>
      <c r="F74" s="3">
        <f t="shared" ref="F74" si="63">D74</f>
        <v>0</v>
      </c>
      <c r="G74" s="3">
        <f t="shared" ref="G74" si="64">F74</f>
        <v>0</v>
      </c>
      <c r="H74" s="3">
        <f t="shared" ref="H74" si="65">G74</f>
        <v>0</v>
      </c>
      <c r="I74" s="3">
        <f t="shared" ref="I74" si="66">H74</f>
        <v>0</v>
      </c>
      <c r="J74" s="3">
        <f t="shared" ref="J74" si="67">I74</f>
        <v>0</v>
      </c>
      <c r="K74" s="3">
        <f t="shared" ref="K74" si="68">J74</f>
        <v>0</v>
      </c>
      <c r="L74" s="3">
        <f t="shared" ref="L74" si="69">K74</f>
        <v>0</v>
      </c>
      <c r="M74" s="3">
        <f t="shared" ref="M74" si="70">L74</f>
        <v>0</v>
      </c>
      <c r="N74" s="3">
        <f t="shared" ref="N74" si="71">M74</f>
        <v>0</v>
      </c>
      <c r="O74" s="3">
        <f t="shared" ref="O74" si="72">N74</f>
        <v>0</v>
      </c>
      <c r="P74" s="3">
        <f t="shared" ref="P74" si="73">O74</f>
        <v>0</v>
      </c>
      <c r="Q74" s="3">
        <f t="shared" ref="Q74" si="74">P74</f>
        <v>0</v>
      </c>
      <c r="R74" s="3">
        <f t="shared" ref="R74" si="75">Q74</f>
        <v>0</v>
      </c>
      <c r="S74" s="3">
        <f t="shared" ref="S74" si="76">R74</f>
        <v>0</v>
      </c>
      <c r="T74" s="3">
        <f t="shared" ref="T74" si="77">S74</f>
        <v>0</v>
      </c>
      <c r="U74" s="3">
        <f t="shared" ref="U74" si="78">T74</f>
        <v>0</v>
      </c>
      <c r="V74" s="3">
        <f t="shared" ref="V74" si="79">U74</f>
        <v>0</v>
      </c>
      <c r="W74" s="3">
        <f t="shared" ref="W74" si="80">V74</f>
        <v>0</v>
      </c>
      <c r="X74" s="3">
        <f t="shared" ref="X74" si="81">W74</f>
        <v>0</v>
      </c>
      <c r="Y74" s="3">
        <f t="shared" ref="Y74" si="82">X74</f>
        <v>0</v>
      </c>
      <c r="Z74" s="3">
        <f t="shared" ref="Z74" si="83">Y74</f>
        <v>0</v>
      </c>
      <c r="AA74" s="3">
        <f t="shared" ref="AA74" si="84">Z74</f>
        <v>0</v>
      </c>
      <c r="AB74" s="3">
        <f t="shared" ref="AB74" si="85">AA74</f>
        <v>0</v>
      </c>
    </row>
    <row r="75" spans="1:28" x14ac:dyDescent="0.3">
      <c r="B75" t="str">
        <f>'Project Cost Details'!B28</f>
        <v>Dock levellers</v>
      </c>
      <c r="C75">
        <f>C58</f>
        <v>7.5</v>
      </c>
      <c r="D75" s="3">
        <f>'Project Capex'!D64</f>
        <v>0.838469888</v>
      </c>
      <c r="F75" s="3">
        <f t="shared" si="31"/>
        <v>0.838469888</v>
      </c>
      <c r="G75" s="3">
        <f t="shared" ref="G75:AB75" si="86">F75</f>
        <v>0.838469888</v>
      </c>
      <c r="H75" s="3">
        <f t="shared" si="86"/>
        <v>0.838469888</v>
      </c>
      <c r="I75" s="3">
        <f t="shared" si="86"/>
        <v>0.838469888</v>
      </c>
      <c r="J75" s="3">
        <f t="shared" si="86"/>
        <v>0.838469888</v>
      </c>
      <c r="K75" s="3">
        <f t="shared" si="86"/>
        <v>0.838469888</v>
      </c>
      <c r="L75" s="3">
        <f t="shared" si="86"/>
        <v>0.838469888</v>
      </c>
      <c r="M75" s="3">
        <f t="shared" si="86"/>
        <v>0.838469888</v>
      </c>
      <c r="N75" s="3">
        <f t="shared" si="86"/>
        <v>0.838469888</v>
      </c>
      <c r="O75" s="3">
        <f t="shared" si="86"/>
        <v>0.838469888</v>
      </c>
      <c r="P75" s="3">
        <f t="shared" si="86"/>
        <v>0.838469888</v>
      </c>
      <c r="Q75" s="3">
        <f t="shared" si="86"/>
        <v>0.838469888</v>
      </c>
      <c r="R75" s="3">
        <f t="shared" si="86"/>
        <v>0.838469888</v>
      </c>
      <c r="S75" s="3">
        <f t="shared" si="86"/>
        <v>0.838469888</v>
      </c>
      <c r="T75" s="3">
        <f t="shared" si="86"/>
        <v>0.838469888</v>
      </c>
      <c r="U75" s="3">
        <f t="shared" si="86"/>
        <v>0.838469888</v>
      </c>
      <c r="V75" s="3">
        <f t="shared" si="86"/>
        <v>0.838469888</v>
      </c>
      <c r="W75" s="3">
        <f t="shared" si="86"/>
        <v>0.838469888</v>
      </c>
      <c r="X75" s="3">
        <f t="shared" si="86"/>
        <v>0.838469888</v>
      </c>
      <c r="Y75" s="3">
        <f t="shared" si="86"/>
        <v>0.838469888</v>
      </c>
      <c r="Z75" s="3">
        <f t="shared" si="86"/>
        <v>0.838469888</v>
      </c>
      <c r="AA75" s="3">
        <f t="shared" si="86"/>
        <v>0.838469888</v>
      </c>
      <c r="AB75" s="3">
        <f t="shared" si="86"/>
        <v>0.838469888</v>
      </c>
    </row>
    <row r="76" spans="1:28" x14ac:dyDescent="0.3">
      <c r="B76" t="str">
        <f>'Project Cost Details'!B29</f>
        <v>Contingency</v>
      </c>
      <c r="C76">
        <f>C58</f>
        <v>7.5</v>
      </c>
      <c r="D76" s="3">
        <f>'Project Capex'!D65</f>
        <v>2.3787001209</v>
      </c>
      <c r="F76" s="3">
        <f t="shared" si="31"/>
        <v>2.3787001209</v>
      </c>
      <c r="G76" s="3">
        <f t="shared" ref="G76:AB76" si="87">F76</f>
        <v>2.3787001209</v>
      </c>
      <c r="H76" s="3">
        <f t="shared" si="87"/>
        <v>2.3787001209</v>
      </c>
      <c r="I76" s="3">
        <f t="shared" si="87"/>
        <v>2.3787001209</v>
      </c>
      <c r="J76" s="3">
        <f t="shared" si="87"/>
        <v>2.3787001209</v>
      </c>
      <c r="K76" s="3">
        <f t="shared" si="87"/>
        <v>2.3787001209</v>
      </c>
      <c r="L76" s="3">
        <f t="shared" si="87"/>
        <v>2.3787001209</v>
      </c>
      <c r="M76" s="3">
        <f t="shared" si="87"/>
        <v>2.3787001209</v>
      </c>
      <c r="N76" s="3">
        <f t="shared" si="87"/>
        <v>2.3787001209</v>
      </c>
      <c r="O76" s="3">
        <f t="shared" si="87"/>
        <v>2.3787001209</v>
      </c>
      <c r="P76" s="3">
        <f t="shared" si="87"/>
        <v>2.3787001209</v>
      </c>
      <c r="Q76" s="3">
        <f t="shared" si="87"/>
        <v>2.3787001209</v>
      </c>
      <c r="R76" s="3">
        <f t="shared" si="87"/>
        <v>2.3787001209</v>
      </c>
      <c r="S76" s="3">
        <f t="shared" si="87"/>
        <v>2.3787001209</v>
      </c>
      <c r="T76" s="3">
        <f t="shared" si="87"/>
        <v>2.3787001209</v>
      </c>
      <c r="U76" s="3">
        <f t="shared" si="87"/>
        <v>2.3787001209</v>
      </c>
      <c r="V76" s="3">
        <f t="shared" si="87"/>
        <v>2.3787001209</v>
      </c>
      <c r="W76" s="3">
        <f t="shared" si="87"/>
        <v>2.3787001209</v>
      </c>
      <c r="X76" s="3">
        <f t="shared" si="87"/>
        <v>2.3787001209</v>
      </c>
      <c r="Y76" s="3">
        <f t="shared" si="87"/>
        <v>2.3787001209</v>
      </c>
      <c r="Z76" s="3">
        <f t="shared" si="87"/>
        <v>2.3787001209</v>
      </c>
      <c r="AA76" s="3">
        <f t="shared" si="87"/>
        <v>2.3787001209</v>
      </c>
      <c r="AB76" s="3">
        <f t="shared" si="87"/>
        <v>2.3787001209</v>
      </c>
    </row>
    <row r="77" spans="1:28" x14ac:dyDescent="0.3">
      <c r="B77" t="str">
        <f>'Project Cost Details'!B30</f>
        <v>Pre - operating expenses</v>
      </c>
      <c r="C77">
        <f>C76</f>
        <v>7.5</v>
      </c>
      <c r="D77" s="3">
        <f>'Project Capex'!D66</f>
        <v>0.54125170008899981</v>
      </c>
      <c r="F77" s="3">
        <f t="shared" si="31"/>
        <v>0.54125170008899981</v>
      </c>
      <c r="G77" s="3">
        <f t="shared" ref="G77:AB77" si="88">F77</f>
        <v>0.54125170008899981</v>
      </c>
      <c r="H77" s="3">
        <f t="shared" si="88"/>
        <v>0.54125170008899981</v>
      </c>
      <c r="I77" s="3">
        <f t="shared" si="88"/>
        <v>0.54125170008899981</v>
      </c>
      <c r="J77" s="3">
        <f t="shared" si="88"/>
        <v>0.54125170008899981</v>
      </c>
      <c r="K77" s="3">
        <f t="shared" si="88"/>
        <v>0.54125170008899981</v>
      </c>
      <c r="L77" s="3">
        <f t="shared" si="88"/>
        <v>0.54125170008899981</v>
      </c>
      <c r="M77" s="3">
        <f t="shared" si="88"/>
        <v>0.54125170008899981</v>
      </c>
      <c r="N77" s="3">
        <f t="shared" si="88"/>
        <v>0.54125170008899981</v>
      </c>
      <c r="O77" s="3">
        <f t="shared" si="88"/>
        <v>0.54125170008899981</v>
      </c>
      <c r="P77" s="3">
        <f t="shared" si="88"/>
        <v>0.54125170008899981</v>
      </c>
      <c r="Q77" s="3">
        <f t="shared" si="88"/>
        <v>0.54125170008899981</v>
      </c>
      <c r="R77" s="3">
        <f t="shared" si="88"/>
        <v>0.54125170008899981</v>
      </c>
      <c r="S77" s="3">
        <f t="shared" si="88"/>
        <v>0.54125170008899981</v>
      </c>
      <c r="T77" s="3">
        <f t="shared" si="88"/>
        <v>0.54125170008899981</v>
      </c>
      <c r="U77" s="3">
        <f t="shared" si="88"/>
        <v>0.54125170008899981</v>
      </c>
      <c r="V77" s="3">
        <f t="shared" si="88"/>
        <v>0.54125170008899981</v>
      </c>
      <c r="W77" s="3">
        <f t="shared" si="88"/>
        <v>0.54125170008899981</v>
      </c>
      <c r="X77" s="3">
        <f t="shared" si="88"/>
        <v>0.54125170008899981</v>
      </c>
      <c r="Y77" s="3">
        <f t="shared" si="88"/>
        <v>0.54125170008899981</v>
      </c>
      <c r="Z77" s="3">
        <f t="shared" si="88"/>
        <v>0.54125170008899981</v>
      </c>
      <c r="AA77" s="3">
        <f t="shared" si="88"/>
        <v>0.54125170008899981</v>
      </c>
      <c r="AB77" s="3">
        <f t="shared" si="88"/>
        <v>0.54125170008899981</v>
      </c>
    </row>
    <row r="78" spans="1:28" x14ac:dyDescent="0.3">
      <c r="B78" t="str">
        <f>'Project Cost Details'!B31</f>
        <v>IDC</v>
      </c>
      <c r="C78">
        <f>C77</f>
        <v>7.5</v>
      </c>
      <c r="D78" s="3">
        <f ca="1">'Project Capex'!D67</f>
        <v>3.4026071761470353</v>
      </c>
      <c r="F78" s="3">
        <f t="shared" ca="1" si="31"/>
        <v>3.4026071761470353</v>
      </c>
      <c r="G78" s="3">
        <f t="shared" ref="G78:AB78" ca="1" si="89">F78</f>
        <v>3.4026071761470353</v>
      </c>
      <c r="H78" s="3">
        <f t="shared" ca="1" si="89"/>
        <v>3.4026071761470353</v>
      </c>
      <c r="I78" s="3">
        <f t="shared" ca="1" si="89"/>
        <v>3.4026071761470353</v>
      </c>
      <c r="J78" s="3">
        <f t="shared" ca="1" si="89"/>
        <v>3.4026071761470353</v>
      </c>
      <c r="K78" s="3">
        <f t="shared" ca="1" si="89"/>
        <v>3.4026071761470353</v>
      </c>
      <c r="L78" s="3">
        <f t="shared" ca="1" si="89"/>
        <v>3.4026071761470353</v>
      </c>
      <c r="M78" s="3">
        <f t="shared" ca="1" si="89"/>
        <v>3.4026071761470353</v>
      </c>
      <c r="N78" s="3">
        <f t="shared" ca="1" si="89"/>
        <v>3.4026071761470353</v>
      </c>
      <c r="O78" s="3">
        <f t="shared" ca="1" si="89"/>
        <v>3.4026071761470353</v>
      </c>
      <c r="P78" s="3">
        <f t="shared" ca="1" si="89"/>
        <v>3.4026071761470353</v>
      </c>
      <c r="Q78" s="3">
        <f t="shared" ca="1" si="89"/>
        <v>3.4026071761470353</v>
      </c>
      <c r="R78" s="3">
        <f t="shared" ca="1" si="89"/>
        <v>3.4026071761470353</v>
      </c>
      <c r="S78" s="3">
        <f t="shared" ca="1" si="89"/>
        <v>3.4026071761470353</v>
      </c>
      <c r="T78" s="3">
        <f t="shared" ca="1" si="89"/>
        <v>3.4026071761470353</v>
      </c>
      <c r="U78" s="3">
        <f t="shared" ca="1" si="89"/>
        <v>3.4026071761470353</v>
      </c>
      <c r="V78" s="3">
        <f t="shared" ca="1" si="89"/>
        <v>3.4026071761470353</v>
      </c>
      <c r="W78" s="3">
        <f t="shared" ca="1" si="89"/>
        <v>3.4026071761470353</v>
      </c>
      <c r="X78" s="3">
        <f t="shared" ca="1" si="89"/>
        <v>3.4026071761470353</v>
      </c>
      <c r="Y78" s="3">
        <f t="shared" ca="1" si="89"/>
        <v>3.4026071761470353</v>
      </c>
      <c r="Z78" s="3">
        <f t="shared" ca="1" si="89"/>
        <v>3.4026071761470353</v>
      </c>
      <c r="AA78" s="3">
        <f t="shared" ca="1" si="89"/>
        <v>3.4026071761470353</v>
      </c>
      <c r="AB78" s="3">
        <f t="shared" ca="1" si="89"/>
        <v>3.4026071761470353</v>
      </c>
    </row>
    <row r="79" spans="1:28" ht="15" thickBot="1" x14ac:dyDescent="0.35">
      <c r="B79" t="s">
        <v>105</v>
      </c>
      <c r="C79">
        <v>7.5</v>
      </c>
      <c r="D79" s="3">
        <f ca="1">'Project Capex'!D68</f>
        <v>0.26948280707568012</v>
      </c>
      <c r="F79" s="3">
        <f t="shared" ref="F79" ca="1" si="90">D79</f>
        <v>0.26948280707568012</v>
      </c>
      <c r="G79" s="3">
        <f t="shared" ref="G79" ca="1" si="91">F79</f>
        <v>0.26948280707568012</v>
      </c>
      <c r="H79" s="3">
        <f t="shared" ref="H79" ca="1" si="92">G79</f>
        <v>0.26948280707568012</v>
      </c>
      <c r="I79" s="3">
        <f t="shared" ref="I79" ca="1" si="93">H79</f>
        <v>0.26948280707568012</v>
      </c>
      <c r="J79" s="3">
        <f t="shared" ref="J79" ca="1" si="94">I79</f>
        <v>0.26948280707568012</v>
      </c>
      <c r="K79" s="3">
        <f t="shared" ref="K79" ca="1" si="95">J79</f>
        <v>0.26948280707568012</v>
      </c>
      <c r="L79" s="3">
        <f t="shared" ref="L79" ca="1" si="96">K79</f>
        <v>0.26948280707568012</v>
      </c>
      <c r="M79" s="3">
        <f t="shared" ref="M79" ca="1" si="97">L79</f>
        <v>0.26948280707568012</v>
      </c>
      <c r="N79" s="3">
        <f t="shared" ref="N79" ca="1" si="98">M79</f>
        <v>0.26948280707568012</v>
      </c>
      <c r="O79" s="3">
        <f t="shared" ref="O79" ca="1" si="99">N79</f>
        <v>0.26948280707568012</v>
      </c>
      <c r="P79" s="3">
        <f t="shared" ref="P79" ca="1" si="100">O79</f>
        <v>0.26948280707568012</v>
      </c>
      <c r="Q79" s="3">
        <f t="shared" ref="Q79" ca="1" si="101">P79</f>
        <v>0.26948280707568012</v>
      </c>
      <c r="R79" s="3">
        <f t="shared" ref="R79" ca="1" si="102">Q79</f>
        <v>0.26948280707568012</v>
      </c>
      <c r="S79" s="3">
        <f t="shared" ref="S79" ca="1" si="103">R79</f>
        <v>0.26948280707568012</v>
      </c>
      <c r="T79" s="3">
        <f t="shared" ref="T79" ca="1" si="104">S79</f>
        <v>0.26948280707568012</v>
      </c>
      <c r="U79" s="3">
        <f t="shared" ref="U79" ca="1" si="105">T79</f>
        <v>0.26948280707568012</v>
      </c>
      <c r="V79" s="3">
        <f t="shared" ref="V79" ca="1" si="106">U79</f>
        <v>0.26948280707568012</v>
      </c>
      <c r="W79" s="3">
        <f t="shared" ref="W79" ca="1" si="107">V79</f>
        <v>0.26948280707568012</v>
      </c>
      <c r="X79" s="3">
        <f t="shared" ref="X79" ca="1" si="108">W79</f>
        <v>0.26948280707568012</v>
      </c>
      <c r="Y79" s="3">
        <f t="shared" ref="Y79" ca="1" si="109">X79</f>
        <v>0.26948280707568012</v>
      </c>
      <c r="Z79" s="3">
        <f t="shared" ref="Z79" ca="1" si="110">Y79</f>
        <v>0.26948280707568012</v>
      </c>
      <c r="AA79" s="3">
        <f t="shared" ref="AA79" ca="1" si="111">Z79</f>
        <v>0.26948280707568012</v>
      </c>
      <c r="AB79" s="3">
        <f t="shared" ref="AB79" ca="1" si="112">AA79</f>
        <v>0.26948280707568012</v>
      </c>
    </row>
    <row r="80" spans="1:28" ht="15" thickBot="1" x14ac:dyDescent="0.35">
      <c r="A80" s="6">
        <v>1</v>
      </c>
      <c r="B80" s="7" t="s">
        <v>2</v>
      </c>
      <c r="C80" s="11"/>
      <c r="D80" s="46">
        <f ca="1">SUM(D51:D79)*$A$80</f>
        <v>54.166044222211717</v>
      </c>
      <c r="E80" s="46">
        <f>SUM(E51:E78)*$A$80</f>
        <v>0</v>
      </c>
      <c r="F80" s="46">
        <f ca="1">SUM(F51:F79)*$A$80</f>
        <v>54.166044222211717</v>
      </c>
      <c r="G80" s="46">
        <f t="shared" ref="G80:T80" ca="1" si="113">SUM(G51:G79)*$A$80</f>
        <v>54.166044222211717</v>
      </c>
      <c r="H80" s="46">
        <f t="shared" ca="1" si="113"/>
        <v>54.166044222211717</v>
      </c>
      <c r="I80" s="46">
        <f t="shared" ca="1" si="113"/>
        <v>54.166044222211717</v>
      </c>
      <c r="J80" s="46">
        <f t="shared" ca="1" si="113"/>
        <v>54.166044222211717</v>
      </c>
      <c r="K80" s="46">
        <f t="shared" ca="1" si="113"/>
        <v>54.166044222211717</v>
      </c>
      <c r="L80" s="46">
        <f t="shared" ca="1" si="113"/>
        <v>54.166044222211717</v>
      </c>
      <c r="M80" s="46">
        <f t="shared" ca="1" si="113"/>
        <v>54.166044222211717</v>
      </c>
      <c r="N80" s="46">
        <f t="shared" ca="1" si="113"/>
        <v>54.166044222211717</v>
      </c>
      <c r="O80" s="46">
        <f t="shared" ca="1" si="113"/>
        <v>54.166044222211717</v>
      </c>
      <c r="P80" s="46">
        <f t="shared" ca="1" si="113"/>
        <v>54.166044222211717</v>
      </c>
      <c r="Q80" s="46">
        <f t="shared" ca="1" si="113"/>
        <v>54.166044222211717</v>
      </c>
      <c r="R80" s="46">
        <f t="shared" ca="1" si="113"/>
        <v>54.166044222211717</v>
      </c>
      <c r="S80" s="46">
        <f t="shared" ca="1" si="113"/>
        <v>54.166044222211717</v>
      </c>
      <c r="T80" s="46">
        <f t="shared" ca="1" si="113"/>
        <v>54.166044222211717</v>
      </c>
      <c r="U80" s="11"/>
      <c r="V80" s="11"/>
      <c r="W80" s="11"/>
      <c r="X80" s="11"/>
      <c r="Y80" s="11"/>
      <c r="Z80" s="11"/>
      <c r="AA80" s="11"/>
      <c r="AB80" s="48"/>
    </row>
    <row r="81" spans="2:28" x14ac:dyDescent="0.3">
      <c r="F81" s="227"/>
    </row>
    <row r="82" spans="2:28" x14ac:dyDescent="0.3">
      <c r="B82" s="6" t="s">
        <v>186</v>
      </c>
      <c r="C82" s="22">
        <v>0.05</v>
      </c>
    </row>
    <row r="83" spans="2:28" x14ac:dyDescent="0.3">
      <c r="B83" t="str">
        <f t="shared" ref="B83:B111" si="114">B50</f>
        <v>ASRS</v>
      </c>
      <c r="F83" s="3"/>
      <c r="G83" s="3"/>
      <c r="H83" s="3"/>
      <c r="I83" s="3"/>
      <c r="J83" s="3"/>
      <c r="K83" s="3"/>
      <c r="L83" s="3"/>
      <c r="M83" s="3"/>
    </row>
    <row r="84" spans="2:28" x14ac:dyDescent="0.3">
      <c r="B84" t="str">
        <f t="shared" si="114"/>
        <v xml:space="preserve">   Racking system</v>
      </c>
      <c r="D84" s="3"/>
      <c r="E84" s="3"/>
      <c r="F84" s="83">
        <f>IF(F$1&lt;=$C51,($D51*(1-$C$82)/($C51*12))*12,IF(F$1=ROUNDUP($C51,0),($D51*(1-$C$82)/($C51*12))*((F$1-$C51)*12),0))</f>
        <v>1.90531114752</v>
      </c>
      <c r="G84" s="83">
        <f t="shared" ref="G84:AB84" si="115">IF(G$1&lt;=$C51,($D51*(1-$C$82)/($C51*12))*12,IF(G$1=ROUNDUP($C51,0),($D51*(1-$C$82)/($C51*12))*((G$1-$C51)*12),0))</f>
        <v>1.90531114752</v>
      </c>
      <c r="H84" s="83">
        <f t="shared" si="115"/>
        <v>1.90531114752</v>
      </c>
      <c r="I84" s="83">
        <f t="shared" si="115"/>
        <v>1.90531114752</v>
      </c>
      <c r="J84" s="83">
        <f t="shared" si="115"/>
        <v>1.90531114752</v>
      </c>
      <c r="K84" s="83">
        <f t="shared" si="115"/>
        <v>1.90531114752</v>
      </c>
      <c r="L84" s="83">
        <f t="shared" si="115"/>
        <v>1.90531114752</v>
      </c>
      <c r="M84" s="83">
        <f t="shared" si="115"/>
        <v>0.95265557375999999</v>
      </c>
      <c r="N84" s="83">
        <f t="shared" si="115"/>
        <v>0</v>
      </c>
      <c r="O84" s="83">
        <f t="shared" si="115"/>
        <v>0</v>
      </c>
      <c r="P84" s="83">
        <f t="shared" si="115"/>
        <v>0</v>
      </c>
      <c r="Q84" s="83">
        <f t="shared" si="115"/>
        <v>0</v>
      </c>
      <c r="R84" s="83">
        <f t="shared" si="115"/>
        <v>0</v>
      </c>
      <c r="S84" s="83">
        <f t="shared" si="115"/>
        <v>0</v>
      </c>
      <c r="T84" s="83">
        <f t="shared" si="115"/>
        <v>0</v>
      </c>
      <c r="U84" s="83">
        <f t="shared" si="115"/>
        <v>0</v>
      </c>
      <c r="V84" s="83">
        <f t="shared" si="115"/>
        <v>0</v>
      </c>
      <c r="W84" s="83">
        <f t="shared" si="115"/>
        <v>0</v>
      </c>
      <c r="X84" s="83">
        <f t="shared" si="115"/>
        <v>0</v>
      </c>
      <c r="Y84" s="83">
        <f t="shared" si="115"/>
        <v>0</v>
      </c>
      <c r="Z84" s="83">
        <f t="shared" si="115"/>
        <v>0</v>
      </c>
      <c r="AA84" s="83">
        <f t="shared" si="115"/>
        <v>0</v>
      </c>
      <c r="AB84" s="83">
        <f t="shared" si="115"/>
        <v>0</v>
      </c>
    </row>
    <row r="85" spans="2:28" x14ac:dyDescent="0.3">
      <c r="B85" t="str">
        <f t="shared" si="114"/>
        <v xml:space="preserve">   Cladding for high bay</v>
      </c>
      <c r="F85" s="83">
        <f t="shared" ref="F85:AB85" si="116">IF(F$1&lt;=$C52,($D52*(1-$C$82)/($C52*12))*12,IF(F$1=ROUNDUP($C52,0),($D52*(1-$C$82)/($C52*12))*((F$1-$C52)*12),0))</f>
        <v>0.17935999999999999</v>
      </c>
      <c r="G85" s="83">
        <f t="shared" si="116"/>
        <v>0.17935999999999999</v>
      </c>
      <c r="H85" s="83">
        <f t="shared" si="116"/>
        <v>0.17935999999999999</v>
      </c>
      <c r="I85" s="83">
        <f t="shared" si="116"/>
        <v>0.17935999999999999</v>
      </c>
      <c r="J85" s="83">
        <f t="shared" si="116"/>
        <v>0.17935999999999999</v>
      </c>
      <c r="K85" s="83">
        <f t="shared" si="116"/>
        <v>0.17935999999999999</v>
      </c>
      <c r="L85" s="83">
        <f t="shared" si="116"/>
        <v>0.17935999999999999</v>
      </c>
      <c r="M85" s="83">
        <f t="shared" si="116"/>
        <v>8.9679999999999996E-2</v>
      </c>
      <c r="N85" s="83">
        <f t="shared" si="116"/>
        <v>0</v>
      </c>
      <c r="O85" s="83">
        <f t="shared" si="116"/>
        <v>0</v>
      </c>
      <c r="P85" s="83">
        <f t="shared" si="116"/>
        <v>0</v>
      </c>
      <c r="Q85" s="83">
        <f t="shared" si="116"/>
        <v>0</v>
      </c>
      <c r="R85" s="83">
        <f t="shared" si="116"/>
        <v>0</v>
      </c>
      <c r="S85" s="83">
        <f t="shared" si="116"/>
        <v>0</v>
      </c>
      <c r="T85" s="83">
        <f t="shared" si="116"/>
        <v>0</v>
      </c>
      <c r="U85" s="83">
        <f t="shared" si="116"/>
        <v>0</v>
      </c>
      <c r="V85" s="83">
        <f t="shared" si="116"/>
        <v>0</v>
      </c>
      <c r="W85" s="83">
        <f t="shared" si="116"/>
        <v>0</v>
      </c>
      <c r="X85" s="83">
        <f t="shared" si="116"/>
        <v>0</v>
      </c>
      <c r="Y85" s="83">
        <f t="shared" si="116"/>
        <v>0</v>
      </c>
      <c r="Z85" s="83">
        <f t="shared" si="116"/>
        <v>0</v>
      </c>
      <c r="AA85" s="83">
        <f t="shared" si="116"/>
        <v>0</v>
      </c>
      <c r="AB85" s="83">
        <f t="shared" si="116"/>
        <v>0</v>
      </c>
    </row>
    <row r="86" spans="2:28" x14ac:dyDescent="0.3">
      <c r="B86" t="str">
        <f t="shared" si="114"/>
        <v xml:space="preserve">   Double deep Stacker crane</v>
      </c>
      <c r="F86" s="83">
        <f t="shared" ref="F86:AB86" si="117">IF(F$1&lt;=$C53,($D53*(1-$C$82)/($C53*12))*12,IF(F$1=ROUNDUP($C53,0),($D53*(1-$C$82)/($C53*12))*((F$1-$C53)*12),0))</f>
        <v>0.82655066666666677</v>
      </c>
      <c r="G86" s="83">
        <f t="shared" si="117"/>
        <v>0.82655066666666677</v>
      </c>
      <c r="H86" s="83">
        <f t="shared" si="117"/>
        <v>0.82655066666666677</v>
      </c>
      <c r="I86" s="83">
        <f t="shared" si="117"/>
        <v>0.82655066666666677</v>
      </c>
      <c r="J86" s="83">
        <f t="shared" si="117"/>
        <v>0.82655066666666677</v>
      </c>
      <c r="K86" s="83">
        <f t="shared" si="117"/>
        <v>0.82655066666666677</v>
      </c>
      <c r="L86" s="83">
        <f t="shared" si="117"/>
        <v>0.82655066666666677</v>
      </c>
      <c r="M86" s="83">
        <f t="shared" si="117"/>
        <v>0.41327533333333338</v>
      </c>
      <c r="N86" s="83">
        <f t="shared" si="117"/>
        <v>0</v>
      </c>
      <c r="O86" s="83">
        <f t="shared" si="117"/>
        <v>0</v>
      </c>
      <c r="P86" s="83">
        <f t="shared" si="117"/>
        <v>0</v>
      </c>
      <c r="Q86" s="83">
        <f t="shared" si="117"/>
        <v>0</v>
      </c>
      <c r="R86" s="83">
        <f t="shared" si="117"/>
        <v>0</v>
      </c>
      <c r="S86" s="83">
        <f t="shared" si="117"/>
        <v>0</v>
      </c>
      <c r="T86" s="83">
        <f t="shared" si="117"/>
        <v>0</v>
      </c>
      <c r="U86" s="83">
        <f t="shared" si="117"/>
        <v>0</v>
      </c>
      <c r="V86" s="83">
        <f t="shared" si="117"/>
        <v>0</v>
      </c>
      <c r="W86" s="83">
        <f t="shared" si="117"/>
        <v>0</v>
      </c>
      <c r="X86" s="83">
        <f t="shared" si="117"/>
        <v>0</v>
      </c>
      <c r="Y86" s="83">
        <f t="shared" si="117"/>
        <v>0</v>
      </c>
      <c r="Z86" s="83">
        <f t="shared" si="117"/>
        <v>0</v>
      </c>
      <c r="AA86" s="83">
        <f t="shared" si="117"/>
        <v>0</v>
      </c>
      <c r="AB86" s="83">
        <f t="shared" si="117"/>
        <v>0</v>
      </c>
    </row>
    <row r="87" spans="2:28" x14ac:dyDescent="0.3">
      <c r="B87" t="str">
        <f t="shared" si="114"/>
        <v xml:space="preserve">   Bottom Rail with aisle accessories</v>
      </c>
      <c r="F87" s="83">
        <f t="shared" ref="F87:AB87" si="118">IF(F$1&lt;=$C54,($D54*(1-$C$82)/($C54*12))*12,IF(F$1=ROUNDUP($C54,0),($D54*(1-$C$82)/($C54*12))*((F$1-$C54)*12),0))</f>
        <v>0.20104438485333337</v>
      </c>
      <c r="G87" s="83">
        <f t="shared" si="118"/>
        <v>0.20104438485333337</v>
      </c>
      <c r="H87" s="83">
        <f t="shared" si="118"/>
        <v>0.20104438485333337</v>
      </c>
      <c r="I87" s="83">
        <f t="shared" si="118"/>
        <v>0.20104438485333337</v>
      </c>
      <c r="J87" s="83">
        <f t="shared" si="118"/>
        <v>0.20104438485333337</v>
      </c>
      <c r="K87" s="83">
        <f t="shared" si="118"/>
        <v>0.20104438485333337</v>
      </c>
      <c r="L87" s="83">
        <f t="shared" si="118"/>
        <v>0.20104438485333337</v>
      </c>
      <c r="M87" s="83">
        <f t="shared" si="118"/>
        <v>0.10052219242666668</v>
      </c>
      <c r="N87" s="83">
        <f t="shared" si="118"/>
        <v>0</v>
      </c>
      <c r="O87" s="83">
        <f t="shared" si="118"/>
        <v>0</v>
      </c>
      <c r="P87" s="83">
        <f t="shared" si="118"/>
        <v>0</v>
      </c>
      <c r="Q87" s="83">
        <f t="shared" si="118"/>
        <v>0</v>
      </c>
      <c r="R87" s="83">
        <f t="shared" si="118"/>
        <v>0</v>
      </c>
      <c r="S87" s="83">
        <f t="shared" si="118"/>
        <v>0</v>
      </c>
      <c r="T87" s="83">
        <f t="shared" si="118"/>
        <v>0</v>
      </c>
      <c r="U87" s="83">
        <f t="shared" si="118"/>
        <v>0</v>
      </c>
      <c r="V87" s="83">
        <f t="shared" si="118"/>
        <v>0</v>
      </c>
      <c r="W87" s="83">
        <f t="shared" si="118"/>
        <v>0</v>
      </c>
      <c r="X87" s="83">
        <f t="shared" si="118"/>
        <v>0</v>
      </c>
      <c r="Y87" s="83">
        <f t="shared" si="118"/>
        <v>0</v>
      </c>
      <c r="Z87" s="83">
        <f t="shared" si="118"/>
        <v>0</v>
      </c>
      <c r="AA87" s="83">
        <f t="shared" si="118"/>
        <v>0</v>
      </c>
      <c r="AB87" s="83">
        <f t="shared" si="118"/>
        <v>0</v>
      </c>
    </row>
    <row r="88" spans="2:28" x14ac:dyDescent="0.3">
      <c r="B88" t="str">
        <f t="shared" si="114"/>
        <v xml:space="preserve">   Conveyor system</v>
      </c>
      <c r="F88" s="83">
        <f t="shared" ref="F88:AB88" si="119">IF(F$1&lt;=$C55,($D55*(1-$C$82)/($C55*12))*12,IF(F$1=ROUNDUP($C55,0),($D55*(1-$C$82)/($C55*12))*((F$1-$C55)*12),0))</f>
        <v>0.22270533333333334</v>
      </c>
      <c r="G88" s="83">
        <f t="shared" si="119"/>
        <v>0.22270533333333334</v>
      </c>
      <c r="H88" s="83">
        <f t="shared" si="119"/>
        <v>0.22270533333333334</v>
      </c>
      <c r="I88" s="83">
        <f t="shared" si="119"/>
        <v>0.22270533333333334</v>
      </c>
      <c r="J88" s="83">
        <f t="shared" si="119"/>
        <v>0.22270533333333334</v>
      </c>
      <c r="K88" s="83">
        <f t="shared" si="119"/>
        <v>0.22270533333333334</v>
      </c>
      <c r="L88" s="83">
        <f t="shared" si="119"/>
        <v>0.22270533333333334</v>
      </c>
      <c r="M88" s="83">
        <f t="shared" si="119"/>
        <v>0.11135266666666667</v>
      </c>
      <c r="N88" s="83">
        <f t="shared" si="119"/>
        <v>0</v>
      </c>
      <c r="O88" s="83">
        <f t="shared" si="119"/>
        <v>0</v>
      </c>
      <c r="P88" s="83">
        <f t="shared" si="119"/>
        <v>0</v>
      </c>
      <c r="Q88" s="83">
        <f t="shared" si="119"/>
        <v>0</v>
      </c>
      <c r="R88" s="83">
        <f t="shared" si="119"/>
        <v>0</v>
      </c>
      <c r="S88" s="83">
        <f t="shared" si="119"/>
        <v>0</v>
      </c>
      <c r="T88" s="83">
        <f t="shared" si="119"/>
        <v>0</v>
      </c>
      <c r="U88" s="83">
        <f t="shared" si="119"/>
        <v>0</v>
      </c>
      <c r="V88" s="83">
        <f t="shared" si="119"/>
        <v>0</v>
      </c>
      <c r="W88" s="83">
        <f t="shared" si="119"/>
        <v>0</v>
      </c>
      <c r="X88" s="83">
        <f t="shared" si="119"/>
        <v>0</v>
      </c>
      <c r="Y88" s="83">
        <f t="shared" si="119"/>
        <v>0</v>
      </c>
      <c r="Z88" s="83">
        <f t="shared" si="119"/>
        <v>0</v>
      </c>
      <c r="AA88" s="83">
        <f t="shared" si="119"/>
        <v>0</v>
      </c>
      <c r="AB88" s="83">
        <f t="shared" si="119"/>
        <v>0</v>
      </c>
    </row>
    <row r="89" spans="2:28" x14ac:dyDescent="0.3">
      <c r="B89" t="str">
        <f t="shared" si="114"/>
        <v xml:space="preserve">   Critical spares</v>
      </c>
      <c r="F89" s="83">
        <f t="shared" ref="F89:AB89" si="120">IF(F$1&lt;=$C56,($D56*(1-$C$82)/($C56*12))*12,IF(F$1=ROUNDUP($C56,0),($D56*(1-$C$82)/($C56*12))*((F$1-$C56)*12),0))</f>
        <v>4.1850666666666661E-2</v>
      </c>
      <c r="G89" s="83">
        <f t="shared" si="120"/>
        <v>4.1850666666666661E-2</v>
      </c>
      <c r="H89" s="83">
        <f t="shared" si="120"/>
        <v>4.1850666666666661E-2</v>
      </c>
      <c r="I89" s="83">
        <f t="shared" si="120"/>
        <v>4.1850666666666661E-2</v>
      </c>
      <c r="J89" s="83">
        <f t="shared" si="120"/>
        <v>4.1850666666666661E-2</v>
      </c>
      <c r="K89" s="83">
        <f t="shared" si="120"/>
        <v>4.1850666666666661E-2</v>
      </c>
      <c r="L89" s="83">
        <f t="shared" si="120"/>
        <v>4.1850666666666661E-2</v>
      </c>
      <c r="M89" s="83">
        <f t="shared" si="120"/>
        <v>2.0925333333333331E-2</v>
      </c>
      <c r="N89" s="83">
        <f t="shared" si="120"/>
        <v>0</v>
      </c>
      <c r="O89" s="83">
        <f t="shared" si="120"/>
        <v>0</v>
      </c>
      <c r="P89" s="83">
        <f t="shared" si="120"/>
        <v>0</v>
      </c>
      <c r="Q89" s="83">
        <f t="shared" si="120"/>
        <v>0</v>
      </c>
      <c r="R89" s="83">
        <f t="shared" si="120"/>
        <v>0</v>
      </c>
      <c r="S89" s="83">
        <f t="shared" si="120"/>
        <v>0</v>
      </c>
      <c r="T89" s="83">
        <f t="shared" si="120"/>
        <v>0</v>
      </c>
      <c r="U89" s="83">
        <f t="shared" si="120"/>
        <v>0</v>
      </c>
      <c r="V89" s="83">
        <f t="shared" si="120"/>
        <v>0</v>
      </c>
      <c r="W89" s="83">
        <f t="shared" si="120"/>
        <v>0</v>
      </c>
      <c r="X89" s="83">
        <f t="shared" si="120"/>
        <v>0</v>
      </c>
      <c r="Y89" s="83">
        <f t="shared" si="120"/>
        <v>0</v>
      </c>
      <c r="Z89" s="83">
        <f t="shared" si="120"/>
        <v>0</v>
      </c>
      <c r="AA89" s="83">
        <f t="shared" si="120"/>
        <v>0</v>
      </c>
      <c r="AB89" s="83">
        <f t="shared" si="120"/>
        <v>0</v>
      </c>
    </row>
    <row r="90" spans="2:28" x14ac:dyDescent="0.3">
      <c r="B90" t="str">
        <f t="shared" si="114"/>
        <v xml:space="preserve">   Metal pallets</v>
      </c>
      <c r="F90" s="83">
        <f t="shared" ref="F90:AB90" si="121">IF(F$1&lt;=$C57,($D57*(1-$C$82)/($C57*12))*12,IF(F$1=ROUNDUP($C57,0),($D57*(1-$C$82)/($C57*12))*((F$1-$C57)*12),0))</f>
        <v>1.20099456</v>
      </c>
      <c r="G90" s="83">
        <f t="shared" si="121"/>
        <v>1.20099456</v>
      </c>
      <c r="H90" s="83">
        <f t="shared" si="121"/>
        <v>1.20099456</v>
      </c>
      <c r="I90" s="83">
        <f t="shared" si="121"/>
        <v>1.20099456</v>
      </c>
      <c r="J90" s="83">
        <f t="shared" si="121"/>
        <v>1.20099456</v>
      </c>
      <c r="K90" s="83">
        <f t="shared" si="121"/>
        <v>1.20099456</v>
      </c>
      <c r="L90" s="83">
        <f t="shared" si="121"/>
        <v>1.20099456</v>
      </c>
      <c r="M90" s="83">
        <f t="shared" si="121"/>
        <v>0.60049728000000002</v>
      </c>
      <c r="N90" s="83">
        <f t="shared" si="121"/>
        <v>0</v>
      </c>
      <c r="O90" s="83">
        <f t="shared" si="121"/>
        <v>0</v>
      </c>
      <c r="P90" s="83">
        <f t="shared" si="121"/>
        <v>0</v>
      </c>
      <c r="Q90" s="83">
        <f t="shared" si="121"/>
        <v>0</v>
      </c>
      <c r="R90" s="83">
        <f t="shared" si="121"/>
        <v>0</v>
      </c>
      <c r="S90" s="83">
        <f t="shared" si="121"/>
        <v>0</v>
      </c>
      <c r="T90" s="83">
        <f t="shared" si="121"/>
        <v>0</v>
      </c>
      <c r="U90" s="83">
        <f t="shared" si="121"/>
        <v>0</v>
      </c>
      <c r="V90" s="83">
        <f t="shared" si="121"/>
        <v>0</v>
      </c>
      <c r="W90" s="83">
        <f t="shared" si="121"/>
        <v>0</v>
      </c>
      <c r="X90" s="83">
        <f t="shared" si="121"/>
        <v>0</v>
      </c>
      <c r="Y90" s="83">
        <f t="shared" si="121"/>
        <v>0</v>
      </c>
      <c r="Z90" s="83">
        <f t="shared" si="121"/>
        <v>0</v>
      </c>
      <c r="AA90" s="83">
        <f t="shared" si="121"/>
        <v>0</v>
      </c>
      <c r="AB90" s="83">
        <f t="shared" si="121"/>
        <v>0</v>
      </c>
    </row>
    <row r="91" spans="2:28" x14ac:dyDescent="0.3">
      <c r="B91" t="str">
        <f t="shared" si="114"/>
        <v xml:space="preserve">   Discount</v>
      </c>
      <c r="F91" s="83">
        <f t="shared" ref="F91:AB91" si="122">IF(F$1&lt;=$C58,($D58*(1-$C$82)/($C58*12))*12,IF(F$1=ROUNDUP($C58,0),($D58*(1-$C$82)/($C58*12))*((F$1-$C58)*12),0))</f>
        <v>-4.1367590399999992E-3</v>
      </c>
      <c r="G91" s="83">
        <f t="shared" si="122"/>
        <v>-4.1367590399999992E-3</v>
      </c>
      <c r="H91" s="83">
        <f t="shared" si="122"/>
        <v>-4.1367590399999992E-3</v>
      </c>
      <c r="I91" s="83">
        <f t="shared" si="122"/>
        <v>-4.1367590399999992E-3</v>
      </c>
      <c r="J91" s="83">
        <f t="shared" si="122"/>
        <v>-4.1367590399999992E-3</v>
      </c>
      <c r="K91" s="83">
        <f t="shared" si="122"/>
        <v>-4.1367590399999992E-3</v>
      </c>
      <c r="L91" s="83">
        <f t="shared" si="122"/>
        <v>-4.1367590399999992E-3</v>
      </c>
      <c r="M91" s="83">
        <f t="shared" si="122"/>
        <v>-2.0683795199999996E-3</v>
      </c>
      <c r="N91" s="83">
        <f t="shared" si="122"/>
        <v>0</v>
      </c>
      <c r="O91" s="83">
        <f t="shared" si="122"/>
        <v>0</v>
      </c>
      <c r="P91" s="83">
        <f t="shared" si="122"/>
        <v>0</v>
      </c>
      <c r="Q91" s="83">
        <f t="shared" si="122"/>
        <v>0</v>
      </c>
      <c r="R91" s="83">
        <f t="shared" si="122"/>
        <v>0</v>
      </c>
      <c r="S91" s="83">
        <f t="shared" si="122"/>
        <v>0</v>
      </c>
      <c r="T91" s="83">
        <f t="shared" si="122"/>
        <v>0</v>
      </c>
      <c r="U91" s="83">
        <f t="shared" si="122"/>
        <v>0</v>
      </c>
      <c r="V91" s="83">
        <f t="shared" si="122"/>
        <v>0</v>
      </c>
      <c r="W91" s="83">
        <f t="shared" si="122"/>
        <v>0</v>
      </c>
      <c r="X91" s="83">
        <f t="shared" si="122"/>
        <v>0</v>
      </c>
      <c r="Y91" s="83">
        <f t="shared" si="122"/>
        <v>0</v>
      </c>
      <c r="Z91" s="83">
        <f t="shared" si="122"/>
        <v>0</v>
      </c>
      <c r="AA91" s="83">
        <f t="shared" si="122"/>
        <v>0</v>
      </c>
      <c r="AB91" s="83">
        <f t="shared" si="122"/>
        <v>0</v>
      </c>
    </row>
    <row r="92" spans="2:28" x14ac:dyDescent="0.3">
      <c r="B92" t="str">
        <f t="shared" si="114"/>
        <v>Civil Cost</v>
      </c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</row>
    <row r="93" spans="2:28" x14ac:dyDescent="0.3">
      <c r="B93" s="293" t="str">
        <f t="shared" si="114"/>
        <v>Earthworks and soiling</v>
      </c>
      <c r="F93" s="83">
        <f>IF(F$1&lt;=$C60,($D60*(1-$C$82)/($C60*12))*12,IF(F$1=ROUNDUP($C60,0),($D60*(1-$C$82)/($C60*12))*((F$1-$C60)*12),0))</f>
        <v>0.20178000000000001</v>
      </c>
      <c r="G93" s="83">
        <f t="shared" ref="G93:AB93" si="123">IF(G$1&lt;=$C60,($D60*(1-$C$82)/($C60*12))*12,IF(G$1=ROUNDUP($C60,0),($D60*(1-$C$82)/($C60*12))*((G$1-$C60)*12),0))</f>
        <v>0.20178000000000001</v>
      </c>
      <c r="H93" s="83">
        <f t="shared" si="123"/>
        <v>0.20178000000000001</v>
      </c>
      <c r="I93" s="83">
        <f t="shared" si="123"/>
        <v>0.20178000000000001</v>
      </c>
      <c r="J93" s="83">
        <f t="shared" si="123"/>
        <v>0.20178000000000001</v>
      </c>
      <c r="K93" s="83">
        <f t="shared" si="123"/>
        <v>0.20178000000000001</v>
      </c>
      <c r="L93" s="83">
        <f t="shared" si="123"/>
        <v>0.20178000000000001</v>
      </c>
      <c r="M93" s="83">
        <f t="shared" si="123"/>
        <v>0.10089000000000001</v>
      </c>
      <c r="N93" s="83">
        <f t="shared" si="123"/>
        <v>0</v>
      </c>
      <c r="O93" s="83">
        <f t="shared" si="123"/>
        <v>0</v>
      </c>
      <c r="P93" s="83">
        <f t="shared" si="123"/>
        <v>0</v>
      </c>
      <c r="Q93" s="83">
        <f t="shared" si="123"/>
        <v>0</v>
      </c>
      <c r="R93" s="83">
        <f t="shared" si="123"/>
        <v>0</v>
      </c>
      <c r="S93" s="83">
        <f t="shared" si="123"/>
        <v>0</v>
      </c>
      <c r="T93" s="83">
        <f t="shared" si="123"/>
        <v>0</v>
      </c>
      <c r="U93" s="83">
        <f t="shared" si="123"/>
        <v>0</v>
      </c>
      <c r="V93" s="83">
        <f t="shared" si="123"/>
        <v>0</v>
      </c>
      <c r="W93" s="83">
        <f t="shared" si="123"/>
        <v>0</v>
      </c>
      <c r="X93" s="83">
        <f t="shared" si="123"/>
        <v>0</v>
      </c>
      <c r="Y93" s="83">
        <f t="shared" si="123"/>
        <v>0</v>
      </c>
      <c r="Z93" s="83">
        <f t="shared" si="123"/>
        <v>0</v>
      </c>
      <c r="AA93" s="83">
        <f t="shared" si="123"/>
        <v>0</v>
      </c>
      <c r="AB93" s="83">
        <f t="shared" si="123"/>
        <v>0</v>
      </c>
    </row>
    <row r="94" spans="2:28" x14ac:dyDescent="0.3">
      <c r="B94" s="293" t="str">
        <f t="shared" si="114"/>
        <v>PCC works</v>
      </c>
      <c r="F94" s="83">
        <f t="shared" ref="F94:AB94" si="124">IF(F$1&lt;=$C61,($D61*(1-$C$82)/($C61*12))*12,IF(F$1=ROUNDUP($C61,0),($D61*(1-$C$82)/($C61*12))*((F$1-$C61)*12),0))</f>
        <v>6.726E-2</v>
      </c>
      <c r="G94" s="83">
        <f t="shared" si="124"/>
        <v>6.726E-2</v>
      </c>
      <c r="H94" s="83">
        <f t="shared" si="124"/>
        <v>6.726E-2</v>
      </c>
      <c r="I94" s="83">
        <f t="shared" si="124"/>
        <v>6.726E-2</v>
      </c>
      <c r="J94" s="83">
        <f t="shared" si="124"/>
        <v>6.726E-2</v>
      </c>
      <c r="K94" s="83">
        <f t="shared" si="124"/>
        <v>6.726E-2</v>
      </c>
      <c r="L94" s="83">
        <f t="shared" si="124"/>
        <v>6.726E-2</v>
      </c>
      <c r="M94" s="83">
        <f t="shared" si="124"/>
        <v>3.363E-2</v>
      </c>
      <c r="N94" s="83">
        <f t="shared" si="124"/>
        <v>0</v>
      </c>
      <c r="O94" s="83">
        <f t="shared" si="124"/>
        <v>0</v>
      </c>
      <c r="P94" s="83">
        <f t="shared" si="124"/>
        <v>0</v>
      </c>
      <c r="Q94" s="83">
        <f t="shared" si="124"/>
        <v>0</v>
      </c>
      <c r="R94" s="83">
        <f t="shared" si="124"/>
        <v>0</v>
      </c>
      <c r="S94" s="83">
        <f t="shared" si="124"/>
        <v>0</v>
      </c>
      <c r="T94" s="83">
        <f t="shared" si="124"/>
        <v>0</v>
      </c>
      <c r="U94" s="83">
        <f t="shared" si="124"/>
        <v>0</v>
      </c>
      <c r="V94" s="83">
        <f t="shared" si="124"/>
        <v>0</v>
      </c>
      <c r="W94" s="83">
        <f t="shared" si="124"/>
        <v>0</v>
      </c>
      <c r="X94" s="83">
        <f t="shared" si="124"/>
        <v>0</v>
      </c>
      <c r="Y94" s="83">
        <f t="shared" si="124"/>
        <v>0</v>
      </c>
      <c r="Z94" s="83">
        <f t="shared" si="124"/>
        <v>0</v>
      </c>
      <c r="AA94" s="83">
        <f t="shared" si="124"/>
        <v>0</v>
      </c>
      <c r="AB94" s="83">
        <f t="shared" si="124"/>
        <v>0</v>
      </c>
    </row>
    <row r="95" spans="2:28" x14ac:dyDescent="0.3">
      <c r="B95" s="293" t="str">
        <f t="shared" si="114"/>
        <v>RCC works</v>
      </c>
      <c r="F95" s="83">
        <f t="shared" ref="F95:AB95" si="125">IF(F$1&lt;=$C62,($D62*(1-$C$82)/($C62*12))*12,IF(F$1=ROUNDUP($C62,0),($D62*(1-$C$82)/($C62*12))*((F$1-$C62)*12),0))</f>
        <v>0.44840000000000002</v>
      </c>
      <c r="G95" s="83">
        <f t="shared" si="125"/>
        <v>0.44840000000000002</v>
      </c>
      <c r="H95" s="83">
        <f t="shared" si="125"/>
        <v>0.44840000000000002</v>
      </c>
      <c r="I95" s="83">
        <f t="shared" si="125"/>
        <v>0.44840000000000002</v>
      </c>
      <c r="J95" s="83">
        <f t="shared" si="125"/>
        <v>0.44840000000000002</v>
      </c>
      <c r="K95" s="83">
        <f t="shared" si="125"/>
        <v>0.44840000000000002</v>
      </c>
      <c r="L95" s="83">
        <f t="shared" si="125"/>
        <v>0.44840000000000002</v>
      </c>
      <c r="M95" s="83">
        <f t="shared" si="125"/>
        <v>0.22420000000000001</v>
      </c>
      <c r="N95" s="83">
        <f t="shared" si="125"/>
        <v>0</v>
      </c>
      <c r="O95" s="83">
        <f t="shared" si="125"/>
        <v>0</v>
      </c>
      <c r="P95" s="83">
        <f t="shared" si="125"/>
        <v>0</v>
      </c>
      <c r="Q95" s="83">
        <f t="shared" si="125"/>
        <v>0</v>
      </c>
      <c r="R95" s="83">
        <f t="shared" si="125"/>
        <v>0</v>
      </c>
      <c r="S95" s="83">
        <f t="shared" si="125"/>
        <v>0</v>
      </c>
      <c r="T95" s="83">
        <f t="shared" si="125"/>
        <v>0</v>
      </c>
      <c r="U95" s="83">
        <f t="shared" si="125"/>
        <v>0</v>
      </c>
      <c r="V95" s="83">
        <f t="shared" si="125"/>
        <v>0</v>
      </c>
      <c r="W95" s="83">
        <f t="shared" si="125"/>
        <v>0</v>
      </c>
      <c r="X95" s="83">
        <f t="shared" si="125"/>
        <v>0</v>
      </c>
      <c r="Y95" s="83">
        <f t="shared" si="125"/>
        <v>0</v>
      </c>
      <c r="Z95" s="83">
        <f t="shared" si="125"/>
        <v>0</v>
      </c>
      <c r="AA95" s="83">
        <f t="shared" si="125"/>
        <v>0</v>
      </c>
      <c r="AB95" s="83">
        <f t="shared" si="125"/>
        <v>0</v>
      </c>
    </row>
    <row r="96" spans="2:28" x14ac:dyDescent="0.3">
      <c r="B96" s="293" t="str">
        <f t="shared" si="114"/>
        <v>Shuttering</v>
      </c>
      <c r="F96" s="83">
        <f t="shared" ref="F96:AB96" si="126">IF(F$1&lt;=$C63,($D63*(1-$C$82)/($C63*12))*12,IF(F$1=ROUNDUP($C63,0),($D63*(1-$C$82)/($C63*12))*((F$1-$C63)*12),0))</f>
        <v>1.868333333333333E-2</v>
      </c>
      <c r="G96" s="83">
        <f t="shared" si="126"/>
        <v>1.868333333333333E-2</v>
      </c>
      <c r="H96" s="83">
        <f t="shared" si="126"/>
        <v>1.868333333333333E-2</v>
      </c>
      <c r="I96" s="83">
        <f t="shared" si="126"/>
        <v>1.868333333333333E-2</v>
      </c>
      <c r="J96" s="83">
        <f t="shared" si="126"/>
        <v>1.868333333333333E-2</v>
      </c>
      <c r="K96" s="83">
        <f t="shared" si="126"/>
        <v>1.868333333333333E-2</v>
      </c>
      <c r="L96" s="83">
        <f t="shared" si="126"/>
        <v>1.868333333333333E-2</v>
      </c>
      <c r="M96" s="83">
        <f t="shared" si="126"/>
        <v>9.3416666666666648E-3</v>
      </c>
      <c r="N96" s="83">
        <f t="shared" si="126"/>
        <v>0</v>
      </c>
      <c r="O96" s="83">
        <f t="shared" si="126"/>
        <v>0</v>
      </c>
      <c r="P96" s="83">
        <f t="shared" si="126"/>
        <v>0</v>
      </c>
      <c r="Q96" s="83">
        <f t="shared" si="126"/>
        <v>0</v>
      </c>
      <c r="R96" s="83">
        <f t="shared" si="126"/>
        <v>0</v>
      </c>
      <c r="S96" s="83">
        <f t="shared" si="126"/>
        <v>0</v>
      </c>
      <c r="T96" s="83">
        <f t="shared" si="126"/>
        <v>0</v>
      </c>
      <c r="U96" s="83">
        <f t="shared" si="126"/>
        <v>0</v>
      </c>
      <c r="V96" s="83">
        <f t="shared" si="126"/>
        <v>0</v>
      </c>
      <c r="W96" s="83">
        <f t="shared" si="126"/>
        <v>0</v>
      </c>
      <c r="X96" s="83">
        <f t="shared" si="126"/>
        <v>0</v>
      </c>
      <c r="Y96" s="83">
        <f t="shared" si="126"/>
        <v>0</v>
      </c>
      <c r="Z96" s="83">
        <f t="shared" si="126"/>
        <v>0</v>
      </c>
      <c r="AA96" s="83">
        <f t="shared" si="126"/>
        <v>0</v>
      </c>
      <c r="AB96" s="83">
        <f t="shared" si="126"/>
        <v>0</v>
      </c>
    </row>
    <row r="97" spans="2:28" x14ac:dyDescent="0.3">
      <c r="B97" s="293" t="str">
        <f t="shared" si="114"/>
        <v>TMT bards Fe 500</v>
      </c>
      <c r="F97" s="83">
        <f t="shared" ref="F97:AB97" si="127">IF(F$1&lt;=$C64,($D64*(1-$C$82)/($C64*12))*12,IF(F$1=ROUNDUP($C64,0),($D64*(1-$C$82)/($C64*12))*((F$1-$C64)*12),0))</f>
        <v>0.31387999999999999</v>
      </c>
      <c r="G97" s="83">
        <f t="shared" si="127"/>
        <v>0.31387999999999999</v>
      </c>
      <c r="H97" s="83">
        <f t="shared" si="127"/>
        <v>0.31387999999999999</v>
      </c>
      <c r="I97" s="83">
        <f t="shared" si="127"/>
        <v>0.31387999999999999</v>
      </c>
      <c r="J97" s="83">
        <f t="shared" si="127"/>
        <v>0.31387999999999999</v>
      </c>
      <c r="K97" s="83">
        <f t="shared" si="127"/>
        <v>0.31387999999999999</v>
      </c>
      <c r="L97" s="83">
        <f t="shared" si="127"/>
        <v>0.31387999999999999</v>
      </c>
      <c r="M97" s="83">
        <f t="shared" si="127"/>
        <v>0.15694</v>
      </c>
      <c r="N97" s="83">
        <f t="shared" si="127"/>
        <v>0</v>
      </c>
      <c r="O97" s="83">
        <f t="shared" si="127"/>
        <v>0</v>
      </c>
      <c r="P97" s="83">
        <f t="shared" si="127"/>
        <v>0</v>
      </c>
      <c r="Q97" s="83">
        <f t="shared" si="127"/>
        <v>0</v>
      </c>
      <c r="R97" s="83">
        <f t="shared" si="127"/>
        <v>0</v>
      </c>
      <c r="S97" s="83">
        <f t="shared" si="127"/>
        <v>0</v>
      </c>
      <c r="T97" s="83">
        <f t="shared" si="127"/>
        <v>0</v>
      </c>
      <c r="U97" s="83">
        <f t="shared" si="127"/>
        <v>0</v>
      </c>
      <c r="V97" s="83">
        <f t="shared" si="127"/>
        <v>0</v>
      </c>
      <c r="W97" s="83">
        <f t="shared" si="127"/>
        <v>0</v>
      </c>
      <c r="X97" s="83">
        <f t="shared" si="127"/>
        <v>0</v>
      </c>
      <c r="Y97" s="83">
        <f t="shared" si="127"/>
        <v>0</v>
      </c>
      <c r="Z97" s="83">
        <f t="shared" si="127"/>
        <v>0</v>
      </c>
      <c r="AA97" s="83">
        <f t="shared" si="127"/>
        <v>0</v>
      </c>
      <c r="AB97" s="83">
        <f t="shared" si="127"/>
        <v>0</v>
      </c>
    </row>
    <row r="98" spans="2:28" x14ac:dyDescent="0.3">
      <c r="B98" s="293" t="str">
        <f t="shared" si="114"/>
        <v>Masonary works</v>
      </c>
      <c r="F98" s="83">
        <f t="shared" ref="F98:AB98" si="128">IF(F$1&lt;=$C65,($D65*(1-$C$82)/($C65*12))*12,IF(F$1=ROUNDUP($C65,0),($D65*(1-$C$82)/($C65*12))*((F$1-$C65)*12),0))</f>
        <v>8.9680000000000003E-3</v>
      </c>
      <c r="G98" s="83">
        <f t="shared" si="128"/>
        <v>8.9680000000000003E-3</v>
      </c>
      <c r="H98" s="83">
        <f t="shared" si="128"/>
        <v>8.9680000000000003E-3</v>
      </c>
      <c r="I98" s="83">
        <f t="shared" si="128"/>
        <v>8.9680000000000003E-3</v>
      </c>
      <c r="J98" s="83">
        <f t="shared" si="128"/>
        <v>8.9680000000000003E-3</v>
      </c>
      <c r="K98" s="83">
        <f t="shared" si="128"/>
        <v>8.9680000000000003E-3</v>
      </c>
      <c r="L98" s="83">
        <f t="shared" si="128"/>
        <v>8.9680000000000003E-3</v>
      </c>
      <c r="M98" s="83">
        <f t="shared" si="128"/>
        <v>4.4840000000000001E-3</v>
      </c>
      <c r="N98" s="83">
        <f t="shared" si="128"/>
        <v>0</v>
      </c>
      <c r="O98" s="83">
        <f t="shared" si="128"/>
        <v>0</v>
      </c>
      <c r="P98" s="83">
        <f t="shared" si="128"/>
        <v>0</v>
      </c>
      <c r="Q98" s="83">
        <f t="shared" si="128"/>
        <v>0</v>
      </c>
      <c r="R98" s="83">
        <f t="shared" si="128"/>
        <v>0</v>
      </c>
      <c r="S98" s="83">
        <f t="shared" si="128"/>
        <v>0</v>
      </c>
      <c r="T98" s="83">
        <f t="shared" si="128"/>
        <v>0</v>
      </c>
      <c r="U98" s="83">
        <f t="shared" si="128"/>
        <v>0</v>
      </c>
      <c r="V98" s="83">
        <f t="shared" si="128"/>
        <v>0</v>
      </c>
      <c r="W98" s="83">
        <f t="shared" si="128"/>
        <v>0</v>
      </c>
      <c r="X98" s="83">
        <f t="shared" si="128"/>
        <v>0</v>
      </c>
      <c r="Y98" s="83">
        <f t="shared" si="128"/>
        <v>0</v>
      </c>
      <c r="Z98" s="83">
        <f t="shared" si="128"/>
        <v>0</v>
      </c>
      <c r="AA98" s="83">
        <f t="shared" si="128"/>
        <v>0</v>
      </c>
      <c r="AB98" s="83">
        <f t="shared" si="128"/>
        <v>0</v>
      </c>
    </row>
    <row r="99" spans="2:28" x14ac:dyDescent="0.3">
      <c r="B99" s="293" t="str">
        <f t="shared" si="114"/>
        <v>Plastering</v>
      </c>
      <c r="F99" s="83">
        <f t="shared" ref="F99:AB99" si="129">IF(F$1&lt;=$C66,($D66*(1-$C$82)/($C66*12))*12,IF(F$1=ROUNDUP($C66,0),($D66*(1-$C$82)/($C66*12))*((F$1-$C66)*12),0))</f>
        <v>7.2864999999999996E-3</v>
      </c>
      <c r="G99" s="83">
        <f t="shared" si="129"/>
        <v>7.2864999999999996E-3</v>
      </c>
      <c r="H99" s="83">
        <f t="shared" si="129"/>
        <v>7.2864999999999996E-3</v>
      </c>
      <c r="I99" s="83">
        <f t="shared" si="129"/>
        <v>7.2864999999999996E-3</v>
      </c>
      <c r="J99" s="83">
        <f t="shared" si="129"/>
        <v>7.2864999999999996E-3</v>
      </c>
      <c r="K99" s="83">
        <f t="shared" si="129"/>
        <v>7.2864999999999996E-3</v>
      </c>
      <c r="L99" s="83">
        <f t="shared" si="129"/>
        <v>7.2864999999999996E-3</v>
      </c>
      <c r="M99" s="83">
        <f t="shared" si="129"/>
        <v>3.6432499999999998E-3</v>
      </c>
      <c r="N99" s="83">
        <f t="shared" si="129"/>
        <v>0</v>
      </c>
      <c r="O99" s="83">
        <f t="shared" si="129"/>
        <v>0</v>
      </c>
      <c r="P99" s="83">
        <f t="shared" si="129"/>
        <v>0</v>
      </c>
      <c r="Q99" s="83">
        <f t="shared" si="129"/>
        <v>0</v>
      </c>
      <c r="R99" s="83">
        <f t="shared" si="129"/>
        <v>0</v>
      </c>
      <c r="S99" s="83">
        <f t="shared" si="129"/>
        <v>0</v>
      </c>
      <c r="T99" s="83">
        <f t="shared" si="129"/>
        <v>0</v>
      </c>
      <c r="U99" s="83">
        <f t="shared" si="129"/>
        <v>0</v>
      </c>
      <c r="V99" s="83">
        <f t="shared" si="129"/>
        <v>0</v>
      </c>
      <c r="W99" s="83">
        <f t="shared" si="129"/>
        <v>0</v>
      </c>
      <c r="X99" s="83">
        <f t="shared" si="129"/>
        <v>0</v>
      </c>
      <c r="Y99" s="83">
        <f t="shared" si="129"/>
        <v>0</v>
      </c>
      <c r="Z99" s="83">
        <f t="shared" si="129"/>
        <v>0</v>
      </c>
      <c r="AA99" s="83">
        <f t="shared" si="129"/>
        <v>0</v>
      </c>
      <c r="AB99" s="83">
        <f t="shared" si="129"/>
        <v>0</v>
      </c>
    </row>
    <row r="100" spans="2:28" x14ac:dyDescent="0.3">
      <c r="B100" s="293" t="str">
        <f t="shared" si="114"/>
        <v>VDF Flooring</v>
      </c>
      <c r="F100" s="83">
        <f t="shared" ref="F100:AB100" si="130">IF(F$1&lt;=$C67,($D67*(1-$C$82)/($C67*12))*12,IF(F$1=ROUNDUP($C67,0),($D67*(1-$C$82)/($C67*12))*((F$1-$C67)*12),0))</f>
        <v>1.07616E-2</v>
      </c>
      <c r="G100" s="83">
        <f t="shared" si="130"/>
        <v>1.07616E-2</v>
      </c>
      <c r="H100" s="83">
        <f t="shared" si="130"/>
        <v>1.07616E-2</v>
      </c>
      <c r="I100" s="83">
        <f t="shared" si="130"/>
        <v>1.07616E-2</v>
      </c>
      <c r="J100" s="83">
        <f t="shared" si="130"/>
        <v>1.07616E-2</v>
      </c>
      <c r="K100" s="83">
        <f t="shared" si="130"/>
        <v>1.07616E-2</v>
      </c>
      <c r="L100" s="83">
        <f t="shared" si="130"/>
        <v>1.07616E-2</v>
      </c>
      <c r="M100" s="83">
        <f t="shared" si="130"/>
        <v>5.3807999999999998E-3</v>
      </c>
      <c r="N100" s="83">
        <f t="shared" si="130"/>
        <v>0</v>
      </c>
      <c r="O100" s="83">
        <f t="shared" si="130"/>
        <v>0</v>
      </c>
      <c r="P100" s="83">
        <f t="shared" si="130"/>
        <v>0</v>
      </c>
      <c r="Q100" s="83">
        <f t="shared" si="130"/>
        <v>0</v>
      </c>
      <c r="R100" s="83">
        <f t="shared" si="130"/>
        <v>0</v>
      </c>
      <c r="S100" s="83">
        <f t="shared" si="130"/>
        <v>0</v>
      </c>
      <c r="T100" s="83">
        <f t="shared" si="130"/>
        <v>0</v>
      </c>
      <c r="U100" s="83">
        <f t="shared" si="130"/>
        <v>0</v>
      </c>
      <c r="V100" s="83">
        <f t="shared" si="130"/>
        <v>0</v>
      </c>
      <c r="W100" s="83">
        <f t="shared" si="130"/>
        <v>0</v>
      </c>
      <c r="X100" s="83">
        <f t="shared" si="130"/>
        <v>0</v>
      </c>
      <c r="Y100" s="83">
        <f t="shared" si="130"/>
        <v>0</v>
      </c>
      <c r="Z100" s="83">
        <f t="shared" si="130"/>
        <v>0</v>
      </c>
      <c r="AA100" s="83">
        <f t="shared" si="130"/>
        <v>0</v>
      </c>
      <c r="AB100" s="83">
        <f t="shared" si="130"/>
        <v>0</v>
      </c>
    </row>
    <row r="101" spans="2:28" x14ac:dyDescent="0.3">
      <c r="B101" s="293" t="str">
        <f t="shared" si="114"/>
        <v>J BOLTS installation</v>
      </c>
      <c r="F101" s="83">
        <f t="shared" ref="F101:AB101" si="131">IF(F$1&lt;=$C68,($D68*(1-$C$82)/($C68*12))*12,IF(F$1=ROUNDUP($C68,0),($D68*(1-$C$82)/($C68*12))*((F$1-$C68)*12),0))</f>
        <v>2.3914666666666664E-2</v>
      </c>
      <c r="G101" s="83">
        <f t="shared" si="131"/>
        <v>2.3914666666666664E-2</v>
      </c>
      <c r="H101" s="83">
        <f t="shared" si="131"/>
        <v>2.3914666666666664E-2</v>
      </c>
      <c r="I101" s="83">
        <f t="shared" si="131"/>
        <v>2.3914666666666664E-2</v>
      </c>
      <c r="J101" s="83">
        <f t="shared" si="131"/>
        <v>2.3914666666666664E-2</v>
      </c>
      <c r="K101" s="83">
        <f t="shared" si="131"/>
        <v>2.3914666666666664E-2</v>
      </c>
      <c r="L101" s="83">
        <f t="shared" si="131"/>
        <v>2.3914666666666664E-2</v>
      </c>
      <c r="M101" s="83">
        <f t="shared" si="131"/>
        <v>1.1957333333333332E-2</v>
      </c>
      <c r="N101" s="83">
        <f t="shared" si="131"/>
        <v>0</v>
      </c>
      <c r="O101" s="83">
        <f t="shared" si="131"/>
        <v>0</v>
      </c>
      <c r="P101" s="83">
        <f t="shared" si="131"/>
        <v>0</v>
      </c>
      <c r="Q101" s="83">
        <f t="shared" si="131"/>
        <v>0</v>
      </c>
      <c r="R101" s="83">
        <f t="shared" si="131"/>
        <v>0</v>
      </c>
      <c r="S101" s="83">
        <f t="shared" si="131"/>
        <v>0</v>
      </c>
      <c r="T101" s="83">
        <f t="shared" si="131"/>
        <v>0</v>
      </c>
      <c r="U101" s="83">
        <f t="shared" si="131"/>
        <v>0</v>
      </c>
      <c r="V101" s="83">
        <f t="shared" si="131"/>
        <v>0</v>
      </c>
      <c r="W101" s="83">
        <f t="shared" si="131"/>
        <v>0</v>
      </c>
      <c r="X101" s="83">
        <f t="shared" si="131"/>
        <v>0</v>
      </c>
      <c r="Y101" s="83">
        <f t="shared" si="131"/>
        <v>0</v>
      </c>
      <c r="Z101" s="83">
        <f t="shared" si="131"/>
        <v>0</v>
      </c>
      <c r="AA101" s="83">
        <f t="shared" si="131"/>
        <v>0</v>
      </c>
      <c r="AB101" s="83">
        <f t="shared" si="131"/>
        <v>0</v>
      </c>
    </row>
    <row r="102" spans="2:28" x14ac:dyDescent="0.3">
      <c r="B102" s="293" t="str">
        <f t="shared" si="114"/>
        <v>Baseplate Grouting</v>
      </c>
      <c r="F102" s="83">
        <f t="shared" ref="F102:AB102" si="132">IF(F$1&lt;=$C69,($D69*(1-$C$82)/($C69*12))*12,IF(F$1=ROUNDUP($C69,0),($D69*(1-$C$82)/($C69*12))*((F$1-$C69)*12),0))</f>
        <v>1.3153066666666668E-2</v>
      </c>
      <c r="G102" s="83">
        <f t="shared" si="132"/>
        <v>1.3153066666666668E-2</v>
      </c>
      <c r="H102" s="83">
        <f t="shared" si="132"/>
        <v>1.3153066666666668E-2</v>
      </c>
      <c r="I102" s="83">
        <f t="shared" si="132"/>
        <v>1.3153066666666668E-2</v>
      </c>
      <c r="J102" s="83">
        <f t="shared" si="132"/>
        <v>1.3153066666666668E-2</v>
      </c>
      <c r="K102" s="83">
        <f t="shared" si="132"/>
        <v>1.3153066666666668E-2</v>
      </c>
      <c r="L102" s="83">
        <f t="shared" si="132"/>
        <v>1.3153066666666668E-2</v>
      </c>
      <c r="M102" s="83">
        <f t="shared" si="132"/>
        <v>6.5765333333333339E-3</v>
      </c>
      <c r="N102" s="83">
        <f t="shared" si="132"/>
        <v>0</v>
      </c>
      <c r="O102" s="83">
        <f t="shared" si="132"/>
        <v>0</v>
      </c>
      <c r="P102" s="83">
        <f t="shared" si="132"/>
        <v>0</v>
      </c>
      <c r="Q102" s="83">
        <f t="shared" si="132"/>
        <v>0</v>
      </c>
      <c r="R102" s="83">
        <f t="shared" si="132"/>
        <v>0</v>
      </c>
      <c r="S102" s="83">
        <f t="shared" si="132"/>
        <v>0</v>
      </c>
      <c r="T102" s="83">
        <f t="shared" si="132"/>
        <v>0</v>
      </c>
      <c r="U102" s="83">
        <f t="shared" si="132"/>
        <v>0</v>
      </c>
      <c r="V102" s="83">
        <f t="shared" si="132"/>
        <v>0</v>
      </c>
      <c r="W102" s="83">
        <f t="shared" si="132"/>
        <v>0</v>
      </c>
      <c r="X102" s="83">
        <f t="shared" si="132"/>
        <v>0</v>
      </c>
      <c r="Y102" s="83">
        <f t="shared" si="132"/>
        <v>0</v>
      </c>
      <c r="Z102" s="83">
        <f t="shared" si="132"/>
        <v>0</v>
      </c>
      <c r="AA102" s="83">
        <f t="shared" si="132"/>
        <v>0</v>
      </c>
      <c r="AB102" s="83">
        <f t="shared" si="132"/>
        <v>0</v>
      </c>
    </row>
    <row r="103" spans="2:28" x14ac:dyDescent="0.3">
      <c r="B103" s="293" t="str">
        <f t="shared" si="114"/>
        <v>Miscellenous</v>
      </c>
      <c r="F103" s="83">
        <f t="shared" ref="F103:AB103" si="133">IF(F$1&lt;=$C70,($D70*(1-$C$82)/($C70*12))*12,IF(F$1=ROUNDUP($C70,0),($D70*(1-$C$82)/($C70*12))*((F$1-$C70)*12),0))</f>
        <v>1.7936000000000001E-2</v>
      </c>
      <c r="G103" s="83">
        <f t="shared" si="133"/>
        <v>1.7936000000000001E-2</v>
      </c>
      <c r="H103" s="83">
        <f t="shared" si="133"/>
        <v>1.7936000000000001E-2</v>
      </c>
      <c r="I103" s="83">
        <f t="shared" si="133"/>
        <v>1.7936000000000001E-2</v>
      </c>
      <c r="J103" s="83">
        <f t="shared" si="133"/>
        <v>1.7936000000000001E-2</v>
      </c>
      <c r="K103" s="83">
        <f t="shared" si="133"/>
        <v>1.7936000000000001E-2</v>
      </c>
      <c r="L103" s="83">
        <f t="shared" si="133"/>
        <v>1.7936000000000001E-2</v>
      </c>
      <c r="M103" s="83">
        <f t="shared" si="133"/>
        <v>8.9680000000000003E-3</v>
      </c>
      <c r="N103" s="83">
        <f t="shared" si="133"/>
        <v>0</v>
      </c>
      <c r="O103" s="83">
        <f t="shared" si="133"/>
        <v>0</v>
      </c>
      <c r="P103" s="83">
        <f t="shared" si="133"/>
        <v>0</v>
      </c>
      <c r="Q103" s="83">
        <f t="shared" si="133"/>
        <v>0</v>
      </c>
      <c r="R103" s="83">
        <f t="shared" si="133"/>
        <v>0</v>
      </c>
      <c r="S103" s="83">
        <f t="shared" si="133"/>
        <v>0</v>
      </c>
      <c r="T103" s="83">
        <f t="shared" si="133"/>
        <v>0</v>
      </c>
      <c r="U103" s="83">
        <f t="shared" si="133"/>
        <v>0</v>
      </c>
      <c r="V103" s="83">
        <f t="shared" si="133"/>
        <v>0</v>
      </c>
      <c r="W103" s="83">
        <f t="shared" si="133"/>
        <v>0</v>
      </c>
      <c r="X103" s="83">
        <f t="shared" si="133"/>
        <v>0</v>
      </c>
      <c r="Y103" s="83">
        <f t="shared" si="133"/>
        <v>0</v>
      </c>
      <c r="Z103" s="83">
        <f t="shared" si="133"/>
        <v>0</v>
      </c>
      <c r="AA103" s="83">
        <f t="shared" si="133"/>
        <v>0</v>
      </c>
      <c r="AB103" s="83">
        <f t="shared" si="133"/>
        <v>0</v>
      </c>
    </row>
    <row r="104" spans="2:28" x14ac:dyDescent="0.3">
      <c r="B104" t="str">
        <f t="shared" si="114"/>
        <v>Road</v>
      </c>
      <c r="F104" s="83">
        <f t="shared" ref="F104:AB104" si="134">IF(F$1&lt;=$C71,($D71*(1-$C$82)/($C71*12))*12,IF(F$1=ROUNDUP($C71,0),($D71*(1-$C$82)/($C71*12))*((F$1-$C71)*12),0))</f>
        <v>0.21413095380000002</v>
      </c>
      <c r="G104" s="83">
        <f t="shared" si="134"/>
        <v>0.21413095380000002</v>
      </c>
      <c r="H104" s="83">
        <f t="shared" si="134"/>
        <v>0.21413095380000002</v>
      </c>
      <c r="I104" s="83">
        <f t="shared" si="134"/>
        <v>0.21413095380000002</v>
      </c>
      <c r="J104" s="83">
        <f t="shared" si="134"/>
        <v>0.21413095380000002</v>
      </c>
      <c r="K104" s="83">
        <f t="shared" si="134"/>
        <v>0.21413095380000002</v>
      </c>
      <c r="L104" s="83">
        <f t="shared" si="134"/>
        <v>0.21413095380000002</v>
      </c>
      <c r="M104" s="83">
        <f t="shared" si="134"/>
        <v>0.10706547690000001</v>
      </c>
      <c r="N104" s="83">
        <f t="shared" si="134"/>
        <v>0</v>
      </c>
      <c r="O104" s="83">
        <f t="shared" si="134"/>
        <v>0</v>
      </c>
      <c r="P104" s="83">
        <f t="shared" si="134"/>
        <v>0</v>
      </c>
      <c r="Q104" s="83">
        <f t="shared" si="134"/>
        <v>0</v>
      </c>
      <c r="R104" s="83">
        <f t="shared" si="134"/>
        <v>0</v>
      </c>
      <c r="S104" s="83">
        <f t="shared" si="134"/>
        <v>0</v>
      </c>
      <c r="T104" s="83">
        <f t="shared" si="134"/>
        <v>0</v>
      </c>
      <c r="U104" s="83">
        <f t="shared" si="134"/>
        <v>0</v>
      </c>
      <c r="V104" s="83">
        <f t="shared" si="134"/>
        <v>0</v>
      </c>
      <c r="W104" s="83">
        <f t="shared" si="134"/>
        <v>0</v>
      </c>
      <c r="X104" s="83">
        <f t="shared" si="134"/>
        <v>0</v>
      </c>
      <c r="Y104" s="83">
        <f t="shared" si="134"/>
        <v>0</v>
      </c>
      <c r="Z104" s="83">
        <f t="shared" si="134"/>
        <v>0</v>
      </c>
      <c r="AA104" s="83">
        <f t="shared" si="134"/>
        <v>0</v>
      </c>
      <c r="AB104" s="83">
        <f t="shared" si="134"/>
        <v>0</v>
      </c>
    </row>
    <row r="105" spans="2:28" x14ac:dyDescent="0.3">
      <c r="B105" t="str">
        <f t="shared" si="114"/>
        <v>Electrical</v>
      </c>
      <c r="F105" s="83">
        <f t="shared" ref="F105:AB105" si="135">IF(F$1&lt;=$C72,($D72*(1-$C$82)/($C72*12))*12,IF(F$1=ROUNDUP($C72,0),($D72*(1-$C$82)/($C72*12))*((F$1-$C72)*12),0))</f>
        <v>0</v>
      </c>
      <c r="G105" s="83">
        <f t="shared" si="135"/>
        <v>0</v>
      </c>
      <c r="H105" s="83">
        <f t="shared" si="135"/>
        <v>0</v>
      </c>
      <c r="I105" s="83">
        <f t="shared" si="135"/>
        <v>0</v>
      </c>
      <c r="J105" s="83">
        <f t="shared" si="135"/>
        <v>0</v>
      </c>
      <c r="K105" s="83">
        <f t="shared" si="135"/>
        <v>0</v>
      </c>
      <c r="L105" s="83">
        <f t="shared" si="135"/>
        <v>0</v>
      </c>
      <c r="M105" s="83">
        <f t="shared" si="135"/>
        <v>0</v>
      </c>
      <c r="N105" s="83">
        <f t="shared" si="135"/>
        <v>0</v>
      </c>
      <c r="O105" s="83">
        <f t="shared" si="135"/>
        <v>0</v>
      </c>
      <c r="P105" s="83">
        <f t="shared" si="135"/>
        <v>0</v>
      </c>
      <c r="Q105" s="83">
        <f t="shared" si="135"/>
        <v>0</v>
      </c>
      <c r="R105" s="83">
        <f t="shared" si="135"/>
        <v>0</v>
      </c>
      <c r="S105" s="83">
        <f t="shared" si="135"/>
        <v>0</v>
      </c>
      <c r="T105" s="83">
        <f t="shared" si="135"/>
        <v>0</v>
      </c>
      <c r="U105" s="83">
        <f t="shared" si="135"/>
        <v>0</v>
      </c>
      <c r="V105" s="83">
        <f t="shared" si="135"/>
        <v>0</v>
      </c>
      <c r="W105" s="83">
        <f t="shared" si="135"/>
        <v>0</v>
      </c>
      <c r="X105" s="83">
        <f t="shared" si="135"/>
        <v>0</v>
      </c>
      <c r="Y105" s="83">
        <f t="shared" si="135"/>
        <v>0</v>
      </c>
      <c r="Z105" s="83">
        <f t="shared" si="135"/>
        <v>0</v>
      </c>
      <c r="AA105" s="83">
        <f t="shared" si="135"/>
        <v>0</v>
      </c>
      <c r="AB105" s="83">
        <f t="shared" si="135"/>
        <v>0</v>
      </c>
    </row>
    <row r="106" spans="2:28" x14ac:dyDescent="0.3">
      <c r="B106" t="str">
        <f t="shared" si="114"/>
        <v>CDA</v>
      </c>
      <c r="F106" s="83">
        <f t="shared" ref="F106:AB106" si="136">IF(F$1&lt;=$C73,($D73*(1-$C$82)/($C73*12))*12,IF(F$1=ROUNDUP($C73,0),($D73*(1-$C$82)/($C73*12))*((F$1-$C73)*12),0))</f>
        <v>0</v>
      </c>
      <c r="G106" s="83">
        <f t="shared" si="136"/>
        <v>0</v>
      </c>
      <c r="H106" s="83">
        <f t="shared" si="136"/>
        <v>0</v>
      </c>
      <c r="I106" s="83">
        <f t="shared" si="136"/>
        <v>0</v>
      </c>
      <c r="J106" s="83">
        <f t="shared" si="136"/>
        <v>0</v>
      </c>
      <c r="K106" s="83">
        <f t="shared" si="136"/>
        <v>0</v>
      </c>
      <c r="L106" s="83">
        <f t="shared" si="136"/>
        <v>0</v>
      </c>
      <c r="M106" s="83">
        <f t="shared" si="136"/>
        <v>0</v>
      </c>
      <c r="N106" s="83">
        <f t="shared" si="136"/>
        <v>0</v>
      </c>
      <c r="O106" s="83">
        <f t="shared" si="136"/>
        <v>0</v>
      </c>
      <c r="P106" s="83">
        <f t="shared" si="136"/>
        <v>0</v>
      </c>
      <c r="Q106" s="83">
        <f t="shared" si="136"/>
        <v>0</v>
      </c>
      <c r="R106" s="83">
        <f t="shared" si="136"/>
        <v>0</v>
      </c>
      <c r="S106" s="83">
        <f t="shared" si="136"/>
        <v>0</v>
      </c>
      <c r="T106" s="83">
        <f t="shared" si="136"/>
        <v>0</v>
      </c>
      <c r="U106" s="83">
        <f t="shared" si="136"/>
        <v>0</v>
      </c>
      <c r="V106" s="83">
        <f t="shared" si="136"/>
        <v>0</v>
      </c>
      <c r="W106" s="83">
        <f t="shared" si="136"/>
        <v>0</v>
      </c>
      <c r="X106" s="83">
        <f t="shared" si="136"/>
        <v>0</v>
      </c>
      <c r="Y106" s="83">
        <f t="shared" si="136"/>
        <v>0</v>
      </c>
      <c r="Z106" s="83">
        <f t="shared" si="136"/>
        <v>0</v>
      </c>
      <c r="AA106" s="83">
        <f t="shared" si="136"/>
        <v>0</v>
      </c>
      <c r="AB106" s="83">
        <f t="shared" si="136"/>
        <v>0</v>
      </c>
    </row>
    <row r="107" spans="2:28" x14ac:dyDescent="0.3">
      <c r="B107" t="str">
        <f t="shared" si="114"/>
        <v>FHS and FAS for the ASRS</v>
      </c>
      <c r="F107" s="83">
        <f t="shared" ref="F107:AB107" si="137">IF(F$1&lt;=$C74,($D74*(1-$C$82)/($C74*12))*12,IF(F$1=ROUNDUP($C74,0),($D74*(1-$C$82)/($C74*12))*((F$1-$C74)*12),0))</f>
        <v>0</v>
      </c>
      <c r="G107" s="83">
        <f t="shared" si="137"/>
        <v>0</v>
      </c>
      <c r="H107" s="83">
        <f t="shared" si="137"/>
        <v>0</v>
      </c>
      <c r="I107" s="83">
        <f t="shared" si="137"/>
        <v>0</v>
      </c>
      <c r="J107" s="83">
        <f t="shared" si="137"/>
        <v>0</v>
      </c>
      <c r="K107" s="83">
        <f t="shared" si="137"/>
        <v>0</v>
      </c>
      <c r="L107" s="83">
        <f t="shared" si="137"/>
        <v>0</v>
      </c>
      <c r="M107" s="83">
        <f t="shared" si="137"/>
        <v>0</v>
      </c>
      <c r="N107" s="83">
        <f t="shared" si="137"/>
        <v>0</v>
      </c>
      <c r="O107" s="83">
        <f t="shared" si="137"/>
        <v>0</v>
      </c>
      <c r="P107" s="83">
        <f t="shared" si="137"/>
        <v>0</v>
      </c>
      <c r="Q107" s="83">
        <f t="shared" si="137"/>
        <v>0</v>
      </c>
      <c r="R107" s="83">
        <f t="shared" si="137"/>
        <v>0</v>
      </c>
      <c r="S107" s="83">
        <f t="shared" si="137"/>
        <v>0</v>
      </c>
      <c r="T107" s="83">
        <f t="shared" si="137"/>
        <v>0</v>
      </c>
      <c r="U107" s="83">
        <f t="shared" si="137"/>
        <v>0</v>
      </c>
      <c r="V107" s="83">
        <f t="shared" si="137"/>
        <v>0</v>
      </c>
      <c r="W107" s="83">
        <f t="shared" si="137"/>
        <v>0</v>
      </c>
      <c r="X107" s="83">
        <f t="shared" si="137"/>
        <v>0</v>
      </c>
      <c r="Y107" s="83">
        <f t="shared" si="137"/>
        <v>0</v>
      </c>
      <c r="Z107" s="83">
        <f t="shared" si="137"/>
        <v>0</v>
      </c>
      <c r="AA107" s="83">
        <f t="shared" si="137"/>
        <v>0</v>
      </c>
      <c r="AB107" s="83">
        <f t="shared" si="137"/>
        <v>0</v>
      </c>
    </row>
    <row r="108" spans="2:28" x14ac:dyDescent="0.3">
      <c r="B108" t="str">
        <f t="shared" si="114"/>
        <v>Dock levellers</v>
      </c>
      <c r="D108" s="3"/>
      <c r="F108" s="83">
        <f t="shared" ref="F108:AB108" si="138">IF(F$1&lt;=$C75,($D75*(1-$C$82)/($C75*12))*12,IF(F$1=ROUNDUP($C75,0),($D75*(1-$C$82)/($C75*12))*((F$1-$C75)*12),0))</f>
        <v>0.10620618581333333</v>
      </c>
      <c r="G108" s="83">
        <f t="shared" si="138"/>
        <v>0.10620618581333333</v>
      </c>
      <c r="H108" s="83">
        <f t="shared" si="138"/>
        <v>0.10620618581333333</v>
      </c>
      <c r="I108" s="83">
        <f t="shared" si="138"/>
        <v>0.10620618581333333</v>
      </c>
      <c r="J108" s="83">
        <f t="shared" si="138"/>
        <v>0.10620618581333333</v>
      </c>
      <c r="K108" s="83">
        <f t="shared" si="138"/>
        <v>0.10620618581333333</v>
      </c>
      <c r="L108" s="83">
        <f t="shared" si="138"/>
        <v>0.10620618581333333</v>
      </c>
      <c r="M108" s="83">
        <f t="shared" si="138"/>
        <v>5.3103092906666663E-2</v>
      </c>
      <c r="N108" s="83">
        <f t="shared" si="138"/>
        <v>0</v>
      </c>
      <c r="O108" s="83">
        <f t="shared" si="138"/>
        <v>0</v>
      </c>
      <c r="P108" s="83">
        <f t="shared" si="138"/>
        <v>0</v>
      </c>
      <c r="Q108" s="83">
        <f t="shared" si="138"/>
        <v>0</v>
      </c>
      <c r="R108" s="83">
        <f t="shared" si="138"/>
        <v>0</v>
      </c>
      <c r="S108" s="83">
        <f t="shared" si="138"/>
        <v>0</v>
      </c>
      <c r="T108" s="83">
        <f t="shared" si="138"/>
        <v>0</v>
      </c>
      <c r="U108" s="83">
        <f t="shared" si="138"/>
        <v>0</v>
      </c>
      <c r="V108" s="83">
        <f t="shared" si="138"/>
        <v>0</v>
      </c>
      <c r="W108" s="83">
        <f t="shared" si="138"/>
        <v>0</v>
      </c>
      <c r="X108" s="83">
        <f t="shared" si="138"/>
        <v>0</v>
      </c>
      <c r="Y108" s="83">
        <f t="shared" si="138"/>
        <v>0</v>
      </c>
      <c r="Z108" s="83">
        <f t="shared" si="138"/>
        <v>0</v>
      </c>
      <c r="AA108" s="83">
        <f t="shared" si="138"/>
        <v>0</v>
      </c>
      <c r="AB108" s="83">
        <f t="shared" si="138"/>
        <v>0</v>
      </c>
    </row>
    <row r="109" spans="2:28" x14ac:dyDescent="0.3">
      <c r="B109" t="str">
        <f t="shared" si="114"/>
        <v>Contingency</v>
      </c>
      <c r="F109" s="83">
        <f t="shared" ref="F109:AB109" si="139">IF(F$1&lt;=$C76,($D76*(1-$C$82)/($C76*12))*12,IF(F$1=ROUNDUP($C76,0),($D76*(1-$C$82)/($C76*12))*((F$1-$C76)*12),0))</f>
        <v>0.30130201531400003</v>
      </c>
      <c r="G109" s="83">
        <f t="shared" si="139"/>
        <v>0.30130201531400003</v>
      </c>
      <c r="H109" s="83">
        <f t="shared" si="139"/>
        <v>0.30130201531400003</v>
      </c>
      <c r="I109" s="83">
        <f t="shared" si="139"/>
        <v>0.30130201531400003</v>
      </c>
      <c r="J109" s="83">
        <f t="shared" si="139"/>
        <v>0.30130201531400003</v>
      </c>
      <c r="K109" s="83">
        <f t="shared" si="139"/>
        <v>0.30130201531400003</v>
      </c>
      <c r="L109" s="83">
        <f t="shared" si="139"/>
        <v>0.30130201531400003</v>
      </c>
      <c r="M109" s="83">
        <f t="shared" si="139"/>
        <v>0.15065100765700001</v>
      </c>
      <c r="N109" s="83">
        <f t="shared" si="139"/>
        <v>0</v>
      </c>
      <c r="O109" s="83">
        <f t="shared" si="139"/>
        <v>0</v>
      </c>
      <c r="P109" s="83">
        <f t="shared" si="139"/>
        <v>0</v>
      </c>
      <c r="Q109" s="83">
        <f t="shared" si="139"/>
        <v>0</v>
      </c>
      <c r="R109" s="83">
        <f t="shared" si="139"/>
        <v>0</v>
      </c>
      <c r="S109" s="83">
        <f t="shared" si="139"/>
        <v>0</v>
      </c>
      <c r="T109" s="83">
        <f t="shared" si="139"/>
        <v>0</v>
      </c>
      <c r="U109" s="83">
        <f t="shared" si="139"/>
        <v>0</v>
      </c>
      <c r="V109" s="83">
        <f t="shared" si="139"/>
        <v>0</v>
      </c>
      <c r="W109" s="83">
        <f t="shared" si="139"/>
        <v>0</v>
      </c>
      <c r="X109" s="83">
        <f t="shared" si="139"/>
        <v>0</v>
      </c>
      <c r="Y109" s="83">
        <f t="shared" si="139"/>
        <v>0</v>
      </c>
      <c r="Z109" s="83">
        <f t="shared" si="139"/>
        <v>0</v>
      </c>
      <c r="AA109" s="83">
        <f t="shared" si="139"/>
        <v>0</v>
      </c>
      <c r="AB109" s="83">
        <f t="shared" si="139"/>
        <v>0</v>
      </c>
    </row>
    <row r="110" spans="2:28" x14ac:dyDescent="0.3">
      <c r="B110" t="str">
        <f t="shared" si="114"/>
        <v>Pre - operating expenses</v>
      </c>
      <c r="F110" s="83">
        <f t="shared" ref="F110:AB110" si="140">IF(F$1&lt;=$C77,($D77*(1-$C$82)/($C77*12))*12,IF(F$1=ROUNDUP($C77,0),($D77*(1-$C$82)/($C77*12))*((F$1-$C77)*12),0))</f>
        <v>6.8558548677939965E-2</v>
      </c>
      <c r="G110" s="83">
        <f t="shared" si="140"/>
        <v>6.8558548677939965E-2</v>
      </c>
      <c r="H110" s="83">
        <f t="shared" si="140"/>
        <v>6.8558548677939965E-2</v>
      </c>
      <c r="I110" s="83">
        <f t="shared" si="140"/>
        <v>6.8558548677939965E-2</v>
      </c>
      <c r="J110" s="83">
        <f t="shared" si="140"/>
        <v>6.8558548677939965E-2</v>
      </c>
      <c r="K110" s="83">
        <f t="shared" si="140"/>
        <v>6.8558548677939965E-2</v>
      </c>
      <c r="L110" s="83">
        <f t="shared" si="140"/>
        <v>6.8558548677939965E-2</v>
      </c>
      <c r="M110" s="83">
        <f t="shared" si="140"/>
        <v>3.4279274338969982E-2</v>
      </c>
      <c r="N110" s="83">
        <f t="shared" si="140"/>
        <v>0</v>
      </c>
      <c r="O110" s="83">
        <f t="shared" si="140"/>
        <v>0</v>
      </c>
      <c r="P110" s="83">
        <f t="shared" si="140"/>
        <v>0</v>
      </c>
      <c r="Q110" s="83">
        <f t="shared" si="140"/>
        <v>0</v>
      </c>
      <c r="R110" s="83">
        <f t="shared" si="140"/>
        <v>0</v>
      </c>
      <c r="S110" s="83">
        <f t="shared" si="140"/>
        <v>0</v>
      </c>
      <c r="T110" s="83">
        <f t="shared" si="140"/>
        <v>0</v>
      </c>
      <c r="U110" s="83">
        <f t="shared" si="140"/>
        <v>0</v>
      </c>
      <c r="V110" s="83">
        <f t="shared" si="140"/>
        <v>0</v>
      </c>
      <c r="W110" s="83">
        <f t="shared" si="140"/>
        <v>0</v>
      </c>
      <c r="X110" s="83">
        <f t="shared" si="140"/>
        <v>0</v>
      </c>
      <c r="Y110" s="83">
        <f t="shared" si="140"/>
        <v>0</v>
      </c>
      <c r="Z110" s="83">
        <f t="shared" si="140"/>
        <v>0</v>
      </c>
      <c r="AA110" s="83">
        <f t="shared" si="140"/>
        <v>0</v>
      </c>
      <c r="AB110" s="83">
        <f t="shared" si="140"/>
        <v>0</v>
      </c>
    </row>
    <row r="111" spans="2:28" x14ac:dyDescent="0.3">
      <c r="B111" t="str">
        <f t="shared" si="114"/>
        <v>IDC</v>
      </c>
      <c r="F111" s="83">
        <f t="shared" ref="F111:AB112" ca="1" si="141">IF(F$1&lt;=$C78,($D78*(1-$C$82)/($C78*12))*12,IF(F$1=ROUNDUP($C78,0),($D78*(1-$C$82)/($C78*12))*((F$1-$C78)*12),0))</f>
        <v>0.43099690897862447</v>
      </c>
      <c r="G111" s="83">
        <f t="shared" ca="1" si="141"/>
        <v>0.43099690897862447</v>
      </c>
      <c r="H111" s="83">
        <f t="shared" ca="1" si="141"/>
        <v>0.43099690897862447</v>
      </c>
      <c r="I111" s="83">
        <f t="shared" ca="1" si="141"/>
        <v>0.43099690897862447</v>
      </c>
      <c r="J111" s="83">
        <f t="shared" ca="1" si="141"/>
        <v>0.43099690897862447</v>
      </c>
      <c r="K111" s="83">
        <f t="shared" ca="1" si="141"/>
        <v>0.43099690897862447</v>
      </c>
      <c r="L111" s="83">
        <f t="shared" ca="1" si="141"/>
        <v>0.43099690897862447</v>
      </c>
      <c r="M111" s="83">
        <f t="shared" ca="1" si="141"/>
        <v>0.21549845448931224</v>
      </c>
      <c r="N111" s="83">
        <f t="shared" si="141"/>
        <v>0</v>
      </c>
      <c r="O111" s="83">
        <f t="shared" si="141"/>
        <v>0</v>
      </c>
      <c r="P111" s="83">
        <f t="shared" si="141"/>
        <v>0</v>
      </c>
      <c r="Q111" s="83">
        <f t="shared" si="141"/>
        <v>0</v>
      </c>
      <c r="R111" s="83">
        <f t="shared" si="141"/>
        <v>0</v>
      </c>
      <c r="S111" s="83">
        <f t="shared" si="141"/>
        <v>0</v>
      </c>
      <c r="T111" s="83">
        <f t="shared" si="141"/>
        <v>0</v>
      </c>
      <c r="U111" s="83">
        <f t="shared" si="141"/>
        <v>0</v>
      </c>
      <c r="V111" s="83">
        <f t="shared" si="141"/>
        <v>0</v>
      </c>
      <c r="W111" s="83">
        <f t="shared" si="141"/>
        <v>0</v>
      </c>
      <c r="X111" s="83">
        <f t="shared" si="141"/>
        <v>0</v>
      </c>
      <c r="Y111" s="83">
        <f t="shared" si="141"/>
        <v>0</v>
      </c>
      <c r="Z111" s="83">
        <f t="shared" si="141"/>
        <v>0</v>
      </c>
      <c r="AA111" s="83">
        <f t="shared" si="141"/>
        <v>0</v>
      </c>
      <c r="AB111" s="83">
        <f t="shared" si="141"/>
        <v>0</v>
      </c>
    </row>
    <row r="112" spans="2:28" ht="15" thickBot="1" x14ac:dyDescent="0.35">
      <c r="B112" t="s">
        <v>105</v>
      </c>
      <c r="F112" s="83">
        <f t="shared" ca="1" si="141"/>
        <v>3.4134488896252813E-2</v>
      </c>
      <c r="G112" s="83">
        <f t="shared" ca="1" si="141"/>
        <v>3.4134488896252813E-2</v>
      </c>
      <c r="H112" s="83">
        <f t="shared" ca="1" si="141"/>
        <v>3.4134488896252813E-2</v>
      </c>
      <c r="I112" s="83">
        <f t="shared" ca="1" si="141"/>
        <v>3.4134488896252813E-2</v>
      </c>
      <c r="J112" s="83">
        <f t="shared" ca="1" si="141"/>
        <v>3.4134488896252813E-2</v>
      </c>
      <c r="K112" s="83">
        <f t="shared" ca="1" si="141"/>
        <v>3.4134488896252813E-2</v>
      </c>
      <c r="L112" s="83">
        <f t="shared" ca="1" si="141"/>
        <v>3.4134488896252813E-2</v>
      </c>
      <c r="M112" s="83">
        <f t="shared" ca="1" si="141"/>
        <v>1.7067244448126406E-2</v>
      </c>
      <c r="N112" s="83">
        <f t="shared" si="141"/>
        <v>0</v>
      </c>
      <c r="O112" s="83">
        <f t="shared" si="141"/>
        <v>0</v>
      </c>
      <c r="P112" s="83">
        <f t="shared" si="141"/>
        <v>0</v>
      </c>
      <c r="Q112" s="83">
        <f t="shared" si="141"/>
        <v>0</v>
      </c>
      <c r="R112" s="83">
        <f t="shared" si="141"/>
        <v>0</v>
      </c>
      <c r="S112" s="83">
        <f t="shared" si="141"/>
        <v>0</v>
      </c>
      <c r="T112" s="83">
        <f t="shared" si="141"/>
        <v>0</v>
      </c>
      <c r="U112" s="83">
        <f t="shared" si="141"/>
        <v>0</v>
      </c>
      <c r="V112" s="83">
        <f t="shared" si="141"/>
        <v>0</v>
      </c>
      <c r="W112" s="83">
        <f t="shared" si="141"/>
        <v>0</v>
      </c>
      <c r="X112" s="83">
        <f t="shared" si="141"/>
        <v>0</v>
      </c>
      <c r="Y112" s="83">
        <f t="shared" si="141"/>
        <v>0</v>
      </c>
      <c r="Z112" s="83">
        <f t="shared" si="141"/>
        <v>0</v>
      </c>
      <c r="AA112" s="83">
        <f t="shared" si="141"/>
        <v>0</v>
      </c>
      <c r="AB112" s="83">
        <f t="shared" si="141"/>
        <v>0</v>
      </c>
    </row>
    <row r="113" spans="1:28" ht="15" thickBot="1" x14ac:dyDescent="0.35">
      <c r="A113" s="6">
        <v>2</v>
      </c>
      <c r="B113" s="7" t="str">
        <f t="shared" ref="B113" si="142">B80</f>
        <v>Total</v>
      </c>
      <c r="C113" s="8"/>
      <c r="D113" s="8"/>
      <c r="E113" s="8"/>
      <c r="F113" s="9">
        <f ca="1">SUM(F84:F112)</f>
        <v>6.8610322681468183</v>
      </c>
      <c r="G113" s="9">
        <f t="shared" ref="G113:T113" ca="1" si="143">SUM(G84:G112)</f>
        <v>6.8610322681468183</v>
      </c>
      <c r="H113" s="9">
        <f t="shared" ca="1" si="143"/>
        <v>6.8610322681468183</v>
      </c>
      <c r="I113" s="9">
        <f t="shared" ca="1" si="143"/>
        <v>6.8610322681468183</v>
      </c>
      <c r="J113" s="9">
        <f t="shared" ca="1" si="143"/>
        <v>6.8610322681468183</v>
      </c>
      <c r="K113" s="9">
        <f t="shared" ca="1" si="143"/>
        <v>6.8610322681468183</v>
      </c>
      <c r="L113" s="9">
        <f t="shared" ca="1" si="143"/>
        <v>6.8610322681468183</v>
      </c>
      <c r="M113" s="9">
        <f t="shared" ca="1" si="143"/>
        <v>3.4305161340734092</v>
      </c>
      <c r="N113" s="9">
        <f t="shared" si="143"/>
        <v>0</v>
      </c>
      <c r="O113" s="9">
        <f t="shared" si="143"/>
        <v>0</v>
      </c>
      <c r="P113" s="9">
        <f t="shared" si="143"/>
        <v>0</v>
      </c>
      <c r="Q113" s="9">
        <f t="shared" si="143"/>
        <v>0</v>
      </c>
      <c r="R113" s="9">
        <f t="shared" si="143"/>
        <v>0</v>
      </c>
      <c r="S113" s="9">
        <f t="shared" si="143"/>
        <v>0</v>
      </c>
      <c r="T113" s="9">
        <f t="shared" si="143"/>
        <v>0</v>
      </c>
      <c r="U113" s="11"/>
      <c r="V113" s="11"/>
      <c r="W113" s="11"/>
      <c r="X113" s="11"/>
      <c r="Y113" s="11"/>
      <c r="Z113" s="11"/>
      <c r="AA113" s="11"/>
      <c r="AB113" s="48"/>
    </row>
    <row r="114" spans="1:28" ht="15" thickBot="1" x14ac:dyDescent="0.35">
      <c r="B114" s="7" t="s">
        <v>187</v>
      </c>
      <c r="C114" s="8"/>
      <c r="D114" s="8"/>
      <c r="E114" s="8"/>
      <c r="F114" s="9">
        <f ca="1">F113</f>
        <v>6.8610322681468183</v>
      </c>
      <c r="G114" s="9">
        <f ca="1">G113+F114</f>
        <v>13.722064536293637</v>
      </c>
      <c r="H114" s="9">
        <f t="shared" ref="H114:T114" ca="1" si="144">H113+G114</f>
        <v>20.583096804440455</v>
      </c>
      <c r="I114" s="9">
        <f t="shared" ca="1" si="144"/>
        <v>27.444129072587273</v>
      </c>
      <c r="J114" s="9">
        <f t="shared" ca="1" si="144"/>
        <v>34.305161340734088</v>
      </c>
      <c r="K114" s="9">
        <f t="shared" ca="1" si="144"/>
        <v>41.166193608880903</v>
      </c>
      <c r="L114" s="9">
        <f t="shared" ca="1" si="144"/>
        <v>48.027225877027718</v>
      </c>
      <c r="M114" s="9">
        <f t="shared" ca="1" si="144"/>
        <v>51.457742011101125</v>
      </c>
      <c r="N114" s="9">
        <f t="shared" ca="1" si="144"/>
        <v>51.457742011101125</v>
      </c>
      <c r="O114" s="9">
        <f t="shared" ca="1" si="144"/>
        <v>51.457742011101125</v>
      </c>
      <c r="P114" s="9">
        <f t="shared" ca="1" si="144"/>
        <v>51.457742011101125</v>
      </c>
      <c r="Q114" s="9">
        <f t="shared" ca="1" si="144"/>
        <v>51.457742011101125</v>
      </c>
      <c r="R114" s="9">
        <f t="shared" ca="1" si="144"/>
        <v>51.457742011101125</v>
      </c>
      <c r="S114" s="9">
        <f t="shared" ca="1" si="144"/>
        <v>51.457742011101125</v>
      </c>
      <c r="T114" s="9">
        <f t="shared" ca="1" si="144"/>
        <v>51.457742011101125</v>
      </c>
      <c r="U114" s="9">
        <f t="shared" ref="U114" ca="1" si="145">U113+T114</f>
        <v>51.457742011101125</v>
      </c>
      <c r="V114" s="9">
        <f t="shared" ref="V114" ca="1" si="146">V113+U114</f>
        <v>51.457742011101125</v>
      </c>
      <c r="W114" s="9">
        <f t="shared" ref="W114" ca="1" si="147">W113+V114</f>
        <v>51.457742011101125</v>
      </c>
      <c r="X114" s="9">
        <f t="shared" ref="X114" ca="1" si="148">X113+W114</f>
        <v>51.457742011101125</v>
      </c>
      <c r="Y114" s="9">
        <f t="shared" ref="Y114" ca="1" si="149">Y113+X114</f>
        <v>51.457742011101125</v>
      </c>
      <c r="Z114" s="9">
        <f t="shared" ref="Z114" ca="1" si="150">Z113+Y114</f>
        <v>51.457742011101125</v>
      </c>
      <c r="AA114" s="9">
        <f t="shared" ref="AA114" ca="1" si="151">AA113+Z114</f>
        <v>51.457742011101125</v>
      </c>
      <c r="AB114" s="9">
        <f t="shared" ref="AB114" ca="1" si="152">AB113+AA114</f>
        <v>51.457742011101125</v>
      </c>
    </row>
    <row r="115" spans="1:28" x14ac:dyDescent="0.3">
      <c r="T115" s="3"/>
    </row>
    <row r="116" spans="1:28" x14ac:dyDescent="0.3">
      <c r="B116" s="6" t="s">
        <v>45</v>
      </c>
    </row>
    <row r="117" spans="1:28" x14ac:dyDescent="0.3">
      <c r="B117" t="str">
        <f t="shared" ref="B117:B145" si="153">B83</f>
        <v>ASRS</v>
      </c>
    </row>
    <row r="118" spans="1:28" x14ac:dyDescent="0.3">
      <c r="B118" t="str">
        <f t="shared" si="153"/>
        <v xml:space="preserve">   Racking system</v>
      </c>
      <c r="F118" s="3">
        <f t="shared" ref="F118:F125" si="154">IF(AND(F$1="-",F$1&gt;ROUNDUP($C51,0)),0,F51-F84)</f>
        <v>13.13661896448</v>
      </c>
      <c r="G118" s="3">
        <f t="shared" ref="G118:AB118" si="155">IF(OR(G$1="-",G$1&gt;ROUNDUP($C51,0)),0,F118-G84)</f>
        <v>11.231307816960001</v>
      </c>
      <c r="H118" s="3">
        <f t="shared" si="155"/>
        <v>9.3259966694400021</v>
      </c>
      <c r="I118" s="3">
        <f t="shared" si="155"/>
        <v>7.4206855219200021</v>
      </c>
      <c r="J118" s="3">
        <f t="shared" si="155"/>
        <v>5.5153743744000021</v>
      </c>
      <c r="K118" s="3">
        <f t="shared" si="155"/>
        <v>3.6100632268800021</v>
      </c>
      <c r="L118" s="3">
        <f t="shared" si="155"/>
        <v>1.7047520793600022</v>
      </c>
      <c r="M118" s="3">
        <f t="shared" si="155"/>
        <v>0.75209650560000219</v>
      </c>
      <c r="N118" s="3">
        <f t="shared" si="155"/>
        <v>0</v>
      </c>
      <c r="O118" s="3">
        <f t="shared" si="155"/>
        <v>0</v>
      </c>
      <c r="P118" s="3">
        <f t="shared" si="155"/>
        <v>0</v>
      </c>
      <c r="Q118" s="3">
        <f t="shared" si="155"/>
        <v>0</v>
      </c>
      <c r="R118" s="3">
        <f t="shared" si="155"/>
        <v>0</v>
      </c>
      <c r="S118" s="3">
        <f t="shared" si="155"/>
        <v>0</v>
      </c>
      <c r="T118" s="3">
        <f t="shared" si="155"/>
        <v>0</v>
      </c>
      <c r="U118" s="3">
        <f t="shared" si="155"/>
        <v>0</v>
      </c>
      <c r="V118" s="3">
        <f t="shared" si="155"/>
        <v>0</v>
      </c>
      <c r="W118" s="3">
        <f t="shared" si="155"/>
        <v>0</v>
      </c>
      <c r="X118" s="3">
        <f t="shared" si="155"/>
        <v>0</v>
      </c>
      <c r="Y118" s="3">
        <f t="shared" si="155"/>
        <v>0</v>
      </c>
      <c r="Z118" s="3">
        <f t="shared" si="155"/>
        <v>0</v>
      </c>
      <c r="AA118" s="3">
        <f t="shared" si="155"/>
        <v>0</v>
      </c>
      <c r="AB118" s="3">
        <f t="shared" si="155"/>
        <v>0</v>
      </c>
    </row>
    <row r="119" spans="1:28" x14ac:dyDescent="0.3">
      <c r="B119" t="str">
        <f t="shared" si="153"/>
        <v xml:space="preserve">   Cladding for high bay</v>
      </c>
      <c r="F119" s="3">
        <f t="shared" si="154"/>
        <v>1.23664</v>
      </c>
      <c r="G119" s="3">
        <f t="shared" ref="G119:AB119" si="156">IF(OR(G$1="-",G$1&gt;ROUNDUP($C52,0)),0,F119-G85)</f>
        <v>1.05728</v>
      </c>
      <c r="H119" s="3">
        <f t="shared" si="156"/>
        <v>0.87792000000000003</v>
      </c>
      <c r="I119" s="3">
        <f t="shared" si="156"/>
        <v>0.69856000000000007</v>
      </c>
      <c r="J119" s="3">
        <f t="shared" si="156"/>
        <v>0.51920000000000011</v>
      </c>
      <c r="K119" s="3">
        <f t="shared" si="156"/>
        <v>0.33984000000000014</v>
      </c>
      <c r="L119" s="3">
        <f t="shared" si="156"/>
        <v>0.16048000000000015</v>
      </c>
      <c r="M119" s="3">
        <f t="shared" si="156"/>
        <v>7.0800000000000154E-2</v>
      </c>
      <c r="N119" s="3">
        <f t="shared" si="156"/>
        <v>0</v>
      </c>
      <c r="O119" s="3">
        <f t="shared" si="156"/>
        <v>0</v>
      </c>
      <c r="P119" s="3">
        <f t="shared" si="156"/>
        <v>0</v>
      </c>
      <c r="Q119" s="3">
        <f t="shared" si="156"/>
        <v>0</v>
      </c>
      <c r="R119" s="3">
        <f t="shared" si="156"/>
        <v>0</v>
      </c>
      <c r="S119" s="3">
        <f t="shared" si="156"/>
        <v>0</v>
      </c>
      <c r="T119" s="3">
        <f t="shared" si="156"/>
        <v>0</v>
      </c>
      <c r="U119" s="3">
        <f t="shared" si="156"/>
        <v>0</v>
      </c>
      <c r="V119" s="3">
        <f t="shared" si="156"/>
        <v>0</v>
      </c>
      <c r="W119" s="3">
        <f t="shared" si="156"/>
        <v>0</v>
      </c>
      <c r="X119" s="3">
        <f t="shared" si="156"/>
        <v>0</v>
      </c>
      <c r="Y119" s="3">
        <f t="shared" si="156"/>
        <v>0</v>
      </c>
      <c r="Z119" s="3">
        <f t="shared" si="156"/>
        <v>0</v>
      </c>
      <c r="AA119" s="3">
        <f t="shared" si="156"/>
        <v>0</v>
      </c>
      <c r="AB119" s="3">
        <f t="shared" si="156"/>
        <v>0</v>
      </c>
    </row>
    <row r="120" spans="1:28" x14ac:dyDescent="0.3">
      <c r="B120" t="str">
        <f t="shared" si="153"/>
        <v xml:space="preserve">   Double deep Stacker crane</v>
      </c>
      <c r="F120" s="3">
        <f t="shared" si="154"/>
        <v>5.6988493333333343</v>
      </c>
      <c r="G120" s="3">
        <f t="shared" ref="G120:AB120" si="157">IF(OR(G$1="-",G$1&gt;ROUNDUP($C53,0)),0,F120-G86)</f>
        <v>4.8722986666666674</v>
      </c>
      <c r="H120" s="3">
        <f t="shared" si="157"/>
        <v>4.0457480000000006</v>
      </c>
      <c r="I120" s="3">
        <f t="shared" si="157"/>
        <v>3.2191973333333337</v>
      </c>
      <c r="J120" s="3">
        <f t="shared" si="157"/>
        <v>2.3926466666666668</v>
      </c>
      <c r="K120" s="3">
        <f t="shared" si="157"/>
        <v>1.5660959999999999</v>
      </c>
      <c r="L120" s="3">
        <f t="shared" si="157"/>
        <v>0.73954533333333317</v>
      </c>
      <c r="M120" s="3">
        <f t="shared" si="157"/>
        <v>0.32626999999999978</v>
      </c>
      <c r="N120" s="3">
        <f t="shared" si="157"/>
        <v>0</v>
      </c>
      <c r="O120" s="3">
        <f t="shared" si="157"/>
        <v>0</v>
      </c>
      <c r="P120" s="3">
        <f t="shared" si="157"/>
        <v>0</v>
      </c>
      <c r="Q120" s="3">
        <f t="shared" si="157"/>
        <v>0</v>
      </c>
      <c r="R120" s="3">
        <f t="shared" si="157"/>
        <v>0</v>
      </c>
      <c r="S120" s="3">
        <f t="shared" si="157"/>
        <v>0</v>
      </c>
      <c r="T120" s="3">
        <f t="shared" si="157"/>
        <v>0</v>
      </c>
      <c r="U120" s="3">
        <f t="shared" si="157"/>
        <v>0</v>
      </c>
      <c r="V120" s="3">
        <f t="shared" si="157"/>
        <v>0</v>
      </c>
      <c r="W120" s="3">
        <f t="shared" si="157"/>
        <v>0</v>
      </c>
      <c r="X120" s="3">
        <f t="shared" si="157"/>
        <v>0</v>
      </c>
      <c r="Y120" s="3">
        <f t="shared" si="157"/>
        <v>0</v>
      </c>
      <c r="Z120" s="3">
        <f t="shared" si="157"/>
        <v>0</v>
      </c>
      <c r="AA120" s="3">
        <f t="shared" si="157"/>
        <v>0</v>
      </c>
      <c r="AB120" s="3">
        <f t="shared" si="157"/>
        <v>0</v>
      </c>
    </row>
    <row r="121" spans="1:28" x14ac:dyDescent="0.3">
      <c r="B121" t="str">
        <f t="shared" si="153"/>
        <v xml:space="preserve">   Bottom Rail with aisle accessories</v>
      </c>
      <c r="F121" s="3">
        <f t="shared" si="154"/>
        <v>1.3861481271466667</v>
      </c>
      <c r="G121" s="3">
        <f t="shared" ref="G121:AB121" si="158">IF(OR(G$1="-",G$1&gt;ROUNDUP($C54,0)),0,F121-G87)</f>
        <v>1.1851037422933333</v>
      </c>
      <c r="H121" s="3">
        <f t="shared" si="158"/>
        <v>0.98405935743999984</v>
      </c>
      <c r="I121" s="3">
        <f t="shared" si="158"/>
        <v>0.78301497258666641</v>
      </c>
      <c r="J121" s="3">
        <f t="shared" si="158"/>
        <v>0.58197058773333299</v>
      </c>
      <c r="K121" s="3">
        <f t="shared" si="158"/>
        <v>0.38092620287999962</v>
      </c>
      <c r="L121" s="3">
        <f t="shared" si="158"/>
        <v>0.17988181802666625</v>
      </c>
      <c r="M121" s="3">
        <f t="shared" si="158"/>
        <v>7.9359625599999567E-2</v>
      </c>
      <c r="N121" s="3">
        <f t="shared" si="158"/>
        <v>0</v>
      </c>
      <c r="O121" s="3">
        <f t="shared" si="158"/>
        <v>0</v>
      </c>
      <c r="P121" s="3">
        <f t="shared" si="158"/>
        <v>0</v>
      </c>
      <c r="Q121" s="3">
        <f t="shared" si="158"/>
        <v>0</v>
      </c>
      <c r="R121" s="3">
        <f t="shared" si="158"/>
        <v>0</v>
      </c>
      <c r="S121" s="3">
        <f t="shared" si="158"/>
        <v>0</v>
      </c>
      <c r="T121" s="3">
        <f t="shared" si="158"/>
        <v>0</v>
      </c>
      <c r="U121" s="3">
        <f t="shared" si="158"/>
        <v>0</v>
      </c>
      <c r="V121" s="3">
        <f t="shared" si="158"/>
        <v>0</v>
      </c>
      <c r="W121" s="3">
        <f t="shared" si="158"/>
        <v>0</v>
      </c>
      <c r="X121" s="3">
        <f t="shared" si="158"/>
        <v>0</v>
      </c>
      <c r="Y121" s="3">
        <f t="shared" si="158"/>
        <v>0</v>
      </c>
      <c r="Z121" s="3">
        <f t="shared" si="158"/>
        <v>0</v>
      </c>
      <c r="AA121" s="3">
        <f t="shared" si="158"/>
        <v>0</v>
      </c>
      <c r="AB121" s="3">
        <f t="shared" si="158"/>
        <v>0</v>
      </c>
    </row>
    <row r="122" spans="1:28" x14ac:dyDescent="0.3">
      <c r="B122" t="str">
        <f t="shared" si="153"/>
        <v xml:space="preserve">   Conveyor system</v>
      </c>
      <c r="F122" s="3">
        <f t="shared" si="154"/>
        <v>1.5354946666666669</v>
      </c>
      <c r="G122" s="3">
        <f t="shared" ref="G122:AB122" si="159">IF(OR(G$1="-",G$1&gt;ROUNDUP($C55,0)),0,F122-G88)</f>
        <v>1.3127893333333336</v>
      </c>
      <c r="H122" s="3">
        <f t="shared" si="159"/>
        <v>1.0900840000000003</v>
      </c>
      <c r="I122" s="3">
        <f t="shared" si="159"/>
        <v>0.86737866666666696</v>
      </c>
      <c r="J122" s="3">
        <f t="shared" si="159"/>
        <v>0.64467333333333365</v>
      </c>
      <c r="K122" s="3">
        <f t="shared" si="159"/>
        <v>0.42196800000000034</v>
      </c>
      <c r="L122" s="3">
        <f t="shared" si="159"/>
        <v>0.199262666666667</v>
      </c>
      <c r="M122" s="3">
        <f t="shared" si="159"/>
        <v>8.7910000000000335E-2</v>
      </c>
      <c r="N122" s="3">
        <f t="shared" si="159"/>
        <v>0</v>
      </c>
      <c r="O122" s="3">
        <f t="shared" si="159"/>
        <v>0</v>
      </c>
      <c r="P122" s="3">
        <f t="shared" si="159"/>
        <v>0</v>
      </c>
      <c r="Q122" s="3">
        <f t="shared" si="159"/>
        <v>0</v>
      </c>
      <c r="R122" s="3">
        <f t="shared" si="159"/>
        <v>0</v>
      </c>
      <c r="S122" s="3">
        <f t="shared" si="159"/>
        <v>0</v>
      </c>
      <c r="T122" s="3">
        <f t="shared" si="159"/>
        <v>0</v>
      </c>
      <c r="U122" s="3">
        <f t="shared" si="159"/>
        <v>0</v>
      </c>
      <c r="V122" s="3">
        <f t="shared" si="159"/>
        <v>0</v>
      </c>
      <c r="W122" s="3">
        <f t="shared" si="159"/>
        <v>0</v>
      </c>
      <c r="X122" s="3">
        <f t="shared" si="159"/>
        <v>0</v>
      </c>
      <c r="Y122" s="3">
        <f t="shared" si="159"/>
        <v>0</v>
      </c>
      <c r="Z122" s="3">
        <f t="shared" si="159"/>
        <v>0</v>
      </c>
      <c r="AA122" s="3">
        <f t="shared" si="159"/>
        <v>0</v>
      </c>
      <c r="AB122" s="3">
        <f t="shared" si="159"/>
        <v>0</v>
      </c>
    </row>
    <row r="123" spans="1:28" x14ac:dyDescent="0.3">
      <c r="B123" t="str">
        <f t="shared" si="153"/>
        <v xml:space="preserve">   Critical spares</v>
      </c>
      <c r="F123" s="3">
        <f t="shared" si="154"/>
        <v>0.28854933333333338</v>
      </c>
      <c r="G123" s="3">
        <f t="shared" ref="G123:AB123" si="160">IF(OR(G$1="-",G$1&gt;ROUNDUP($C56,0)),0,F123-G89)</f>
        <v>0.24669866666666673</v>
      </c>
      <c r="H123" s="3">
        <f t="shared" si="160"/>
        <v>0.20484800000000009</v>
      </c>
      <c r="I123" s="3">
        <f t="shared" si="160"/>
        <v>0.16299733333333344</v>
      </c>
      <c r="J123" s="3">
        <f t="shared" si="160"/>
        <v>0.12114666666666678</v>
      </c>
      <c r="K123" s="3">
        <f t="shared" si="160"/>
        <v>7.9296000000000116E-2</v>
      </c>
      <c r="L123" s="3">
        <f t="shared" si="160"/>
        <v>3.7445333333333455E-2</v>
      </c>
      <c r="M123" s="3">
        <f t="shared" si="160"/>
        <v>1.6520000000000125E-2</v>
      </c>
      <c r="N123" s="3">
        <f t="shared" si="160"/>
        <v>0</v>
      </c>
      <c r="O123" s="3">
        <f t="shared" si="160"/>
        <v>0</v>
      </c>
      <c r="P123" s="3">
        <f t="shared" si="160"/>
        <v>0</v>
      </c>
      <c r="Q123" s="3">
        <f t="shared" si="160"/>
        <v>0</v>
      </c>
      <c r="R123" s="3">
        <f t="shared" si="160"/>
        <v>0</v>
      </c>
      <c r="S123" s="3">
        <f t="shared" si="160"/>
        <v>0</v>
      </c>
      <c r="T123" s="3">
        <f t="shared" si="160"/>
        <v>0</v>
      </c>
      <c r="U123" s="3">
        <f t="shared" si="160"/>
        <v>0</v>
      </c>
      <c r="V123" s="3">
        <f t="shared" si="160"/>
        <v>0</v>
      </c>
      <c r="W123" s="3">
        <f t="shared" si="160"/>
        <v>0</v>
      </c>
      <c r="X123" s="3">
        <f t="shared" si="160"/>
        <v>0</v>
      </c>
      <c r="Y123" s="3">
        <f t="shared" si="160"/>
        <v>0</v>
      </c>
      <c r="Z123" s="3">
        <f t="shared" si="160"/>
        <v>0</v>
      </c>
      <c r="AA123" s="3">
        <f t="shared" si="160"/>
        <v>0</v>
      </c>
      <c r="AB123" s="3">
        <f t="shared" si="160"/>
        <v>0</v>
      </c>
    </row>
    <row r="124" spans="1:28" x14ac:dyDescent="0.3">
      <c r="B124" t="str">
        <f t="shared" si="153"/>
        <v xml:space="preserve">   Metal pallets</v>
      </c>
      <c r="F124" s="3">
        <f t="shared" si="154"/>
        <v>8.2805414400000004</v>
      </c>
      <c r="G124" s="3">
        <f t="shared" ref="G124:AB124" si="161">IF(OR(G$1="-",G$1&gt;ROUNDUP($C57,0)),0,F124-G90)</f>
        <v>7.0795468800000005</v>
      </c>
      <c r="H124" s="3">
        <f t="shared" si="161"/>
        <v>5.8785523200000007</v>
      </c>
      <c r="I124" s="3">
        <f t="shared" si="161"/>
        <v>4.6775577600000009</v>
      </c>
      <c r="J124" s="3">
        <f t="shared" si="161"/>
        <v>3.4765632000000011</v>
      </c>
      <c r="K124" s="3">
        <f t="shared" si="161"/>
        <v>2.2755686400000013</v>
      </c>
      <c r="L124" s="3">
        <f t="shared" si="161"/>
        <v>1.0745740800000012</v>
      </c>
      <c r="M124" s="3">
        <f t="shared" si="161"/>
        <v>0.47407680000000119</v>
      </c>
      <c r="N124" s="3">
        <f t="shared" si="161"/>
        <v>0</v>
      </c>
      <c r="O124" s="3">
        <f t="shared" si="161"/>
        <v>0</v>
      </c>
      <c r="P124" s="3">
        <f t="shared" si="161"/>
        <v>0</v>
      </c>
      <c r="Q124" s="3">
        <f t="shared" si="161"/>
        <v>0</v>
      </c>
      <c r="R124" s="3">
        <f t="shared" si="161"/>
        <v>0</v>
      </c>
      <c r="S124" s="3">
        <f t="shared" si="161"/>
        <v>0</v>
      </c>
      <c r="T124" s="3">
        <f t="shared" si="161"/>
        <v>0</v>
      </c>
      <c r="U124" s="3">
        <f t="shared" si="161"/>
        <v>0</v>
      </c>
      <c r="V124" s="3">
        <f t="shared" si="161"/>
        <v>0</v>
      </c>
      <c r="W124" s="3">
        <f t="shared" si="161"/>
        <v>0</v>
      </c>
      <c r="X124" s="3">
        <f t="shared" si="161"/>
        <v>0</v>
      </c>
      <c r="Y124" s="3">
        <f t="shared" si="161"/>
        <v>0</v>
      </c>
      <c r="Z124" s="3">
        <f t="shared" si="161"/>
        <v>0</v>
      </c>
      <c r="AA124" s="3">
        <f t="shared" si="161"/>
        <v>0</v>
      </c>
      <c r="AB124" s="3">
        <f t="shared" si="161"/>
        <v>0</v>
      </c>
    </row>
    <row r="125" spans="1:28" x14ac:dyDescent="0.3">
      <c r="B125" t="str">
        <f t="shared" si="153"/>
        <v xml:space="preserve">   Discount</v>
      </c>
      <c r="F125" s="3">
        <f t="shared" si="154"/>
        <v>-2.8521864959999997E-2</v>
      </c>
      <c r="G125" s="3">
        <f t="shared" ref="G125:AB125" si="162">IF(OR(G$1="-",G$1&gt;ROUNDUP($C58,0)),0,F125-G91)</f>
        <v>-2.4385105919999997E-2</v>
      </c>
      <c r="H125" s="3">
        <f t="shared" si="162"/>
        <v>-2.0248346879999997E-2</v>
      </c>
      <c r="I125" s="3">
        <f t="shared" si="162"/>
        <v>-1.6111587839999997E-2</v>
      </c>
      <c r="J125" s="3">
        <f t="shared" si="162"/>
        <v>-1.1974828799999997E-2</v>
      </c>
      <c r="K125" s="3">
        <f t="shared" si="162"/>
        <v>-7.8380697599999966E-3</v>
      </c>
      <c r="L125" s="3">
        <f t="shared" si="162"/>
        <v>-3.7013107199999973E-3</v>
      </c>
      <c r="M125" s="3">
        <f t="shared" si="162"/>
        <v>-1.6329311999999977E-3</v>
      </c>
      <c r="N125" s="3">
        <f t="shared" si="162"/>
        <v>0</v>
      </c>
      <c r="O125" s="3">
        <f t="shared" si="162"/>
        <v>0</v>
      </c>
      <c r="P125" s="3">
        <f t="shared" si="162"/>
        <v>0</v>
      </c>
      <c r="Q125" s="3">
        <f t="shared" si="162"/>
        <v>0</v>
      </c>
      <c r="R125" s="3">
        <f t="shared" si="162"/>
        <v>0</v>
      </c>
      <c r="S125" s="3">
        <f t="shared" si="162"/>
        <v>0</v>
      </c>
      <c r="T125" s="3">
        <f t="shared" si="162"/>
        <v>0</v>
      </c>
      <c r="U125" s="3">
        <f t="shared" si="162"/>
        <v>0</v>
      </c>
      <c r="V125" s="3">
        <f t="shared" si="162"/>
        <v>0</v>
      </c>
      <c r="W125" s="3">
        <f t="shared" si="162"/>
        <v>0</v>
      </c>
      <c r="X125" s="3">
        <f t="shared" si="162"/>
        <v>0</v>
      </c>
      <c r="Y125" s="3">
        <f t="shared" si="162"/>
        <v>0</v>
      </c>
      <c r="Z125" s="3">
        <f t="shared" si="162"/>
        <v>0</v>
      </c>
      <c r="AA125" s="3">
        <f t="shared" si="162"/>
        <v>0</v>
      </c>
      <c r="AB125" s="3">
        <f t="shared" si="162"/>
        <v>0</v>
      </c>
    </row>
    <row r="126" spans="1:28" x14ac:dyDescent="0.3">
      <c r="B126" t="str">
        <f t="shared" si="153"/>
        <v>Civil Cost</v>
      </c>
      <c r="F126" s="3">
        <f>IF(AND(F$1="-",F$1&gt;ROUNDUP($C73,0)),0,F73-F105)</f>
        <v>0</v>
      </c>
      <c r="G126" s="3">
        <f t="shared" ref="G126:AB126" si="163">IF(OR(G$1="-",G$1&gt;ROUNDUP($C73,0)),0,F126-G105)</f>
        <v>0</v>
      </c>
      <c r="H126" s="3">
        <f t="shared" si="163"/>
        <v>0</v>
      </c>
      <c r="I126" s="3">
        <f t="shared" si="163"/>
        <v>0</v>
      </c>
      <c r="J126" s="3">
        <f t="shared" si="163"/>
        <v>0</v>
      </c>
      <c r="K126" s="3">
        <f t="shared" si="163"/>
        <v>0</v>
      </c>
      <c r="L126" s="3">
        <f t="shared" si="163"/>
        <v>0</v>
      </c>
      <c r="M126" s="3">
        <f t="shared" si="163"/>
        <v>0</v>
      </c>
      <c r="N126" s="3">
        <f t="shared" si="163"/>
        <v>0</v>
      </c>
      <c r="O126" s="3">
        <f t="shared" si="163"/>
        <v>0</v>
      </c>
      <c r="P126" s="3">
        <f t="shared" si="163"/>
        <v>0</v>
      </c>
      <c r="Q126" s="3">
        <f t="shared" si="163"/>
        <v>0</v>
      </c>
      <c r="R126" s="3">
        <f t="shared" si="163"/>
        <v>0</v>
      </c>
      <c r="S126" s="3">
        <f t="shared" si="163"/>
        <v>0</v>
      </c>
      <c r="T126" s="3">
        <f t="shared" si="163"/>
        <v>0</v>
      </c>
      <c r="U126" s="3">
        <f t="shared" si="163"/>
        <v>0</v>
      </c>
      <c r="V126" s="3">
        <f t="shared" si="163"/>
        <v>0</v>
      </c>
      <c r="W126" s="3">
        <f t="shared" si="163"/>
        <v>0</v>
      </c>
      <c r="X126" s="3">
        <f t="shared" si="163"/>
        <v>0</v>
      </c>
      <c r="Y126" s="3">
        <f t="shared" si="163"/>
        <v>0</v>
      </c>
      <c r="Z126" s="3">
        <f t="shared" si="163"/>
        <v>0</v>
      </c>
      <c r="AA126" s="3">
        <f t="shared" si="163"/>
        <v>0</v>
      </c>
      <c r="AB126" s="3">
        <f t="shared" si="163"/>
        <v>0</v>
      </c>
    </row>
    <row r="127" spans="1:28" x14ac:dyDescent="0.3">
      <c r="B127" s="116" t="str">
        <f t="shared" si="153"/>
        <v>Earthworks and soiling</v>
      </c>
      <c r="F127" s="3">
        <f t="shared" ref="F127:F146" si="164">IF(AND(F$1="-",F$1&gt;ROUNDUP($C60,0)),0,F60-F93)</f>
        <v>1.3912199999999999</v>
      </c>
      <c r="G127" s="3">
        <f t="shared" ref="G127:AB127" si="165">IF(OR(G$1="-",G$1&gt;ROUNDUP($C60,0)),0,F127-G93)</f>
        <v>1.1894399999999998</v>
      </c>
      <c r="H127" s="3">
        <f t="shared" si="165"/>
        <v>0.98765999999999976</v>
      </c>
      <c r="I127" s="3">
        <f t="shared" si="165"/>
        <v>0.78587999999999969</v>
      </c>
      <c r="J127" s="3">
        <f t="shared" si="165"/>
        <v>0.58409999999999962</v>
      </c>
      <c r="K127" s="3">
        <f t="shared" si="165"/>
        <v>0.3823199999999996</v>
      </c>
      <c r="L127" s="3">
        <f t="shared" si="165"/>
        <v>0.18053999999999959</v>
      </c>
      <c r="M127" s="3">
        <f t="shared" si="165"/>
        <v>7.9649999999999582E-2</v>
      </c>
      <c r="N127" s="3">
        <f t="shared" si="165"/>
        <v>0</v>
      </c>
      <c r="O127" s="3">
        <f t="shared" si="165"/>
        <v>0</v>
      </c>
      <c r="P127" s="3">
        <f t="shared" si="165"/>
        <v>0</v>
      </c>
      <c r="Q127" s="3">
        <f t="shared" si="165"/>
        <v>0</v>
      </c>
      <c r="R127" s="3">
        <f t="shared" si="165"/>
        <v>0</v>
      </c>
      <c r="S127" s="3">
        <f t="shared" si="165"/>
        <v>0</v>
      </c>
      <c r="T127" s="3">
        <f t="shared" si="165"/>
        <v>0</v>
      </c>
      <c r="U127" s="3">
        <f t="shared" si="165"/>
        <v>0</v>
      </c>
      <c r="V127" s="3">
        <f t="shared" si="165"/>
        <v>0</v>
      </c>
      <c r="W127" s="3">
        <f t="shared" si="165"/>
        <v>0</v>
      </c>
      <c r="X127" s="3">
        <f t="shared" si="165"/>
        <v>0</v>
      </c>
      <c r="Y127" s="3">
        <f t="shared" si="165"/>
        <v>0</v>
      </c>
      <c r="Z127" s="3">
        <f t="shared" si="165"/>
        <v>0</v>
      </c>
      <c r="AA127" s="3">
        <f t="shared" si="165"/>
        <v>0</v>
      </c>
      <c r="AB127" s="3">
        <f t="shared" si="165"/>
        <v>0</v>
      </c>
    </row>
    <row r="128" spans="1:28" x14ac:dyDescent="0.3">
      <c r="B128" s="116" t="str">
        <f t="shared" si="153"/>
        <v>PCC works</v>
      </c>
      <c r="F128" s="3">
        <f t="shared" si="164"/>
        <v>0.46374000000000004</v>
      </c>
      <c r="G128" s="3">
        <f t="shared" ref="G128:AB128" si="166">IF(OR(G$1="-",G$1&gt;ROUNDUP($C61,0)),0,F128-G94)</f>
        <v>0.39648000000000005</v>
      </c>
      <c r="H128" s="3">
        <f t="shared" si="166"/>
        <v>0.32922000000000007</v>
      </c>
      <c r="I128" s="3">
        <f t="shared" si="166"/>
        <v>0.26196000000000008</v>
      </c>
      <c r="J128" s="3">
        <f t="shared" si="166"/>
        <v>0.1947000000000001</v>
      </c>
      <c r="K128" s="3">
        <f t="shared" si="166"/>
        <v>0.12744000000000011</v>
      </c>
      <c r="L128" s="3">
        <f t="shared" si="166"/>
        <v>6.0180000000000108E-2</v>
      </c>
      <c r="M128" s="3">
        <f t="shared" si="166"/>
        <v>2.6550000000000108E-2</v>
      </c>
      <c r="N128" s="3">
        <f t="shared" si="166"/>
        <v>0</v>
      </c>
      <c r="O128" s="3">
        <f t="shared" si="166"/>
        <v>0</v>
      </c>
      <c r="P128" s="3">
        <f t="shared" si="166"/>
        <v>0</v>
      </c>
      <c r="Q128" s="3">
        <f t="shared" si="166"/>
        <v>0</v>
      </c>
      <c r="R128" s="3">
        <f t="shared" si="166"/>
        <v>0</v>
      </c>
      <c r="S128" s="3">
        <f t="shared" si="166"/>
        <v>0</v>
      </c>
      <c r="T128" s="3">
        <f t="shared" si="166"/>
        <v>0</v>
      </c>
      <c r="U128" s="3">
        <f t="shared" si="166"/>
        <v>0</v>
      </c>
      <c r="V128" s="3">
        <f t="shared" si="166"/>
        <v>0</v>
      </c>
      <c r="W128" s="3">
        <f t="shared" si="166"/>
        <v>0</v>
      </c>
      <c r="X128" s="3">
        <f t="shared" si="166"/>
        <v>0</v>
      </c>
      <c r="Y128" s="3">
        <f t="shared" si="166"/>
        <v>0</v>
      </c>
      <c r="Z128" s="3">
        <f t="shared" si="166"/>
        <v>0</v>
      </c>
      <c r="AA128" s="3">
        <f t="shared" si="166"/>
        <v>0</v>
      </c>
      <c r="AB128" s="3">
        <f t="shared" si="166"/>
        <v>0</v>
      </c>
    </row>
    <row r="129" spans="2:28" x14ac:dyDescent="0.3">
      <c r="B129" s="116" t="str">
        <f t="shared" si="153"/>
        <v>RCC works</v>
      </c>
      <c r="F129" s="3">
        <f t="shared" si="164"/>
        <v>3.0916000000000001</v>
      </c>
      <c r="G129" s="3">
        <f t="shared" ref="G129:AB129" si="167">IF(OR(G$1="-",G$1&gt;ROUNDUP($C62,0)),0,F129-G95)</f>
        <v>2.6432000000000002</v>
      </c>
      <c r="H129" s="3">
        <f t="shared" si="167"/>
        <v>2.1948000000000003</v>
      </c>
      <c r="I129" s="3">
        <f t="shared" si="167"/>
        <v>1.7464000000000004</v>
      </c>
      <c r="J129" s="3">
        <f t="shared" si="167"/>
        <v>1.2980000000000005</v>
      </c>
      <c r="K129" s="3">
        <f t="shared" si="167"/>
        <v>0.84960000000000047</v>
      </c>
      <c r="L129" s="3">
        <f t="shared" si="167"/>
        <v>0.40120000000000045</v>
      </c>
      <c r="M129" s="3">
        <f t="shared" si="167"/>
        <v>0.17700000000000043</v>
      </c>
      <c r="N129" s="3">
        <f t="shared" si="167"/>
        <v>0</v>
      </c>
      <c r="O129" s="3">
        <f t="shared" si="167"/>
        <v>0</v>
      </c>
      <c r="P129" s="3">
        <f t="shared" si="167"/>
        <v>0</v>
      </c>
      <c r="Q129" s="3">
        <f t="shared" si="167"/>
        <v>0</v>
      </c>
      <c r="R129" s="3">
        <f t="shared" si="167"/>
        <v>0</v>
      </c>
      <c r="S129" s="3">
        <f t="shared" si="167"/>
        <v>0</v>
      </c>
      <c r="T129" s="3">
        <f t="shared" si="167"/>
        <v>0</v>
      </c>
      <c r="U129" s="3">
        <f t="shared" si="167"/>
        <v>0</v>
      </c>
      <c r="V129" s="3">
        <f t="shared" si="167"/>
        <v>0</v>
      </c>
      <c r="W129" s="3">
        <f t="shared" si="167"/>
        <v>0</v>
      </c>
      <c r="X129" s="3">
        <f t="shared" si="167"/>
        <v>0</v>
      </c>
      <c r="Y129" s="3">
        <f t="shared" si="167"/>
        <v>0</v>
      </c>
      <c r="Z129" s="3">
        <f t="shared" si="167"/>
        <v>0</v>
      </c>
      <c r="AA129" s="3">
        <f t="shared" si="167"/>
        <v>0</v>
      </c>
      <c r="AB129" s="3">
        <f t="shared" si="167"/>
        <v>0</v>
      </c>
    </row>
    <row r="130" spans="2:28" x14ac:dyDescent="0.3">
      <c r="B130" s="116" t="str">
        <f t="shared" si="153"/>
        <v>Shuttering</v>
      </c>
      <c r="F130" s="3">
        <f t="shared" si="164"/>
        <v>0.12881666666666663</v>
      </c>
      <c r="G130" s="3">
        <f t="shared" ref="G130:AB130" si="168">IF(OR(G$1="-",G$1&gt;ROUNDUP($C63,0)),0,F130-G96)</f>
        <v>0.11013333333333331</v>
      </c>
      <c r="H130" s="3">
        <f t="shared" si="168"/>
        <v>9.1449999999999976E-2</v>
      </c>
      <c r="I130" s="3">
        <f t="shared" si="168"/>
        <v>7.2766666666666646E-2</v>
      </c>
      <c r="J130" s="3">
        <f t="shared" si="168"/>
        <v>5.4083333333333317E-2</v>
      </c>
      <c r="K130" s="3">
        <f t="shared" si="168"/>
        <v>3.5399999999999987E-2</v>
      </c>
      <c r="L130" s="3">
        <f t="shared" si="168"/>
        <v>1.6716666666666657E-2</v>
      </c>
      <c r="M130" s="3">
        <f t="shared" si="168"/>
        <v>7.3749999999999927E-3</v>
      </c>
      <c r="N130" s="3">
        <f t="shared" si="168"/>
        <v>0</v>
      </c>
      <c r="O130" s="3">
        <f t="shared" si="168"/>
        <v>0</v>
      </c>
      <c r="P130" s="3">
        <f t="shared" si="168"/>
        <v>0</v>
      </c>
      <c r="Q130" s="3">
        <f t="shared" si="168"/>
        <v>0</v>
      </c>
      <c r="R130" s="3">
        <f t="shared" si="168"/>
        <v>0</v>
      </c>
      <c r="S130" s="3">
        <f t="shared" si="168"/>
        <v>0</v>
      </c>
      <c r="T130" s="3">
        <f t="shared" si="168"/>
        <v>0</v>
      </c>
      <c r="U130" s="3">
        <f t="shared" si="168"/>
        <v>0</v>
      </c>
      <c r="V130" s="3">
        <f t="shared" si="168"/>
        <v>0</v>
      </c>
      <c r="W130" s="3">
        <f t="shared" si="168"/>
        <v>0</v>
      </c>
      <c r="X130" s="3">
        <f t="shared" si="168"/>
        <v>0</v>
      </c>
      <c r="Y130" s="3">
        <f t="shared" si="168"/>
        <v>0</v>
      </c>
      <c r="Z130" s="3">
        <f t="shared" si="168"/>
        <v>0</v>
      </c>
      <c r="AA130" s="3">
        <f t="shared" si="168"/>
        <v>0</v>
      </c>
      <c r="AB130" s="3">
        <f t="shared" si="168"/>
        <v>0</v>
      </c>
    </row>
    <row r="131" spans="2:28" x14ac:dyDescent="0.3">
      <c r="B131" s="116" t="str">
        <f t="shared" si="153"/>
        <v>TMT bards Fe 500</v>
      </c>
      <c r="F131" s="3">
        <f t="shared" si="164"/>
        <v>2.1641199999999996</v>
      </c>
      <c r="G131" s="3">
        <f t="shared" ref="G131:AB131" si="169">IF(OR(G$1="-",G$1&gt;ROUNDUP($C64,0)),0,F131-G97)</f>
        <v>1.8502399999999997</v>
      </c>
      <c r="H131" s="3">
        <f t="shared" si="169"/>
        <v>1.5363599999999997</v>
      </c>
      <c r="I131" s="3">
        <f t="shared" si="169"/>
        <v>1.2224799999999998</v>
      </c>
      <c r="J131" s="3">
        <f t="shared" si="169"/>
        <v>0.90859999999999985</v>
      </c>
      <c r="K131" s="3">
        <f t="shared" si="169"/>
        <v>0.59471999999999992</v>
      </c>
      <c r="L131" s="3">
        <f t="shared" si="169"/>
        <v>0.28083999999999992</v>
      </c>
      <c r="M131" s="3">
        <f t="shared" si="169"/>
        <v>0.12389999999999993</v>
      </c>
      <c r="N131" s="3">
        <f t="shared" si="169"/>
        <v>0</v>
      </c>
      <c r="O131" s="3">
        <f t="shared" si="169"/>
        <v>0</v>
      </c>
      <c r="P131" s="3">
        <f t="shared" si="169"/>
        <v>0</v>
      </c>
      <c r="Q131" s="3">
        <f t="shared" si="169"/>
        <v>0</v>
      </c>
      <c r="R131" s="3">
        <f t="shared" si="169"/>
        <v>0</v>
      </c>
      <c r="S131" s="3">
        <f t="shared" si="169"/>
        <v>0</v>
      </c>
      <c r="T131" s="3">
        <f t="shared" si="169"/>
        <v>0</v>
      </c>
      <c r="U131" s="3">
        <f t="shared" si="169"/>
        <v>0</v>
      </c>
      <c r="V131" s="3">
        <f t="shared" si="169"/>
        <v>0</v>
      </c>
      <c r="W131" s="3">
        <f t="shared" si="169"/>
        <v>0</v>
      </c>
      <c r="X131" s="3">
        <f t="shared" si="169"/>
        <v>0</v>
      </c>
      <c r="Y131" s="3">
        <f t="shared" si="169"/>
        <v>0</v>
      </c>
      <c r="Z131" s="3">
        <f t="shared" si="169"/>
        <v>0</v>
      </c>
      <c r="AA131" s="3">
        <f t="shared" si="169"/>
        <v>0</v>
      </c>
      <c r="AB131" s="3">
        <f t="shared" si="169"/>
        <v>0</v>
      </c>
    </row>
    <row r="132" spans="2:28" x14ac:dyDescent="0.3">
      <c r="B132" s="116" t="str">
        <f t="shared" si="153"/>
        <v>Masonary works</v>
      </c>
      <c r="F132" s="3">
        <f t="shared" si="164"/>
        <v>6.1831999999999998E-2</v>
      </c>
      <c r="G132" s="3">
        <f t="shared" ref="G132:AB132" si="170">IF(OR(G$1="-",G$1&gt;ROUNDUP($C65,0)),0,F132-G98)</f>
        <v>5.2863999999999994E-2</v>
      </c>
      <c r="H132" s="3">
        <f t="shared" si="170"/>
        <v>4.3895999999999991E-2</v>
      </c>
      <c r="I132" s="3">
        <f t="shared" si="170"/>
        <v>3.4927999999999987E-2</v>
      </c>
      <c r="J132" s="3">
        <f t="shared" si="170"/>
        <v>2.5959999999999987E-2</v>
      </c>
      <c r="K132" s="3">
        <f t="shared" si="170"/>
        <v>1.6991999999999986E-2</v>
      </c>
      <c r="L132" s="3">
        <f t="shared" si="170"/>
        <v>8.023999999999986E-3</v>
      </c>
      <c r="M132" s="3">
        <f t="shared" si="170"/>
        <v>3.5399999999999859E-3</v>
      </c>
      <c r="N132" s="3">
        <f t="shared" si="170"/>
        <v>0</v>
      </c>
      <c r="O132" s="3">
        <f t="shared" si="170"/>
        <v>0</v>
      </c>
      <c r="P132" s="3">
        <f t="shared" si="170"/>
        <v>0</v>
      </c>
      <c r="Q132" s="3">
        <f t="shared" si="170"/>
        <v>0</v>
      </c>
      <c r="R132" s="3">
        <f t="shared" si="170"/>
        <v>0</v>
      </c>
      <c r="S132" s="3">
        <f t="shared" si="170"/>
        <v>0</v>
      </c>
      <c r="T132" s="3">
        <f t="shared" si="170"/>
        <v>0</v>
      </c>
      <c r="U132" s="3">
        <f t="shared" si="170"/>
        <v>0</v>
      </c>
      <c r="V132" s="3">
        <f t="shared" si="170"/>
        <v>0</v>
      </c>
      <c r="W132" s="3">
        <f t="shared" si="170"/>
        <v>0</v>
      </c>
      <c r="X132" s="3">
        <f t="shared" si="170"/>
        <v>0</v>
      </c>
      <c r="Y132" s="3">
        <f t="shared" si="170"/>
        <v>0</v>
      </c>
      <c r="Z132" s="3">
        <f t="shared" si="170"/>
        <v>0</v>
      </c>
      <c r="AA132" s="3">
        <f t="shared" si="170"/>
        <v>0</v>
      </c>
      <c r="AB132" s="3">
        <f t="shared" si="170"/>
        <v>0</v>
      </c>
    </row>
    <row r="133" spans="2:28" x14ac:dyDescent="0.3">
      <c r="B133" s="116" t="str">
        <f t="shared" si="153"/>
        <v>Plastering</v>
      </c>
      <c r="F133" s="3">
        <f t="shared" si="164"/>
        <v>5.0238499999999998E-2</v>
      </c>
      <c r="G133" s="3">
        <f t="shared" ref="G133:AB133" si="171">IF(OR(G$1="-",G$1&gt;ROUNDUP($C66,0)),0,F133-G99)</f>
        <v>4.2951999999999997E-2</v>
      </c>
      <c r="H133" s="3">
        <f t="shared" si="171"/>
        <v>3.5665499999999996E-2</v>
      </c>
      <c r="I133" s="3">
        <f t="shared" si="171"/>
        <v>2.8378999999999995E-2</v>
      </c>
      <c r="J133" s="3">
        <f t="shared" si="171"/>
        <v>2.1092499999999993E-2</v>
      </c>
      <c r="K133" s="3">
        <f t="shared" si="171"/>
        <v>1.3805999999999994E-2</v>
      </c>
      <c r="L133" s="3">
        <f t="shared" si="171"/>
        <v>6.519499999999994E-3</v>
      </c>
      <c r="M133" s="3">
        <f t="shared" si="171"/>
        <v>2.8762499999999943E-3</v>
      </c>
      <c r="N133" s="3">
        <f t="shared" si="171"/>
        <v>0</v>
      </c>
      <c r="O133" s="3">
        <f t="shared" si="171"/>
        <v>0</v>
      </c>
      <c r="P133" s="3">
        <f t="shared" si="171"/>
        <v>0</v>
      </c>
      <c r="Q133" s="3">
        <f t="shared" si="171"/>
        <v>0</v>
      </c>
      <c r="R133" s="3">
        <f t="shared" si="171"/>
        <v>0</v>
      </c>
      <c r="S133" s="3">
        <f t="shared" si="171"/>
        <v>0</v>
      </c>
      <c r="T133" s="3">
        <f t="shared" si="171"/>
        <v>0</v>
      </c>
      <c r="U133" s="3">
        <f t="shared" si="171"/>
        <v>0</v>
      </c>
      <c r="V133" s="3">
        <f t="shared" si="171"/>
        <v>0</v>
      </c>
      <c r="W133" s="3">
        <f t="shared" si="171"/>
        <v>0</v>
      </c>
      <c r="X133" s="3">
        <f t="shared" si="171"/>
        <v>0</v>
      </c>
      <c r="Y133" s="3">
        <f t="shared" si="171"/>
        <v>0</v>
      </c>
      <c r="Z133" s="3">
        <f t="shared" si="171"/>
        <v>0</v>
      </c>
      <c r="AA133" s="3">
        <f t="shared" si="171"/>
        <v>0</v>
      </c>
      <c r="AB133" s="3">
        <f t="shared" si="171"/>
        <v>0</v>
      </c>
    </row>
    <row r="134" spans="2:28" x14ac:dyDescent="0.3">
      <c r="B134" s="116" t="str">
        <f t="shared" si="153"/>
        <v>VDF Flooring</v>
      </c>
      <c r="F134" s="3">
        <f t="shared" si="164"/>
        <v>7.4198399999999998E-2</v>
      </c>
      <c r="G134" s="3">
        <f t="shared" ref="G134:AB134" si="172">IF(OR(G$1="-",G$1&gt;ROUNDUP($C67,0)),0,F134-G100)</f>
        <v>6.3436800000000002E-2</v>
      </c>
      <c r="H134" s="3">
        <f t="shared" si="172"/>
        <v>5.2675200000000005E-2</v>
      </c>
      <c r="I134" s="3">
        <f t="shared" si="172"/>
        <v>4.1913600000000009E-2</v>
      </c>
      <c r="J134" s="3">
        <f t="shared" si="172"/>
        <v>3.115200000000001E-2</v>
      </c>
      <c r="K134" s="3">
        <f t="shared" si="172"/>
        <v>2.039040000000001E-2</v>
      </c>
      <c r="L134" s="3">
        <f t="shared" si="172"/>
        <v>9.6288000000000103E-3</v>
      </c>
      <c r="M134" s="3">
        <f t="shared" si="172"/>
        <v>4.2480000000000104E-3</v>
      </c>
      <c r="N134" s="3">
        <f t="shared" si="172"/>
        <v>0</v>
      </c>
      <c r="O134" s="3">
        <f t="shared" si="172"/>
        <v>0</v>
      </c>
      <c r="P134" s="3">
        <f t="shared" si="172"/>
        <v>0</v>
      </c>
      <c r="Q134" s="3">
        <f t="shared" si="172"/>
        <v>0</v>
      </c>
      <c r="R134" s="3">
        <f t="shared" si="172"/>
        <v>0</v>
      </c>
      <c r="S134" s="3">
        <f t="shared" si="172"/>
        <v>0</v>
      </c>
      <c r="T134" s="3">
        <f t="shared" si="172"/>
        <v>0</v>
      </c>
      <c r="U134" s="3">
        <f t="shared" si="172"/>
        <v>0</v>
      </c>
      <c r="V134" s="3">
        <f t="shared" si="172"/>
        <v>0</v>
      </c>
      <c r="W134" s="3">
        <f t="shared" si="172"/>
        <v>0</v>
      </c>
      <c r="X134" s="3">
        <f t="shared" si="172"/>
        <v>0</v>
      </c>
      <c r="Y134" s="3">
        <f t="shared" si="172"/>
        <v>0</v>
      </c>
      <c r="Z134" s="3">
        <f t="shared" si="172"/>
        <v>0</v>
      </c>
      <c r="AA134" s="3">
        <f t="shared" si="172"/>
        <v>0</v>
      </c>
      <c r="AB134" s="3">
        <f t="shared" si="172"/>
        <v>0</v>
      </c>
    </row>
    <row r="135" spans="2:28" x14ac:dyDescent="0.3">
      <c r="B135" s="116" t="str">
        <f t="shared" si="153"/>
        <v>J BOLTS installation</v>
      </c>
      <c r="F135" s="3">
        <f t="shared" si="164"/>
        <v>0.16488533333333333</v>
      </c>
      <c r="G135" s="3">
        <f t="shared" ref="G135:AB135" si="173">IF(OR(G$1="-",G$1&gt;ROUNDUP($C68,0)),0,F135-G101)</f>
        <v>0.14097066666666666</v>
      </c>
      <c r="H135" s="3">
        <f t="shared" si="173"/>
        <v>0.11705599999999999</v>
      </c>
      <c r="I135" s="3">
        <f t="shared" si="173"/>
        <v>9.3141333333333326E-2</v>
      </c>
      <c r="J135" s="3">
        <f t="shared" si="173"/>
        <v>6.9226666666666659E-2</v>
      </c>
      <c r="K135" s="3">
        <f t="shared" si="173"/>
        <v>4.5311999999999991E-2</v>
      </c>
      <c r="L135" s="3">
        <f t="shared" si="173"/>
        <v>2.1397333333333327E-2</v>
      </c>
      <c r="M135" s="3">
        <f t="shared" si="173"/>
        <v>9.4399999999999953E-3</v>
      </c>
      <c r="N135" s="3">
        <f t="shared" si="173"/>
        <v>0</v>
      </c>
      <c r="O135" s="3">
        <f t="shared" si="173"/>
        <v>0</v>
      </c>
      <c r="P135" s="3">
        <f t="shared" si="173"/>
        <v>0</v>
      </c>
      <c r="Q135" s="3">
        <f t="shared" si="173"/>
        <v>0</v>
      </c>
      <c r="R135" s="3">
        <f t="shared" si="173"/>
        <v>0</v>
      </c>
      <c r="S135" s="3">
        <f t="shared" si="173"/>
        <v>0</v>
      </c>
      <c r="T135" s="3">
        <f t="shared" si="173"/>
        <v>0</v>
      </c>
      <c r="U135" s="3">
        <f t="shared" si="173"/>
        <v>0</v>
      </c>
      <c r="V135" s="3">
        <f t="shared" si="173"/>
        <v>0</v>
      </c>
      <c r="W135" s="3">
        <f t="shared" si="173"/>
        <v>0</v>
      </c>
      <c r="X135" s="3">
        <f t="shared" si="173"/>
        <v>0</v>
      </c>
      <c r="Y135" s="3">
        <f t="shared" si="173"/>
        <v>0</v>
      </c>
      <c r="Z135" s="3">
        <f t="shared" si="173"/>
        <v>0</v>
      </c>
      <c r="AA135" s="3">
        <f t="shared" si="173"/>
        <v>0</v>
      </c>
      <c r="AB135" s="3">
        <f t="shared" si="173"/>
        <v>0</v>
      </c>
    </row>
    <row r="136" spans="2:28" x14ac:dyDescent="0.3">
      <c r="B136" s="116" t="str">
        <f t="shared" si="153"/>
        <v>Baseplate Grouting</v>
      </c>
      <c r="F136" s="3">
        <f t="shared" si="164"/>
        <v>9.0686933333333331E-2</v>
      </c>
      <c r="G136" s="3">
        <f t="shared" ref="G136:AB136" si="174">IF(OR(G$1="-",G$1&gt;ROUNDUP($C69,0)),0,F136-G102)</f>
        <v>7.7533866666666659E-2</v>
      </c>
      <c r="H136" s="3">
        <f t="shared" si="174"/>
        <v>6.4380799999999988E-2</v>
      </c>
      <c r="I136" s="3">
        <f t="shared" si="174"/>
        <v>5.1227733333333317E-2</v>
      </c>
      <c r="J136" s="3">
        <f t="shared" si="174"/>
        <v>3.8074666666666646E-2</v>
      </c>
      <c r="K136" s="3">
        <f t="shared" si="174"/>
        <v>2.4921599999999978E-2</v>
      </c>
      <c r="L136" s="3">
        <f t="shared" si="174"/>
        <v>1.176853333333331E-2</v>
      </c>
      <c r="M136" s="3">
        <f t="shared" si="174"/>
        <v>5.1919999999999761E-3</v>
      </c>
      <c r="N136" s="3">
        <f t="shared" si="174"/>
        <v>0</v>
      </c>
      <c r="O136" s="3">
        <f t="shared" si="174"/>
        <v>0</v>
      </c>
      <c r="P136" s="3">
        <f t="shared" si="174"/>
        <v>0</v>
      </c>
      <c r="Q136" s="3">
        <f t="shared" si="174"/>
        <v>0</v>
      </c>
      <c r="R136" s="3">
        <f t="shared" si="174"/>
        <v>0</v>
      </c>
      <c r="S136" s="3">
        <f t="shared" si="174"/>
        <v>0</v>
      </c>
      <c r="T136" s="3">
        <f t="shared" si="174"/>
        <v>0</v>
      </c>
      <c r="U136" s="3">
        <f t="shared" si="174"/>
        <v>0</v>
      </c>
      <c r="V136" s="3">
        <f t="shared" si="174"/>
        <v>0</v>
      </c>
      <c r="W136" s="3">
        <f t="shared" si="174"/>
        <v>0</v>
      </c>
      <c r="X136" s="3">
        <f t="shared" si="174"/>
        <v>0</v>
      </c>
      <c r="Y136" s="3">
        <f t="shared" si="174"/>
        <v>0</v>
      </c>
      <c r="Z136" s="3">
        <f t="shared" si="174"/>
        <v>0</v>
      </c>
      <c r="AA136" s="3">
        <f t="shared" si="174"/>
        <v>0</v>
      </c>
      <c r="AB136" s="3">
        <f t="shared" si="174"/>
        <v>0</v>
      </c>
    </row>
    <row r="137" spans="2:28" x14ac:dyDescent="0.3">
      <c r="B137" s="116" t="str">
        <f t="shared" si="153"/>
        <v>Miscellenous</v>
      </c>
      <c r="F137" s="3">
        <f t="shared" si="164"/>
        <v>0.123664</v>
      </c>
      <c r="G137" s="3">
        <f t="shared" ref="G137:AB137" si="175">IF(OR(G$1="-",G$1&gt;ROUNDUP($C70,0)),0,F137-G103)</f>
        <v>0.10572799999999999</v>
      </c>
      <c r="H137" s="3">
        <f t="shared" si="175"/>
        <v>8.7791999999999981E-2</v>
      </c>
      <c r="I137" s="3">
        <f t="shared" si="175"/>
        <v>6.9855999999999974E-2</v>
      </c>
      <c r="J137" s="3">
        <f t="shared" si="175"/>
        <v>5.1919999999999973E-2</v>
      </c>
      <c r="K137" s="3">
        <f t="shared" si="175"/>
        <v>3.3983999999999973E-2</v>
      </c>
      <c r="L137" s="3">
        <f t="shared" si="175"/>
        <v>1.6047999999999972E-2</v>
      </c>
      <c r="M137" s="3">
        <f t="shared" si="175"/>
        <v>7.0799999999999717E-3</v>
      </c>
      <c r="N137" s="3">
        <f t="shared" si="175"/>
        <v>0</v>
      </c>
      <c r="O137" s="3">
        <f t="shared" si="175"/>
        <v>0</v>
      </c>
      <c r="P137" s="3">
        <f t="shared" si="175"/>
        <v>0</v>
      </c>
      <c r="Q137" s="3">
        <f t="shared" si="175"/>
        <v>0</v>
      </c>
      <c r="R137" s="3">
        <f t="shared" si="175"/>
        <v>0</v>
      </c>
      <c r="S137" s="3">
        <f t="shared" si="175"/>
        <v>0</v>
      </c>
      <c r="T137" s="3">
        <f t="shared" si="175"/>
        <v>0</v>
      </c>
      <c r="U137" s="3">
        <f t="shared" si="175"/>
        <v>0</v>
      </c>
      <c r="V137" s="3">
        <f t="shared" si="175"/>
        <v>0</v>
      </c>
      <c r="W137" s="3">
        <f t="shared" si="175"/>
        <v>0</v>
      </c>
      <c r="X137" s="3">
        <f t="shared" si="175"/>
        <v>0</v>
      </c>
      <c r="Y137" s="3">
        <f t="shared" si="175"/>
        <v>0</v>
      </c>
      <c r="Z137" s="3">
        <f t="shared" si="175"/>
        <v>0</v>
      </c>
      <c r="AA137" s="3">
        <f t="shared" si="175"/>
        <v>0</v>
      </c>
      <c r="AB137" s="3">
        <f t="shared" si="175"/>
        <v>0</v>
      </c>
    </row>
    <row r="138" spans="2:28" x14ac:dyDescent="0.3">
      <c r="B138" t="str">
        <f t="shared" si="153"/>
        <v>Road</v>
      </c>
      <c r="F138" s="3">
        <f t="shared" si="164"/>
        <v>1.4763765762000003</v>
      </c>
      <c r="G138" s="3">
        <f t="shared" ref="G138:AB138" si="176">IF(OR(G$1="-",G$1&gt;ROUNDUP($C71,0)),0,F138-G104)</f>
        <v>1.2622456224000003</v>
      </c>
      <c r="H138" s="3">
        <f t="shared" si="176"/>
        <v>1.0481146686000002</v>
      </c>
      <c r="I138" s="3">
        <f t="shared" si="176"/>
        <v>0.83398371480000022</v>
      </c>
      <c r="J138" s="3">
        <f t="shared" si="176"/>
        <v>0.6198527610000002</v>
      </c>
      <c r="K138" s="3">
        <f t="shared" si="176"/>
        <v>0.40572180720000017</v>
      </c>
      <c r="L138" s="3">
        <f t="shared" si="176"/>
        <v>0.19159085340000015</v>
      </c>
      <c r="M138" s="3">
        <f t="shared" si="176"/>
        <v>8.4525376500000138E-2</v>
      </c>
      <c r="N138" s="3">
        <f t="shared" si="176"/>
        <v>0</v>
      </c>
      <c r="O138" s="3">
        <f t="shared" si="176"/>
        <v>0</v>
      </c>
      <c r="P138" s="3">
        <f t="shared" si="176"/>
        <v>0</v>
      </c>
      <c r="Q138" s="3">
        <f t="shared" si="176"/>
        <v>0</v>
      </c>
      <c r="R138" s="3">
        <f t="shared" si="176"/>
        <v>0</v>
      </c>
      <c r="S138" s="3">
        <f t="shared" si="176"/>
        <v>0</v>
      </c>
      <c r="T138" s="3">
        <f t="shared" si="176"/>
        <v>0</v>
      </c>
      <c r="U138" s="3">
        <f t="shared" si="176"/>
        <v>0</v>
      </c>
      <c r="V138" s="3">
        <f t="shared" si="176"/>
        <v>0</v>
      </c>
      <c r="W138" s="3">
        <f t="shared" si="176"/>
        <v>0</v>
      </c>
      <c r="X138" s="3">
        <f t="shared" si="176"/>
        <v>0</v>
      </c>
      <c r="Y138" s="3">
        <f t="shared" si="176"/>
        <v>0</v>
      </c>
      <c r="Z138" s="3">
        <f t="shared" si="176"/>
        <v>0</v>
      </c>
      <c r="AA138" s="3">
        <f t="shared" si="176"/>
        <v>0</v>
      </c>
      <c r="AB138" s="3">
        <f t="shared" si="176"/>
        <v>0</v>
      </c>
    </row>
    <row r="139" spans="2:28" x14ac:dyDescent="0.3">
      <c r="B139" t="str">
        <f t="shared" si="153"/>
        <v>Electrical</v>
      </c>
      <c r="F139" s="3">
        <f t="shared" si="164"/>
        <v>0</v>
      </c>
      <c r="G139" s="3">
        <f t="shared" ref="G139:AB139" si="177">IF(OR(G$1="-",G$1&gt;ROUNDUP($C72,0)),0,F139-G105)</f>
        <v>0</v>
      </c>
      <c r="H139" s="3">
        <f t="shared" si="177"/>
        <v>0</v>
      </c>
      <c r="I139" s="3">
        <f t="shared" si="177"/>
        <v>0</v>
      </c>
      <c r="J139" s="3">
        <f t="shared" si="177"/>
        <v>0</v>
      </c>
      <c r="K139" s="3">
        <f t="shared" si="177"/>
        <v>0</v>
      </c>
      <c r="L139" s="3">
        <f t="shared" si="177"/>
        <v>0</v>
      </c>
      <c r="M139" s="3">
        <f t="shared" si="177"/>
        <v>0</v>
      </c>
      <c r="N139" s="3">
        <f t="shared" si="177"/>
        <v>0</v>
      </c>
      <c r="O139" s="3">
        <f t="shared" si="177"/>
        <v>0</v>
      </c>
      <c r="P139" s="3">
        <f t="shared" si="177"/>
        <v>0</v>
      </c>
      <c r="Q139" s="3">
        <f t="shared" si="177"/>
        <v>0</v>
      </c>
      <c r="R139" s="3">
        <f t="shared" si="177"/>
        <v>0</v>
      </c>
      <c r="S139" s="3">
        <f t="shared" si="177"/>
        <v>0</v>
      </c>
      <c r="T139" s="3">
        <f t="shared" si="177"/>
        <v>0</v>
      </c>
      <c r="U139" s="3">
        <f t="shared" si="177"/>
        <v>0</v>
      </c>
      <c r="V139" s="3">
        <f t="shared" si="177"/>
        <v>0</v>
      </c>
      <c r="W139" s="3">
        <f t="shared" si="177"/>
        <v>0</v>
      </c>
      <c r="X139" s="3">
        <f t="shared" si="177"/>
        <v>0</v>
      </c>
      <c r="Y139" s="3">
        <f t="shared" si="177"/>
        <v>0</v>
      </c>
      <c r="Z139" s="3">
        <f t="shared" si="177"/>
        <v>0</v>
      </c>
      <c r="AA139" s="3">
        <f t="shared" si="177"/>
        <v>0</v>
      </c>
      <c r="AB139" s="3">
        <f t="shared" si="177"/>
        <v>0</v>
      </c>
    </row>
    <row r="140" spans="2:28" x14ac:dyDescent="0.3">
      <c r="B140" t="str">
        <f t="shared" si="153"/>
        <v>CDA</v>
      </c>
      <c r="F140" s="3">
        <f t="shared" si="164"/>
        <v>0</v>
      </c>
      <c r="G140" s="3">
        <f t="shared" ref="G140:AB140" si="178">IF(OR(G$1="-",G$1&gt;ROUNDUP($C73,0)),0,F140-G106)</f>
        <v>0</v>
      </c>
      <c r="H140" s="3">
        <f t="shared" si="178"/>
        <v>0</v>
      </c>
      <c r="I140" s="3">
        <f t="shared" si="178"/>
        <v>0</v>
      </c>
      <c r="J140" s="3">
        <f t="shared" si="178"/>
        <v>0</v>
      </c>
      <c r="K140" s="3">
        <f t="shared" si="178"/>
        <v>0</v>
      </c>
      <c r="L140" s="3">
        <f t="shared" si="178"/>
        <v>0</v>
      </c>
      <c r="M140" s="3">
        <f t="shared" si="178"/>
        <v>0</v>
      </c>
      <c r="N140" s="3">
        <f t="shared" si="178"/>
        <v>0</v>
      </c>
      <c r="O140" s="3">
        <f t="shared" si="178"/>
        <v>0</v>
      </c>
      <c r="P140" s="3">
        <f t="shared" si="178"/>
        <v>0</v>
      </c>
      <c r="Q140" s="3">
        <f t="shared" si="178"/>
        <v>0</v>
      </c>
      <c r="R140" s="3">
        <f t="shared" si="178"/>
        <v>0</v>
      </c>
      <c r="S140" s="3">
        <f t="shared" si="178"/>
        <v>0</v>
      </c>
      <c r="T140" s="3">
        <f t="shared" si="178"/>
        <v>0</v>
      </c>
      <c r="U140" s="3">
        <f t="shared" si="178"/>
        <v>0</v>
      </c>
      <c r="V140" s="3">
        <f t="shared" si="178"/>
        <v>0</v>
      </c>
      <c r="W140" s="3">
        <f t="shared" si="178"/>
        <v>0</v>
      </c>
      <c r="X140" s="3">
        <f t="shared" si="178"/>
        <v>0</v>
      </c>
      <c r="Y140" s="3">
        <f t="shared" si="178"/>
        <v>0</v>
      </c>
      <c r="Z140" s="3">
        <f t="shared" si="178"/>
        <v>0</v>
      </c>
      <c r="AA140" s="3">
        <f t="shared" si="178"/>
        <v>0</v>
      </c>
      <c r="AB140" s="3">
        <f t="shared" si="178"/>
        <v>0</v>
      </c>
    </row>
    <row r="141" spans="2:28" x14ac:dyDescent="0.3">
      <c r="B141" t="str">
        <f t="shared" si="153"/>
        <v>FHS and FAS for the ASRS</v>
      </c>
      <c r="F141" s="3">
        <f t="shared" si="164"/>
        <v>0</v>
      </c>
      <c r="G141" s="3">
        <f t="shared" ref="G141:AB141" si="179">IF(OR(G$1="-",G$1&gt;ROUNDUP($C74,0)),0,F141-G107)</f>
        <v>0</v>
      </c>
      <c r="H141" s="3">
        <f t="shared" si="179"/>
        <v>0</v>
      </c>
      <c r="I141" s="3">
        <f t="shared" si="179"/>
        <v>0</v>
      </c>
      <c r="J141" s="3">
        <f t="shared" si="179"/>
        <v>0</v>
      </c>
      <c r="K141" s="3">
        <f t="shared" si="179"/>
        <v>0</v>
      </c>
      <c r="L141" s="3">
        <f t="shared" si="179"/>
        <v>0</v>
      </c>
      <c r="M141" s="3">
        <f t="shared" si="179"/>
        <v>0</v>
      </c>
      <c r="N141" s="3">
        <f t="shared" si="179"/>
        <v>0</v>
      </c>
      <c r="O141" s="3">
        <f t="shared" si="179"/>
        <v>0</v>
      </c>
      <c r="P141" s="3">
        <f t="shared" si="179"/>
        <v>0</v>
      </c>
      <c r="Q141" s="3">
        <f t="shared" si="179"/>
        <v>0</v>
      </c>
      <c r="R141" s="3">
        <f t="shared" si="179"/>
        <v>0</v>
      </c>
      <c r="S141" s="3">
        <f t="shared" si="179"/>
        <v>0</v>
      </c>
      <c r="T141" s="3">
        <f t="shared" si="179"/>
        <v>0</v>
      </c>
      <c r="U141" s="3">
        <f t="shared" si="179"/>
        <v>0</v>
      </c>
      <c r="V141" s="3">
        <f t="shared" si="179"/>
        <v>0</v>
      </c>
      <c r="W141" s="3">
        <f t="shared" si="179"/>
        <v>0</v>
      </c>
      <c r="X141" s="3">
        <f t="shared" si="179"/>
        <v>0</v>
      </c>
      <c r="Y141" s="3">
        <f t="shared" si="179"/>
        <v>0</v>
      </c>
      <c r="Z141" s="3">
        <f t="shared" si="179"/>
        <v>0</v>
      </c>
      <c r="AA141" s="3">
        <f t="shared" si="179"/>
        <v>0</v>
      </c>
      <c r="AB141" s="3">
        <f t="shared" si="179"/>
        <v>0</v>
      </c>
    </row>
    <row r="142" spans="2:28" x14ac:dyDescent="0.3">
      <c r="B142" t="str">
        <f t="shared" si="153"/>
        <v>Dock levellers</v>
      </c>
      <c r="F142" s="3">
        <f t="shared" si="164"/>
        <v>0.7322637021866667</v>
      </c>
      <c r="G142" s="3">
        <f t="shared" ref="G142:AB142" si="180">IF(OR(G$1="-",G$1&gt;ROUNDUP($C75,0)),0,F142-G108)</f>
        <v>0.6260575163733334</v>
      </c>
      <c r="H142" s="3">
        <f t="shared" si="180"/>
        <v>0.5198513305600001</v>
      </c>
      <c r="I142" s="3">
        <f t="shared" si="180"/>
        <v>0.4136451447466668</v>
      </c>
      <c r="J142" s="3">
        <f t="shared" si="180"/>
        <v>0.30743895893333351</v>
      </c>
      <c r="K142" s="3">
        <f t="shared" si="180"/>
        <v>0.20123277312000018</v>
      </c>
      <c r="L142" s="3">
        <f t="shared" si="180"/>
        <v>9.5026587306666854E-2</v>
      </c>
      <c r="M142" s="3">
        <f t="shared" si="180"/>
        <v>4.1923494400000191E-2</v>
      </c>
      <c r="N142" s="3">
        <f t="shared" si="180"/>
        <v>0</v>
      </c>
      <c r="O142" s="3">
        <f t="shared" si="180"/>
        <v>0</v>
      </c>
      <c r="P142" s="3">
        <f t="shared" si="180"/>
        <v>0</v>
      </c>
      <c r="Q142" s="3">
        <f t="shared" si="180"/>
        <v>0</v>
      </c>
      <c r="R142" s="3">
        <f t="shared" si="180"/>
        <v>0</v>
      </c>
      <c r="S142" s="3">
        <f t="shared" si="180"/>
        <v>0</v>
      </c>
      <c r="T142" s="3">
        <f t="shared" si="180"/>
        <v>0</v>
      </c>
      <c r="U142" s="3">
        <f t="shared" si="180"/>
        <v>0</v>
      </c>
      <c r="V142" s="3">
        <f t="shared" si="180"/>
        <v>0</v>
      </c>
      <c r="W142" s="3">
        <f t="shared" si="180"/>
        <v>0</v>
      </c>
      <c r="X142" s="3">
        <f t="shared" si="180"/>
        <v>0</v>
      </c>
      <c r="Y142" s="3">
        <f t="shared" si="180"/>
        <v>0</v>
      </c>
      <c r="Z142" s="3">
        <f t="shared" si="180"/>
        <v>0</v>
      </c>
      <c r="AA142" s="3">
        <f t="shared" si="180"/>
        <v>0</v>
      </c>
      <c r="AB142" s="3">
        <f t="shared" si="180"/>
        <v>0</v>
      </c>
    </row>
    <row r="143" spans="2:28" x14ac:dyDescent="0.3">
      <c r="B143" t="str">
        <f t="shared" si="153"/>
        <v>Contingency</v>
      </c>
      <c r="F143" s="3">
        <f t="shared" si="164"/>
        <v>2.077398105586</v>
      </c>
      <c r="G143" s="3">
        <f t="shared" ref="G143:AB143" si="181">IF(OR(G$1="-",G$1&gt;ROUNDUP($C76,0)),0,F143-G109)</f>
        <v>1.776096090272</v>
      </c>
      <c r="H143" s="3">
        <f t="shared" si="181"/>
        <v>1.474794074958</v>
      </c>
      <c r="I143" s="3">
        <f t="shared" si="181"/>
        <v>1.1734920596439999</v>
      </c>
      <c r="J143" s="3">
        <f t="shared" si="181"/>
        <v>0.87219004432999991</v>
      </c>
      <c r="K143" s="3">
        <f t="shared" si="181"/>
        <v>0.57088802901599989</v>
      </c>
      <c r="L143" s="3">
        <f t="shared" si="181"/>
        <v>0.26958601370199986</v>
      </c>
      <c r="M143" s="3">
        <f t="shared" si="181"/>
        <v>0.11893500604499985</v>
      </c>
      <c r="N143" s="3">
        <f t="shared" si="181"/>
        <v>0</v>
      </c>
      <c r="O143" s="3">
        <f t="shared" si="181"/>
        <v>0</v>
      </c>
      <c r="P143" s="3">
        <f t="shared" si="181"/>
        <v>0</v>
      </c>
      <c r="Q143" s="3">
        <f t="shared" si="181"/>
        <v>0</v>
      </c>
      <c r="R143" s="3">
        <f t="shared" si="181"/>
        <v>0</v>
      </c>
      <c r="S143" s="3">
        <f t="shared" si="181"/>
        <v>0</v>
      </c>
      <c r="T143" s="3">
        <f t="shared" si="181"/>
        <v>0</v>
      </c>
      <c r="U143" s="3">
        <f t="shared" si="181"/>
        <v>0</v>
      </c>
      <c r="V143" s="3">
        <f t="shared" si="181"/>
        <v>0</v>
      </c>
      <c r="W143" s="3">
        <f t="shared" si="181"/>
        <v>0</v>
      </c>
      <c r="X143" s="3">
        <f t="shared" si="181"/>
        <v>0</v>
      </c>
      <c r="Y143" s="3">
        <f t="shared" si="181"/>
        <v>0</v>
      </c>
      <c r="Z143" s="3">
        <f t="shared" si="181"/>
        <v>0</v>
      </c>
      <c r="AA143" s="3">
        <f t="shared" si="181"/>
        <v>0</v>
      </c>
      <c r="AB143" s="3">
        <f t="shared" si="181"/>
        <v>0</v>
      </c>
    </row>
    <row r="144" spans="2:28" x14ac:dyDescent="0.3">
      <c r="B144" t="str">
        <f t="shared" si="153"/>
        <v>Pre - operating expenses</v>
      </c>
      <c r="F144" s="3">
        <f t="shared" si="164"/>
        <v>0.47269315141105983</v>
      </c>
      <c r="G144" s="3">
        <f t="shared" ref="G144:AB144" si="182">IF(OR(G$1="-",G$1&gt;ROUNDUP($C77,0)),0,F144-G110)</f>
        <v>0.40413460273311985</v>
      </c>
      <c r="H144" s="3">
        <f t="shared" si="182"/>
        <v>0.33557605405517987</v>
      </c>
      <c r="I144" s="3">
        <f t="shared" si="182"/>
        <v>0.26701750537723989</v>
      </c>
      <c r="J144" s="3">
        <f t="shared" si="182"/>
        <v>0.19845895669929992</v>
      </c>
      <c r="K144" s="3">
        <f t="shared" si="182"/>
        <v>0.12990040802135994</v>
      </c>
      <c r="L144" s="3">
        <f t="shared" si="182"/>
        <v>6.1341859343419972E-2</v>
      </c>
      <c r="M144" s="3">
        <f t="shared" si="182"/>
        <v>2.7062585004449989E-2</v>
      </c>
      <c r="N144" s="3">
        <f t="shared" si="182"/>
        <v>0</v>
      </c>
      <c r="O144" s="3">
        <f t="shared" si="182"/>
        <v>0</v>
      </c>
      <c r="P144" s="3">
        <f t="shared" si="182"/>
        <v>0</v>
      </c>
      <c r="Q144" s="3">
        <f t="shared" si="182"/>
        <v>0</v>
      </c>
      <c r="R144" s="3">
        <f t="shared" si="182"/>
        <v>0</v>
      </c>
      <c r="S144" s="3">
        <f t="shared" si="182"/>
        <v>0</v>
      </c>
      <c r="T144" s="3">
        <f t="shared" si="182"/>
        <v>0</v>
      </c>
      <c r="U144" s="3">
        <f t="shared" si="182"/>
        <v>0</v>
      </c>
      <c r="V144" s="3">
        <f t="shared" si="182"/>
        <v>0</v>
      </c>
      <c r="W144" s="3">
        <f t="shared" si="182"/>
        <v>0</v>
      </c>
      <c r="X144" s="3">
        <f t="shared" si="182"/>
        <v>0</v>
      </c>
      <c r="Y144" s="3">
        <f t="shared" si="182"/>
        <v>0</v>
      </c>
      <c r="Z144" s="3">
        <f t="shared" si="182"/>
        <v>0</v>
      </c>
      <c r="AA144" s="3">
        <f t="shared" si="182"/>
        <v>0</v>
      </c>
      <c r="AB144" s="3">
        <f t="shared" si="182"/>
        <v>0</v>
      </c>
    </row>
    <row r="145" spans="2:28" x14ac:dyDescent="0.3">
      <c r="B145" t="str">
        <f t="shared" si="153"/>
        <v>IDC</v>
      </c>
      <c r="F145" s="3">
        <f t="shared" ca="1" si="164"/>
        <v>2.971610267168411</v>
      </c>
      <c r="G145" s="3">
        <f t="shared" ref="G145:AB146" ca="1" si="183">IF(OR(G$1="-",G$1&gt;ROUNDUP($C78,0)),0,F145-G111)</f>
        <v>2.5406133581897867</v>
      </c>
      <c r="H145" s="3">
        <f t="shared" ca="1" si="183"/>
        <v>2.1096164492111624</v>
      </c>
      <c r="I145" s="3">
        <f t="shared" ca="1" si="183"/>
        <v>1.6786195402325379</v>
      </c>
      <c r="J145" s="3">
        <f t="shared" ca="1" si="183"/>
        <v>1.2476226312539134</v>
      </c>
      <c r="K145" s="3">
        <f t="shared" ca="1" si="183"/>
        <v>0.81662572227528885</v>
      </c>
      <c r="L145" s="3">
        <f t="shared" ca="1" si="183"/>
        <v>0.38562881329666437</v>
      </c>
      <c r="M145" s="3">
        <f t="shared" ca="1" si="183"/>
        <v>0.17013035880735214</v>
      </c>
      <c r="N145" s="3">
        <f t="shared" si="183"/>
        <v>0</v>
      </c>
      <c r="O145" s="3">
        <f t="shared" si="183"/>
        <v>0</v>
      </c>
      <c r="P145" s="3">
        <f t="shared" si="183"/>
        <v>0</v>
      </c>
      <c r="Q145" s="3">
        <f t="shared" si="183"/>
        <v>0</v>
      </c>
      <c r="R145" s="3">
        <f t="shared" si="183"/>
        <v>0</v>
      </c>
      <c r="S145" s="3">
        <f t="shared" si="183"/>
        <v>0</v>
      </c>
      <c r="T145" s="3">
        <f t="shared" si="183"/>
        <v>0</v>
      </c>
      <c r="U145" s="3">
        <f t="shared" si="183"/>
        <v>0</v>
      </c>
      <c r="V145" s="3">
        <f t="shared" si="183"/>
        <v>0</v>
      </c>
      <c r="W145" s="3">
        <f t="shared" si="183"/>
        <v>0</v>
      </c>
      <c r="X145" s="3">
        <f t="shared" si="183"/>
        <v>0</v>
      </c>
      <c r="Y145" s="3">
        <f t="shared" si="183"/>
        <v>0</v>
      </c>
      <c r="Z145" s="3">
        <f t="shared" si="183"/>
        <v>0</v>
      </c>
      <c r="AA145" s="3">
        <f t="shared" si="183"/>
        <v>0</v>
      </c>
      <c r="AB145" s="3">
        <f t="shared" si="183"/>
        <v>0</v>
      </c>
    </row>
    <row r="146" spans="2:28" ht="15" thickBot="1" x14ac:dyDescent="0.35">
      <c r="B146" t="s">
        <v>514</v>
      </c>
      <c r="F146" s="3">
        <f t="shared" ca="1" si="164"/>
        <v>0.23534831817942731</v>
      </c>
      <c r="G146" s="3">
        <f t="shared" ca="1" si="183"/>
        <v>0.20121382928317449</v>
      </c>
      <c r="H146" s="3">
        <f t="shared" ca="1" si="183"/>
        <v>0.16707934038692168</v>
      </c>
      <c r="I146" s="3">
        <f t="shared" ca="1" si="183"/>
        <v>0.13294485149066887</v>
      </c>
      <c r="J146" s="3">
        <f t="shared" ca="1" si="183"/>
        <v>9.8810362594416057E-2</v>
      </c>
      <c r="K146" s="3">
        <f t="shared" ca="1" si="183"/>
        <v>6.4675873698163244E-2</v>
      </c>
      <c r="L146" s="3">
        <f t="shared" ca="1" si="183"/>
        <v>3.0541384801910432E-2</v>
      </c>
      <c r="M146" s="3">
        <f t="shared" ca="1" si="183"/>
        <v>1.3474140353784025E-2</v>
      </c>
      <c r="N146" s="3">
        <f t="shared" si="183"/>
        <v>0</v>
      </c>
      <c r="O146" s="3">
        <f t="shared" si="183"/>
        <v>0</v>
      </c>
      <c r="P146" s="3">
        <f t="shared" si="183"/>
        <v>0</v>
      </c>
      <c r="Q146" s="3">
        <f t="shared" si="183"/>
        <v>0</v>
      </c>
      <c r="R146" s="3">
        <f t="shared" si="183"/>
        <v>0</v>
      </c>
      <c r="S146" s="3">
        <f t="shared" si="183"/>
        <v>0</v>
      </c>
      <c r="T146" s="3">
        <f t="shared" si="183"/>
        <v>0</v>
      </c>
      <c r="U146" s="3">
        <f t="shared" si="183"/>
        <v>0</v>
      </c>
      <c r="V146" s="3">
        <f t="shared" si="183"/>
        <v>0</v>
      </c>
      <c r="W146" s="3">
        <f t="shared" si="183"/>
        <v>0</v>
      </c>
      <c r="X146" s="3">
        <f t="shared" si="183"/>
        <v>0</v>
      </c>
      <c r="Y146" s="3">
        <f t="shared" si="183"/>
        <v>0</v>
      </c>
      <c r="Z146" s="3">
        <f t="shared" si="183"/>
        <v>0</v>
      </c>
      <c r="AA146" s="3">
        <f t="shared" si="183"/>
        <v>0</v>
      </c>
      <c r="AB146" s="3">
        <f t="shared" si="183"/>
        <v>0</v>
      </c>
    </row>
    <row r="147" spans="2:28" ht="15" thickBot="1" x14ac:dyDescent="0.35">
      <c r="B147" s="7" t="str">
        <f>B113</f>
        <v>Total</v>
      </c>
      <c r="C147" s="8"/>
      <c r="D147" s="8"/>
      <c r="E147" s="8"/>
      <c r="F147" s="9">
        <f ca="1">SUM(F118:F146)</f>
        <v>47.305011954064881</v>
      </c>
      <c r="G147" s="9">
        <f t="shared" ref="G147:T147" ca="1" si="184">SUM(G118:G146)</f>
        <v>40.443979685918094</v>
      </c>
      <c r="H147" s="9">
        <f t="shared" ca="1" si="184"/>
        <v>33.582947417771258</v>
      </c>
      <c r="I147" s="9">
        <f t="shared" ca="1" si="184"/>
        <v>26.721915149624454</v>
      </c>
      <c r="J147" s="9">
        <f t="shared" ca="1" si="184"/>
        <v>19.860882881477636</v>
      </c>
      <c r="K147" s="9">
        <f t="shared" ca="1" si="184"/>
        <v>12.999850613330819</v>
      </c>
      <c r="L147" s="9">
        <f t="shared" ca="1" si="184"/>
        <v>6.1388183451839966</v>
      </c>
      <c r="M147" s="9">
        <f t="shared" ca="1" si="184"/>
        <v>2.7083022111105901</v>
      </c>
      <c r="N147" s="9">
        <f t="shared" si="184"/>
        <v>0</v>
      </c>
      <c r="O147" s="9">
        <f t="shared" si="184"/>
        <v>0</v>
      </c>
      <c r="P147" s="9">
        <f t="shared" si="184"/>
        <v>0</v>
      </c>
      <c r="Q147" s="9">
        <f t="shared" si="184"/>
        <v>0</v>
      </c>
      <c r="R147" s="9">
        <f t="shared" si="184"/>
        <v>0</v>
      </c>
      <c r="S147" s="9">
        <f t="shared" si="184"/>
        <v>0</v>
      </c>
      <c r="T147" s="9">
        <f t="shared" si="184"/>
        <v>0</v>
      </c>
      <c r="U147" s="9"/>
      <c r="V147" s="9"/>
      <c r="W147" s="9"/>
      <c r="X147" s="9"/>
      <c r="Y147" s="9"/>
      <c r="Z147" s="9"/>
      <c r="AA147" s="9"/>
      <c r="AB147" s="10"/>
    </row>
    <row r="148" spans="2:28" x14ac:dyDescent="0.3">
      <c r="G148" s="3"/>
      <c r="M148" s="5"/>
    </row>
    <row r="149" spans="2:28" ht="18" hidden="1" x14ac:dyDescent="0.35">
      <c r="B149" s="95" t="s">
        <v>226</v>
      </c>
      <c r="C149" t="s">
        <v>189</v>
      </c>
    </row>
    <row r="150" spans="2:28" hidden="1" x14ac:dyDescent="0.3">
      <c r="B150" t="str">
        <f t="shared" ref="B150:B158" si="185">B117</f>
        <v>ASRS</v>
      </c>
      <c r="C150" s="22">
        <v>0.05</v>
      </c>
      <c r="F150" s="3"/>
      <c r="G150" s="3"/>
      <c r="H150" s="3"/>
      <c r="I150" s="3"/>
      <c r="J150" s="3"/>
      <c r="K150" s="3"/>
      <c r="L150" s="3"/>
      <c r="M150" s="3"/>
    </row>
    <row r="151" spans="2:28" hidden="1" x14ac:dyDescent="0.3">
      <c r="B151" t="str">
        <f t="shared" si="185"/>
        <v xml:space="preserve">   Racking system</v>
      </c>
      <c r="C151" s="51">
        <v>0.15</v>
      </c>
      <c r="D151" s="3">
        <f t="shared" ref="D151:D158" si="186">D51</f>
        <v>15.041930112000001</v>
      </c>
      <c r="E151" s="3">
        <f>(D151*(1-C150)*C151)/(12*7.5)</f>
        <v>2.3816389343999999E-2</v>
      </c>
      <c r="F151" s="3">
        <f>$D151*$C151*(1-$C$150)</f>
        <v>2.1434750409599999</v>
      </c>
      <c r="G151" s="3">
        <f>IF($F$151+SUM($F$151:F151)&gt;(1-$C$150)*$D$151,(1-$C$150)*$D$151-SUM($F$151:F151),F151)</f>
        <v>2.1434750409599999</v>
      </c>
      <c r="H151" s="3">
        <f>IF($F$151+SUM($F$151:G151)&gt;(1-$C$150)*$D$151,(1-$C$150)*$D$151-SUM($F$151:G151),G151)</f>
        <v>2.1434750409599999</v>
      </c>
      <c r="I151" s="3">
        <f>IF($F$151+SUM($F$151:H151)&gt;(1-$C$150)*$D$151,(1-$C$150)*$D$151-SUM($F$151:H151),H151)</f>
        <v>2.1434750409599999</v>
      </c>
      <c r="J151" s="3">
        <f>IF($F$151+SUM($F$151:I151)&gt;(1-$C$150)*$D$151,(1-$C$150)*$D$151-SUM($F$151:I151),I151)</f>
        <v>2.1434750409599999</v>
      </c>
      <c r="K151" s="3">
        <f>IF($F$151+SUM($F$151:J151)&gt;(1-$C$150)*$D$151,(1-$C$150)*$D$151-SUM($F$151:J151),J151)</f>
        <v>2.1434750409599999</v>
      </c>
      <c r="L151" s="3">
        <f>IF($F$151+SUM($F$151:K151)&gt;(1-$C$150)*$D$151,(1-$C$150)*$D$151-SUM($F$151:K151),K151)</f>
        <v>1.4289833606400002</v>
      </c>
      <c r="M151" s="3">
        <f>IF($F$151+SUM($F$151:L151)&gt;(1-$C$150)*$D$151,(1-$C$150)*$D$151-SUM($F$151:L151),L151)</f>
        <v>0</v>
      </c>
      <c r="N151" s="3">
        <f>IF($F$151+SUM($F$151:M151)&gt;(1-$C$150)*$D$151,(1-$C$150)*$D$151-SUM($F$151:M151),M151)</f>
        <v>0</v>
      </c>
      <c r="O151" s="3">
        <f>IF($F$151+SUM($F$151:N151)&gt;(1-$C$150)*$D$151,(1-$C$150)*$D$151-SUM($F$151:N151),N151)</f>
        <v>0</v>
      </c>
      <c r="P151" s="3">
        <f>IF($F$151+SUM($F$151:O151)&gt;(1-$C$150)*$D$151,(1-$C$150)*$D$151-SUM($F$151:O151),O151)</f>
        <v>0</v>
      </c>
      <c r="Q151" s="3">
        <f>IF($F$151+SUM($F$151:P151)&gt;(1-$C$150)*$D$151,(1-$C$150)*$D$151-SUM($F$151:P151),P151)</f>
        <v>0</v>
      </c>
      <c r="R151" s="3">
        <f>IF($F$151+SUM($F$151:Q151)&gt;(1-$C$150)*$D$151,(1-$C$150)*$D$151-SUM($F$151:Q151),Q151)</f>
        <v>0</v>
      </c>
      <c r="S151" s="3">
        <f>IF($F$151+SUM($F$151:R151)&gt;(1-$C$150)*$D$151,(1-$C$150)*$D$151-SUM($F$151:R151),R151)</f>
        <v>0</v>
      </c>
      <c r="T151" s="3">
        <f>IF($F$151+SUM($F$151:S151)&gt;(1-$C$150)*$D$151,(1-$C$150)*$D$151-SUM($F$151:S151),S151)</f>
        <v>0</v>
      </c>
    </row>
    <row r="152" spans="2:28" hidden="1" x14ac:dyDescent="0.3">
      <c r="B152" t="str">
        <f t="shared" si="185"/>
        <v xml:space="preserve">   Cladding for high bay</v>
      </c>
      <c r="C152" s="51">
        <v>0.15</v>
      </c>
      <c r="D152" s="3">
        <f t="shared" si="186"/>
        <v>1.4159999999999999</v>
      </c>
      <c r="F152" s="3">
        <f t="shared" ref="F152:F158" si="187">$D152*$C152</f>
        <v>0.21239999999999998</v>
      </c>
      <c r="G152" s="3">
        <f>IF($F$152+SUM($F152:F152)&gt;(1-$C$150)*$D152,(1-$C$150)*$D152-SUM($F152:F152),F152)</f>
        <v>0.21239999999999998</v>
      </c>
      <c r="H152" s="3">
        <f>IF($F$152+SUM($F152:G152)&gt;(1-$C$150)*$D152,(1-$C$150)*$D152-SUM($F152:G152),G152)</f>
        <v>0.21239999999999998</v>
      </c>
      <c r="I152" s="3">
        <f>IF($F$152+SUM($F152:H152)&gt;(1-$C$150)*$D152,(1-$C$150)*$D152-SUM($F152:H152),H152)</f>
        <v>0.21239999999999998</v>
      </c>
      <c r="J152" s="3">
        <f>IF($F$152+SUM($F152:I152)&gt;(1-$C$150)*$D152,(1-$C$150)*$D152-SUM($F152:I152),I152)</f>
        <v>0.21239999999999998</v>
      </c>
      <c r="K152" s="3">
        <f>IF($F$152+SUM($F152:J152)&gt;(1-$C$150)*$D152,(1-$C$150)*$D152-SUM($F152:J152),J152)</f>
        <v>0.21239999999999998</v>
      </c>
      <c r="L152" s="3">
        <f>IF($F$152+SUM($F152:K152)&gt;(1-$C$150)*$D152,(1-$C$150)*$D152-SUM($F152:K152),K152)</f>
        <v>7.0800000000000196E-2</v>
      </c>
      <c r="M152" s="3">
        <f>IF($F$152+SUM($F152:L152)&gt;(1-$C$150)*$D152,(1-$C$150)*$D152-SUM($F152:L152),L152)</f>
        <v>0</v>
      </c>
      <c r="N152" s="3">
        <f>IF($F$152+SUM($F152:M152)&gt;(1-$C$150)*$D152,(1-$C$150)*$D152-SUM($F152:M152),M152)</f>
        <v>0</v>
      </c>
      <c r="O152" s="3">
        <f>IF($F$152+SUM($F152:N152)&gt;(1-$C$150)*$D152,(1-$C$150)*$D152-SUM($F152:N152),N152)</f>
        <v>0</v>
      </c>
      <c r="P152" s="3">
        <f>IF($F$152+SUM($F152:O152)&gt;(1-$C$150)*$D152,(1-$C$150)*$D152-SUM($F152:O152),O152)</f>
        <v>0</v>
      </c>
      <c r="Q152" s="3">
        <f>IF($F$152+SUM($F152:P152)&gt;(1-$C$150)*$D152,(1-$C$150)*$D152-SUM($F152:P152),P152)</f>
        <v>0</v>
      </c>
      <c r="R152" s="3">
        <f>IF($F$152+SUM($F152:Q152)&gt;(1-$C$150)*$D152,(1-$C$150)*$D152-SUM($F152:Q152),Q152)</f>
        <v>0</v>
      </c>
      <c r="S152" s="3">
        <f>IF($F$152+SUM($F152:R152)&gt;(1-$C$150)*$D152,(1-$C$150)*$D152-SUM($F152:R152),R152)</f>
        <v>0</v>
      </c>
      <c r="T152" s="3">
        <f>IF($F$152+SUM($F152:S152)&gt;(1-$C$150)*$D152,(1-$C$150)*$D152-SUM($F152:S152),S152)</f>
        <v>0</v>
      </c>
    </row>
    <row r="153" spans="2:28" hidden="1" x14ac:dyDescent="0.3">
      <c r="B153" t="str">
        <f t="shared" si="185"/>
        <v xml:space="preserve">   Double deep Stacker crane</v>
      </c>
      <c r="C153" s="51">
        <v>0.15</v>
      </c>
      <c r="D153" s="3">
        <f t="shared" si="186"/>
        <v>6.5254000000000012</v>
      </c>
      <c r="F153" s="3">
        <f t="shared" si="187"/>
        <v>0.97881000000000018</v>
      </c>
      <c r="G153" s="3">
        <f>IF($F153+SUM($F153:F153)&gt;(1-$C$150)*$D153,(1-$C$150)*$D153-SUM($F153:F153),F153)</f>
        <v>0.97881000000000018</v>
      </c>
      <c r="H153" s="3">
        <f>IF($F153+SUM($F153:G153)&gt;(1-$C$150)*$D153,(1-$C$150)*$D153-SUM($F153:G153),G153)</f>
        <v>0.97881000000000018</v>
      </c>
      <c r="I153" s="3">
        <f>IF($F153+SUM($F153:H153)&gt;(1-$C$150)*$D153,(1-$C$150)*$D153-SUM($F153:H153),H153)</f>
        <v>0.97881000000000018</v>
      </c>
      <c r="J153" s="3">
        <f>IF($F153+SUM($F153:I153)&gt;(1-$C$150)*$D153,(1-$C$150)*$D153-SUM($F153:I153),I153)</f>
        <v>0.97881000000000018</v>
      </c>
      <c r="K153" s="3">
        <f>IF($F153+SUM($F153:J153)&gt;(1-$C$150)*$D153,(1-$C$150)*$D153-SUM($F153:J153),J153)</f>
        <v>0.97881000000000018</v>
      </c>
      <c r="L153" s="3">
        <f>IF($F153+SUM($F153:K153)&gt;(1-$C$150)*$D153,(1-$C$150)*$D153-SUM($F153:K153),K153)</f>
        <v>0.32627000000000006</v>
      </c>
      <c r="M153" s="3">
        <f>IF($F153+SUM($F153:L153)&gt;(1-$C$150)*$D153,(1-$C$150)*$D153-SUM($F153:L153),L153)</f>
        <v>0</v>
      </c>
      <c r="N153" s="3">
        <f>IF($F153+SUM($F153:M153)&gt;(1-$C$150)*$D153,(1-$C$150)*$D153-SUM($F153:M153),M153)</f>
        <v>0</v>
      </c>
      <c r="O153" s="3">
        <f>IF($F153+SUM($F153:N153)&gt;(1-$C$150)*$D153,(1-$C$150)*$D153-SUM($F153:N153),N153)</f>
        <v>0</v>
      </c>
      <c r="P153" s="3">
        <f>IF($F153+SUM($F153:O153)&gt;(1-$C$150)*$D153,(1-$C$150)*$D153-SUM($F153:O153),O153)</f>
        <v>0</v>
      </c>
      <c r="Q153" s="3">
        <f>IF($F153+SUM($F153:P153)&gt;(1-$C$150)*$D153,(1-$C$150)*$D153-SUM($F153:P153),P153)</f>
        <v>0</v>
      </c>
      <c r="R153" s="3">
        <f>IF($F153+SUM($F153:Q153)&gt;(1-$C$150)*$D153,(1-$C$150)*$D153-SUM($F153:Q153),Q153)</f>
        <v>0</v>
      </c>
      <c r="S153" s="3">
        <f>IF($F153+SUM($F153:R153)&gt;(1-$C$150)*$D153,(1-$C$150)*$D153-SUM($F153:R153),R153)</f>
        <v>0</v>
      </c>
      <c r="T153" s="3">
        <f>IF($F153+SUM($F153:S153)&gt;(1-$C$150)*$D153,(1-$C$150)*$D153-SUM($F153:S153),S153)</f>
        <v>0</v>
      </c>
    </row>
    <row r="154" spans="2:28" hidden="1" x14ac:dyDescent="0.3">
      <c r="B154" t="str">
        <f t="shared" si="185"/>
        <v xml:space="preserve">   Bottom Rail with aisle accessories</v>
      </c>
      <c r="C154" s="51">
        <v>0.15</v>
      </c>
      <c r="D154" s="3">
        <f t="shared" si="186"/>
        <v>1.5871925120000001</v>
      </c>
      <c r="F154" s="3">
        <f t="shared" si="187"/>
        <v>0.23807887680000001</v>
      </c>
      <c r="G154" s="3">
        <f>IF($F154+SUM($F154:F154)&gt;(1-$C$150)*$D154,(1-$C$150)*$D154-SUM($F154:F154),F154)</f>
        <v>0.23807887680000001</v>
      </c>
      <c r="H154" s="3">
        <f>IF($F154+SUM($F154:G154)&gt;(1-$C$150)*$D154,(1-$C$150)*$D154-SUM($F154:G154),G154)</f>
        <v>0.23807887680000001</v>
      </c>
      <c r="I154" s="3">
        <f>IF($F154+SUM($F154:H154)&gt;(1-$C$150)*$D154,(1-$C$150)*$D154-SUM($F154:H154),H154)</f>
        <v>0.23807887680000001</v>
      </c>
      <c r="J154" s="3">
        <f>IF($F154+SUM($F154:I154)&gt;(1-$C$150)*$D154,(1-$C$150)*$D154-SUM($F154:I154),I154)</f>
        <v>0.23807887680000001</v>
      </c>
      <c r="K154" s="3">
        <f>IF($F154+SUM($F154:J154)&gt;(1-$C$150)*$D154,(1-$C$150)*$D154-SUM($F154:J154),J154)</f>
        <v>0.23807887680000001</v>
      </c>
      <c r="L154" s="3">
        <f>IF($F154+SUM($F154:K154)&gt;(1-$C$150)*$D154,(1-$C$150)*$D154-SUM($F154:K154),K154)</f>
        <v>7.9359625600000205E-2</v>
      </c>
      <c r="M154" s="3">
        <f>IF($F154+SUM($F154:L154)&gt;(1-$C$150)*$D154,(1-$C$150)*$D154-SUM($F154:L154),L154)</f>
        <v>0</v>
      </c>
      <c r="N154" s="3">
        <f>IF($F154+SUM($F154:M154)&gt;(1-$C$150)*$D154,(1-$C$150)*$D154-SUM($F154:M154),M154)</f>
        <v>0</v>
      </c>
      <c r="O154" s="3">
        <f>IF($F154+SUM($F154:N154)&gt;(1-$C$150)*$D154,(1-$C$150)*$D154-SUM($F154:N154),N154)</f>
        <v>0</v>
      </c>
      <c r="P154" s="3">
        <f>IF($F154+SUM($F154:O154)&gt;(1-$C$150)*$D154,(1-$C$150)*$D154-SUM($F154:O154),O154)</f>
        <v>0</v>
      </c>
      <c r="Q154" s="3">
        <f>IF($F154+SUM($F154:P154)&gt;(1-$C$150)*$D154,(1-$C$150)*$D154-SUM($F154:P154),P154)</f>
        <v>0</v>
      </c>
      <c r="R154" s="3">
        <f>IF($F154+SUM($F154:Q154)&gt;(1-$C$150)*$D154,(1-$C$150)*$D154-SUM($F154:Q154),Q154)</f>
        <v>0</v>
      </c>
      <c r="S154" s="3">
        <f>IF($F154+SUM($F154:R154)&gt;(1-$C$150)*$D154,(1-$C$150)*$D154-SUM($F154:R154),R154)</f>
        <v>0</v>
      </c>
      <c r="T154" s="3">
        <f>IF($F154+SUM($F154:S154)&gt;(1-$C$150)*$D154,(1-$C$150)*$D154-SUM($F154:S154),S154)</f>
        <v>0</v>
      </c>
    </row>
    <row r="155" spans="2:28" hidden="1" x14ac:dyDescent="0.3">
      <c r="B155" t="str">
        <f t="shared" si="185"/>
        <v xml:space="preserve">   Conveyor system</v>
      </c>
      <c r="C155" s="51">
        <v>0.15</v>
      </c>
      <c r="D155" s="3">
        <f t="shared" si="186"/>
        <v>1.7582000000000002</v>
      </c>
      <c r="F155" s="3">
        <f t="shared" si="187"/>
        <v>0.26373000000000002</v>
      </c>
      <c r="G155" s="3">
        <f>IF($F155+SUM($F155:F155)&gt;(1-$C$150)*$D155,(1-$C$150)*$D155-SUM($F155:F155),F155)</f>
        <v>0.26373000000000002</v>
      </c>
      <c r="H155" s="3">
        <f>IF($F155+SUM($F155:G155)&gt;(1-$C$150)*$D155,(1-$C$150)*$D155-SUM($F155:G155),G155)</f>
        <v>0.26373000000000002</v>
      </c>
      <c r="I155" s="3">
        <f>IF($F155+SUM($F155:H155)&gt;(1-$C$150)*$D155,(1-$C$150)*$D155-SUM($F155:H155),H155)</f>
        <v>0.26373000000000002</v>
      </c>
      <c r="J155" s="3">
        <f>IF($F155+SUM($F155:I155)&gt;(1-$C$150)*$D155,(1-$C$150)*$D155-SUM($F155:I155),I155)</f>
        <v>0.26373000000000002</v>
      </c>
      <c r="K155" s="3">
        <f>IF($F155+SUM($F155:J155)&gt;(1-$C$150)*$D155,(1-$C$150)*$D155-SUM($F155:J155),J155)</f>
        <v>0.26373000000000002</v>
      </c>
      <c r="L155" s="3">
        <f>IF($F155+SUM($F155:K155)&gt;(1-$C$150)*$D155,(1-$C$150)*$D155-SUM($F155:K155),K155)</f>
        <v>8.7909999999999933E-2</v>
      </c>
      <c r="M155" s="3">
        <f>IF($F155+SUM($F155:L155)&gt;(1-$C$150)*$D155,(1-$C$150)*$D155-SUM($F155:L155),L155)</f>
        <v>0</v>
      </c>
      <c r="N155" s="3">
        <f>IF($F155+SUM($F155:M155)&gt;(1-$C$150)*$D155,(1-$C$150)*$D155-SUM($F155:M155),M155)</f>
        <v>0</v>
      </c>
      <c r="O155" s="3">
        <f>IF($F155+SUM($F155:N155)&gt;(1-$C$150)*$D155,(1-$C$150)*$D155-SUM($F155:N155),N155)</f>
        <v>0</v>
      </c>
      <c r="P155" s="3">
        <f>IF($F155+SUM($F155:O155)&gt;(1-$C$150)*$D155,(1-$C$150)*$D155-SUM($F155:O155),O155)</f>
        <v>0</v>
      </c>
      <c r="Q155" s="3">
        <f>IF($F155+SUM($F155:P155)&gt;(1-$C$150)*$D155,(1-$C$150)*$D155-SUM($F155:P155),P155)</f>
        <v>0</v>
      </c>
      <c r="R155" s="3">
        <f>IF($F155+SUM($F155:Q155)&gt;(1-$C$150)*$D155,(1-$C$150)*$D155-SUM($F155:Q155),Q155)</f>
        <v>0</v>
      </c>
      <c r="S155" s="3">
        <f>IF($F155+SUM($F155:R155)&gt;(1-$C$150)*$D155,(1-$C$150)*$D155-SUM($F155:R155),R155)</f>
        <v>0</v>
      </c>
      <c r="T155" s="3">
        <f>IF($F155+SUM($F155:S155)&gt;(1-$C$150)*$D155,(1-$C$150)*$D155-SUM($F155:S155),S155)</f>
        <v>0</v>
      </c>
    </row>
    <row r="156" spans="2:28" hidden="1" x14ac:dyDescent="0.3">
      <c r="B156" t="str">
        <f t="shared" si="185"/>
        <v xml:space="preserve">   Critical spares</v>
      </c>
      <c r="C156" s="51">
        <v>0.15</v>
      </c>
      <c r="D156" s="3">
        <f t="shared" si="186"/>
        <v>0.33040000000000003</v>
      </c>
      <c r="F156" s="3">
        <f t="shared" si="187"/>
        <v>4.956E-2</v>
      </c>
      <c r="G156" s="3">
        <f>IF($F156+SUM($F156:F156)&gt;(1-$C$150)*$D156,(1-$C$150)*$D156-SUM($F156:F156),F156)</f>
        <v>4.956E-2</v>
      </c>
      <c r="H156" s="3">
        <f>IF($F156+SUM($F156:G156)&gt;(1-$C$150)*$D156,(1-$C$150)*$D156-SUM($F156:G156),G156)</f>
        <v>4.956E-2</v>
      </c>
      <c r="I156" s="3">
        <f>IF($F156+SUM($F156:H156)&gt;(1-$C$150)*$D156,(1-$C$150)*$D156-SUM($F156:H156),H156)</f>
        <v>4.956E-2</v>
      </c>
      <c r="J156" s="3">
        <f>IF($F156+SUM($F156:I156)&gt;(1-$C$150)*$D156,(1-$C$150)*$D156-SUM($F156:I156),I156)</f>
        <v>4.956E-2</v>
      </c>
      <c r="K156" s="3">
        <f>IF($F156+SUM($F156:J156)&gt;(1-$C$150)*$D156,(1-$C$150)*$D156-SUM($F156:J156),J156)</f>
        <v>4.956E-2</v>
      </c>
      <c r="L156" s="3">
        <f>IF($F156+SUM($F156:K156)&gt;(1-$C$150)*$D156,(1-$C$150)*$D156-SUM($F156:K156),K156)</f>
        <v>1.6519999999999979E-2</v>
      </c>
      <c r="M156" s="3">
        <f>IF($F156+SUM($F156:L156)&gt;(1-$C$150)*$D156,(1-$C$150)*$D156-SUM($F156:L156),L156)</f>
        <v>0</v>
      </c>
      <c r="N156" s="3">
        <f>IF($F156+SUM($F156:M156)&gt;(1-$C$150)*$D156,(1-$C$150)*$D156-SUM($F156:M156),M156)</f>
        <v>0</v>
      </c>
      <c r="O156" s="3">
        <f>IF($F156+SUM($F156:N156)&gt;(1-$C$150)*$D156,(1-$C$150)*$D156-SUM($F156:N156),N156)</f>
        <v>0</v>
      </c>
      <c r="P156" s="3">
        <f>IF($F156+SUM($F156:O156)&gt;(1-$C$150)*$D156,(1-$C$150)*$D156-SUM($F156:O156),O156)</f>
        <v>0</v>
      </c>
      <c r="Q156" s="3">
        <f>IF($F156+SUM($F156:P156)&gt;(1-$C$150)*$D156,(1-$C$150)*$D156-SUM($F156:P156),P156)</f>
        <v>0</v>
      </c>
      <c r="R156" s="3">
        <f>IF($F156+SUM($F156:Q156)&gt;(1-$C$150)*$D156,(1-$C$150)*$D156-SUM($F156:Q156),Q156)</f>
        <v>0</v>
      </c>
      <c r="S156" s="3">
        <f>IF($F156+SUM($F156:R156)&gt;(1-$C$150)*$D156,(1-$C$150)*$D156-SUM($F156:R156),R156)</f>
        <v>0</v>
      </c>
      <c r="T156" s="3">
        <f>IF($F156+SUM($F156:S156)&gt;(1-$C$150)*$D156,(1-$C$150)*$D156-SUM($F156:S156),S156)</f>
        <v>0</v>
      </c>
    </row>
    <row r="157" spans="2:28" hidden="1" x14ac:dyDescent="0.3">
      <c r="B157" t="str">
        <f t="shared" si="185"/>
        <v xml:space="preserve">   Metal pallets</v>
      </c>
      <c r="C157" s="51">
        <v>0.15</v>
      </c>
      <c r="D157" s="3">
        <f t="shared" si="186"/>
        <v>9.4815360000000002</v>
      </c>
      <c r="F157" s="3">
        <f t="shared" si="187"/>
        <v>1.4222303999999999</v>
      </c>
      <c r="G157" s="3">
        <f>IF($F157+SUM($F157:F157)&gt;(1-$C$150)*$D157,(1-$C$150)*$D157-SUM($F157:F157),F157)</f>
        <v>1.4222303999999999</v>
      </c>
      <c r="H157" s="3">
        <f>IF($F157+SUM($F157:G157)&gt;(1-$C$150)*$D157,(1-$C$150)*$D157-SUM($F157:G157),G157)</f>
        <v>1.4222303999999999</v>
      </c>
      <c r="I157" s="3">
        <f>IF($F157+SUM($F157:H157)&gt;(1-$C$150)*$D157,(1-$C$150)*$D157-SUM($F157:H157),H157)</f>
        <v>1.4222303999999999</v>
      </c>
      <c r="J157" s="3">
        <f>IF($F157+SUM($F157:I157)&gt;(1-$C$150)*$D157,(1-$C$150)*$D157-SUM($F157:I157),I157)</f>
        <v>1.4222303999999999</v>
      </c>
      <c r="K157" s="3">
        <f>IF($F157+SUM($F157:J157)&gt;(1-$C$150)*$D157,(1-$C$150)*$D157-SUM($F157:J157),J157)</f>
        <v>1.4222303999999999</v>
      </c>
      <c r="L157" s="3">
        <f>IF($F157+SUM($F157:K157)&gt;(1-$C$150)*$D157,(1-$C$150)*$D157-SUM($F157:K157),K157)</f>
        <v>0.47407680000000063</v>
      </c>
      <c r="M157" s="3">
        <f>IF($F157+SUM($F157:L157)&gt;(1-$C$150)*$D157,(1-$C$150)*$D157-SUM($F157:L157),L157)</f>
        <v>0</v>
      </c>
      <c r="N157" s="3">
        <f>IF($F157+SUM($F157:M157)&gt;(1-$C$150)*$D157,(1-$C$150)*$D157-SUM($F157:M157),M157)</f>
        <v>0</v>
      </c>
      <c r="O157" s="3">
        <f>IF($F157+SUM($F157:N157)&gt;(1-$C$150)*$D157,(1-$C$150)*$D157-SUM($F157:N157),N157)</f>
        <v>0</v>
      </c>
      <c r="P157" s="3">
        <f>IF($F157+SUM($F157:O157)&gt;(1-$C$150)*$D157,(1-$C$150)*$D157-SUM($F157:O157),O157)</f>
        <v>0</v>
      </c>
      <c r="Q157" s="3">
        <f>IF($F157+SUM($F157:P157)&gt;(1-$C$150)*$D157,(1-$C$150)*$D157-SUM($F157:P157),P157)</f>
        <v>0</v>
      </c>
      <c r="R157" s="3">
        <f>IF($F157+SUM($F157:Q157)&gt;(1-$C$150)*$D157,(1-$C$150)*$D157-SUM($F157:Q157),Q157)</f>
        <v>0</v>
      </c>
      <c r="S157" s="3">
        <f>IF($F157+SUM($F157:R157)&gt;(1-$C$150)*$D157,(1-$C$150)*$D157-SUM($F157:R157),R157)</f>
        <v>0</v>
      </c>
      <c r="T157" s="3">
        <f>IF($F157+SUM($F157:S157)&gt;(1-$C$150)*$D157,(1-$C$150)*$D157-SUM($F157:S157),S157)</f>
        <v>0</v>
      </c>
    </row>
    <row r="158" spans="2:28" hidden="1" x14ac:dyDescent="0.3">
      <c r="B158" t="str">
        <f t="shared" si="185"/>
        <v xml:space="preserve">   Discount</v>
      </c>
      <c r="C158" s="51">
        <v>0.15</v>
      </c>
      <c r="D158" s="3">
        <f t="shared" si="186"/>
        <v>-3.2658623999999997E-2</v>
      </c>
      <c r="F158" s="3">
        <f t="shared" si="187"/>
        <v>-4.8987935999999996E-3</v>
      </c>
      <c r="G158" s="3">
        <f>IF($F158+SUM($F158:F158)&lt;(1-$C$150)*$D158,(1-$C$150)*$D158-SUM($F158:F158),F158)</f>
        <v>-4.8987935999999996E-3</v>
      </c>
      <c r="H158" s="3">
        <f>IF($F158+SUM($F158:G158)&lt;(1-$C$150)*$D158,(1-$C$150)*$D158-SUM($F158:G158),G158)</f>
        <v>-4.8987935999999996E-3</v>
      </c>
      <c r="I158" s="3">
        <f>IF($F158+SUM($F158:H158)&lt;(1-$C$150)*$D158,(1-$C$150)*$D158-SUM($F158:H158),H158)</f>
        <v>-4.8987935999999996E-3</v>
      </c>
      <c r="J158" s="3">
        <f>IF($F158+SUM($F158:I158)&lt;(1-$C$150)*$D158,(1-$C$150)*$D158-SUM($F158:I158),I158)</f>
        <v>-4.8987935999999996E-3</v>
      </c>
      <c r="K158" s="3">
        <f>IF($F158+SUM($F158:J158)&lt;(1-$C$150)*$D158,(1-$C$150)*$D158-SUM($F158:J158),J158)</f>
        <v>-4.8987935999999996E-3</v>
      </c>
      <c r="L158" s="3">
        <f>IF($F158+SUM($F158:K158)&lt;(1-$C$150)*$D158,(1-$C$150)*$D158-SUM($F158:K158),K158)</f>
        <v>-1.6329311999999999E-3</v>
      </c>
      <c r="M158" s="3">
        <f>IF($F158+SUM($F158:L158)&lt;(1-$C$150)*$D158,(1-$C$150)*$D158-SUM($F158:L158),L158)</f>
        <v>0</v>
      </c>
      <c r="N158" s="3">
        <f>IF($F158+SUM($F158:M158)&lt;(1-$C$150)*$D158,(1-$C$150)*$D158-SUM($F158:M158),M158)</f>
        <v>0</v>
      </c>
      <c r="O158" s="3">
        <f>IF($F158+SUM($F158:N158)&lt;(1-$C$150)*$D158,(1-$C$150)*$D158-SUM($F158:N158),N158)</f>
        <v>0</v>
      </c>
      <c r="P158" s="3">
        <f>IF($F158+SUM($F158:O158)&lt;(1-$C$150)*$D158,(1-$C$150)*$D158-SUM($F158:O158),O158)</f>
        <v>0</v>
      </c>
      <c r="Q158" s="3">
        <f>IF($F158+SUM($F158:P158)&lt;(1-$C$150)*$D158,(1-$C$150)*$D158-SUM($F158:P158),P158)</f>
        <v>0</v>
      </c>
      <c r="R158" s="3">
        <f>IF($F158+SUM($F158:Q158)&lt;(1-$C$150)*$D158,(1-$C$150)*$D158-SUM($F158:Q158),Q158)</f>
        <v>0</v>
      </c>
      <c r="S158" s="3">
        <f>IF($F158+SUM($F158:R158)&lt;(1-$C$150)*$D158,(1-$C$150)*$D158-SUM($F158:R158),R158)</f>
        <v>0</v>
      </c>
      <c r="T158" s="3">
        <f>IF($F158+SUM($F158:S158)&lt;(1-$C$150)*$D158,(1-$C$150)*$D158-SUM($F158:S158),S158)</f>
        <v>0</v>
      </c>
    </row>
    <row r="159" spans="2:28" hidden="1" x14ac:dyDescent="0.3">
      <c r="C159" s="51"/>
      <c r="D159" s="3"/>
    </row>
    <row r="160" spans="2:28" hidden="1" x14ac:dyDescent="0.3">
      <c r="B160" t="str">
        <f>B142</f>
        <v>Dock levellers</v>
      </c>
      <c r="C160" s="51">
        <v>0.15</v>
      </c>
      <c r="D160" s="3">
        <f>D75</f>
        <v>0.838469888</v>
      </c>
      <c r="F160" s="3">
        <f>$D160*$C160</f>
        <v>0.12577048320000001</v>
      </c>
      <c r="G160" s="3">
        <f>IF($F160+SUM($F160:F160)&gt;(1-$C$150)*$D160,(1-$C$150)*$D160-SUM($F160:F160),F160)</f>
        <v>0.12577048320000001</v>
      </c>
      <c r="H160" s="3">
        <f>IF($F160+SUM($F160:G160)&gt;(1-$C$150)*$D160,(1-$C$150)*$D160-SUM($F160:G160),G160)</f>
        <v>0.12577048320000001</v>
      </c>
      <c r="I160" s="3">
        <f>IF($F160+SUM($F160:H160)&gt;(1-$C$150)*$D160,(1-$C$150)*$D160-SUM($F160:H160),H160)</f>
        <v>0.12577048320000001</v>
      </c>
      <c r="J160" s="3">
        <f>IF($F160+SUM($F160:I160)&gt;(1-$C$150)*$D160,(1-$C$150)*$D160-SUM($F160:I160),I160)</f>
        <v>0.12577048320000001</v>
      </c>
      <c r="K160" s="3">
        <f>IF($F160+SUM($F160:J160)&gt;(1-$C$150)*$D160,(1-$C$150)*$D160-SUM($F160:J160),J160)</f>
        <v>0.12577048320000001</v>
      </c>
      <c r="L160" s="3">
        <f>IF($F160+SUM($F160:K160)&gt;(1-$C$150)*$D160,(1-$C$150)*$D160-SUM($F160:K160),K160)</f>
        <v>4.1923494400000094E-2</v>
      </c>
      <c r="M160" s="3">
        <f>IF($F160+SUM($F160:L160)&gt;(1-$C$150)*$D160,(1-$C$150)*$D160-SUM($F160:L160),L160)</f>
        <v>0</v>
      </c>
      <c r="N160" s="3">
        <f>IF($F160+SUM($F160:M160)&gt;(1-$C$150)*$D160,(1-$C$150)*$D160-SUM($F160:M160),M160)</f>
        <v>0</v>
      </c>
      <c r="O160" s="3">
        <f>IF($F160+SUM($F160:N160)&gt;(1-$C$150)*$D160,(1-$C$150)*$D160-SUM($F160:N160),N160)</f>
        <v>0</v>
      </c>
      <c r="P160" s="3">
        <f>IF($F160+SUM($F160:O160)&gt;(1-$C$150)*$D160,(1-$C$150)*$D160-SUM($F160:O160),O160)</f>
        <v>0</v>
      </c>
      <c r="Q160" s="3">
        <f>IF($F160+SUM($F160:P160)&gt;(1-$C$150)*$D160,(1-$C$150)*$D160-SUM($F160:P160),P160)</f>
        <v>0</v>
      </c>
      <c r="R160" s="3">
        <f>IF($F160+SUM($F160:Q160)&gt;(1-$C$150)*$D160,(1-$C$150)*$D160-SUM($F160:Q160),Q160)</f>
        <v>0</v>
      </c>
      <c r="S160" s="3">
        <f>IF($F160+SUM($F160:R160)&gt;(1-$C$150)*$D160,(1-$C$150)*$D160-SUM($F160:R160),R160)</f>
        <v>0</v>
      </c>
      <c r="T160" s="3">
        <f>IF($F160+SUM($F160:S160)&gt;(1-$C$150)*$D160,(1-$C$150)*$D160-SUM($F160:S160),S160)</f>
        <v>0</v>
      </c>
    </row>
    <row r="161" spans="2:28" hidden="1" x14ac:dyDescent="0.3">
      <c r="B161" t="str">
        <f>B143</f>
        <v>Contingency</v>
      </c>
      <c r="C161" s="51">
        <v>0.15</v>
      </c>
      <c r="D161" s="3">
        <f>D76</f>
        <v>2.3787001209</v>
      </c>
      <c r="F161" s="3">
        <f>$D161*$C161</f>
        <v>0.35680501813499998</v>
      </c>
      <c r="G161" s="3">
        <f>IF($F161+SUM($F161:F161)&gt;(1-$C$150)*$D161,(1-$C$150)*$D161-SUM($F161:F161),F161)</f>
        <v>0.35680501813499998</v>
      </c>
      <c r="H161" s="3">
        <f>IF($F161+SUM($F161:G161)&gt;(1-$C$150)*$D161,(1-$C$150)*$D161-SUM($F161:G161),G161)</f>
        <v>0.35680501813499998</v>
      </c>
      <c r="I161" s="3">
        <f>IF($F161+SUM($F161:H161)&gt;(1-$C$150)*$D161,(1-$C$150)*$D161-SUM($F161:H161),H161)</f>
        <v>0.35680501813499998</v>
      </c>
      <c r="J161" s="3">
        <f>IF($F161+SUM($F161:I161)&gt;(1-$C$150)*$D161,(1-$C$150)*$D161-SUM($F161:I161),I161)</f>
        <v>0.35680501813499998</v>
      </c>
      <c r="K161" s="3">
        <f>IF($F161+SUM($F161:J161)&gt;(1-$C$150)*$D161,(1-$C$150)*$D161-SUM($F161:J161),J161)</f>
        <v>0.35680501813499998</v>
      </c>
      <c r="L161" s="3">
        <f>IF($F161+SUM($F161:K161)&gt;(1-$C$150)*$D161,(1-$C$150)*$D161-SUM($F161:K161),K161)</f>
        <v>0.11893500604500007</v>
      </c>
      <c r="M161" s="3">
        <f>IF($F161+SUM($F161:L161)&gt;(1-$C$150)*$D161,(1-$C$150)*$D161-SUM($F161:L161),L161)</f>
        <v>0</v>
      </c>
      <c r="N161" s="3">
        <f>IF($F161+SUM($F161:M161)&gt;(1-$C$150)*$D161,(1-$C$150)*$D161-SUM($F161:M161),M161)</f>
        <v>0</v>
      </c>
      <c r="O161" s="3">
        <f>IF($F161+SUM($F161:N161)&gt;(1-$C$150)*$D161,(1-$C$150)*$D161-SUM($F161:N161),N161)</f>
        <v>0</v>
      </c>
      <c r="P161" s="3">
        <f>IF($F161+SUM($F161:O161)&gt;(1-$C$150)*$D161,(1-$C$150)*$D161-SUM($F161:O161),O161)</f>
        <v>0</v>
      </c>
      <c r="Q161" s="3">
        <f>IF($F161+SUM($F161:P161)&gt;(1-$C$150)*$D161,(1-$C$150)*$D161-SUM($F161:P161),P161)</f>
        <v>0</v>
      </c>
      <c r="R161" s="3">
        <f>IF($F161+SUM($F161:Q161)&gt;(1-$C$150)*$D161,(1-$C$150)*$D161-SUM($F161:Q161),Q161)</f>
        <v>0</v>
      </c>
      <c r="S161" s="3">
        <f>IF($F161+SUM($F161:R161)&gt;(1-$C$150)*$D161,(1-$C$150)*$D161-SUM($F161:R161),R161)</f>
        <v>0</v>
      </c>
      <c r="T161" s="3">
        <f>IF($F161+SUM($F161:S161)&gt;(1-$C$150)*$D161,(1-$C$150)*$D161-SUM($F161:S161),S161)</f>
        <v>0</v>
      </c>
    </row>
    <row r="162" spans="2:28" hidden="1" x14ac:dyDescent="0.3">
      <c r="B162" t="str">
        <f>B144</f>
        <v>Pre - operating expenses</v>
      </c>
      <c r="C162" s="51">
        <v>0.15</v>
      </c>
      <c r="D162" s="3">
        <f>D77</f>
        <v>0.54125170008899981</v>
      </c>
      <c r="F162" s="3">
        <f>$D162*$C162</f>
        <v>8.1187755013349974E-2</v>
      </c>
      <c r="G162" s="3">
        <f>IF($F162+SUM($F162:F162)&gt;(1-$C$150)*$D162,(1-$C$150)*$D162-SUM($F162:F162),F162)</f>
        <v>8.1187755013349974E-2</v>
      </c>
      <c r="H162" s="3">
        <f>IF($F162+SUM($F162:G162)&gt;(1-$C$150)*$D162,(1-$C$150)*$D162-SUM($F162:G162),G162)</f>
        <v>8.1187755013349974E-2</v>
      </c>
      <c r="I162" s="3">
        <f>IF($F162+SUM($F162:H162)&gt;(1-$C$150)*$D162,(1-$C$150)*$D162-SUM($F162:H162),H162)</f>
        <v>8.1187755013349974E-2</v>
      </c>
      <c r="J162" s="3">
        <f>IF($F162+SUM($F162:I162)&gt;(1-$C$150)*$D162,(1-$C$150)*$D162-SUM($F162:I162),I162)</f>
        <v>8.1187755013349974E-2</v>
      </c>
      <c r="K162" s="3">
        <f>IF($F162+SUM($F162:J162)&gt;(1-$C$150)*$D162,(1-$C$150)*$D162-SUM($F162:J162),J162)</f>
        <v>8.1187755013349974E-2</v>
      </c>
      <c r="L162" s="3">
        <f>IF($F162+SUM($F162:K162)&gt;(1-$C$150)*$D162,(1-$C$150)*$D162-SUM($F162:K162),K162)</f>
        <v>2.7062585004449968E-2</v>
      </c>
      <c r="M162" s="3">
        <f>IF($F162+SUM($F162:L162)&gt;(1-$C$150)*$D162,(1-$C$150)*$D162-SUM($F162:L162),L162)</f>
        <v>0</v>
      </c>
      <c r="N162" s="3">
        <f>IF($F162+SUM($F162:M162)&gt;(1-$C$150)*$D162,(1-$C$150)*$D162-SUM($F162:M162),M162)</f>
        <v>0</v>
      </c>
      <c r="O162" s="3">
        <f>IF($F162+SUM($F162:N162)&gt;(1-$C$150)*$D162,(1-$C$150)*$D162-SUM($F162:N162),N162)</f>
        <v>0</v>
      </c>
      <c r="P162" s="3">
        <f>IF($F162+SUM($F162:O162)&gt;(1-$C$150)*$D162,(1-$C$150)*$D162-SUM($F162:O162),O162)</f>
        <v>0</v>
      </c>
      <c r="Q162" s="3">
        <f>IF($F162+SUM($F162:P162)&gt;(1-$C$150)*$D162,(1-$C$150)*$D162-SUM($F162:P162),P162)</f>
        <v>0</v>
      </c>
      <c r="R162" s="3">
        <f>IF($F162+SUM($F162:Q162)&gt;(1-$C$150)*$D162,(1-$C$150)*$D162-SUM($F162:Q162),Q162)</f>
        <v>0</v>
      </c>
      <c r="S162" s="3">
        <f>IF($F162+SUM($F162:R162)&gt;(1-$C$150)*$D162,(1-$C$150)*$D162-SUM($F162:R162),R162)</f>
        <v>0</v>
      </c>
      <c r="T162" s="3">
        <f>IF($F162+SUM($F162:S162)&gt;(1-$C$150)*$D162,(1-$C$150)*$D162-SUM($F162:S162),S162)</f>
        <v>0</v>
      </c>
    </row>
    <row r="163" spans="2:28" ht="15" hidden="1" thickBot="1" x14ac:dyDescent="0.35">
      <c r="B163" t="str">
        <f>B145</f>
        <v>IDC</v>
      </c>
      <c r="C163" s="51">
        <v>0.15</v>
      </c>
      <c r="D163" s="3">
        <f ca="1">D78</f>
        <v>3.4026071761470353</v>
      </c>
      <c r="F163" s="3">
        <f ca="1">$D163*$C163</f>
        <v>0.51039107642205528</v>
      </c>
      <c r="G163" s="3">
        <f ca="1">IF($F163+SUM($F163:F163)&gt;(1-$C$150)*$D163,(1-$C$150)*$D163-SUM($F163:F163),F163)</f>
        <v>0.51039107642205528</v>
      </c>
      <c r="H163" s="3">
        <f ca="1">IF($F163+SUM($F163:G163)&gt;(1-$C$150)*$D163,(1-$C$150)*$D163-SUM($F163:G163),G163)</f>
        <v>0.51039107642205528</v>
      </c>
      <c r="I163" s="3">
        <f ca="1">IF($F163+SUM($F163:H163)&gt;(1-$C$150)*$D163,(1-$C$150)*$D163-SUM($F163:H163),H163)</f>
        <v>0.51039107642205528</v>
      </c>
      <c r="J163" s="3">
        <f ca="1">IF($F163+SUM($F163:I163)&gt;(1-$C$150)*$D163,(1-$C$150)*$D163-SUM($F163:I163),I163)</f>
        <v>0.51039107642205528</v>
      </c>
      <c r="K163" s="3">
        <f ca="1">IF($F163+SUM($F163:J163)&gt;(1-$C$150)*$D163,(1-$C$150)*$D163-SUM($F163:J163),J163)</f>
        <v>0.51039107642205528</v>
      </c>
      <c r="L163" s="3">
        <f ca="1">IF($F163+SUM($F163:K163)&gt;(1-$C$150)*$D163,(1-$C$150)*$D163-SUM($F163:K163),K163)</f>
        <v>0.17013035880735217</v>
      </c>
      <c r="M163" s="3">
        <f ca="1">IF($F163+SUM($F163:L163)&gt;(1-$C$150)*$D163,(1-$C$150)*$D163-SUM($F163:L163),L163)</f>
        <v>0</v>
      </c>
      <c r="N163" s="3">
        <f ca="1">IF($F163+SUM($F163:M163)&gt;(1-$C$150)*$D163,(1-$C$150)*$D163-SUM($F163:M163),M163)</f>
        <v>0</v>
      </c>
      <c r="O163" s="3">
        <f ca="1">IF($F163+SUM($F163:N163)&gt;(1-$C$150)*$D163,(1-$C$150)*$D163-SUM($F163:N163),N163)</f>
        <v>0</v>
      </c>
      <c r="P163" s="3">
        <f ca="1">IF($F163+SUM($F163:O163)&gt;(1-$C$150)*$D163,(1-$C$150)*$D163-SUM($F163:O163),O163)</f>
        <v>0</v>
      </c>
      <c r="Q163" s="3">
        <f ca="1">IF($F163+SUM($F163:P163)&gt;(1-$C$150)*$D163,(1-$C$150)*$D163-SUM($F163:P163),P163)</f>
        <v>0</v>
      </c>
      <c r="R163" s="3">
        <f ca="1">IF($F163+SUM($F163:Q163)&gt;(1-$C$150)*$D163,(1-$C$150)*$D163-SUM($F163:Q163),Q163)</f>
        <v>0</v>
      </c>
      <c r="S163" s="3">
        <f ca="1">IF($F163+SUM($F163:R163)&gt;(1-$C$150)*$D163,(1-$C$150)*$D163-SUM($F163:R163),R163)</f>
        <v>0</v>
      </c>
      <c r="T163" s="3">
        <f ca="1">IF($F163+SUM($F163:S163)&gt;(1-$C$150)*$D163,(1-$C$150)*$D163-SUM($F163:S163),S163)</f>
        <v>0</v>
      </c>
    </row>
    <row r="164" spans="2:28" ht="15" hidden="1" thickBot="1" x14ac:dyDescent="0.35">
      <c r="B164" s="7" t="str">
        <f t="shared" ref="B164" si="188">B147</f>
        <v>Total</v>
      </c>
      <c r="C164" s="8"/>
      <c r="D164" s="8"/>
      <c r="E164" s="8"/>
      <c r="F164" s="9">
        <f ca="1">SUM(F151:F163)</f>
        <v>6.3775398569304063</v>
      </c>
      <c r="G164" s="9">
        <f t="shared" ref="G164:T164" ca="1" si="189">SUM(G151:G163)</f>
        <v>6.3775398569304063</v>
      </c>
      <c r="H164" s="9">
        <f t="shared" ca="1" si="189"/>
        <v>6.3775398569304063</v>
      </c>
      <c r="I164" s="9">
        <f t="shared" ca="1" si="189"/>
        <v>6.3775398569304063</v>
      </c>
      <c r="J164" s="9">
        <f t="shared" ca="1" si="189"/>
        <v>6.3775398569304063</v>
      </c>
      <c r="K164" s="9">
        <f t="shared" ca="1" si="189"/>
        <v>6.3775398569304063</v>
      </c>
      <c r="L164" s="9">
        <f t="shared" ca="1" si="189"/>
        <v>2.8403382992968038</v>
      </c>
      <c r="M164" s="9">
        <f t="shared" ca="1" si="189"/>
        <v>0</v>
      </c>
      <c r="N164" s="9">
        <f t="shared" ca="1" si="189"/>
        <v>0</v>
      </c>
      <c r="O164" s="9">
        <f t="shared" ca="1" si="189"/>
        <v>0</v>
      </c>
      <c r="P164" s="9">
        <f t="shared" ca="1" si="189"/>
        <v>0</v>
      </c>
      <c r="Q164" s="9">
        <f t="shared" ca="1" si="189"/>
        <v>0</v>
      </c>
      <c r="R164" s="9">
        <f t="shared" ca="1" si="189"/>
        <v>0</v>
      </c>
      <c r="S164" s="9">
        <f t="shared" ca="1" si="189"/>
        <v>0</v>
      </c>
      <c r="T164" s="9">
        <f t="shared" ca="1" si="189"/>
        <v>0</v>
      </c>
      <c r="U164" s="11"/>
      <c r="V164" s="11"/>
      <c r="W164" s="11"/>
      <c r="X164" s="11"/>
      <c r="Y164" s="11"/>
      <c r="Z164" s="11"/>
      <c r="AA164" s="11"/>
      <c r="AB164" s="48"/>
    </row>
    <row r="165" spans="2:28" ht="15" hidden="1" thickBot="1" x14ac:dyDescent="0.35">
      <c r="B165" s="7" t="s">
        <v>190</v>
      </c>
      <c r="C165" s="8"/>
      <c r="D165" s="8"/>
      <c r="E165" s="8"/>
      <c r="F165" s="9">
        <f ca="1">F164</f>
        <v>6.3775398569304063</v>
      </c>
      <c r="G165" s="9">
        <f ca="1">G164+F165</f>
        <v>12.755079713860813</v>
      </c>
      <c r="H165" s="9">
        <f t="shared" ref="H165:T165" ca="1" si="190">H164+G165</f>
        <v>19.132619570791221</v>
      </c>
      <c r="I165" s="9">
        <f t="shared" ca="1" si="190"/>
        <v>25.510159427721625</v>
      </c>
      <c r="J165" s="9">
        <f t="shared" ca="1" si="190"/>
        <v>31.88769928465203</v>
      </c>
      <c r="K165" s="9">
        <f t="shared" ca="1" si="190"/>
        <v>38.265239141582434</v>
      </c>
      <c r="L165" s="9">
        <f t="shared" ca="1" si="190"/>
        <v>41.105577440879237</v>
      </c>
      <c r="M165" s="9">
        <f t="shared" ca="1" si="190"/>
        <v>41.105577440879237</v>
      </c>
      <c r="N165" s="9">
        <f t="shared" ca="1" si="190"/>
        <v>41.105577440879237</v>
      </c>
      <c r="O165" s="9">
        <f t="shared" ca="1" si="190"/>
        <v>41.105577440879237</v>
      </c>
      <c r="P165" s="9">
        <f t="shared" ca="1" si="190"/>
        <v>41.105577440879237</v>
      </c>
      <c r="Q165" s="9">
        <f t="shared" ca="1" si="190"/>
        <v>41.105577440879237</v>
      </c>
      <c r="R165" s="9">
        <f t="shared" ca="1" si="190"/>
        <v>41.105577440879237</v>
      </c>
      <c r="S165" s="9">
        <f t="shared" ca="1" si="190"/>
        <v>41.105577440879237</v>
      </c>
      <c r="T165" s="9">
        <f t="shared" ca="1" si="190"/>
        <v>41.105577440879237</v>
      </c>
      <c r="U165" s="9">
        <f t="shared" ref="U165" ca="1" si="191">U164+T165</f>
        <v>41.105577440879237</v>
      </c>
      <c r="V165" s="9">
        <f t="shared" ref="V165" ca="1" si="192">V164+U165</f>
        <v>41.105577440879237</v>
      </c>
      <c r="W165" s="9">
        <f t="shared" ref="W165" ca="1" si="193">W164+V165</f>
        <v>41.105577440879237</v>
      </c>
      <c r="X165" s="9">
        <f t="shared" ref="X165" ca="1" si="194">X164+W165</f>
        <v>41.105577440879237</v>
      </c>
      <c r="Y165" s="9">
        <f t="shared" ref="Y165" ca="1" si="195">Y164+X165</f>
        <v>41.105577440879237</v>
      </c>
      <c r="Z165" s="9">
        <f t="shared" ref="Z165" ca="1" si="196">Z164+Y165</f>
        <v>41.105577440879237</v>
      </c>
      <c r="AA165" s="9">
        <f t="shared" ref="AA165" ca="1" si="197">AA164+Z165</f>
        <v>41.105577440879237</v>
      </c>
      <c r="AB165" s="9">
        <f t="shared" ref="AB165" ca="1" si="198">AB164+AA165</f>
        <v>41.105577440879237</v>
      </c>
    </row>
    <row r="166" spans="2:28" hidden="1" x14ac:dyDescent="0.3"/>
    <row r="167" spans="2:28" hidden="1" x14ac:dyDescent="0.3">
      <c r="B167" t="s">
        <v>69</v>
      </c>
      <c r="F167" s="3">
        <f ca="1">F80</f>
        <v>54.166044222211717</v>
      </c>
      <c r="G167" s="3">
        <f ca="1">F169</f>
        <v>47.788504365281675</v>
      </c>
      <c r="H167" s="3">
        <f t="shared" ref="H167:AB167" ca="1" si="199">G169</f>
        <v>41.410964508350851</v>
      </c>
      <c r="I167" s="3">
        <f t="shared" ca="1" si="199"/>
        <v>35.03342465142007</v>
      </c>
      <c r="J167" s="3">
        <f t="shared" ca="1" si="199"/>
        <v>28.655884794489722</v>
      </c>
      <c r="K167" s="3">
        <f t="shared" ca="1" si="199"/>
        <v>22.278344937560114</v>
      </c>
      <c r="L167" s="3">
        <f t="shared" ca="1" si="199"/>
        <v>15.900805080629285</v>
      </c>
      <c r="M167" s="3">
        <f t="shared" ca="1" si="199"/>
        <v>13.060466781332156</v>
      </c>
      <c r="N167" s="3">
        <f t="shared" ca="1" si="199"/>
        <v>13.060466781332252</v>
      </c>
      <c r="O167" s="3">
        <f t="shared" ca="1" si="199"/>
        <v>13.060466781332281</v>
      </c>
      <c r="P167" s="3">
        <f t="shared" ca="1" si="199"/>
        <v>13.060466781331909</v>
      </c>
      <c r="Q167" s="3">
        <f t="shared" ca="1" si="199"/>
        <v>13.060466781331675</v>
      </c>
      <c r="R167" s="3">
        <f t="shared" ca="1" si="199"/>
        <v>13.060466781333352</v>
      </c>
      <c r="S167" s="3">
        <f t="shared" ca="1" si="199"/>
        <v>13.06046678133325</v>
      </c>
      <c r="T167" s="3">
        <f t="shared" ca="1" si="199"/>
        <v>13.060466781332757</v>
      </c>
      <c r="U167" s="3">
        <f t="shared" ca="1" si="199"/>
        <v>13.060466781332689</v>
      </c>
      <c r="V167" s="3">
        <f t="shared" ca="1" si="199"/>
        <v>13.060466781332947</v>
      </c>
      <c r="W167" s="3">
        <f t="shared" ca="1" si="199"/>
        <v>13.060466781332359</v>
      </c>
      <c r="X167" s="3">
        <f t="shared" ca="1" si="199"/>
        <v>13.060466781331964</v>
      </c>
      <c r="Y167" s="3">
        <f t="shared" ca="1" si="199"/>
        <v>13.060466781332085</v>
      </c>
      <c r="Z167" s="3">
        <f t="shared" ca="1" si="199"/>
        <v>13.060466781332904</v>
      </c>
      <c r="AA167" s="3">
        <f t="shared" ca="1" si="199"/>
        <v>13.060466781332481</v>
      </c>
      <c r="AB167" s="3">
        <f t="shared" ca="1" si="199"/>
        <v>13.060466781332156</v>
      </c>
    </row>
    <row r="168" spans="2:28" hidden="1" x14ac:dyDescent="0.3">
      <c r="B168" t="s">
        <v>65</v>
      </c>
      <c r="F168" s="3">
        <f ca="1">F164</f>
        <v>6.3775398569304063</v>
      </c>
      <c r="G168" s="3">
        <f ca="1">G164</f>
        <v>6.3775398569304063</v>
      </c>
      <c r="H168" s="3">
        <f t="shared" ref="H168:AB168" ca="1" si="200">H164</f>
        <v>6.3775398569304063</v>
      </c>
      <c r="I168" s="3">
        <f t="shared" ca="1" si="200"/>
        <v>6.3775398569304063</v>
      </c>
      <c r="J168" s="3">
        <f t="shared" ca="1" si="200"/>
        <v>6.3775398569304063</v>
      </c>
      <c r="K168" s="3">
        <f t="shared" ca="1" si="200"/>
        <v>6.3775398569304063</v>
      </c>
      <c r="L168" s="3">
        <f t="shared" ca="1" si="200"/>
        <v>2.8403382992968038</v>
      </c>
      <c r="M168" s="3">
        <f t="shared" ca="1" si="200"/>
        <v>0</v>
      </c>
      <c r="N168" s="3">
        <f t="shared" ca="1" si="200"/>
        <v>0</v>
      </c>
      <c r="O168" s="3">
        <f t="shared" ca="1" si="200"/>
        <v>0</v>
      </c>
      <c r="P168" s="3">
        <f t="shared" ca="1" si="200"/>
        <v>0</v>
      </c>
      <c r="Q168" s="3">
        <f t="shared" ca="1" si="200"/>
        <v>0</v>
      </c>
      <c r="R168" s="3">
        <f t="shared" ca="1" si="200"/>
        <v>0</v>
      </c>
      <c r="S168" s="3">
        <f t="shared" ca="1" si="200"/>
        <v>0</v>
      </c>
      <c r="T168" s="3">
        <f t="shared" ca="1" si="200"/>
        <v>0</v>
      </c>
      <c r="U168" s="3">
        <f t="shared" si="200"/>
        <v>0</v>
      </c>
      <c r="V168" s="3">
        <f t="shared" si="200"/>
        <v>0</v>
      </c>
      <c r="W168" s="3">
        <f t="shared" si="200"/>
        <v>0</v>
      </c>
      <c r="X168" s="3">
        <f t="shared" si="200"/>
        <v>0</v>
      </c>
      <c r="Y168" s="3">
        <f t="shared" si="200"/>
        <v>0</v>
      </c>
      <c r="Z168" s="3">
        <f t="shared" si="200"/>
        <v>0</v>
      </c>
      <c r="AA168" s="3">
        <f t="shared" si="200"/>
        <v>0</v>
      </c>
      <c r="AB168" s="3">
        <f t="shared" si="200"/>
        <v>0</v>
      </c>
    </row>
    <row r="169" spans="2:28" hidden="1" x14ac:dyDescent="0.3">
      <c r="B169" t="s">
        <v>45</v>
      </c>
      <c r="F169" s="3">
        <f ca="1">F167-F168</f>
        <v>47.788504365281312</v>
      </c>
      <c r="G169" s="3">
        <f ca="1">G167-G168</f>
        <v>41.41096450835127</v>
      </c>
      <c r="H169" s="3">
        <f t="shared" ref="H169:AB169" ca="1" si="201">H167-H168</f>
        <v>35.033424651420447</v>
      </c>
      <c r="I169" s="3">
        <f t="shared" ca="1" si="201"/>
        <v>28.655884794489666</v>
      </c>
      <c r="J169" s="3">
        <f t="shared" ca="1" si="201"/>
        <v>22.278344937559318</v>
      </c>
      <c r="K169" s="3">
        <f t="shared" ca="1" si="201"/>
        <v>15.900805080629707</v>
      </c>
      <c r="L169" s="3">
        <f t="shared" ca="1" si="201"/>
        <v>13.060466781332481</v>
      </c>
      <c r="M169" s="3">
        <f t="shared" ca="1" si="201"/>
        <v>13.060466781332156</v>
      </c>
      <c r="N169" s="3">
        <f t="shared" ca="1" si="201"/>
        <v>13.060466781332252</v>
      </c>
      <c r="O169" s="3">
        <f t="shared" ca="1" si="201"/>
        <v>13.060466781332281</v>
      </c>
      <c r="P169" s="3">
        <f t="shared" ca="1" si="201"/>
        <v>13.060466781331909</v>
      </c>
      <c r="Q169" s="3">
        <f t="shared" ca="1" si="201"/>
        <v>13.060466781331675</v>
      </c>
      <c r="R169" s="3">
        <f t="shared" ca="1" si="201"/>
        <v>13.060466781333352</v>
      </c>
      <c r="S169" s="3">
        <f t="shared" ca="1" si="201"/>
        <v>13.06046678133325</v>
      </c>
      <c r="T169" s="3">
        <f ca="1">T167-T168</f>
        <v>13.060466781332757</v>
      </c>
      <c r="U169" s="3">
        <f t="shared" ca="1" si="201"/>
        <v>13.060466781332689</v>
      </c>
      <c r="V169" s="3">
        <f t="shared" ca="1" si="201"/>
        <v>13.060466781332947</v>
      </c>
      <c r="W169" s="3">
        <f t="shared" ca="1" si="201"/>
        <v>13.060466781332359</v>
      </c>
      <c r="X169" s="3">
        <f t="shared" ca="1" si="201"/>
        <v>13.060466781331964</v>
      </c>
      <c r="Y169" s="3">
        <f t="shared" ca="1" si="201"/>
        <v>13.060466781332085</v>
      </c>
      <c r="Z169" s="3">
        <f t="shared" ca="1" si="201"/>
        <v>13.060466781332904</v>
      </c>
      <c r="AA169" s="3">
        <f t="shared" ca="1" si="201"/>
        <v>13.060466781332481</v>
      </c>
      <c r="AB169" s="3">
        <f t="shared" ca="1" si="201"/>
        <v>13.060466781332156</v>
      </c>
    </row>
    <row r="171" spans="2:28" ht="18" x14ac:dyDescent="0.35">
      <c r="B171" s="95" t="s">
        <v>451</v>
      </c>
    </row>
    <row r="172" spans="2:28" ht="18" x14ac:dyDescent="0.35">
      <c r="B172" s="95" t="s">
        <v>452</v>
      </c>
    </row>
    <row r="173" spans="2:28" x14ac:dyDescent="0.3">
      <c r="B173" t="str">
        <f t="shared" ref="B173:B181" si="202">B150</f>
        <v>ASRS</v>
      </c>
    </row>
    <row r="174" spans="2:28" x14ac:dyDescent="0.3">
      <c r="B174" t="str">
        <f t="shared" si="202"/>
        <v xml:space="preserve">   Racking system</v>
      </c>
      <c r="C174" s="22">
        <v>0.15</v>
      </c>
      <c r="D174" s="3">
        <f>D151</f>
        <v>15.041930112000001</v>
      </c>
      <c r="F174" s="3">
        <f>D174</f>
        <v>15.041930112000001</v>
      </c>
      <c r="G174" s="3">
        <f t="shared" ref="G174:H181" si="203">F242</f>
        <v>12.7856405952</v>
      </c>
      <c r="H174" s="3">
        <f t="shared" si="203"/>
        <v>10.867794505920001</v>
      </c>
      <c r="I174" s="3">
        <f t="shared" ref="I174:AB174" si="204">H242</f>
        <v>9.2376253300320013</v>
      </c>
      <c r="J174" s="3">
        <f t="shared" si="204"/>
        <v>7.8519815305272012</v>
      </c>
      <c r="K174" s="3">
        <f t="shared" si="204"/>
        <v>6.674184300948121</v>
      </c>
      <c r="L174" s="3">
        <f t="shared" si="204"/>
        <v>5.6730566558059028</v>
      </c>
      <c r="M174" s="3">
        <f t="shared" si="204"/>
        <v>4.8220981574350175</v>
      </c>
      <c r="N174" s="3">
        <f t="shared" si="204"/>
        <v>4.0987834338197651</v>
      </c>
      <c r="O174" s="3">
        <f t="shared" si="204"/>
        <v>4.0987834338197651</v>
      </c>
      <c r="P174" s="3">
        <f t="shared" si="204"/>
        <v>4.0987834338197651</v>
      </c>
      <c r="Q174" s="3">
        <f t="shared" si="204"/>
        <v>4.0987834338197651</v>
      </c>
      <c r="R174" s="3">
        <f t="shared" si="204"/>
        <v>4.0987834338197651</v>
      </c>
      <c r="S174" s="3">
        <f t="shared" si="204"/>
        <v>4.0987834338197651</v>
      </c>
      <c r="T174" s="3">
        <f t="shared" si="204"/>
        <v>4.0987834338197651</v>
      </c>
      <c r="U174" s="3">
        <f t="shared" si="204"/>
        <v>4.0987834338197651</v>
      </c>
      <c r="V174" s="3">
        <f t="shared" si="204"/>
        <v>4.0987834338197651</v>
      </c>
      <c r="W174" s="3">
        <f t="shared" si="204"/>
        <v>4.0987834338197651</v>
      </c>
      <c r="X174" s="3">
        <f t="shared" si="204"/>
        <v>4.0987834338197651</v>
      </c>
      <c r="Y174" s="3">
        <f t="shared" si="204"/>
        <v>4.0987834338197651</v>
      </c>
      <c r="Z174" s="3">
        <f t="shared" si="204"/>
        <v>4.0987834338197651</v>
      </c>
      <c r="AA174" s="3">
        <f t="shared" si="204"/>
        <v>4.0987834338197651</v>
      </c>
      <c r="AB174" s="3">
        <f t="shared" si="204"/>
        <v>4.0987834338197651</v>
      </c>
    </row>
    <row r="175" spans="2:28" x14ac:dyDescent="0.3">
      <c r="B175" t="str">
        <f t="shared" si="202"/>
        <v xml:space="preserve">   Cladding for high bay</v>
      </c>
      <c r="C175" s="22">
        <v>0.15</v>
      </c>
      <c r="D175" s="3">
        <f t="shared" ref="D175:D181" si="205">D152</f>
        <v>1.4159999999999999</v>
      </c>
      <c r="F175" s="3">
        <f t="shared" ref="F175:F201" si="206">D175</f>
        <v>1.4159999999999999</v>
      </c>
      <c r="G175" s="3">
        <f t="shared" si="203"/>
        <v>1.2036</v>
      </c>
      <c r="H175" s="3">
        <f t="shared" si="203"/>
        <v>1.0230600000000001</v>
      </c>
      <c r="I175" s="3">
        <f t="shared" ref="I175:AB175" si="207">H243</f>
        <v>0.86960100000000007</v>
      </c>
      <c r="J175" s="3">
        <f t="shared" si="207"/>
        <v>0.73916085000000009</v>
      </c>
      <c r="K175" s="3">
        <f t="shared" si="207"/>
        <v>0.62828672250000006</v>
      </c>
      <c r="L175" s="3">
        <f t="shared" si="207"/>
        <v>0.53404371412500007</v>
      </c>
      <c r="M175" s="3">
        <f t="shared" si="207"/>
        <v>0.45393715700625004</v>
      </c>
      <c r="N175" s="3">
        <f t="shared" si="207"/>
        <v>0.38584658345531253</v>
      </c>
      <c r="O175" s="3">
        <f t="shared" si="207"/>
        <v>0.38584658345531253</v>
      </c>
      <c r="P175" s="3">
        <f t="shared" si="207"/>
        <v>0.38584658345531253</v>
      </c>
      <c r="Q175" s="3">
        <f t="shared" si="207"/>
        <v>0.38584658345531253</v>
      </c>
      <c r="R175" s="3">
        <f t="shared" si="207"/>
        <v>0.38584658345531253</v>
      </c>
      <c r="S175" s="3">
        <f t="shared" si="207"/>
        <v>0.38584658345531253</v>
      </c>
      <c r="T175" s="3">
        <f t="shared" si="207"/>
        <v>0.38584658345531253</v>
      </c>
      <c r="U175" s="3">
        <f t="shared" si="207"/>
        <v>0.38584658345531253</v>
      </c>
      <c r="V175" s="3">
        <f t="shared" si="207"/>
        <v>0.38584658345531253</v>
      </c>
      <c r="W175" s="3">
        <f t="shared" si="207"/>
        <v>0.38584658345531253</v>
      </c>
      <c r="X175" s="3">
        <f t="shared" si="207"/>
        <v>0.38584658345531253</v>
      </c>
      <c r="Y175" s="3">
        <f t="shared" si="207"/>
        <v>0.38584658345531253</v>
      </c>
      <c r="Z175" s="3">
        <f t="shared" si="207"/>
        <v>0.38584658345531253</v>
      </c>
      <c r="AA175" s="3">
        <f t="shared" si="207"/>
        <v>0.38584658345531253</v>
      </c>
      <c r="AB175" s="3">
        <f t="shared" si="207"/>
        <v>0.38584658345531253</v>
      </c>
    </row>
    <row r="176" spans="2:28" x14ac:dyDescent="0.3">
      <c r="B176" t="str">
        <f t="shared" si="202"/>
        <v xml:space="preserve">   Double deep Stacker crane</v>
      </c>
      <c r="C176" s="22">
        <v>0.15</v>
      </c>
      <c r="D176" s="3">
        <f t="shared" si="205"/>
        <v>6.5254000000000012</v>
      </c>
      <c r="F176" s="3">
        <f t="shared" si="206"/>
        <v>6.5254000000000012</v>
      </c>
      <c r="G176" s="3">
        <f t="shared" si="203"/>
        <v>5.546590000000001</v>
      </c>
      <c r="H176" s="3">
        <f t="shared" si="203"/>
        <v>4.7146015000000006</v>
      </c>
      <c r="I176" s="3">
        <f t="shared" ref="I176:AB176" si="208">H244</f>
        <v>4.0074112750000008</v>
      </c>
      <c r="J176" s="3">
        <f t="shared" si="208"/>
        <v>3.406299583750001</v>
      </c>
      <c r="K176" s="3">
        <f t="shared" si="208"/>
        <v>2.895354646187501</v>
      </c>
      <c r="L176" s="3">
        <f t="shared" si="208"/>
        <v>2.4610514492593758</v>
      </c>
      <c r="M176" s="3">
        <f t="shared" si="208"/>
        <v>2.0918937318704693</v>
      </c>
      <c r="N176" s="3">
        <f t="shared" si="208"/>
        <v>1.778109672089899</v>
      </c>
      <c r="O176" s="3">
        <f t="shared" si="208"/>
        <v>1.778109672089899</v>
      </c>
      <c r="P176" s="3">
        <f t="shared" si="208"/>
        <v>1.778109672089899</v>
      </c>
      <c r="Q176" s="3">
        <f t="shared" si="208"/>
        <v>1.778109672089899</v>
      </c>
      <c r="R176" s="3">
        <f t="shared" si="208"/>
        <v>1.778109672089899</v>
      </c>
      <c r="S176" s="3">
        <f t="shared" si="208"/>
        <v>1.778109672089899</v>
      </c>
      <c r="T176" s="3">
        <f t="shared" si="208"/>
        <v>1.778109672089899</v>
      </c>
      <c r="U176" s="3">
        <f t="shared" si="208"/>
        <v>1.778109672089899</v>
      </c>
      <c r="V176" s="3">
        <f t="shared" si="208"/>
        <v>1.778109672089899</v>
      </c>
      <c r="W176" s="3">
        <f t="shared" si="208"/>
        <v>1.778109672089899</v>
      </c>
      <c r="X176" s="3">
        <f t="shared" si="208"/>
        <v>1.778109672089899</v>
      </c>
      <c r="Y176" s="3">
        <f t="shared" si="208"/>
        <v>1.778109672089899</v>
      </c>
      <c r="Z176" s="3">
        <f t="shared" si="208"/>
        <v>1.778109672089899</v>
      </c>
      <c r="AA176" s="3">
        <f t="shared" si="208"/>
        <v>1.778109672089899</v>
      </c>
      <c r="AB176" s="3">
        <f t="shared" si="208"/>
        <v>1.778109672089899</v>
      </c>
    </row>
    <row r="177" spans="2:28" x14ac:dyDescent="0.3">
      <c r="B177" t="str">
        <f t="shared" si="202"/>
        <v xml:space="preserve">   Bottom Rail with aisle accessories</v>
      </c>
      <c r="C177" s="22">
        <v>0.15</v>
      </c>
      <c r="D177" s="3">
        <f t="shared" si="205"/>
        <v>1.5871925120000001</v>
      </c>
      <c r="F177" s="3">
        <f t="shared" si="206"/>
        <v>1.5871925120000001</v>
      </c>
      <c r="G177" s="3">
        <f t="shared" si="203"/>
        <v>1.3491136352000002</v>
      </c>
      <c r="H177" s="3">
        <f t="shared" si="203"/>
        <v>1.1467465899200002</v>
      </c>
      <c r="I177" s="3">
        <f t="shared" ref="I177:AB177" si="209">H245</f>
        <v>0.97473460143200019</v>
      </c>
      <c r="J177" s="3">
        <f t="shared" si="209"/>
        <v>0.82852441121720011</v>
      </c>
      <c r="K177" s="3">
        <f t="shared" si="209"/>
        <v>0.70424574953462016</v>
      </c>
      <c r="L177" s="3">
        <f t="shared" si="209"/>
        <v>0.59860888710442717</v>
      </c>
      <c r="M177" s="3">
        <f t="shared" si="209"/>
        <v>0.50881755403876305</v>
      </c>
      <c r="N177" s="3">
        <f t="shared" si="209"/>
        <v>0.43249492093294861</v>
      </c>
      <c r="O177" s="3">
        <f t="shared" si="209"/>
        <v>0.43249492093294861</v>
      </c>
      <c r="P177" s="3">
        <f t="shared" si="209"/>
        <v>0.43249492093294861</v>
      </c>
      <c r="Q177" s="3">
        <f t="shared" si="209"/>
        <v>0.43249492093294861</v>
      </c>
      <c r="R177" s="3">
        <f t="shared" si="209"/>
        <v>0.43249492093294861</v>
      </c>
      <c r="S177" s="3">
        <f t="shared" si="209"/>
        <v>0.43249492093294861</v>
      </c>
      <c r="T177" s="3">
        <f t="shared" si="209"/>
        <v>0.43249492093294861</v>
      </c>
      <c r="U177" s="3">
        <f t="shared" si="209"/>
        <v>0.43249492093294861</v>
      </c>
      <c r="V177" s="3">
        <f t="shared" si="209"/>
        <v>0.43249492093294861</v>
      </c>
      <c r="W177" s="3">
        <f t="shared" si="209"/>
        <v>0.43249492093294861</v>
      </c>
      <c r="X177" s="3">
        <f t="shared" si="209"/>
        <v>0.43249492093294861</v>
      </c>
      <c r="Y177" s="3">
        <f t="shared" si="209"/>
        <v>0.43249492093294861</v>
      </c>
      <c r="Z177" s="3">
        <f t="shared" si="209"/>
        <v>0.43249492093294861</v>
      </c>
      <c r="AA177" s="3">
        <f t="shared" si="209"/>
        <v>0.43249492093294861</v>
      </c>
      <c r="AB177" s="3">
        <f t="shared" si="209"/>
        <v>0.43249492093294861</v>
      </c>
    </row>
    <row r="178" spans="2:28" x14ac:dyDescent="0.3">
      <c r="B178" t="str">
        <f t="shared" si="202"/>
        <v xml:space="preserve">   Conveyor system</v>
      </c>
      <c r="C178" s="22">
        <v>0.15</v>
      </c>
      <c r="D178" s="3">
        <f t="shared" si="205"/>
        <v>1.7582000000000002</v>
      </c>
      <c r="F178" s="3">
        <f t="shared" si="206"/>
        <v>1.7582000000000002</v>
      </c>
      <c r="G178" s="3">
        <f t="shared" si="203"/>
        <v>1.4944700000000002</v>
      </c>
      <c r="H178" s="3">
        <f t="shared" si="203"/>
        <v>1.2702995000000001</v>
      </c>
      <c r="I178" s="3">
        <f t="shared" ref="I178:AB178" si="210">H246</f>
        <v>1.0797545750000002</v>
      </c>
      <c r="J178" s="3">
        <f t="shared" si="210"/>
        <v>0.9177913887500001</v>
      </c>
      <c r="K178" s="3">
        <f t="shared" si="210"/>
        <v>0.7801226804375001</v>
      </c>
      <c r="L178" s="3">
        <f t="shared" si="210"/>
        <v>0.66310427837187513</v>
      </c>
      <c r="M178" s="3">
        <f t="shared" si="210"/>
        <v>0.56363863661609392</v>
      </c>
      <c r="N178" s="3">
        <f t="shared" si="210"/>
        <v>0.47909284112367984</v>
      </c>
      <c r="O178" s="3">
        <f t="shared" si="210"/>
        <v>0.47909284112367984</v>
      </c>
      <c r="P178" s="3">
        <f t="shared" si="210"/>
        <v>0.47909284112367984</v>
      </c>
      <c r="Q178" s="3">
        <f t="shared" si="210"/>
        <v>0.47909284112367984</v>
      </c>
      <c r="R178" s="3">
        <f t="shared" si="210"/>
        <v>0.47909284112367984</v>
      </c>
      <c r="S178" s="3">
        <f t="shared" si="210"/>
        <v>0.47909284112367984</v>
      </c>
      <c r="T178" s="3">
        <f t="shared" si="210"/>
        <v>0.47909284112367984</v>
      </c>
      <c r="U178" s="3">
        <f t="shared" si="210"/>
        <v>0.47909284112367984</v>
      </c>
      <c r="V178" s="3">
        <f t="shared" si="210"/>
        <v>0.47909284112367984</v>
      </c>
      <c r="W178" s="3">
        <f t="shared" si="210"/>
        <v>0.47909284112367984</v>
      </c>
      <c r="X178" s="3">
        <f t="shared" si="210"/>
        <v>0.47909284112367984</v>
      </c>
      <c r="Y178" s="3">
        <f t="shared" si="210"/>
        <v>0.47909284112367984</v>
      </c>
      <c r="Z178" s="3">
        <f t="shared" si="210"/>
        <v>0.47909284112367984</v>
      </c>
      <c r="AA178" s="3">
        <f t="shared" si="210"/>
        <v>0.47909284112367984</v>
      </c>
      <c r="AB178" s="3">
        <f t="shared" si="210"/>
        <v>0.47909284112367984</v>
      </c>
    </row>
    <row r="179" spans="2:28" x14ac:dyDescent="0.3">
      <c r="B179" t="str">
        <f t="shared" si="202"/>
        <v xml:space="preserve">   Critical spares</v>
      </c>
      <c r="C179" s="22">
        <v>0.15</v>
      </c>
      <c r="D179" s="3">
        <f t="shared" si="205"/>
        <v>0.33040000000000003</v>
      </c>
      <c r="F179" s="3">
        <f t="shared" si="206"/>
        <v>0.33040000000000003</v>
      </c>
      <c r="G179" s="3">
        <f t="shared" si="203"/>
        <v>0.28084000000000003</v>
      </c>
      <c r="H179" s="3">
        <f t="shared" si="203"/>
        <v>0.23871400000000004</v>
      </c>
      <c r="I179" s="3">
        <f t="shared" ref="I179:AB179" si="211">H247</f>
        <v>0.20290690000000003</v>
      </c>
      <c r="J179" s="3">
        <f t="shared" si="211"/>
        <v>0.17247086500000003</v>
      </c>
      <c r="K179" s="3">
        <f t="shared" si="211"/>
        <v>0.14660023525000002</v>
      </c>
      <c r="L179" s="3">
        <f t="shared" si="211"/>
        <v>0.12461019996250002</v>
      </c>
      <c r="M179" s="3">
        <f t="shared" si="211"/>
        <v>0.10591866996812502</v>
      </c>
      <c r="N179" s="3">
        <f t="shared" si="211"/>
        <v>9.0030869472906269E-2</v>
      </c>
      <c r="O179" s="3">
        <f t="shared" si="211"/>
        <v>9.0030869472906269E-2</v>
      </c>
      <c r="P179" s="3">
        <f t="shared" si="211"/>
        <v>9.0030869472906269E-2</v>
      </c>
      <c r="Q179" s="3">
        <f t="shared" si="211"/>
        <v>9.0030869472906269E-2</v>
      </c>
      <c r="R179" s="3">
        <f t="shared" si="211"/>
        <v>9.0030869472906269E-2</v>
      </c>
      <c r="S179" s="3">
        <f t="shared" si="211"/>
        <v>9.0030869472906269E-2</v>
      </c>
      <c r="T179" s="3">
        <f t="shared" si="211"/>
        <v>9.0030869472906269E-2</v>
      </c>
      <c r="U179" s="3">
        <f t="shared" si="211"/>
        <v>9.0030869472906269E-2</v>
      </c>
      <c r="V179" s="3">
        <f t="shared" si="211"/>
        <v>9.0030869472906269E-2</v>
      </c>
      <c r="W179" s="3">
        <f t="shared" si="211"/>
        <v>9.0030869472906269E-2</v>
      </c>
      <c r="X179" s="3">
        <f t="shared" si="211"/>
        <v>9.0030869472906269E-2</v>
      </c>
      <c r="Y179" s="3">
        <f t="shared" si="211"/>
        <v>9.0030869472906269E-2</v>
      </c>
      <c r="Z179" s="3">
        <f t="shared" si="211"/>
        <v>9.0030869472906269E-2</v>
      </c>
      <c r="AA179" s="3">
        <f t="shared" si="211"/>
        <v>9.0030869472906269E-2</v>
      </c>
      <c r="AB179" s="3">
        <f t="shared" si="211"/>
        <v>9.0030869472906269E-2</v>
      </c>
    </row>
    <row r="180" spans="2:28" x14ac:dyDescent="0.3">
      <c r="B180" t="str">
        <f t="shared" si="202"/>
        <v xml:space="preserve">   Metal pallets</v>
      </c>
      <c r="C180" s="22">
        <v>0.15</v>
      </c>
      <c r="D180" s="3">
        <f t="shared" si="205"/>
        <v>9.4815360000000002</v>
      </c>
      <c r="F180" s="3">
        <f t="shared" si="206"/>
        <v>9.4815360000000002</v>
      </c>
      <c r="G180" s="3">
        <f t="shared" si="203"/>
        <v>8.0593056000000001</v>
      </c>
      <c r="H180" s="3">
        <f t="shared" si="203"/>
        <v>6.8504097599999998</v>
      </c>
      <c r="I180" s="3">
        <f t="shared" ref="I180:AB180" si="212">H248</f>
        <v>5.8228482960000001</v>
      </c>
      <c r="J180" s="3">
        <f t="shared" si="212"/>
        <v>4.9494210515999999</v>
      </c>
      <c r="K180" s="3">
        <f t="shared" si="212"/>
        <v>4.2070078938600002</v>
      </c>
      <c r="L180" s="3">
        <f t="shared" si="212"/>
        <v>3.5759567097810003</v>
      </c>
      <c r="M180" s="3">
        <f t="shared" si="212"/>
        <v>3.0395632033138504</v>
      </c>
      <c r="N180" s="3">
        <f t="shared" si="212"/>
        <v>2.5836287228167727</v>
      </c>
      <c r="O180" s="3">
        <f t="shared" si="212"/>
        <v>2.5836287228167727</v>
      </c>
      <c r="P180" s="3">
        <f t="shared" si="212"/>
        <v>2.5836287228167727</v>
      </c>
      <c r="Q180" s="3">
        <f t="shared" si="212"/>
        <v>2.5836287228167727</v>
      </c>
      <c r="R180" s="3">
        <f t="shared" si="212"/>
        <v>2.5836287228167727</v>
      </c>
      <c r="S180" s="3">
        <f t="shared" si="212"/>
        <v>2.5836287228167727</v>
      </c>
      <c r="T180" s="3">
        <f t="shared" si="212"/>
        <v>2.5836287228167727</v>
      </c>
      <c r="U180" s="3">
        <f t="shared" si="212"/>
        <v>2.5836287228167727</v>
      </c>
      <c r="V180" s="3">
        <f t="shared" si="212"/>
        <v>2.5836287228167727</v>
      </c>
      <c r="W180" s="3">
        <f t="shared" si="212"/>
        <v>2.5836287228167727</v>
      </c>
      <c r="X180" s="3">
        <f t="shared" si="212"/>
        <v>2.5836287228167727</v>
      </c>
      <c r="Y180" s="3">
        <f t="shared" si="212"/>
        <v>2.5836287228167727</v>
      </c>
      <c r="Z180" s="3">
        <f t="shared" si="212"/>
        <v>2.5836287228167727</v>
      </c>
      <c r="AA180" s="3">
        <f t="shared" si="212"/>
        <v>2.5836287228167727</v>
      </c>
      <c r="AB180" s="3">
        <f t="shared" si="212"/>
        <v>2.5836287228167727</v>
      </c>
    </row>
    <row r="181" spans="2:28" x14ac:dyDescent="0.3">
      <c r="B181" t="str">
        <f t="shared" si="202"/>
        <v xml:space="preserve">   Discount</v>
      </c>
      <c r="C181" s="22">
        <v>0.15</v>
      </c>
      <c r="D181" s="3">
        <f t="shared" si="205"/>
        <v>-3.2658623999999997E-2</v>
      </c>
      <c r="F181" s="3">
        <f t="shared" si="206"/>
        <v>-3.2658623999999997E-2</v>
      </c>
      <c r="G181" s="3">
        <f t="shared" si="203"/>
        <v>-3.2658623999999997E-2</v>
      </c>
      <c r="H181" s="3">
        <f t="shared" si="203"/>
        <v>-3.2658623999999997E-2</v>
      </c>
      <c r="I181" s="3">
        <f t="shared" ref="I181:AB181" si="213">H249</f>
        <v>-3.2658623999999997E-2</v>
      </c>
      <c r="J181" s="3">
        <f t="shared" si="213"/>
        <v>-3.2658623999999997E-2</v>
      </c>
      <c r="K181" s="3">
        <f t="shared" si="213"/>
        <v>-3.2658623999999997E-2</v>
      </c>
      <c r="L181" s="3">
        <f t="shared" si="213"/>
        <v>-3.2658623999999997E-2</v>
      </c>
      <c r="M181" s="3">
        <f t="shared" si="213"/>
        <v>-3.2658623999999997E-2</v>
      </c>
      <c r="N181" s="3">
        <f t="shared" si="213"/>
        <v>-3.2658623999999997E-2</v>
      </c>
      <c r="O181" s="3">
        <f t="shared" si="213"/>
        <v>-3.2658623999999997E-2</v>
      </c>
      <c r="P181" s="3">
        <f t="shared" si="213"/>
        <v>-3.2658623999999997E-2</v>
      </c>
      <c r="Q181" s="3">
        <f t="shared" si="213"/>
        <v>-3.2658623999999997E-2</v>
      </c>
      <c r="R181" s="3">
        <f t="shared" si="213"/>
        <v>-3.2658623999999997E-2</v>
      </c>
      <c r="S181" s="3">
        <f t="shared" si="213"/>
        <v>-3.2658623999999997E-2</v>
      </c>
      <c r="T181" s="3">
        <f t="shared" si="213"/>
        <v>-3.2658623999999997E-2</v>
      </c>
      <c r="U181" s="3">
        <f t="shared" si="213"/>
        <v>-3.2658623999999997E-2</v>
      </c>
      <c r="V181" s="3">
        <f t="shared" si="213"/>
        <v>-3.2658623999999997E-2</v>
      </c>
      <c r="W181" s="3">
        <f t="shared" si="213"/>
        <v>-3.2658623999999997E-2</v>
      </c>
      <c r="X181" s="3">
        <f t="shared" si="213"/>
        <v>-3.2658623999999997E-2</v>
      </c>
      <c r="Y181" s="3">
        <f t="shared" si="213"/>
        <v>-3.2658623999999997E-2</v>
      </c>
      <c r="Z181" s="3">
        <f t="shared" si="213"/>
        <v>-3.2658623999999997E-2</v>
      </c>
      <c r="AA181" s="3">
        <f t="shared" si="213"/>
        <v>-3.2658623999999997E-2</v>
      </c>
      <c r="AB181" s="3">
        <f t="shared" si="213"/>
        <v>-3.2658623999999997E-2</v>
      </c>
    </row>
    <row r="182" spans="2:28" x14ac:dyDescent="0.3">
      <c r="B182" t="str">
        <f t="shared" ref="B182:B196" si="214">B126</f>
        <v>Civil Cost</v>
      </c>
      <c r="C182" s="22"/>
      <c r="D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2:28" x14ac:dyDescent="0.3">
      <c r="B183" s="293" t="str">
        <f t="shared" si="214"/>
        <v>Earthworks and soiling</v>
      </c>
      <c r="C183" s="22">
        <v>0.15</v>
      </c>
      <c r="D183" s="3">
        <f>'Project Capex'!D49</f>
        <v>1.593</v>
      </c>
      <c r="F183" s="3">
        <f t="shared" ref="F183" si="215">D183</f>
        <v>1.593</v>
      </c>
      <c r="G183" s="3">
        <f t="shared" ref="G183:H197" si="216">F251</f>
        <v>1.35405</v>
      </c>
      <c r="H183" s="3">
        <f t="shared" si="216"/>
        <v>1.1509425</v>
      </c>
      <c r="I183" s="3">
        <f t="shared" ref="I183:I197" si="217">H251</f>
        <v>0.97830112499999999</v>
      </c>
      <c r="J183" s="3">
        <f t="shared" ref="J183:J197" si="218">I251</f>
        <v>0.83155595625000001</v>
      </c>
      <c r="K183" s="3">
        <f t="shared" ref="K183:K197" si="219">J251</f>
        <v>0.7068225628125</v>
      </c>
      <c r="L183" s="3">
        <f t="shared" ref="L183:L197" si="220">K251</f>
        <v>0.60079917839062502</v>
      </c>
      <c r="M183" s="3">
        <f t="shared" ref="M183:M197" si="221">L251</f>
        <v>0.51067930163203124</v>
      </c>
      <c r="N183" s="3">
        <f t="shared" ref="N183:N197" si="222">M251</f>
        <v>0.43407740638722658</v>
      </c>
      <c r="O183" s="3">
        <f t="shared" ref="O183:O197" si="223">N251</f>
        <v>0.43407740638722658</v>
      </c>
      <c r="P183" s="3">
        <f t="shared" ref="P183:P197" si="224">O251</f>
        <v>0.43407740638722658</v>
      </c>
      <c r="Q183" s="3">
        <f t="shared" ref="Q183:Q197" si="225">P251</f>
        <v>0.43407740638722658</v>
      </c>
      <c r="R183" s="3">
        <f t="shared" ref="R183:R197" si="226">Q251</f>
        <v>0.43407740638722658</v>
      </c>
      <c r="S183" s="3">
        <f t="shared" ref="S183:S197" si="227">R251</f>
        <v>0.43407740638722658</v>
      </c>
      <c r="T183" s="3">
        <f t="shared" ref="T183:T197" si="228">S251</f>
        <v>0.43407740638722658</v>
      </c>
      <c r="U183" s="3">
        <f t="shared" ref="U183:U197" si="229">T251</f>
        <v>0.43407740638722658</v>
      </c>
      <c r="V183" s="3">
        <f t="shared" ref="V183:V197" si="230">U251</f>
        <v>0.43407740638722658</v>
      </c>
      <c r="W183" s="3">
        <f t="shared" ref="W183:W197" si="231">V251</f>
        <v>0.43407740638722658</v>
      </c>
      <c r="X183" s="3">
        <f t="shared" ref="X183:X197" si="232">W251</f>
        <v>0.43407740638722658</v>
      </c>
      <c r="Y183" s="3">
        <f t="shared" ref="Y183:Y197" si="233">X251</f>
        <v>0.43407740638722658</v>
      </c>
      <c r="Z183" s="3">
        <f t="shared" ref="Z183:Z197" si="234">Y251</f>
        <v>0.43407740638722658</v>
      </c>
      <c r="AA183" s="3">
        <f t="shared" ref="AA183:AA197" si="235">Z251</f>
        <v>0.43407740638722658</v>
      </c>
      <c r="AB183" s="3">
        <f t="shared" ref="AB183:AB197" si="236">AA251</f>
        <v>0.43407740638722658</v>
      </c>
    </row>
    <row r="184" spans="2:28" x14ac:dyDescent="0.3">
      <c r="B184" s="293" t="str">
        <f t="shared" si="214"/>
        <v>PCC works</v>
      </c>
      <c r="C184" s="22">
        <v>0.15</v>
      </c>
      <c r="D184" s="3">
        <f>'Project Capex'!D50</f>
        <v>0.53100000000000003</v>
      </c>
      <c r="F184" s="3">
        <f t="shared" ref="F184:F197" si="237">D184</f>
        <v>0.53100000000000003</v>
      </c>
      <c r="G184" s="3">
        <f t="shared" si="216"/>
        <v>0.45135000000000003</v>
      </c>
      <c r="H184" s="3">
        <f t="shared" si="216"/>
        <v>0.38364750000000003</v>
      </c>
      <c r="I184" s="3">
        <f t="shared" si="217"/>
        <v>0.326100375</v>
      </c>
      <c r="J184" s="3">
        <f t="shared" si="218"/>
        <v>0.27718531875000002</v>
      </c>
      <c r="K184" s="3">
        <f t="shared" si="219"/>
        <v>0.23560752093750001</v>
      </c>
      <c r="L184" s="3">
        <f t="shared" si="220"/>
        <v>0.20026639279687503</v>
      </c>
      <c r="M184" s="3">
        <f t="shared" si="221"/>
        <v>0.17022643387734376</v>
      </c>
      <c r="N184" s="3">
        <f t="shared" si="222"/>
        <v>0.14469246879574221</v>
      </c>
      <c r="O184" s="3">
        <f t="shared" si="223"/>
        <v>0.14469246879574221</v>
      </c>
      <c r="P184" s="3">
        <f t="shared" si="224"/>
        <v>0.14469246879574221</v>
      </c>
      <c r="Q184" s="3">
        <f t="shared" si="225"/>
        <v>0.14469246879574221</v>
      </c>
      <c r="R184" s="3">
        <f t="shared" si="226"/>
        <v>0.14469246879574221</v>
      </c>
      <c r="S184" s="3">
        <f t="shared" si="227"/>
        <v>0.14469246879574221</v>
      </c>
      <c r="T184" s="3">
        <f t="shared" si="228"/>
        <v>0.14469246879574221</v>
      </c>
      <c r="U184" s="3">
        <f t="shared" si="229"/>
        <v>0.14469246879574221</v>
      </c>
      <c r="V184" s="3">
        <f t="shared" si="230"/>
        <v>0.14469246879574221</v>
      </c>
      <c r="W184" s="3">
        <f t="shared" si="231"/>
        <v>0.14469246879574221</v>
      </c>
      <c r="X184" s="3">
        <f t="shared" si="232"/>
        <v>0.14469246879574221</v>
      </c>
      <c r="Y184" s="3">
        <f t="shared" si="233"/>
        <v>0.14469246879574221</v>
      </c>
      <c r="Z184" s="3">
        <f t="shared" si="234"/>
        <v>0.14469246879574221</v>
      </c>
      <c r="AA184" s="3">
        <f t="shared" si="235"/>
        <v>0.14469246879574221</v>
      </c>
      <c r="AB184" s="3">
        <f t="shared" si="236"/>
        <v>0.14469246879574221</v>
      </c>
    </row>
    <row r="185" spans="2:28" x14ac:dyDescent="0.3">
      <c r="B185" s="293" t="str">
        <f t="shared" si="214"/>
        <v>RCC works</v>
      </c>
      <c r="C185" s="22">
        <v>0.15</v>
      </c>
      <c r="D185" s="3">
        <f>'Project Capex'!D51</f>
        <v>3.54</v>
      </c>
      <c r="F185" s="3">
        <f t="shared" si="237"/>
        <v>3.54</v>
      </c>
      <c r="G185" s="3">
        <f t="shared" si="216"/>
        <v>3.0089999999999999</v>
      </c>
      <c r="H185" s="3">
        <f t="shared" si="216"/>
        <v>2.5576499999999998</v>
      </c>
      <c r="I185" s="3">
        <f t="shared" si="217"/>
        <v>2.1740024999999998</v>
      </c>
      <c r="J185" s="3">
        <f t="shared" si="218"/>
        <v>1.8479021249999998</v>
      </c>
      <c r="K185" s="3">
        <f t="shared" si="219"/>
        <v>1.5707168062499999</v>
      </c>
      <c r="L185" s="3">
        <f t="shared" si="220"/>
        <v>1.3351092853124999</v>
      </c>
      <c r="M185" s="3">
        <f t="shared" si="221"/>
        <v>1.1348428925156249</v>
      </c>
      <c r="N185" s="3">
        <f t="shared" si="222"/>
        <v>0.96461645863828116</v>
      </c>
      <c r="O185" s="3">
        <f t="shared" si="223"/>
        <v>0.96461645863828116</v>
      </c>
      <c r="P185" s="3">
        <f t="shared" si="224"/>
        <v>0.96461645863828116</v>
      </c>
      <c r="Q185" s="3">
        <f t="shared" si="225"/>
        <v>0.96461645863828116</v>
      </c>
      <c r="R185" s="3">
        <f t="shared" si="226"/>
        <v>0.96461645863828116</v>
      </c>
      <c r="S185" s="3">
        <f t="shared" si="227"/>
        <v>0.96461645863828116</v>
      </c>
      <c r="T185" s="3">
        <f t="shared" si="228"/>
        <v>0.96461645863828116</v>
      </c>
      <c r="U185" s="3">
        <f t="shared" si="229"/>
        <v>0.96461645863828116</v>
      </c>
      <c r="V185" s="3">
        <f t="shared" si="230"/>
        <v>0.96461645863828116</v>
      </c>
      <c r="W185" s="3">
        <f t="shared" si="231"/>
        <v>0.96461645863828116</v>
      </c>
      <c r="X185" s="3">
        <f t="shared" si="232"/>
        <v>0.96461645863828116</v>
      </c>
      <c r="Y185" s="3">
        <f t="shared" si="233"/>
        <v>0.96461645863828116</v>
      </c>
      <c r="Z185" s="3">
        <f t="shared" si="234"/>
        <v>0.96461645863828116</v>
      </c>
      <c r="AA185" s="3">
        <f t="shared" si="235"/>
        <v>0.96461645863828116</v>
      </c>
      <c r="AB185" s="3">
        <f t="shared" si="236"/>
        <v>0.96461645863828116</v>
      </c>
    </row>
    <row r="186" spans="2:28" x14ac:dyDescent="0.3">
      <c r="B186" s="293" t="str">
        <f t="shared" si="214"/>
        <v>Shuttering</v>
      </c>
      <c r="C186" s="22">
        <v>0.15</v>
      </c>
      <c r="D186" s="3">
        <f>'Project Capex'!D52</f>
        <v>0.14749999999999996</v>
      </c>
      <c r="F186" s="3">
        <f t="shared" si="237"/>
        <v>0.14749999999999996</v>
      </c>
      <c r="G186" s="3">
        <f t="shared" si="216"/>
        <v>0.12537499999999996</v>
      </c>
      <c r="H186" s="3">
        <f t="shared" si="216"/>
        <v>0.10656874999999996</v>
      </c>
      <c r="I186" s="3">
        <f t="shared" si="217"/>
        <v>9.0583437499999975E-2</v>
      </c>
      <c r="J186" s="3">
        <f t="shared" si="218"/>
        <v>7.6995921874999984E-2</v>
      </c>
      <c r="K186" s="3">
        <f t="shared" si="219"/>
        <v>6.5446533593749981E-2</v>
      </c>
      <c r="L186" s="3">
        <f t="shared" si="220"/>
        <v>5.5629553554687482E-2</v>
      </c>
      <c r="M186" s="3">
        <f t="shared" si="221"/>
        <v>4.7285120521484356E-2</v>
      </c>
      <c r="N186" s="3">
        <f t="shared" si="222"/>
        <v>4.0192352443261706E-2</v>
      </c>
      <c r="O186" s="3">
        <f t="shared" si="223"/>
        <v>4.0192352443261706E-2</v>
      </c>
      <c r="P186" s="3">
        <f t="shared" si="224"/>
        <v>4.0192352443261706E-2</v>
      </c>
      <c r="Q186" s="3">
        <f t="shared" si="225"/>
        <v>4.0192352443261706E-2</v>
      </c>
      <c r="R186" s="3">
        <f t="shared" si="226"/>
        <v>4.0192352443261706E-2</v>
      </c>
      <c r="S186" s="3">
        <f t="shared" si="227"/>
        <v>4.0192352443261706E-2</v>
      </c>
      <c r="T186" s="3">
        <f t="shared" si="228"/>
        <v>4.0192352443261706E-2</v>
      </c>
      <c r="U186" s="3">
        <f t="shared" si="229"/>
        <v>4.0192352443261706E-2</v>
      </c>
      <c r="V186" s="3">
        <f t="shared" si="230"/>
        <v>4.0192352443261706E-2</v>
      </c>
      <c r="W186" s="3">
        <f t="shared" si="231"/>
        <v>4.0192352443261706E-2</v>
      </c>
      <c r="X186" s="3">
        <f t="shared" si="232"/>
        <v>4.0192352443261706E-2</v>
      </c>
      <c r="Y186" s="3">
        <f t="shared" si="233"/>
        <v>4.0192352443261706E-2</v>
      </c>
      <c r="Z186" s="3">
        <f t="shared" si="234"/>
        <v>4.0192352443261706E-2</v>
      </c>
      <c r="AA186" s="3">
        <f t="shared" si="235"/>
        <v>4.0192352443261706E-2</v>
      </c>
      <c r="AB186" s="3">
        <f t="shared" si="236"/>
        <v>4.0192352443261706E-2</v>
      </c>
    </row>
    <row r="187" spans="2:28" x14ac:dyDescent="0.3">
      <c r="B187" s="293" t="str">
        <f t="shared" si="214"/>
        <v>TMT bards Fe 500</v>
      </c>
      <c r="C187" s="22">
        <v>0.15</v>
      </c>
      <c r="D187" s="3">
        <f>'Project Capex'!D53</f>
        <v>2.4779999999999998</v>
      </c>
      <c r="F187" s="3">
        <f t="shared" si="237"/>
        <v>2.4779999999999998</v>
      </c>
      <c r="G187" s="3">
        <f t="shared" si="216"/>
        <v>2.1062999999999996</v>
      </c>
      <c r="H187" s="3">
        <f t="shared" si="216"/>
        <v>1.7903549999999997</v>
      </c>
      <c r="I187" s="3">
        <f t="shared" si="217"/>
        <v>1.5218017499999998</v>
      </c>
      <c r="J187" s="3">
        <f t="shared" si="218"/>
        <v>1.2935314874999999</v>
      </c>
      <c r="K187" s="3">
        <f t="shared" si="219"/>
        <v>1.099501764375</v>
      </c>
      <c r="L187" s="3">
        <f t="shared" si="220"/>
        <v>0.93457649971875001</v>
      </c>
      <c r="M187" s="3">
        <f t="shared" si="221"/>
        <v>0.79439002476093745</v>
      </c>
      <c r="N187" s="3">
        <f t="shared" si="222"/>
        <v>0.67523152104679685</v>
      </c>
      <c r="O187" s="3">
        <f t="shared" si="223"/>
        <v>0.67523152104679685</v>
      </c>
      <c r="P187" s="3">
        <f t="shared" si="224"/>
        <v>0.67523152104679685</v>
      </c>
      <c r="Q187" s="3">
        <f t="shared" si="225"/>
        <v>0.67523152104679685</v>
      </c>
      <c r="R187" s="3">
        <f t="shared" si="226"/>
        <v>0.67523152104679685</v>
      </c>
      <c r="S187" s="3">
        <f t="shared" si="227"/>
        <v>0.67523152104679685</v>
      </c>
      <c r="T187" s="3">
        <f t="shared" si="228"/>
        <v>0.67523152104679685</v>
      </c>
      <c r="U187" s="3">
        <f t="shared" si="229"/>
        <v>0.67523152104679685</v>
      </c>
      <c r="V187" s="3">
        <f t="shared" si="230"/>
        <v>0.67523152104679685</v>
      </c>
      <c r="W187" s="3">
        <f t="shared" si="231"/>
        <v>0.67523152104679685</v>
      </c>
      <c r="X187" s="3">
        <f t="shared" si="232"/>
        <v>0.67523152104679685</v>
      </c>
      <c r="Y187" s="3">
        <f t="shared" si="233"/>
        <v>0.67523152104679685</v>
      </c>
      <c r="Z187" s="3">
        <f t="shared" si="234"/>
        <v>0.67523152104679685</v>
      </c>
      <c r="AA187" s="3">
        <f t="shared" si="235"/>
        <v>0.67523152104679685</v>
      </c>
      <c r="AB187" s="3">
        <f t="shared" si="236"/>
        <v>0.67523152104679685</v>
      </c>
    </row>
    <row r="188" spans="2:28" x14ac:dyDescent="0.3">
      <c r="B188" s="293" t="str">
        <f t="shared" si="214"/>
        <v>Masonary works</v>
      </c>
      <c r="C188" s="22">
        <v>0.15</v>
      </c>
      <c r="D188" s="3">
        <f>'Project Capex'!D54</f>
        <v>7.0800000000000002E-2</v>
      </c>
      <c r="F188" s="3">
        <f t="shared" si="237"/>
        <v>7.0800000000000002E-2</v>
      </c>
      <c r="G188" s="3">
        <f t="shared" si="216"/>
        <v>6.0180000000000004E-2</v>
      </c>
      <c r="H188" s="3">
        <f t="shared" si="216"/>
        <v>5.1153000000000004E-2</v>
      </c>
      <c r="I188" s="3">
        <f t="shared" si="217"/>
        <v>4.3480050000000006E-2</v>
      </c>
      <c r="J188" s="3">
        <f t="shared" si="218"/>
        <v>3.6958042500000003E-2</v>
      </c>
      <c r="K188" s="3">
        <f t="shared" si="219"/>
        <v>3.1414336125000004E-2</v>
      </c>
      <c r="L188" s="3">
        <f t="shared" si="220"/>
        <v>2.6702185706250003E-2</v>
      </c>
      <c r="M188" s="3">
        <f t="shared" si="221"/>
        <v>2.2696857850312502E-2</v>
      </c>
      <c r="N188" s="3">
        <f t="shared" si="222"/>
        <v>1.9292329172765625E-2</v>
      </c>
      <c r="O188" s="3">
        <f t="shared" si="223"/>
        <v>1.9292329172765625E-2</v>
      </c>
      <c r="P188" s="3">
        <f t="shared" si="224"/>
        <v>1.9292329172765625E-2</v>
      </c>
      <c r="Q188" s="3">
        <f t="shared" si="225"/>
        <v>1.9292329172765625E-2</v>
      </c>
      <c r="R188" s="3">
        <f t="shared" si="226"/>
        <v>1.9292329172765625E-2</v>
      </c>
      <c r="S188" s="3">
        <f t="shared" si="227"/>
        <v>1.9292329172765625E-2</v>
      </c>
      <c r="T188" s="3">
        <f t="shared" si="228"/>
        <v>1.9292329172765625E-2</v>
      </c>
      <c r="U188" s="3">
        <f t="shared" si="229"/>
        <v>1.9292329172765625E-2</v>
      </c>
      <c r="V188" s="3">
        <f t="shared" si="230"/>
        <v>1.9292329172765625E-2</v>
      </c>
      <c r="W188" s="3">
        <f t="shared" si="231"/>
        <v>1.9292329172765625E-2</v>
      </c>
      <c r="X188" s="3">
        <f t="shared" si="232"/>
        <v>1.9292329172765625E-2</v>
      </c>
      <c r="Y188" s="3">
        <f t="shared" si="233"/>
        <v>1.9292329172765625E-2</v>
      </c>
      <c r="Z188" s="3">
        <f t="shared" si="234"/>
        <v>1.9292329172765625E-2</v>
      </c>
      <c r="AA188" s="3">
        <f t="shared" si="235"/>
        <v>1.9292329172765625E-2</v>
      </c>
      <c r="AB188" s="3">
        <f t="shared" si="236"/>
        <v>1.9292329172765625E-2</v>
      </c>
    </row>
    <row r="189" spans="2:28" x14ac:dyDescent="0.3">
      <c r="B189" s="293" t="str">
        <f t="shared" si="214"/>
        <v>Plastering</v>
      </c>
      <c r="C189" s="22">
        <v>0.15</v>
      </c>
      <c r="D189" s="3">
        <f>'Project Capex'!D55</f>
        <v>5.7525E-2</v>
      </c>
      <c r="F189" s="3">
        <f t="shared" si="237"/>
        <v>5.7525E-2</v>
      </c>
      <c r="G189" s="3">
        <f t="shared" si="216"/>
        <v>4.8896250000000002E-2</v>
      </c>
      <c r="H189" s="3">
        <f t="shared" si="216"/>
        <v>4.1561812500000003E-2</v>
      </c>
      <c r="I189" s="3">
        <f t="shared" si="217"/>
        <v>3.5327540625000001E-2</v>
      </c>
      <c r="J189" s="3">
        <f t="shared" si="218"/>
        <v>3.0028409531250001E-2</v>
      </c>
      <c r="K189" s="3">
        <f t="shared" si="219"/>
        <v>2.5524148101562501E-2</v>
      </c>
      <c r="L189" s="3">
        <f t="shared" si="220"/>
        <v>2.1695525886328126E-2</v>
      </c>
      <c r="M189" s="3">
        <f t="shared" si="221"/>
        <v>1.8441197003378908E-2</v>
      </c>
      <c r="N189" s="3">
        <f t="shared" si="222"/>
        <v>1.5675017452872073E-2</v>
      </c>
      <c r="O189" s="3">
        <f t="shared" si="223"/>
        <v>1.5675017452872073E-2</v>
      </c>
      <c r="P189" s="3">
        <f t="shared" si="224"/>
        <v>1.5675017452872073E-2</v>
      </c>
      <c r="Q189" s="3">
        <f t="shared" si="225"/>
        <v>1.5675017452872073E-2</v>
      </c>
      <c r="R189" s="3">
        <f t="shared" si="226"/>
        <v>1.5675017452872073E-2</v>
      </c>
      <c r="S189" s="3">
        <f t="shared" si="227"/>
        <v>1.5675017452872073E-2</v>
      </c>
      <c r="T189" s="3">
        <f t="shared" si="228"/>
        <v>1.5675017452872073E-2</v>
      </c>
      <c r="U189" s="3">
        <f t="shared" si="229"/>
        <v>1.5675017452872073E-2</v>
      </c>
      <c r="V189" s="3">
        <f t="shared" si="230"/>
        <v>1.5675017452872073E-2</v>
      </c>
      <c r="W189" s="3">
        <f t="shared" si="231"/>
        <v>1.5675017452872073E-2</v>
      </c>
      <c r="X189" s="3">
        <f t="shared" si="232"/>
        <v>1.5675017452872073E-2</v>
      </c>
      <c r="Y189" s="3">
        <f t="shared" si="233"/>
        <v>1.5675017452872073E-2</v>
      </c>
      <c r="Z189" s="3">
        <f t="shared" si="234"/>
        <v>1.5675017452872073E-2</v>
      </c>
      <c r="AA189" s="3">
        <f t="shared" si="235"/>
        <v>1.5675017452872073E-2</v>
      </c>
      <c r="AB189" s="3">
        <f t="shared" si="236"/>
        <v>1.5675017452872073E-2</v>
      </c>
    </row>
    <row r="190" spans="2:28" x14ac:dyDescent="0.3">
      <c r="B190" s="293" t="str">
        <f t="shared" si="214"/>
        <v>VDF Flooring</v>
      </c>
      <c r="C190" s="22">
        <v>0.15</v>
      </c>
      <c r="D190" s="3">
        <f>'Project Capex'!D56</f>
        <v>8.4959999999999994E-2</v>
      </c>
      <c r="F190" s="3">
        <f t="shared" si="237"/>
        <v>8.4959999999999994E-2</v>
      </c>
      <c r="G190" s="3">
        <f t="shared" si="216"/>
        <v>7.2216000000000002E-2</v>
      </c>
      <c r="H190" s="3">
        <f t="shared" si="216"/>
        <v>6.1383600000000003E-2</v>
      </c>
      <c r="I190" s="3">
        <f t="shared" si="217"/>
        <v>5.2176060000000003E-2</v>
      </c>
      <c r="J190" s="3">
        <f t="shared" si="218"/>
        <v>4.4349651000000004E-2</v>
      </c>
      <c r="K190" s="3">
        <f t="shared" si="219"/>
        <v>3.769720335E-2</v>
      </c>
      <c r="L190" s="3">
        <f t="shared" si="220"/>
        <v>3.2042622847500001E-2</v>
      </c>
      <c r="M190" s="3">
        <f t="shared" si="221"/>
        <v>2.7236229420374999E-2</v>
      </c>
      <c r="N190" s="3">
        <f t="shared" si="222"/>
        <v>2.3150795007318752E-2</v>
      </c>
      <c r="O190" s="3">
        <f t="shared" si="223"/>
        <v>2.3150795007318752E-2</v>
      </c>
      <c r="P190" s="3">
        <f t="shared" si="224"/>
        <v>2.3150795007318752E-2</v>
      </c>
      <c r="Q190" s="3">
        <f t="shared" si="225"/>
        <v>2.3150795007318752E-2</v>
      </c>
      <c r="R190" s="3">
        <f t="shared" si="226"/>
        <v>2.3150795007318752E-2</v>
      </c>
      <c r="S190" s="3">
        <f t="shared" si="227"/>
        <v>2.3150795007318752E-2</v>
      </c>
      <c r="T190" s="3">
        <f t="shared" si="228"/>
        <v>2.3150795007318752E-2</v>
      </c>
      <c r="U190" s="3">
        <f t="shared" si="229"/>
        <v>2.3150795007318752E-2</v>
      </c>
      <c r="V190" s="3">
        <f t="shared" si="230"/>
        <v>2.3150795007318752E-2</v>
      </c>
      <c r="W190" s="3">
        <f t="shared" si="231"/>
        <v>2.3150795007318752E-2</v>
      </c>
      <c r="X190" s="3">
        <f t="shared" si="232"/>
        <v>2.3150795007318752E-2</v>
      </c>
      <c r="Y190" s="3">
        <f t="shared" si="233"/>
        <v>2.3150795007318752E-2</v>
      </c>
      <c r="Z190" s="3">
        <f t="shared" si="234"/>
        <v>2.3150795007318752E-2</v>
      </c>
      <c r="AA190" s="3">
        <f t="shared" si="235"/>
        <v>2.3150795007318752E-2</v>
      </c>
      <c r="AB190" s="3">
        <f t="shared" si="236"/>
        <v>2.3150795007318752E-2</v>
      </c>
    </row>
    <row r="191" spans="2:28" x14ac:dyDescent="0.3">
      <c r="B191" s="293" t="str">
        <f t="shared" si="214"/>
        <v>J BOLTS installation</v>
      </c>
      <c r="C191" s="22">
        <v>0.15</v>
      </c>
      <c r="D191" s="3">
        <f>'Project Capex'!D57</f>
        <v>0.1888</v>
      </c>
      <c r="F191" s="3">
        <f t="shared" si="237"/>
        <v>0.1888</v>
      </c>
      <c r="G191" s="3">
        <f t="shared" si="216"/>
        <v>0.16048000000000001</v>
      </c>
      <c r="H191" s="3">
        <f t="shared" si="216"/>
        <v>0.136408</v>
      </c>
      <c r="I191" s="3">
        <f t="shared" si="217"/>
        <v>0.1159468</v>
      </c>
      <c r="J191" s="3">
        <f t="shared" si="218"/>
        <v>9.8554780000000008E-2</v>
      </c>
      <c r="K191" s="3">
        <f t="shared" si="219"/>
        <v>8.3771563000000007E-2</v>
      </c>
      <c r="L191" s="3">
        <f t="shared" si="220"/>
        <v>7.1205828550000003E-2</v>
      </c>
      <c r="M191" s="3">
        <f t="shared" si="221"/>
        <v>6.05249542675E-2</v>
      </c>
      <c r="N191" s="3">
        <f t="shared" si="222"/>
        <v>5.1446211127374998E-2</v>
      </c>
      <c r="O191" s="3">
        <f t="shared" si="223"/>
        <v>5.1446211127374998E-2</v>
      </c>
      <c r="P191" s="3">
        <f t="shared" si="224"/>
        <v>5.1446211127374998E-2</v>
      </c>
      <c r="Q191" s="3">
        <f t="shared" si="225"/>
        <v>5.1446211127374998E-2</v>
      </c>
      <c r="R191" s="3">
        <f t="shared" si="226"/>
        <v>5.1446211127374998E-2</v>
      </c>
      <c r="S191" s="3">
        <f t="shared" si="227"/>
        <v>5.1446211127374998E-2</v>
      </c>
      <c r="T191" s="3">
        <f t="shared" si="228"/>
        <v>5.1446211127374998E-2</v>
      </c>
      <c r="U191" s="3">
        <f t="shared" si="229"/>
        <v>5.1446211127374998E-2</v>
      </c>
      <c r="V191" s="3">
        <f t="shared" si="230"/>
        <v>5.1446211127374998E-2</v>
      </c>
      <c r="W191" s="3">
        <f t="shared" si="231"/>
        <v>5.1446211127374998E-2</v>
      </c>
      <c r="X191" s="3">
        <f t="shared" si="232"/>
        <v>5.1446211127374998E-2</v>
      </c>
      <c r="Y191" s="3">
        <f t="shared" si="233"/>
        <v>5.1446211127374998E-2</v>
      </c>
      <c r="Z191" s="3">
        <f t="shared" si="234"/>
        <v>5.1446211127374998E-2</v>
      </c>
      <c r="AA191" s="3">
        <f t="shared" si="235"/>
        <v>5.1446211127374998E-2</v>
      </c>
      <c r="AB191" s="3">
        <f t="shared" si="236"/>
        <v>5.1446211127374998E-2</v>
      </c>
    </row>
    <row r="192" spans="2:28" x14ac:dyDescent="0.3">
      <c r="B192" s="293" t="str">
        <f t="shared" si="214"/>
        <v>Baseplate Grouting</v>
      </c>
      <c r="C192" s="22">
        <v>0.15</v>
      </c>
      <c r="D192" s="3">
        <f>'Project Capex'!D58</f>
        <v>0.10384</v>
      </c>
      <c r="F192" s="3">
        <f t="shared" si="237"/>
        <v>0.10384</v>
      </c>
      <c r="G192" s="3">
        <f t="shared" si="216"/>
        <v>8.8264000000000009E-2</v>
      </c>
      <c r="H192" s="3">
        <f t="shared" si="216"/>
        <v>7.5024400000000005E-2</v>
      </c>
      <c r="I192" s="3">
        <f t="shared" si="217"/>
        <v>6.3770740000000006E-2</v>
      </c>
      <c r="J192" s="3">
        <f t="shared" si="218"/>
        <v>5.4205129000000005E-2</v>
      </c>
      <c r="K192" s="3">
        <f t="shared" si="219"/>
        <v>4.6074359650000007E-2</v>
      </c>
      <c r="L192" s="3">
        <f t="shared" si="220"/>
        <v>3.9163205702500009E-2</v>
      </c>
      <c r="M192" s="3">
        <f t="shared" si="221"/>
        <v>3.3288724847125008E-2</v>
      </c>
      <c r="N192" s="3">
        <f t="shared" si="222"/>
        <v>2.8295416120056257E-2</v>
      </c>
      <c r="O192" s="3">
        <f t="shared" si="223"/>
        <v>2.8295416120056257E-2</v>
      </c>
      <c r="P192" s="3">
        <f t="shared" si="224"/>
        <v>2.8295416120056257E-2</v>
      </c>
      <c r="Q192" s="3">
        <f t="shared" si="225"/>
        <v>2.8295416120056257E-2</v>
      </c>
      <c r="R192" s="3">
        <f t="shared" si="226"/>
        <v>2.8295416120056257E-2</v>
      </c>
      <c r="S192" s="3">
        <f t="shared" si="227"/>
        <v>2.8295416120056257E-2</v>
      </c>
      <c r="T192" s="3">
        <f t="shared" si="228"/>
        <v>2.8295416120056257E-2</v>
      </c>
      <c r="U192" s="3">
        <f t="shared" si="229"/>
        <v>2.8295416120056257E-2</v>
      </c>
      <c r="V192" s="3">
        <f t="shared" si="230"/>
        <v>2.8295416120056257E-2</v>
      </c>
      <c r="W192" s="3">
        <f t="shared" si="231"/>
        <v>2.8295416120056257E-2</v>
      </c>
      <c r="X192" s="3">
        <f t="shared" si="232"/>
        <v>2.8295416120056257E-2</v>
      </c>
      <c r="Y192" s="3">
        <f t="shared" si="233"/>
        <v>2.8295416120056257E-2</v>
      </c>
      <c r="Z192" s="3">
        <f t="shared" si="234"/>
        <v>2.8295416120056257E-2</v>
      </c>
      <c r="AA192" s="3">
        <f t="shared" si="235"/>
        <v>2.8295416120056257E-2</v>
      </c>
      <c r="AB192" s="3">
        <f t="shared" si="236"/>
        <v>2.8295416120056257E-2</v>
      </c>
    </row>
    <row r="193" spans="2:28" x14ac:dyDescent="0.3">
      <c r="B193" s="293" t="str">
        <f t="shared" si="214"/>
        <v>Miscellenous</v>
      </c>
      <c r="C193" s="22">
        <v>0.15</v>
      </c>
      <c r="D193" s="3">
        <f>'Project Capex'!D59</f>
        <v>0.1416</v>
      </c>
      <c r="F193" s="3">
        <f t="shared" si="237"/>
        <v>0.1416</v>
      </c>
      <c r="G193" s="3">
        <f t="shared" si="216"/>
        <v>0.12036000000000001</v>
      </c>
      <c r="H193" s="3">
        <f t="shared" si="216"/>
        <v>0.10230600000000001</v>
      </c>
      <c r="I193" s="3">
        <f t="shared" si="217"/>
        <v>8.6960100000000012E-2</v>
      </c>
      <c r="J193" s="3">
        <f t="shared" si="218"/>
        <v>7.3916085000000006E-2</v>
      </c>
      <c r="K193" s="3">
        <f t="shared" si="219"/>
        <v>6.2828672250000009E-2</v>
      </c>
      <c r="L193" s="3">
        <f t="shared" si="220"/>
        <v>5.3404371412500005E-2</v>
      </c>
      <c r="M193" s="3">
        <f t="shared" si="221"/>
        <v>4.5393715700625004E-2</v>
      </c>
      <c r="N193" s="3">
        <f t="shared" si="222"/>
        <v>3.858465834553125E-2</v>
      </c>
      <c r="O193" s="3">
        <f t="shared" si="223"/>
        <v>3.858465834553125E-2</v>
      </c>
      <c r="P193" s="3">
        <f t="shared" si="224"/>
        <v>3.858465834553125E-2</v>
      </c>
      <c r="Q193" s="3">
        <f t="shared" si="225"/>
        <v>3.858465834553125E-2</v>
      </c>
      <c r="R193" s="3">
        <f t="shared" si="226"/>
        <v>3.858465834553125E-2</v>
      </c>
      <c r="S193" s="3">
        <f t="shared" si="227"/>
        <v>3.858465834553125E-2</v>
      </c>
      <c r="T193" s="3">
        <f t="shared" si="228"/>
        <v>3.858465834553125E-2</v>
      </c>
      <c r="U193" s="3">
        <f t="shared" si="229"/>
        <v>3.858465834553125E-2</v>
      </c>
      <c r="V193" s="3">
        <f t="shared" si="230"/>
        <v>3.858465834553125E-2</v>
      </c>
      <c r="W193" s="3">
        <f t="shared" si="231"/>
        <v>3.858465834553125E-2</v>
      </c>
      <c r="X193" s="3">
        <f t="shared" si="232"/>
        <v>3.858465834553125E-2</v>
      </c>
      <c r="Y193" s="3">
        <f t="shared" si="233"/>
        <v>3.858465834553125E-2</v>
      </c>
      <c r="Z193" s="3">
        <f t="shared" si="234"/>
        <v>3.858465834553125E-2</v>
      </c>
      <c r="AA193" s="3">
        <f t="shared" si="235"/>
        <v>3.858465834553125E-2</v>
      </c>
      <c r="AB193" s="3">
        <f t="shared" si="236"/>
        <v>3.858465834553125E-2</v>
      </c>
    </row>
    <row r="194" spans="2:28" x14ac:dyDescent="0.3">
      <c r="B194" t="str">
        <f t="shared" si="214"/>
        <v>Road</v>
      </c>
      <c r="C194" s="22">
        <v>0.15</v>
      </c>
      <c r="D194" s="3">
        <f>'Project Capex'!D60</f>
        <v>1.6905075300000003</v>
      </c>
      <c r="F194" s="3">
        <f t="shared" si="237"/>
        <v>1.6905075300000003</v>
      </c>
      <c r="G194" s="3">
        <f t="shared" si="216"/>
        <v>1.4369314005000002</v>
      </c>
      <c r="H194" s="3">
        <f t="shared" si="216"/>
        <v>1.2213916904250002</v>
      </c>
      <c r="I194" s="3">
        <f t="shared" si="217"/>
        <v>1.0381829368612501</v>
      </c>
      <c r="J194" s="3">
        <f t="shared" si="218"/>
        <v>0.88245549633206255</v>
      </c>
      <c r="K194" s="3">
        <f t="shared" si="219"/>
        <v>0.75008717188225316</v>
      </c>
      <c r="L194" s="3">
        <f t="shared" si="220"/>
        <v>0.63757409609991522</v>
      </c>
      <c r="M194" s="3">
        <f t="shared" si="221"/>
        <v>0.54193798168492791</v>
      </c>
      <c r="N194" s="3">
        <f t="shared" si="222"/>
        <v>0.46064728443218872</v>
      </c>
      <c r="O194" s="3">
        <f t="shared" si="223"/>
        <v>0.46064728443218872</v>
      </c>
      <c r="P194" s="3">
        <f t="shared" si="224"/>
        <v>0.46064728443218872</v>
      </c>
      <c r="Q194" s="3">
        <f t="shared" si="225"/>
        <v>0.46064728443218872</v>
      </c>
      <c r="R194" s="3">
        <f t="shared" si="226"/>
        <v>0.46064728443218872</v>
      </c>
      <c r="S194" s="3">
        <f t="shared" si="227"/>
        <v>0.46064728443218872</v>
      </c>
      <c r="T194" s="3">
        <f t="shared" si="228"/>
        <v>0.46064728443218872</v>
      </c>
      <c r="U194" s="3">
        <f t="shared" si="229"/>
        <v>0.46064728443218872</v>
      </c>
      <c r="V194" s="3">
        <f t="shared" si="230"/>
        <v>0.46064728443218872</v>
      </c>
      <c r="W194" s="3">
        <f t="shared" si="231"/>
        <v>0.46064728443218872</v>
      </c>
      <c r="X194" s="3">
        <f t="shared" si="232"/>
        <v>0.46064728443218872</v>
      </c>
      <c r="Y194" s="3">
        <f t="shared" si="233"/>
        <v>0.46064728443218872</v>
      </c>
      <c r="Z194" s="3">
        <f t="shared" si="234"/>
        <v>0.46064728443218872</v>
      </c>
      <c r="AA194" s="3">
        <f t="shared" si="235"/>
        <v>0.46064728443218872</v>
      </c>
      <c r="AB194" s="3">
        <f t="shared" si="236"/>
        <v>0.46064728443218872</v>
      </c>
    </row>
    <row r="195" spans="2:28" x14ac:dyDescent="0.3">
      <c r="B195" t="str">
        <f t="shared" si="214"/>
        <v>Electrical</v>
      </c>
      <c r="C195" s="22">
        <v>0.15</v>
      </c>
      <c r="D195" s="3">
        <f>'Project Capex'!D61</f>
        <v>0</v>
      </c>
      <c r="F195" s="3">
        <f t="shared" si="237"/>
        <v>0</v>
      </c>
      <c r="G195" s="3">
        <f t="shared" si="216"/>
        <v>0</v>
      </c>
      <c r="H195" s="3">
        <f t="shared" si="216"/>
        <v>0</v>
      </c>
      <c r="I195" s="3">
        <f t="shared" si="217"/>
        <v>0</v>
      </c>
      <c r="J195" s="3">
        <f t="shared" si="218"/>
        <v>0</v>
      </c>
      <c r="K195" s="3">
        <f t="shared" si="219"/>
        <v>0</v>
      </c>
      <c r="L195" s="3">
        <f t="shared" si="220"/>
        <v>0</v>
      </c>
      <c r="M195" s="3">
        <f t="shared" si="221"/>
        <v>0</v>
      </c>
      <c r="N195" s="3">
        <f t="shared" si="222"/>
        <v>0</v>
      </c>
      <c r="O195" s="3">
        <f t="shared" si="223"/>
        <v>0</v>
      </c>
      <c r="P195" s="3">
        <f t="shared" si="224"/>
        <v>0</v>
      </c>
      <c r="Q195" s="3">
        <f t="shared" si="225"/>
        <v>0</v>
      </c>
      <c r="R195" s="3">
        <f t="shared" si="226"/>
        <v>0</v>
      </c>
      <c r="S195" s="3">
        <f t="shared" si="227"/>
        <v>0</v>
      </c>
      <c r="T195" s="3">
        <f t="shared" si="228"/>
        <v>0</v>
      </c>
      <c r="U195" s="3">
        <f t="shared" si="229"/>
        <v>0</v>
      </c>
      <c r="V195" s="3">
        <f t="shared" si="230"/>
        <v>0</v>
      </c>
      <c r="W195" s="3">
        <f t="shared" si="231"/>
        <v>0</v>
      </c>
      <c r="X195" s="3">
        <f t="shared" si="232"/>
        <v>0</v>
      </c>
      <c r="Y195" s="3">
        <f t="shared" si="233"/>
        <v>0</v>
      </c>
      <c r="Z195" s="3">
        <f t="shared" si="234"/>
        <v>0</v>
      </c>
      <c r="AA195" s="3">
        <f t="shared" si="235"/>
        <v>0</v>
      </c>
      <c r="AB195" s="3">
        <f t="shared" si="236"/>
        <v>0</v>
      </c>
    </row>
    <row r="196" spans="2:28" x14ac:dyDescent="0.3">
      <c r="B196" t="str">
        <f t="shared" si="214"/>
        <v>CDA</v>
      </c>
      <c r="C196" s="22">
        <v>0.15</v>
      </c>
      <c r="D196" s="3">
        <f>'Project Capex'!D62</f>
        <v>0</v>
      </c>
      <c r="F196" s="3">
        <f t="shared" si="237"/>
        <v>0</v>
      </c>
      <c r="G196" s="3">
        <f t="shared" si="216"/>
        <v>0</v>
      </c>
      <c r="H196" s="3">
        <f t="shared" si="216"/>
        <v>0</v>
      </c>
      <c r="I196" s="3">
        <f t="shared" si="217"/>
        <v>0</v>
      </c>
      <c r="J196" s="3">
        <f t="shared" si="218"/>
        <v>0</v>
      </c>
      <c r="K196" s="3">
        <f t="shared" si="219"/>
        <v>0</v>
      </c>
      <c r="L196" s="3">
        <f t="shared" si="220"/>
        <v>0</v>
      </c>
      <c r="M196" s="3">
        <f t="shared" si="221"/>
        <v>0</v>
      </c>
      <c r="N196" s="3">
        <f t="shared" si="222"/>
        <v>0</v>
      </c>
      <c r="O196" s="3">
        <f t="shared" si="223"/>
        <v>0</v>
      </c>
      <c r="P196" s="3">
        <f t="shared" si="224"/>
        <v>0</v>
      </c>
      <c r="Q196" s="3">
        <f t="shared" si="225"/>
        <v>0</v>
      </c>
      <c r="R196" s="3">
        <f t="shared" si="226"/>
        <v>0</v>
      </c>
      <c r="S196" s="3">
        <f t="shared" si="227"/>
        <v>0</v>
      </c>
      <c r="T196" s="3">
        <f t="shared" si="228"/>
        <v>0</v>
      </c>
      <c r="U196" s="3">
        <f t="shared" si="229"/>
        <v>0</v>
      </c>
      <c r="V196" s="3">
        <f t="shared" si="230"/>
        <v>0</v>
      </c>
      <c r="W196" s="3">
        <f t="shared" si="231"/>
        <v>0</v>
      </c>
      <c r="X196" s="3">
        <f t="shared" si="232"/>
        <v>0</v>
      </c>
      <c r="Y196" s="3">
        <f t="shared" si="233"/>
        <v>0</v>
      </c>
      <c r="Z196" s="3">
        <f t="shared" si="234"/>
        <v>0</v>
      </c>
      <c r="AA196" s="3">
        <f t="shared" si="235"/>
        <v>0</v>
      </c>
      <c r="AB196" s="3">
        <f t="shared" si="236"/>
        <v>0</v>
      </c>
    </row>
    <row r="197" spans="2:28" x14ac:dyDescent="0.3">
      <c r="B197" t="str">
        <f>'Project Capex'!B63</f>
        <v>FHS and FAS for the ASRS</v>
      </c>
      <c r="C197" s="22">
        <v>0.15</v>
      </c>
      <c r="D197" s="3">
        <f>'Project Capex'!D63</f>
        <v>0</v>
      </c>
      <c r="F197" s="3">
        <f t="shared" si="237"/>
        <v>0</v>
      </c>
      <c r="G197" s="3">
        <f t="shared" si="216"/>
        <v>0</v>
      </c>
      <c r="H197" s="3">
        <f t="shared" si="216"/>
        <v>0</v>
      </c>
      <c r="I197" s="3">
        <f t="shared" si="217"/>
        <v>0</v>
      </c>
      <c r="J197" s="3">
        <f t="shared" si="218"/>
        <v>0</v>
      </c>
      <c r="K197" s="3">
        <f t="shared" si="219"/>
        <v>0</v>
      </c>
      <c r="L197" s="3">
        <f t="shared" si="220"/>
        <v>0</v>
      </c>
      <c r="M197" s="3">
        <f t="shared" si="221"/>
        <v>0</v>
      </c>
      <c r="N197" s="3">
        <f t="shared" si="222"/>
        <v>0</v>
      </c>
      <c r="O197" s="3">
        <f t="shared" si="223"/>
        <v>0</v>
      </c>
      <c r="P197" s="3">
        <f t="shared" si="224"/>
        <v>0</v>
      </c>
      <c r="Q197" s="3">
        <f t="shared" si="225"/>
        <v>0</v>
      </c>
      <c r="R197" s="3">
        <f t="shared" si="226"/>
        <v>0</v>
      </c>
      <c r="S197" s="3">
        <f t="shared" si="227"/>
        <v>0</v>
      </c>
      <c r="T197" s="3">
        <f t="shared" si="228"/>
        <v>0</v>
      </c>
      <c r="U197" s="3">
        <f t="shared" si="229"/>
        <v>0</v>
      </c>
      <c r="V197" s="3">
        <f t="shared" si="230"/>
        <v>0</v>
      </c>
      <c r="W197" s="3">
        <f t="shared" si="231"/>
        <v>0</v>
      </c>
      <c r="X197" s="3">
        <f t="shared" si="232"/>
        <v>0</v>
      </c>
      <c r="Y197" s="3">
        <f t="shared" si="233"/>
        <v>0</v>
      </c>
      <c r="Z197" s="3">
        <f t="shared" si="234"/>
        <v>0</v>
      </c>
      <c r="AA197" s="3">
        <f t="shared" si="235"/>
        <v>0</v>
      </c>
      <c r="AB197" s="3">
        <f t="shared" si="236"/>
        <v>0</v>
      </c>
    </row>
    <row r="198" spans="2:28" x14ac:dyDescent="0.3">
      <c r="B198" t="str">
        <f>B160</f>
        <v>Dock levellers</v>
      </c>
      <c r="C198" s="22">
        <v>0.15</v>
      </c>
      <c r="D198" s="3">
        <f>D160</f>
        <v>0.838469888</v>
      </c>
      <c r="F198" s="3">
        <f t="shared" si="206"/>
        <v>0.838469888</v>
      </c>
      <c r="G198" s="3">
        <f t="shared" ref="G198:H202" si="238">F266</f>
        <v>0.71269940479999994</v>
      </c>
      <c r="H198" s="3">
        <f t="shared" si="238"/>
        <v>0.60579449407999997</v>
      </c>
      <c r="I198" s="3">
        <f t="shared" ref="I198:AB198" si="239">H266</f>
        <v>0.51492531996799995</v>
      </c>
      <c r="J198" s="3">
        <f t="shared" si="239"/>
        <v>0.43768652197279995</v>
      </c>
      <c r="K198" s="3">
        <f t="shared" si="239"/>
        <v>0.37203354367687996</v>
      </c>
      <c r="L198" s="3">
        <f t="shared" si="239"/>
        <v>0.31622851212534797</v>
      </c>
      <c r="M198" s="3">
        <f t="shared" si="239"/>
        <v>0.26879423530654578</v>
      </c>
      <c r="N198" s="3">
        <f t="shared" si="239"/>
        <v>0.22847510001056393</v>
      </c>
      <c r="O198" s="3">
        <f t="shared" si="239"/>
        <v>0.22847510001056393</v>
      </c>
      <c r="P198" s="3">
        <f t="shared" si="239"/>
        <v>0.22847510001056393</v>
      </c>
      <c r="Q198" s="3">
        <f t="shared" si="239"/>
        <v>0.22847510001056393</v>
      </c>
      <c r="R198" s="3">
        <f t="shared" si="239"/>
        <v>0.22847510001056393</v>
      </c>
      <c r="S198" s="3">
        <f t="shared" si="239"/>
        <v>0.22847510001056393</v>
      </c>
      <c r="T198" s="3">
        <f t="shared" si="239"/>
        <v>0.22847510001056393</v>
      </c>
      <c r="U198" s="3">
        <f t="shared" si="239"/>
        <v>0.22847510001056393</v>
      </c>
      <c r="V198" s="3">
        <f t="shared" si="239"/>
        <v>0.22847510001056393</v>
      </c>
      <c r="W198" s="3">
        <f t="shared" si="239"/>
        <v>0.22847510001056393</v>
      </c>
      <c r="X198" s="3">
        <f t="shared" si="239"/>
        <v>0.22847510001056393</v>
      </c>
      <c r="Y198" s="3">
        <f t="shared" si="239"/>
        <v>0.22847510001056393</v>
      </c>
      <c r="Z198" s="3">
        <f t="shared" si="239"/>
        <v>0.22847510001056393</v>
      </c>
      <c r="AA198" s="3">
        <f t="shared" si="239"/>
        <v>0.22847510001056393</v>
      </c>
      <c r="AB198" s="3">
        <f t="shared" si="239"/>
        <v>0.22847510001056393</v>
      </c>
    </row>
    <row r="199" spans="2:28" x14ac:dyDescent="0.3">
      <c r="B199" t="str">
        <f>B161</f>
        <v>Contingency</v>
      </c>
      <c r="C199" s="22">
        <v>0.15</v>
      </c>
      <c r="D199" s="3">
        <f>D161</f>
        <v>2.3787001209</v>
      </c>
      <c r="F199" s="3">
        <f t="shared" si="206"/>
        <v>2.3787001209</v>
      </c>
      <c r="G199" s="3">
        <f t="shared" si="238"/>
        <v>2.0218951027649998</v>
      </c>
      <c r="H199" s="3">
        <f t="shared" si="238"/>
        <v>1.71861083735025</v>
      </c>
      <c r="I199" s="3">
        <f t="shared" ref="I199:AB199" si="240">H267</f>
        <v>1.4608192117477126</v>
      </c>
      <c r="J199" s="3">
        <f t="shared" si="240"/>
        <v>1.2416963299855557</v>
      </c>
      <c r="K199" s="3">
        <f t="shared" si="240"/>
        <v>1.0554418804877224</v>
      </c>
      <c r="L199" s="3">
        <f t="shared" si="240"/>
        <v>0.89712559841456407</v>
      </c>
      <c r="M199" s="3">
        <f t="shared" si="240"/>
        <v>0.76255675865237948</v>
      </c>
      <c r="N199" s="3">
        <f t="shared" si="240"/>
        <v>0.64817324485452255</v>
      </c>
      <c r="O199" s="3">
        <f t="shared" si="240"/>
        <v>0.64817324485452255</v>
      </c>
      <c r="P199" s="3">
        <f t="shared" si="240"/>
        <v>0.64817324485452255</v>
      </c>
      <c r="Q199" s="3">
        <f t="shared" si="240"/>
        <v>0.64817324485452255</v>
      </c>
      <c r="R199" s="3">
        <f t="shared" si="240"/>
        <v>0.64817324485452255</v>
      </c>
      <c r="S199" s="3">
        <f t="shared" si="240"/>
        <v>0.64817324485452255</v>
      </c>
      <c r="T199" s="3">
        <f t="shared" si="240"/>
        <v>0.64817324485452255</v>
      </c>
      <c r="U199" s="3">
        <f t="shared" si="240"/>
        <v>0.64817324485452255</v>
      </c>
      <c r="V199" s="3">
        <f t="shared" si="240"/>
        <v>0.64817324485452255</v>
      </c>
      <c r="W199" s="3">
        <f t="shared" si="240"/>
        <v>0.64817324485452255</v>
      </c>
      <c r="X199" s="3">
        <f t="shared" si="240"/>
        <v>0.64817324485452255</v>
      </c>
      <c r="Y199" s="3">
        <f t="shared" si="240"/>
        <v>0.64817324485452255</v>
      </c>
      <c r="Z199" s="3">
        <f t="shared" si="240"/>
        <v>0.64817324485452255</v>
      </c>
      <c r="AA199" s="3">
        <f t="shared" si="240"/>
        <v>0.64817324485452255</v>
      </c>
      <c r="AB199" s="3">
        <f t="shared" si="240"/>
        <v>0.64817324485452255</v>
      </c>
    </row>
    <row r="200" spans="2:28" x14ac:dyDescent="0.3">
      <c r="B200" t="str">
        <f>B162</f>
        <v>Pre - operating expenses</v>
      </c>
      <c r="C200" s="22">
        <v>0.15</v>
      </c>
      <c r="D200" s="3">
        <f>D162</f>
        <v>0.54125170008899981</v>
      </c>
      <c r="F200" s="3">
        <f t="shared" si="206"/>
        <v>0.54125170008899981</v>
      </c>
      <c r="G200" s="3">
        <f t="shared" si="238"/>
        <v>0.46006394507564985</v>
      </c>
      <c r="H200" s="3">
        <f t="shared" si="238"/>
        <v>0.39105435331430238</v>
      </c>
      <c r="I200" s="3">
        <f t="shared" ref="I200:AB200" si="241">H268</f>
        <v>0.332396200317157</v>
      </c>
      <c r="J200" s="3">
        <f t="shared" si="241"/>
        <v>0.28253677026958346</v>
      </c>
      <c r="K200" s="3">
        <f t="shared" si="241"/>
        <v>0.24015625472914595</v>
      </c>
      <c r="L200" s="3">
        <f t="shared" si="241"/>
        <v>0.20413281651977405</v>
      </c>
      <c r="M200" s="3">
        <f t="shared" si="241"/>
        <v>0.17351289404180795</v>
      </c>
      <c r="N200" s="3">
        <f t="shared" si="241"/>
        <v>0.14748595993553676</v>
      </c>
      <c r="O200" s="3">
        <f t="shared" si="241"/>
        <v>0.14748595993553676</v>
      </c>
      <c r="P200" s="3">
        <f t="shared" si="241"/>
        <v>0.14748595993553676</v>
      </c>
      <c r="Q200" s="3">
        <f t="shared" si="241"/>
        <v>0.14748595993553676</v>
      </c>
      <c r="R200" s="3">
        <f t="shared" si="241"/>
        <v>0.14748595993553676</v>
      </c>
      <c r="S200" s="3">
        <f t="shared" si="241"/>
        <v>0.14748595993553676</v>
      </c>
      <c r="T200" s="3">
        <f t="shared" si="241"/>
        <v>0.14748595993553676</v>
      </c>
      <c r="U200" s="3">
        <f t="shared" si="241"/>
        <v>0.14748595993553676</v>
      </c>
      <c r="V200" s="3">
        <f t="shared" si="241"/>
        <v>0.14748595993553676</v>
      </c>
      <c r="W200" s="3">
        <f t="shared" si="241"/>
        <v>0.14748595993553676</v>
      </c>
      <c r="X200" s="3">
        <f t="shared" si="241"/>
        <v>0.14748595993553676</v>
      </c>
      <c r="Y200" s="3">
        <f t="shared" si="241"/>
        <v>0.14748595993553676</v>
      </c>
      <c r="Z200" s="3">
        <f t="shared" si="241"/>
        <v>0.14748595993553676</v>
      </c>
      <c r="AA200" s="3">
        <f t="shared" si="241"/>
        <v>0.14748595993553676</v>
      </c>
      <c r="AB200" s="3">
        <f t="shared" si="241"/>
        <v>0.14748595993553676</v>
      </c>
    </row>
    <row r="201" spans="2:28" x14ac:dyDescent="0.3">
      <c r="B201" t="str">
        <f>B163</f>
        <v>IDC</v>
      </c>
      <c r="C201" s="22">
        <v>0.15</v>
      </c>
      <c r="D201" s="3">
        <f ca="1">D163</f>
        <v>3.4026071761470353</v>
      </c>
      <c r="F201" s="3">
        <f t="shared" ca="1" si="206"/>
        <v>3.4026071761470353</v>
      </c>
      <c r="G201" s="3">
        <f t="shared" ca="1" si="238"/>
        <v>2.8922160997253461</v>
      </c>
      <c r="H201" s="3">
        <f t="shared" ca="1" si="238"/>
        <v>2.4583836847662375</v>
      </c>
      <c r="I201" s="3">
        <f t="shared" ref="I201:AB202" ca="1" si="242">H269</f>
        <v>2.0896261320510345</v>
      </c>
      <c r="J201" s="3">
        <f t="shared" ca="1" si="242"/>
        <v>1.7761822122433792</v>
      </c>
      <c r="K201" s="3">
        <f t="shared" ca="1" si="242"/>
        <v>1.5097548804072536</v>
      </c>
      <c r="L201" s="3">
        <f t="shared" ca="1" si="242"/>
        <v>1.2832916483460051</v>
      </c>
      <c r="M201" s="3">
        <f t="shared" ca="1" si="242"/>
        <v>1.0907979010939675</v>
      </c>
      <c r="N201" s="3">
        <f t="shared" ca="1" si="242"/>
        <v>0.92717821592987382</v>
      </c>
      <c r="O201" s="3">
        <f t="shared" ca="1" si="242"/>
        <v>0.9271782159298757</v>
      </c>
      <c r="P201" s="3">
        <f t="shared" ca="1" si="242"/>
        <v>0.92717821592975858</v>
      </c>
      <c r="Q201" s="3">
        <f t="shared" ca="1" si="242"/>
        <v>0.92717821592964</v>
      </c>
      <c r="R201" s="3">
        <f t="shared" ca="1" si="242"/>
        <v>0.92717821593010596</v>
      </c>
      <c r="S201" s="3">
        <f t="shared" ca="1" si="242"/>
        <v>0.92717821593010596</v>
      </c>
      <c r="T201" s="3">
        <f t="shared" ca="1" si="242"/>
        <v>0.92717821592998773</v>
      </c>
      <c r="U201" s="3">
        <f t="shared" ca="1" si="242"/>
        <v>0.9271782159299875</v>
      </c>
      <c r="V201" s="3">
        <f t="shared" ca="1" si="242"/>
        <v>0.92717821593010485</v>
      </c>
      <c r="W201" s="3">
        <f t="shared" ca="1" si="242"/>
        <v>0.92717821592998917</v>
      </c>
      <c r="X201" s="3">
        <f t="shared" ca="1" si="242"/>
        <v>0.92717821592987049</v>
      </c>
      <c r="Y201" s="3">
        <f t="shared" ca="1" si="242"/>
        <v>0.92717821592987049</v>
      </c>
      <c r="Z201" s="3">
        <f t="shared" ca="1" si="242"/>
        <v>0.92717821593010474</v>
      </c>
      <c r="AA201" s="3">
        <f t="shared" ca="1" si="242"/>
        <v>0.92717821592998861</v>
      </c>
      <c r="AB201" s="3">
        <f t="shared" ca="1" si="242"/>
        <v>0.92717821592987237</v>
      </c>
    </row>
    <row r="202" spans="2:28" ht="15" thickBot="1" x14ac:dyDescent="0.35">
      <c r="B202" t="s">
        <v>105</v>
      </c>
      <c r="C202" s="22">
        <v>0.15</v>
      </c>
      <c r="D202" s="3">
        <f ca="1">'Project Capex'!D68</f>
        <v>0.26948280707568012</v>
      </c>
      <c r="F202" s="3">
        <f t="shared" ref="F202" ca="1" si="243">D202</f>
        <v>0.26948280707568012</v>
      </c>
      <c r="G202" s="3">
        <f ca="1">F270</f>
        <v>0.22906038601433004</v>
      </c>
      <c r="H202" s="3">
        <f t="shared" ca="1" si="238"/>
        <v>0.19470132811217888</v>
      </c>
      <c r="I202" s="3">
        <f t="shared" ca="1" si="242"/>
        <v>0.16549612889535079</v>
      </c>
      <c r="J202" s="3">
        <f t="shared" ca="1" si="242"/>
        <v>0.14067170956104816</v>
      </c>
      <c r="K202" s="3">
        <f t="shared" ca="1" si="242"/>
        <v>0.11957095312689289</v>
      </c>
      <c r="L202" s="3">
        <f t="shared" ca="1" si="242"/>
        <v>0.10163531015785807</v>
      </c>
      <c r="M202" s="3">
        <f t="shared" ca="1" si="242"/>
        <v>8.6390013634178697E-2</v>
      </c>
      <c r="N202" s="3">
        <f t="shared" ca="1" si="242"/>
        <v>7.3431511589051923E-2</v>
      </c>
      <c r="O202" s="3">
        <f t="shared" ca="1" si="242"/>
        <v>7.3431511589051923E-2</v>
      </c>
      <c r="P202" s="3">
        <f t="shared" ca="1" si="242"/>
        <v>7.3431511589051299E-2</v>
      </c>
      <c r="Q202" s="3">
        <f t="shared" ca="1" si="242"/>
        <v>7.343151158905073E-2</v>
      </c>
      <c r="R202" s="3">
        <f t="shared" ca="1" si="242"/>
        <v>7.3431511589053089E-2</v>
      </c>
      <c r="S202" s="3">
        <f t="shared" ca="1" si="242"/>
        <v>7.3431511589053089E-2</v>
      </c>
      <c r="T202" s="3">
        <f t="shared" ca="1" si="242"/>
        <v>7.3431511589052464E-2</v>
      </c>
      <c r="U202" s="3">
        <f t="shared" ca="1" si="242"/>
        <v>7.3431511589052464E-2</v>
      </c>
      <c r="V202" s="3">
        <f t="shared" ca="1" si="242"/>
        <v>7.3431511589053089E-2</v>
      </c>
      <c r="W202" s="3">
        <f t="shared" ca="1" si="242"/>
        <v>7.3431511589052464E-2</v>
      </c>
      <c r="X202" s="3">
        <f t="shared" ca="1" si="242"/>
        <v>7.3431511589051895E-2</v>
      </c>
      <c r="Y202" s="3">
        <f t="shared" ca="1" si="242"/>
        <v>7.3431511589051895E-2</v>
      </c>
      <c r="Z202" s="3">
        <f t="shared" ca="1" si="242"/>
        <v>7.3431511589053089E-2</v>
      </c>
      <c r="AA202" s="3">
        <f t="shared" ca="1" si="242"/>
        <v>7.3431511589052464E-2</v>
      </c>
      <c r="AB202" s="3">
        <f t="shared" ca="1" si="242"/>
        <v>7.3431511589051895E-2</v>
      </c>
    </row>
    <row r="203" spans="2:28" ht="15" thickBot="1" x14ac:dyDescent="0.35">
      <c r="B203" s="7" t="str">
        <f>B164</f>
        <v>Total</v>
      </c>
      <c r="C203" s="8"/>
      <c r="D203" s="9">
        <f ca="1">SUM(D174:D201)</f>
        <v>53.896561415136034</v>
      </c>
      <c r="E203" s="8"/>
      <c r="F203" s="9">
        <f ca="1">SUM(F174:F201)</f>
        <v>53.896561415136034</v>
      </c>
      <c r="G203" s="9">
        <f t="shared" ref="G203:AB203" ca="1" si="244">SUM(G174:G201)</f>
        <v>45.807178409265994</v>
      </c>
      <c r="H203" s="9">
        <f t="shared" ca="1" si="244"/>
        <v>38.931202854275789</v>
      </c>
      <c r="I203" s="9">
        <f t="shared" ca="1" si="244"/>
        <v>33.086623632534156</v>
      </c>
      <c r="J203" s="9">
        <f t="shared" ca="1" si="244"/>
        <v>28.118731294054037</v>
      </c>
      <c r="K203" s="9">
        <f t="shared" ca="1" si="244"/>
        <v>23.896022806346313</v>
      </c>
      <c r="L203" s="9">
        <f t="shared" ca="1" si="244"/>
        <v>20.306720591794207</v>
      </c>
      <c r="M203" s="9">
        <f t="shared" ca="1" si="244"/>
        <v>17.255813709424935</v>
      </c>
      <c r="N203" s="9">
        <f t="shared" ca="1" si="244"/>
        <v>14.662542859411198</v>
      </c>
      <c r="O203" s="9">
        <f t="shared" ca="1" si="244"/>
        <v>14.6625428594112</v>
      </c>
      <c r="P203" s="9">
        <f t="shared" ca="1" si="244"/>
        <v>14.662542859411083</v>
      </c>
      <c r="Q203" s="9">
        <f t="shared" ca="1" si="244"/>
        <v>14.662542859410964</v>
      </c>
      <c r="R203" s="9">
        <f t="shared" ca="1" si="244"/>
        <v>14.662542859411429</v>
      </c>
      <c r="S203" s="9">
        <f t="shared" ca="1" si="244"/>
        <v>14.662542859411429</v>
      </c>
      <c r="T203" s="9">
        <f t="shared" ca="1" si="244"/>
        <v>14.662542859411312</v>
      </c>
      <c r="U203" s="9">
        <f t="shared" ca="1" si="244"/>
        <v>14.662542859411312</v>
      </c>
      <c r="V203" s="9">
        <f t="shared" ca="1" si="244"/>
        <v>14.662542859411429</v>
      </c>
      <c r="W203" s="9">
        <f t="shared" ca="1" si="244"/>
        <v>14.662542859411314</v>
      </c>
      <c r="X203" s="9">
        <f t="shared" ca="1" si="244"/>
        <v>14.662542859411195</v>
      </c>
      <c r="Y203" s="9">
        <f t="shared" ca="1" si="244"/>
        <v>14.662542859411195</v>
      </c>
      <c r="Z203" s="9">
        <f t="shared" ca="1" si="244"/>
        <v>14.662542859411429</v>
      </c>
      <c r="AA203" s="9">
        <f t="shared" ca="1" si="244"/>
        <v>14.662542859411312</v>
      </c>
      <c r="AB203" s="10">
        <f t="shared" ca="1" si="244"/>
        <v>14.662542859411197</v>
      </c>
    </row>
    <row r="204" spans="2:28" x14ac:dyDescent="0.3">
      <c r="B204" s="6"/>
    </row>
    <row r="205" spans="2:28" x14ac:dyDescent="0.3">
      <c r="B205" s="6" t="s">
        <v>8</v>
      </c>
    </row>
    <row r="206" spans="2:28" x14ac:dyDescent="0.3">
      <c r="B206" t="str">
        <f t="shared" ref="B206:B234" si="245">B173</f>
        <v>ASRS</v>
      </c>
      <c r="C206" s="22">
        <v>0</v>
      </c>
    </row>
    <row r="207" spans="2:28" x14ac:dyDescent="0.3">
      <c r="B207" t="str">
        <f t="shared" si="245"/>
        <v xml:space="preserve">   Racking system</v>
      </c>
      <c r="C207" s="22">
        <v>0.15</v>
      </c>
      <c r="D207" s="3">
        <f>SUM(F207:AB207)</f>
        <v>10.943146678180238</v>
      </c>
      <c r="F207" s="1">
        <f t="shared" ref="F207:F214" si="246">MAX($C207*F174,0)</f>
        <v>2.2562895167999999</v>
      </c>
      <c r="G207" s="1">
        <f>IF(G$1&lt;=ROUNDUP($C51,0),IF(SUM($F207:F207)&lt;=$D$174*(1-$C$206),MAX($C207*G174,0),$D$174*(1-$C$206)-SUM($F207:F207)),0)</f>
        <v>1.91784608928</v>
      </c>
      <c r="H207" s="1">
        <f>IF(H$1&lt;=ROUNDUP($C51,0),IF(SUM($F207:G207)&lt;=$D$174*(1-$C$206),MAX($C207*H174,0),$D$174*(1-$C$206)-SUM($F207:G207)),0)</f>
        <v>1.6301691758880001</v>
      </c>
      <c r="I207" s="1">
        <f>IF(I$1&lt;=ROUNDUP($C51,0),IF(SUM($F207:H207)&lt;=$D$174*(1-$C$206),MAX($C207*I174,0),$D$174*(1-$C$206)-SUM($F207:H207)),0)</f>
        <v>1.3856437995048001</v>
      </c>
      <c r="J207" s="1">
        <f>IF(J$1&lt;=ROUNDUP($C51,0),IF(SUM($F207:I207)&lt;=$D$174*(1-$C$206),MAX($C207*J174,0),$D$174*(1-$C$206)-SUM($F207:I207)),0)</f>
        <v>1.1777972295790802</v>
      </c>
      <c r="K207" s="1">
        <f>IF(K$1&lt;=ROUNDUP($C51,0),IF(SUM($F207:J207)&lt;=$D$174*(1-$C$206),MAX($C207*K174,0),$D$174*(1-$C$206)-SUM($F207:J207)),0)</f>
        <v>1.0011276451422182</v>
      </c>
      <c r="L207" s="1">
        <f>IF(L$1&lt;=ROUNDUP($C51,0),IF(SUM($F207:K207)&lt;=$D$174*(1-$C$206),MAX($C207*L174,0),$D$174*(1-$C$206)-SUM($F207:K207)),0)</f>
        <v>0.85095849837088544</v>
      </c>
      <c r="M207" s="1">
        <f>IF(M$1&lt;=ROUNDUP($C51,0),IF(SUM($F207:L207)&lt;=$D$174*(1-$C$206),MAX($C207*M174,0),$D$174*(1-$C$206)-SUM($F207:L207)),0)</f>
        <v>0.72331472361525262</v>
      </c>
      <c r="N207" s="1">
        <f>IF(N$1&lt;=ROUNDUP($C51,0),IF(SUM($F207:M207)&lt;=$D$174*(1-$C$206),MAX($C207*N174,0),$D$174*(1-$C$206)-SUM($F207:M207)),0)</f>
        <v>0</v>
      </c>
      <c r="O207" s="1">
        <f>IF(O$1&lt;=ROUNDUP($C51,0),IF(SUM($F207:N207)&lt;=$D$174*(1-$C$206),MAX($C207*O174,0),$D$174*(1-$C$206)-SUM($F207:N207)),0)</f>
        <v>0</v>
      </c>
      <c r="P207" s="1">
        <f>IF(P$1&lt;=ROUNDUP($C51,0),IF(SUM($F207:O207)&lt;=$D$174*(1-$C$206),MAX($C207*P174,0),$D$174*(1-$C$206)-SUM($F207:O207)),0)</f>
        <v>0</v>
      </c>
      <c r="Q207" s="1">
        <f>IF(Q$1&lt;=ROUNDUP($C51,0),IF(SUM($F207:P207)&lt;=$D$174*(1-$C$206),MAX($C207*Q174,0),$D$174*(1-$C$206)-SUM($F207:P207)),0)</f>
        <v>0</v>
      </c>
      <c r="R207" s="1">
        <f>IF(R$1&lt;=ROUNDUP($C51,0),IF(SUM($F207:Q207)&lt;=$D$174*(1-$C$206),MAX($C207*R174,0),$D$174*(1-$C$206)-SUM($F207:Q207)),0)</f>
        <v>0</v>
      </c>
      <c r="S207" s="1">
        <f>IF(S$1&lt;=ROUNDUP($C51,0),IF(SUM($F207:R207)&lt;=$D$174*(1-$C$206),MAX($C207*S174,0),$D$174*(1-$C$206)-SUM($F207:R207)),0)</f>
        <v>0</v>
      </c>
      <c r="T207" s="1">
        <f>IF(T$1&lt;=ROUNDUP($C51,0),IF(SUM($F207:S207)&lt;=$D$174*(1-$C$206),MAX($C207*T174,0),$D$174*(1-$C$206)-SUM($F207:S207)),0)</f>
        <v>0</v>
      </c>
      <c r="U207" s="1">
        <f>IF(U$1&lt;=ROUNDUP($C51,0),IF(SUM($F207:T207)&lt;=$D$174*(1-$C$206),MAX($C207*U174,0),$D$174*(1-$C$206)-SUM($F207:T207)),0)</f>
        <v>0</v>
      </c>
      <c r="V207" s="1">
        <f>IF(V$1&lt;=ROUNDUP($C51,0),IF(SUM($F207:U207)&lt;=$D$174*(1-$C$206),MAX($C207*V174,0),$D$174*(1-$C$206)-SUM($F207:U207)),0)</f>
        <v>0</v>
      </c>
      <c r="W207" s="1">
        <f>IF(W$1&lt;=ROUNDUP($C51,0),IF(SUM($F207:V207)&lt;=$D$174*(1-$C$206),MAX($C207*W174,0),$D$174*(1-$C$206)-SUM($F207:V207)),0)</f>
        <v>0</v>
      </c>
      <c r="X207" s="1">
        <f>IF(X$1&lt;=ROUNDUP($C51,0),IF(SUM($F207:W207)&lt;=$D$174*(1-$C$206),MAX($C207*X174,0),$D$174*(1-$C$206)-SUM($F207:W207)),0)</f>
        <v>0</v>
      </c>
      <c r="Y207" s="1">
        <f>IF(Y$1&lt;=ROUNDUP($C51,0),IF(SUM($F207:X207)&lt;=$D$174*(1-$C$206),MAX($C207*Y174,0),$D$174*(1-$C$206)-SUM($F207:X207)),0)</f>
        <v>0</v>
      </c>
      <c r="Z207" s="1">
        <f>IF(Z$1&lt;=ROUNDUP($C51,0),IF(SUM($F207:Y207)&lt;=$D$174*(1-$C$206),MAX($C207*Z174,0),$D$174*(1-$C$206)-SUM($F207:Y207)),0)</f>
        <v>0</v>
      </c>
      <c r="AA207" s="1">
        <f>IF(AA$1&lt;=ROUNDUP($C51,0),IF(SUM($F207:Z207)&lt;=$D$174*(1-$C$206),MAX($C207*AA174,0),$D$174*(1-$C$206)-SUM($F207:Z207)),0)</f>
        <v>0</v>
      </c>
      <c r="AB207" s="1">
        <f>IF(AB$1&lt;=ROUNDUP($C51,0),IF(SUM($F207:AA207)&lt;=$D$174*(1-$C$206),MAX($C207*AB174,0),$D$174*(1-$C$206)-SUM($F207:AA207)),0)</f>
        <v>0</v>
      </c>
    </row>
    <row r="208" spans="2:28" x14ac:dyDescent="0.3">
      <c r="B208" t="str">
        <f t="shared" si="245"/>
        <v xml:space="preserve">   Cladding for high bay</v>
      </c>
      <c r="C208" s="22">
        <v>0.15</v>
      </c>
      <c r="D208" s="3">
        <f t="shared" ref="D208:D234" si="247">SUM(F208:AB208)</f>
        <v>1.0301534165446875</v>
      </c>
      <c r="F208" s="1">
        <f t="shared" si="246"/>
        <v>0.21239999999999998</v>
      </c>
      <c r="G208" s="1">
        <f>IF(G$1&lt;=ROUNDUP($C52,0),IF(SUM($F208:F208)&lt;=$D$174*(1-$C$206),MAX($C208*G175,0),$D$174*(1-$C$206)-SUM($F208:F208)),0)</f>
        <v>0.18054000000000001</v>
      </c>
      <c r="H208" s="1">
        <f>IF(H$1&lt;=ROUNDUP($C52,0),IF(SUM($F208:G208)&lt;=$D$174*(1-$C$206),MAX($C208*H175,0),$D$174*(1-$C$206)-SUM($F208:G208)),0)</f>
        <v>0.15345900000000001</v>
      </c>
      <c r="I208" s="1">
        <f>IF(I$1&lt;=ROUNDUP($C52,0),IF(SUM($F208:H208)&lt;=$D$174*(1-$C$206),MAX($C208*I175,0),$D$174*(1-$C$206)-SUM($F208:H208)),0)</f>
        <v>0.13044015</v>
      </c>
      <c r="J208" s="1">
        <f>IF(J$1&lt;=ROUNDUP($C52,0),IF(SUM($F208:I208)&lt;=$D$174*(1-$C$206),MAX($C208*J175,0),$D$174*(1-$C$206)-SUM($F208:I208)),0)</f>
        <v>0.11087412750000002</v>
      </c>
      <c r="K208" s="1">
        <f>IF(K$1&lt;=ROUNDUP($C52,0),IF(SUM($F208:J208)&lt;=$D$174*(1-$C$206),MAX($C208*K175,0),$D$174*(1-$C$206)-SUM($F208:J208)),0)</f>
        <v>9.4243008375000006E-2</v>
      </c>
      <c r="L208" s="1">
        <f>IF(L$1&lt;=ROUNDUP($C52,0),IF(SUM($F208:K208)&lt;=$D$174*(1-$C$206),MAX($C208*L175,0),$D$174*(1-$C$206)-SUM($F208:K208)),0)</f>
        <v>8.0106557118750005E-2</v>
      </c>
      <c r="M208" s="1">
        <f>IF(M$1&lt;=ROUNDUP($C52,0),IF(SUM($F208:L208)&lt;=$D$174*(1-$C$206),MAX($C208*M175,0),$D$174*(1-$C$206)-SUM($F208:L208)),0)</f>
        <v>6.8090573550937505E-2</v>
      </c>
      <c r="N208" s="1">
        <f>IF(N$1&lt;=ROUNDUP($C52,0),IF(SUM($F208:M208)&lt;=$D$174*(1-$C$206),MAX($C208*N175,0),$D$174*(1-$C$206)-SUM($F208:M208)),0)</f>
        <v>0</v>
      </c>
      <c r="O208" s="1">
        <f>IF(O$1&lt;=ROUNDUP($C52,0),IF(SUM($F208:N208)&lt;=$D$174*(1-$C$206),MAX($C208*O175,0),$D$174*(1-$C$206)-SUM($F208:N208)),0)</f>
        <v>0</v>
      </c>
      <c r="P208" s="1">
        <f>IF(P$1&lt;=ROUNDUP($C52,0),IF(SUM($F208:O208)&lt;=$D$174*(1-$C$206),MAX($C208*P175,0),$D$174*(1-$C$206)-SUM($F208:O208)),0)</f>
        <v>0</v>
      </c>
      <c r="Q208" s="1">
        <f>IF(Q$1&lt;=ROUNDUP($C52,0),IF(SUM($F208:P208)&lt;=$D$174*(1-$C$206),MAX($C208*Q175,0),$D$174*(1-$C$206)-SUM($F208:P208)),0)</f>
        <v>0</v>
      </c>
      <c r="R208" s="1">
        <f>IF(R$1&lt;=ROUNDUP($C52,0),IF(SUM($F208:Q208)&lt;=$D$174*(1-$C$206),MAX($C208*R175,0),$D$174*(1-$C$206)-SUM($F208:Q208)),0)</f>
        <v>0</v>
      </c>
      <c r="S208" s="1">
        <f>IF(S$1&lt;=ROUNDUP($C52,0),IF(SUM($F208:R208)&lt;=$D$174*(1-$C$206),MAX($C208*S175,0),$D$174*(1-$C$206)-SUM($F208:R208)),0)</f>
        <v>0</v>
      </c>
      <c r="T208" s="1">
        <f>IF(T$1&lt;=ROUNDUP($C52,0),IF(SUM($F208:S208)&lt;=$D$174*(1-$C$206),MAX($C208*T175,0),$D$174*(1-$C$206)-SUM($F208:S208)),0)</f>
        <v>0</v>
      </c>
      <c r="U208" s="1">
        <f>IF(U$1&lt;=ROUNDUP($C52,0),IF(SUM($F208:T208)&lt;=$D$174*(1-$C$206),MAX($C208*U175,0),$D$174*(1-$C$206)-SUM($F208:T208)),0)</f>
        <v>0</v>
      </c>
      <c r="V208" s="1">
        <f>IF(V$1&lt;=ROUNDUP($C52,0),IF(SUM($F208:U208)&lt;=$D$174*(1-$C$206),MAX($C208*V175,0),$D$174*(1-$C$206)-SUM($F208:U208)),0)</f>
        <v>0</v>
      </c>
      <c r="W208" s="1">
        <f>IF(W$1&lt;=ROUNDUP($C52,0),IF(SUM($F208:V208)&lt;=$D$174*(1-$C$206),MAX($C208*W175,0),$D$174*(1-$C$206)-SUM($F208:V208)),0)</f>
        <v>0</v>
      </c>
      <c r="X208" s="1">
        <f>IF(X$1&lt;=ROUNDUP($C52,0),IF(SUM($F208:W208)&lt;=$D$174*(1-$C$206),MAX($C208*X175,0),$D$174*(1-$C$206)-SUM($F208:W208)),0)</f>
        <v>0</v>
      </c>
      <c r="Y208" s="1">
        <f>IF(Y$1&lt;=ROUNDUP($C52,0),IF(SUM($F208:X208)&lt;=$D$174*(1-$C$206),MAX($C208*Y175,0),$D$174*(1-$C$206)-SUM($F208:X208)),0)</f>
        <v>0</v>
      </c>
      <c r="Z208" s="1">
        <f>IF(Z$1&lt;=ROUNDUP($C52,0),IF(SUM($F208:Y208)&lt;=$D$174*(1-$C$206),MAX($C208*Z175,0),$D$174*(1-$C$206)-SUM($F208:Y208)),0)</f>
        <v>0</v>
      </c>
      <c r="AA208" s="1">
        <f>IF(AA$1&lt;=ROUNDUP($C52,0),IF(SUM($F208:Z208)&lt;=$D$174*(1-$C$206),MAX($C208*AA175,0),$D$174*(1-$C$206)-SUM($F208:Z208)),0)</f>
        <v>0</v>
      </c>
      <c r="AB208" s="1">
        <f>IF(AB$1&lt;=ROUNDUP($C52,0),IF(SUM($F208:AA208)&lt;=$D$174*(1-$C$206),MAX($C208*AB175,0),$D$174*(1-$C$206)-SUM($F208:AA208)),0)</f>
        <v>0</v>
      </c>
    </row>
    <row r="209" spans="2:28" x14ac:dyDescent="0.3">
      <c r="B209" t="str">
        <f t="shared" si="245"/>
        <v xml:space="preserve">   Double deep Stacker crane</v>
      </c>
      <c r="C209" s="22">
        <v>0.15</v>
      </c>
      <c r="D209" s="3">
        <f t="shared" si="247"/>
        <v>4.7472903279101022</v>
      </c>
      <c r="F209" s="1">
        <f t="shared" si="246"/>
        <v>0.97881000000000018</v>
      </c>
      <c r="G209" s="1">
        <f>IF(G$1&lt;=ROUNDUP($C53,0),IF(SUM($F209:F209)&lt;=$D$174*(1-$C$206),MAX($C209*G176,0),$D$174*(1-$C$206)-SUM($F209:F209)),0)</f>
        <v>0.83198850000000013</v>
      </c>
      <c r="H209" s="1">
        <f>IF(H$1&lt;=ROUNDUP($C53,0),IF(SUM($F209:G209)&lt;=$D$174*(1-$C$206),MAX($C209*H176,0),$D$174*(1-$C$206)-SUM($F209:G209)),0)</f>
        <v>0.70719022500000006</v>
      </c>
      <c r="I209" s="1">
        <f>IF(I$1&lt;=ROUNDUP($C53,0),IF(SUM($F209:H209)&lt;=$D$174*(1-$C$206),MAX($C209*I176,0),$D$174*(1-$C$206)-SUM($F209:H209)),0)</f>
        <v>0.60111169125000008</v>
      </c>
      <c r="J209" s="1">
        <f>IF(J$1&lt;=ROUNDUP($C53,0),IF(SUM($F209:I209)&lt;=$D$174*(1-$C$206),MAX($C209*J176,0),$D$174*(1-$C$206)-SUM($F209:I209)),0)</f>
        <v>0.51094493756250015</v>
      </c>
      <c r="K209" s="1">
        <f>IF(K$1&lt;=ROUNDUP($C53,0),IF(SUM($F209:J209)&lt;=$D$174*(1-$C$206),MAX($C209*K176,0),$D$174*(1-$C$206)-SUM($F209:J209)),0)</f>
        <v>0.43430319692812513</v>
      </c>
      <c r="L209" s="1">
        <f>IF(L$1&lt;=ROUNDUP($C53,0),IF(SUM($F209:K209)&lt;=$D$174*(1-$C$206),MAX($C209*L176,0),$D$174*(1-$C$206)-SUM($F209:K209)),0)</f>
        <v>0.36915771738890635</v>
      </c>
      <c r="M209" s="1">
        <f>IF(M$1&lt;=ROUNDUP($C53,0),IF(SUM($F209:L209)&lt;=$D$174*(1-$C$206),MAX($C209*M176,0),$D$174*(1-$C$206)-SUM($F209:L209)),0)</f>
        <v>0.31378405978057039</v>
      </c>
      <c r="N209" s="1">
        <f>IF(N$1&lt;=ROUNDUP($C53,0),IF(SUM($F209:M209)&lt;=$D$174*(1-$C$206),MAX($C209*N176,0),$D$174*(1-$C$206)-SUM($F209:M209)),0)</f>
        <v>0</v>
      </c>
      <c r="O209" s="1">
        <f>IF(O$1&lt;=ROUNDUP($C53,0),IF(SUM($F209:N209)&lt;=$D$174*(1-$C$206),MAX($C209*O176,0),$D$174*(1-$C$206)-SUM($F209:N209)),0)</f>
        <v>0</v>
      </c>
      <c r="P209" s="1">
        <f>IF(P$1&lt;=ROUNDUP($C53,0),IF(SUM($F209:O209)&lt;=$D$174*(1-$C$206),MAX($C209*P176,0),$D$174*(1-$C$206)-SUM($F209:O209)),0)</f>
        <v>0</v>
      </c>
      <c r="Q209" s="1">
        <f>IF(Q$1&lt;=ROUNDUP($C53,0),IF(SUM($F209:P209)&lt;=$D$174*(1-$C$206),MAX($C209*Q176,0),$D$174*(1-$C$206)-SUM($F209:P209)),0)</f>
        <v>0</v>
      </c>
      <c r="R209" s="1">
        <f>IF(R$1&lt;=ROUNDUP($C53,0),IF(SUM($F209:Q209)&lt;=$D$174*(1-$C$206),MAX($C209*R176,0),$D$174*(1-$C$206)-SUM($F209:Q209)),0)</f>
        <v>0</v>
      </c>
      <c r="S209" s="1">
        <f>IF(S$1&lt;=ROUNDUP($C53,0),IF(SUM($F209:R209)&lt;=$D$174*(1-$C$206),MAX($C209*S176,0),$D$174*(1-$C$206)-SUM($F209:R209)),0)</f>
        <v>0</v>
      </c>
      <c r="T209" s="1">
        <f>IF(T$1&lt;=ROUNDUP($C53,0),IF(SUM($F209:S209)&lt;=$D$174*(1-$C$206),MAX($C209*T176,0),$D$174*(1-$C$206)-SUM($F209:S209)),0)</f>
        <v>0</v>
      </c>
      <c r="U209" s="1">
        <f>IF(U$1&lt;=ROUNDUP($C53,0),IF(SUM($F209:T209)&lt;=$D$174*(1-$C$206),MAX($C209*U176,0),$D$174*(1-$C$206)-SUM($F209:T209)),0)</f>
        <v>0</v>
      </c>
      <c r="V209" s="1">
        <f>IF(V$1&lt;=ROUNDUP($C53,0),IF(SUM($F209:U209)&lt;=$D$174*(1-$C$206),MAX($C209*V176,0),$D$174*(1-$C$206)-SUM($F209:U209)),0)</f>
        <v>0</v>
      </c>
      <c r="W209" s="1">
        <f>IF(W$1&lt;=ROUNDUP($C53,0),IF(SUM($F209:V209)&lt;=$D$174*(1-$C$206),MAX($C209*W176,0),$D$174*(1-$C$206)-SUM($F209:V209)),0)</f>
        <v>0</v>
      </c>
      <c r="X209" s="1">
        <f>IF(X$1&lt;=ROUNDUP($C53,0),IF(SUM($F209:W209)&lt;=$D$174*(1-$C$206),MAX($C209*X176,0),$D$174*(1-$C$206)-SUM($F209:W209)),0)</f>
        <v>0</v>
      </c>
      <c r="Y209" s="1">
        <f>IF(Y$1&lt;=ROUNDUP($C53,0),IF(SUM($F209:X209)&lt;=$D$174*(1-$C$206),MAX($C209*Y176,0),$D$174*(1-$C$206)-SUM($F209:X209)),0)</f>
        <v>0</v>
      </c>
      <c r="Z209" s="1">
        <f>IF(Z$1&lt;=ROUNDUP($C53,0),IF(SUM($F209:Y209)&lt;=$D$174*(1-$C$206),MAX($C209*Z176,0),$D$174*(1-$C$206)-SUM($F209:Y209)),0)</f>
        <v>0</v>
      </c>
      <c r="AA209" s="1">
        <f>IF(AA$1&lt;=ROUNDUP($C53,0),IF(SUM($F209:Z209)&lt;=$D$174*(1-$C$206),MAX($C209*AA176,0),$D$174*(1-$C$206)-SUM($F209:Z209)),0)</f>
        <v>0</v>
      </c>
      <c r="AB209" s="1">
        <f>IF(AB$1&lt;=ROUNDUP($C53,0),IF(SUM($F209:AA209)&lt;=$D$174*(1-$C$206),MAX($C209*AB176,0),$D$174*(1-$C$206)-SUM($F209:AA209)),0)</f>
        <v>0</v>
      </c>
    </row>
    <row r="210" spans="2:28" x14ac:dyDescent="0.3">
      <c r="B210" t="str">
        <f t="shared" si="245"/>
        <v xml:space="preserve">   Bottom Rail with aisle accessories</v>
      </c>
      <c r="C210" s="22">
        <v>0.15</v>
      </c>
      <c r="D210" s="3">
        <f t="shared" si="247"/>
        <v>1.1546975910670514</v>
      </c>
      <c r="F210" s="1">
        <f t="shared" si="246"/>
        <v>0.23807887680000001</v>
      </c>
      <c r="G210" s="1">
        <f>IF(G$1&lt;=ROUNDUP($C54,0),IF(SUM($F210:F210)&lt;=$D$174*(1-$C$206),MAX($C210*G177,0),$D$174*(1-$C$206)-SUM($F210:F210)),0)</f>
        <v>0.20236704528000002</v>
      </c>
      <c r="H210" s="1">
        <f>IF(H$1&lt;=ROUNDUP($C54,0),IF(SUM($F210:G210)&lt;=$D$174*(1-$C$206),MAX($C210*H177,0),$D$174*(1-$C$206)-SUM($F210:G210)),0)</f>
        <v>0.17201198848800003</v>
      </c>
      <c r="I210" s="1">
        <f>IF(I$1&lt;=ROUNDUP($C54,0),IF(SUM($F210:H210)&lt;=$D$174*(1-$C$206),MAX($C210*I177,0),$D$174*(1-$C$206)-SUM($F210:H210)),0)</f>
        <v>0.14621019021480003</v>
      </c>
      <c r="J210" s="1">
        <f>IF(J$1&lt;=ROUNDUP($C54,0),IF(SUM($F210:I210)&lt;=$D$174*(1-$C$206),MAX($C210*J177,0),$D$174*(1-$C$206)-SUM($F210:I210)),0)</f>
        <v>0.12427866168258001</v>
      </c>
      <c r="K210" s="1">
        <f>IF(K$1&lt;=ROUNDUP($C54,0),IF(SUM($F210:J210)&lt;=$D$174*(1-$C$206),MAX($C210*K177,0),$D$174*(1-$C$206)-SUM($F210:J210)),0)</f>
        <v>0.10563686243019302</v>
      </c>
      <c r="L210" s="1">
        <f>IF(L$1&lt;=ROUNDUP($C54,0),IF(SUM($F210:K210)&lt;=$D$174*(1-$C$206),MAX($C210*L177,0),$D$174*(1-$C$206)-SUM($F210:K210)),0)</f>
        <v>8.9791333065664072E-2</v>
      </c>
      <c r="M210" s="1">
        <f>IF(M$1&lt;=ROUNDUP($C54,0),IF(SUM($F210:L210)&lt;=$D$174*(1-$C$206),MAX($C210*M177,0),$D$174*(1-$C$206)-SUM($F210:L210)),0)</f>
        <v>7.6322633105814455E-2</v>
      </c>
      <c r="N210" s="1">
        <f>IF(N$1&lt;=ROUNDUP($C54,0),IF(SUM($F210:M210)&lt;=$D$174*(1-$C$206),MAX($C210*N177,0),$D$174*(1-$C$206)-SUM($F210:M210)),0)</f>
        <v>0</v>
      </c>
      <c r="O210" s="1">
        <f>IF(O$1&lt;=ROUNDUP($C54,0),IF(SUM($F210:N210)&lt;=$D$174*(1-$C$206),MAX($C210*O177,0),$D$174*(1-$C$206)-SUM($F210:N210)),0)</f>
        <v>0</v>
      </c>
      <c r="P210" s="1">
        <f>IF(P$1&lt;=ROUNDUP($C54,0),IF(SUM($F210:O210)&lt;=$D$174*(1-$C$206),MAX($C210*P177,0),$D$174*(1-$C$206)-SUM($F210:O210)),0)</f>
        <v>0</v>
      </c>
      <c r="Q210" s="1">
        <f>IF(Q$1&lt;=ROUNDUP($C54,0),IF(SUM($F210:P210)&lt;=$D$174*(1-$C$206),MAX($C210*Q177,0),$D$174*(1-$C$206)-SUM($F210:P210)),0)</f>
        <v>0</v>
      </c>
      <c r="R210" s="1">
        <f>IF(R$1&lt;=ROUNDUP($C54,0),IF(SUM($F210:Q210)&lt;=$D$174*(1-$C$206),MAX($C210*R177,0),$D$174*(1-$C$206)-SUM($F210:Q210)),0)</f>
        <v>0</v>
      </c>
      <c r="S210" s="1">
        <f>IF(S$1&lt;=ROUNDUP($C54,0),IF(SUM($F210:R210)&lt;=$D$174*(1-$C$206),MAX($C210*S177,0),$D$174*(1-$C$206)-SUM($F210:R210)),0)</f>
        <v>0</v>
      </c>
      <c r="T210" s="1">
        <f>IF(T$1&lt;=ROUNDUP($C54,0),IF(SUM($F210:S210)&lt;=$D$174*(1-$C$206),MAX($C210*T177,0),$D$174*(1-$C$206)-SUM($F210:S210)),0)</f>
        <v>0</v>
      </c>
      <c r="U210" s="1">
        <f>IF(U$1&lt;=ROUNDUP($C54,0),IF(SUM($F210:T210)&lt;=$D$174*(1-$C$206),MAX($C210*U177,0),$D$174*(1-$C$206)-SUM($F210:T210)),0)</f>
        <v>0</v>
      </c>
      <c r="V210" s="1">
        <f>IF(V$1&lt;=ROUNDUP($C54,0),IF(SUM($F210:U210)&lt;=$D$174*(1-$C$206),MAX($C210*V177,0),$D$174*(1-$C$206)-SUM($F210:U210)),0)</f>
        <v>0</v>
      </c>
      <c r="W210" s="1">
        <f>IF(W$1&lt;=ROUNDUP($C54,0),IF(SUM($F210:V210)&lt;=$D$174*(1-$C$206),MAX($C210*W177,0),$D$174*(1-$C$206)-SUM($F210:V210)),0)</f>
        <v>0</v>
      </c>
      <c r="X210" s="1">
        <f>IF(X$1&lt;=ROUNDUP($C54,0),IF(SUM($F210:W210)&lt;=$D$174*(1-$C$206),MAX($C210*X177,0),$D$174*(1-$C$206)-SUM($F210:W210)),0)</f>
        <v>0</v>
      </c>
      <c r="Y210" s="1">
        <f>IF(Y$1&lt;=ROUNDUP($C54,0),IF(SUM($F210:X210)&lt;=$D$174*(1-$C$206),MAX($C210*Y177,0),$D$174*(1-$C$206)-SUM($F210:X210)),0)</f>
        <v>0</v>
      </c>
      <c r="Z210" s="1">
        <f>IF(Z$1&lt;=ROUNDUP($C54,0),IF(SUM($F210:Y210)&lt;=$D$174*(1-$C$206),MAX($C210*Z177,0),$D$174*(1-$C$206)-SUM($F210:Y210)),0)</f>
        <v>0</v>
      </c>
      <c r="AA210" s="1">
        <f>IF(AA$1&lt;=ROUNDUP($C54,0),IF(SUM($F210:Z210)&lt;=$D$174*(1-$C$206),MAX($C210*AA177,0),$D$174*(1-$C$206)-SUM($F210:Z210)),0)</f>
        <v>0</v>
      </c>
      <c r="AB210" s="1">
        <f>IF(AB$1&lt;=ROUNDUP($C54,0),IF(SUM($F210:AA210)&lt;=$D$174*(1-$C$206),MAX($C210*AB177,0),$D$174*(1-$C$206)-SUM($F210:AA210)),0)</f>
        <v>0</v>
      </c>
    </row>
    <row r="211" spans="2:28" x14ac:dyDescent="0.3">
      <c r="B211" t="str">
        <f t="shared" si="245"/>
        <v xml:space="preserve">   Conveyor system</v>
      </c>
      <c r="C211" s="22">
        <v>0.15</v>
      </c>
      <c r="D211" s="3">
        <f t="shared" si="247"/>
        <v>1.2791071588763205</v>
      </c>
      <c r="F211" s="1">
        <f t="shared" si="246"/>
        <v>0.26373000000000002</v>
      </c>
      <c r="G211" s="1">
        <f>IF(G$1&lt;=ROUNDUP($C55,0),IF(SUM($F211:F211)&lt;=$D$174*(1-$C$206),MAX($C211*G178,0),$D$174*(1-$C$206)-SUM($F211:F211)),0)</f>
        <v>0.22417050000000002</v>
      </c>
      <c r="H211" s="1">
        <f>IF(H$1&lt;=ROUNDUP($C55,0),IF(SUM($F211:G211)&lt;=$D$174*(1-$C$206),MAX($C211*H178,0),$D$174*(1-$C$206)-SUM($F211:G211)),0)</f>
        <v>0.190544925</v>
      </c>
      <c r="I211" s="1">
        <f>IF(I$1&lt;=ROUNDUP($C55,0),IF(SUM($F211:H211)&lt;=$D$174*(1-$C$206),MAX($C211*I178,0),$D$174*(1-$C$206)-SUM($F211:H211)),0)</f>
        <v>0.16196318625000003</v>
      </c>
      <c r="J211" s="1">
        <f>IF(J$1&lt;=ROUNDUP($C55,0),IF(SUM($F211:I211)&lt;=$D$174*(1-$C$206),MAX($C211*J178,0),$D$174*(1-$C$206)-SUM($F211:I211)),0)</f>
        <v>0.1376687083125</v>
      </c>
      <c r="K211" s="1">
        <f>IF(K$1&lt;=ROUNDUP($C55,0),IF(SUM($F211:J211)&lt;=$D$174*(1-$C$206),MAX($C211*K178,0),$D$174*(1-$C$206)-SUM($F211:J211)),0)</f>
        <v>0.11701840206562501</v>
      </c>
      <c r="L211" s="1">
        <f>IF(L$1&lt;=ROUNDUP($C55,0),IF(SUM($F211:K211)&lt;=$D$174*(1-$C$206),MAX($C211*L178,0),$D$174*(1-$C$206)-SUM($F211:K211)),0)</f>
        <v>9.9465641755781264E-2</v>
      </c>
      <c r="M211" s="1">
        <f>IF(M$1&lt;=ROUNDUP($C55,0),IF(SUM($F211:L211)&lt;=$D$174*(1-$C$206),MAX($C211*M178,0),$D$174*(1-$C$206)-SUM($F211:L211)),0)</f>
        <v>8.4545795492414089E-2</v>
      </c>
      <c r="N211" s="1">
        <f>IF(N$1&lt;=ROUNDUP($C55,0),IF(SUM($F211:M211)&lt;=$D$174*(1-$C$206),MAX($C211*N178,0),$D$174*(1-$C$206)-SUM($F211:M211)),0)</f>
        <v>0</v>
      </c>
      <c r="O211" s="1">
        <f>IF(O$1&lt;=ROUNDUP($C55,0),IF(SUM($F211:N211)&lt;=$D$174*(1-$C$206),MAX($C211*O178,0),$D$174*(1-$C$206)-SUM($F211:N211)),0)</f>
        <v>0</v>
      </c>
      <c r="P211" s="1">
        <f>IF(P$1&lt;=ROUNDUP($C55,0),IF(SUM($F211:O211)&lt;=$D$174*(1-$C$206),MAX($C211*P178,0),$D$174*(1-$C$206)-SUM($F211:O211)),0)</f>
        <v>0</v>
      </c>
      <c r="Q211" s="1">
        <f>IF(Q$1&lt;=ROUNDUP($C55,0),IF(SUM($F211:P211)&lt;=$D$174*(1-$C$206),MAX($C211*Q178,0),$D$174*(1-$C$206)-SUM($F211:P211)),0)</f>
        <v>0</v>
      </c>
      <c r="R211" s="1">
        <f>IF(R$1&lt;=ROUNDUP($C55,0),IF(SUM($F211:Q211)&lt;=$D$174*(1-$C$206),MAX($C211*R178,0),$D$174*(1-$C$206)-SUM($F211:Q211)),0)</f>
        <v>0</v>
      </c>
      <c r="S211" s="1">
        <f>IF(S$1&lt;=ROUNDUP($C55,0),IF(SUM($F211:R211)&lt;=$D$174*(1-$C$206),MAX($C211*S178,0),$D$174*(1-$C$206)-SUM($F211:R211)),0)</f>
        <v>0</v>
      </c>
      <c r="T211" s="1">
        <f>IF(T$1&lt;=ROUNDUP($C55,0),IF(SUM($F211:S211)&lt;=$D$174*(1-$C$206),MAX($C211*T178,0),$D$174*(1-$C$206)-SUM($F211:S211)),0)</f>
        <v>0</v>
      </c>
      <c r="U211" s="1">
        <f>IF(U$1&lt;=ROUNDUP($C55,0),IF(SUM($F211:T211)&lt;=$D$174*(1-$C$206),MAX($C211*U178,0),$D$174*(1-$C$206)-SUM($F211:T211)),0)</f>
        <v>0</v>
      </c>
      <c r="V211" s="1">
        <f>IF(V$1&lt;=ROUNDUP($C55,0),IF(SUM($F211:U211)&lt;=$D$174*(1-$C$206),MAX($C211*V178,0),$D$174*(1-$C$206)-SUM($F211:U211)),0)</f>
        <v>0</v>
      </c>
      <c r="W211" s="1">
        <f>IF(W$1&lt;=ROUNDUP($C55,0),IF(SUM($F211:V211)&lt;=$D$174*(1-$C$206),MAX($C211*W178,0),$D$174*(1-$C$206)-SUM($F211:V211)),0)</f>
        <v>0</v>
      </c>
      <c r="X211" s="1">
        <f>IF(X$1&lt;=ROUNDUP($C55,0),IF(SUM($F211:W211)&lt;=$D$174*(1-$C$206),MAX($C211*X178,0),$D$174*(1-$C$206)-SUM($F211:W211)),0)</f>
        <v>0</v>
      </c>
      <c r="Y211" s="1">
        <f>IF(Y$1&lt;=ROUNDUP($C55,0),IF(SUM($F211:X211)&lt;=$D$174*(1-$C$206),MAX($C211*Y178,0),$D$174*(1-$C$206)-SUM($F211:X211)),0)</f>
        <v>0</v>
      </c>
      <c r="Z211" s="1">
        <f>IF(Z$1&lt;=ROUNDUP($C55,0),IF(SUM($F211:Y211)&lt;=$D$174*(1-$C$206),MAX($C211*Z178,0),$D$174*(1-$C$206)-SUM($F211:Y211)),0)</f>
        <v>0</v>
      </c>
      <c r="AA211" s="1">
        <f>IF(AA$1&lt;=ROUNDUP($C55,0),IF(SUM($F211:Z211)&lt;=$D$174*(1-$C$206),MAX($C211*AA178,0),$D$174*(1-$C$206)-SUM($F211:Z211)),0)</f>
        <v>0</v>
      </c>
      <c r="AB211" s="1">
        <f>IF(AB$1&lt;=ROUNDUP($C55,0),IF(SUM($F211:AA211)&lt;=$D$174*(1-$C$206),MAX($C211*AB178,0),$D$174*(1-$C$206)-SUM($F211:AA211)),0)</f>
        <v>0</v>
      </c>
    </row>
    <row r="212" spans="2:28" x14ac:dyDescent="0.3">
      <c r="B212" t="str">
        <f t="shared" si="245"/>
        <v xml:space="preserve">   Critical spares</v>
      </c>
      <c r="C212" s="22">
        <v>0.15</v>
      </c>
      <c r="D212" s="3">
        <f t="shared" si="247"/>
        <v>0.2403691305270938</v>
      </c>
      <c r="F212" s="1">
        <f t="shared" si="246"/>
        <v>4.956E-2</v>
      </c>
      <c r="G212" s="1">
        <f>IF(G$1&lt;=ROUNDUP($C56,0),IF(SUM($F212:F212)&lt;=$D$174*(1-$C$206),MAX($C212*G179,0),$D$174*(1-$C$206)-SUM($F212:F212)),0)</f>
        <v>4.2126000000000004E-2</v>
      </c>
      <c r="H212" s="1">
        <f>IF(H$1&lt;=ROUNDUP($C56,0),IF(SUM($F212:G212)&lt;=$D$174*(1-$C$206),MAX($C212*H179,0),$D$174*(1-$C$206)-SUM($F212:G212)),0)</f>
        <v>3.5807100000000001E-2</v>
      </c>
      <c r="I212" s="1">
        <f>IF(I$1&lt;=ROUNDUP($C56,0),IF(SUM($F212:H212)&lt;=$D$174*(1-$C$206),MAX($C212*I179,0),$D$174*(1-$C$206)-SUM($F212:H212)),0)</f>
        <v>3.0436035000000004E-2</v>
      </c>
      <c r="J212" s="1">
        <f>IF(J$1&lt;=ROUNDUP($C56,0),IF(SUM($F212:I212)&lt;=$D$174*(1-$C$206),MAX($C212*J179,0),$D$174*(1-$C$206)-SUM($F212:I212)),0)</f>
        <v>2.5870629750000002E-2</v>
      </c>
      <c r="K212" s="1">
        <f>IF(K$1&lt;=ROUNDUP($C56,0),IF(SUM($F212:J212)&lt;=$D$174*(1-$C$206),MAX($C212*K179,0),$D$174*(1-$C$206)-SUM($F212:J212)),0)</f>
        <v>2.1990035287500001E-2</v>
      </c>
      <c r="L212" s="1">
        <f>IF(L$1&lt;=ROUNDUP($C56,0),IF(SUM($F212:K212)&lt;=$D$174*(1-$C$206),MAX($C212*L179,0),$D$174*(1-$C$206)-SUM($F212:K212)),0)</f>
        <v>1.8691529994375001E-2</v>
      </c>
      <c r="M212" s="1">
        <f>IF(M$1&lt;=ROUNDUP($C56,0),IF(SUM($F212:L212)&lt;=$D$174*(1-$C$206),MAX($C212*M179,0),$D$174*(1-$C$206)-SUM($F212:L212)),0)</f>
        <v>1.5887800495218752E-2</v>
      </c>
      <c r="N212" s="1">
        <f>IF(N$1&lt;=ROUNDUP($C56,0),IF(SUM($F212:M212)&lt;=$D$174*(1-$C$206),MAX($C212*N179,0),$D$174*(1-$C$206)-SUM($F212:M212)),0)</f>
        <v>0</v>
      </c>
      <c r="O212" s="1">
        <f>IF(O$1&lt;=ROUNDUP($C56,0),IF(SUM($F212:N212)&lt;=$D$174*(1-$C$206),MAX($C212*O179,0),$D$174*(1-$C$206)-SUM($F212:N212)),0)</f>
        <v>0</v>
      </c>
      <c r="P212" s="1">
        <f>IF(P$1&lt;=ROUNDUP($C56,0),IF(SUM($F212:O212)&lt;=$D$174*(1-$C$206),MAX($C212*P179,0),$D$174*(1-$C$206)-SUM($F212:O212)),0)</f>
        <v>0</v>
      </c>
      <c r="Q212" s="1">
        <f>IF(Q$1&lt;=ROUNDUP($C56,0),IF(SUM($F212:P212)&lt;=$D$174*(1-$C$206),MAX($C212*Q179,0),$D$174*(1-$C$206)-SUM($F212:P212)),0)</f>
        <v>0</v>
      </c>
      <c r="R212" s="1">
        <f>IF(R$1&lt;=ROUNDUP($C56,0),IF(SUM($F212:Q212)&lt;=$D$174*(1-$C$206),MAX($C212*R179,0),$D$174*(1-$C$206)-SUM($F212:Q212)),0)</f>
        <v>0</v>
      </c>
      <c r="S212" s="1">
        <f>IF(S$1&lt;=ROUNDUP($C56,0),IF(SUM($F212:R212)&lt;=$D$174*(1-$C$206),MAX($C212*S179,0),$D$174*(1-$C$206)-SUM($F212:R212)),0)</f>
        <v>0</v>
      </c>
      <c r="T212" s="1">
        <f>IF(T$1&lt;=ROUNDUP($C56,0),IF(SUM($F212:S212)&lt;=$D$174*(1-$C$206),MAX($C212*T179,0),$D$174*(1-$C$206)-SUM($F212:S212)),0)</f>
        <v>0</v>
      </c>
      <c r="U212" s="1">
        <f>IF(U$1&lt;=ROUNDUP($C56,0),IF(SUM($F212:T212)&lt;=$D$174*(1-$C$206),MAX($C212*U179,0),$D$174*(1-$C$206)-SUM($F212:T212)),0)</f>
        <v>0</v>
      </c>
      <c r="V212" s="1">
        <f>IF(V$1&lt;=ROUNDUP($C56,0),IF(SUM($F212:U212)&lt;=$D$174*(1-$C$206),MAX($C212*V179,0),$D$174*(1-$C$206)-SUM($F212:U212)),0)</f>
        <v>0</v>
      </c>
      <c r="W212" s="1">
        <f>IF(W$1&lt;=ROUNDUP($C56,0),IF(SUM($F212:V212)&lt;=$D$174*(1-$C$206),MAX($C212*W179,0),$D$174*(1-$C$206)-SUM($F212:V212)),0)</f>
        <v>0</v>
      </c>
      <c r="X212" s="1">
        <f>IF(X$1&lt;=ROUNDUP($C56,0),IF(SUM($F212:W212)&lt;=$D$174*(1-$C$206),MAX($C212*X179,0),$D$174*(1-$C$206)-SUM($F212:W212)),0)</f>
        <v>0</v>
      </c>
      <c r="Y212" s="1">
        <f>IF(Y$1&lt;=ROUNDUP($C56,0),IF(SUM($F212:X212)&lt;=$D$174*(1-$C$206),MAX($C212*Y179,0),$D$174*(1-$C$206)-SUM($F212:X212)),0)</f>
        <v>0</v>
      </c>
      <c r="Z212" s="1">
        <f>IF(Z$1&lt;=ROUNDUP($C56,0),IF(SUM($F212:Y212)&lt;=$D$174*(1-$C$206),MAX($C212*Z179,0),$D$174*(1-$C$206)-SUM($F212:Y212)),0)</f>
        <v>0</v>
      </c>
      <c r="AA212" s="1">
        <f>IF(AA$1&lt;=ROUNDUP($C56,0),IF(SUM($F212:Z212)&lt;=$D$174*(1-$C$206),MAX($C212*AA179,0),$D$174*(1-$C$206)-SUM($F212:Z212)),0)</f>
        <v>0</v>
      </c>
      <c r="AB212" s="1">
        <f>IF(AB$1&lt;=ROUNDUP($C56,0),IF(SUM($F212:AA212)&lt;=$D$174*(1-$C$206),MAX($C212*AB179,0),$D$174*(1-$C$206)-SUM($F212:AA212)),0)</f>
        <v>0</v>
      </c>
    </row>
    <row r="213" spans="2:28" x14ac:dyDescent="0.3">
      <c r="B213" t="str">
        <f t="shared" si="245"/>
        <v xml:space="preserve">   Metal pallets</v>
      </c>
      <c r="C213" s="22">
        <v>0.15</v>
      </c>
      <c r="D213" s="3">
        <f t="shared" si="247"/>
        <v>6.8979072771832284</v>
      </c>
      <c r="F213" s="1">
        <f t="shared" si="246"/>
        <v>1.4222303999999999</v>
      </c>
      <c r="G213" s="1">
        <f>IF(G$1&lt;=ROUNDUP($C57,0),IF(SUM($F213:F213)&lt;=$D$174*(1-$C$206),MAX($C213*G180,0),$D$174*(1-$C$206)-SUM($F213:F213)),0)</f>
        <v>1.2088958400000001</v>
      </c>
      <c r="H213" s="1">
        <f>IF(H$1&lt;=ROUNDUP($C57,0),IF(SUM($F213:G213)&lt;=$D$174*(1-$C$206),MAX($C213*H180,0),$D$174*(1-$C$206)-SUM($F213:G213)),0)</f>
        <v>1.0275614639999999</v>
      </c>
      <c r="I213" s="1">
        <f>IF(I$1&lt;=ROUNDUP($C57,0),IF(SUM($F213:H213)&lt;=$D$174*(1-$C$206),MAX($C213*I180,0),$D$174*(1-$C$206)-SUM($F213:H213)),0)</f>
        <v>0.87342724439999997</v>
      </c>
      <c r="J213" s="1">
        <f>IF(J$1&lt;=ROUNDUP($C57,0),IF(SUM($F213:I213)&lt;=$D$174*(1-$C$206),MAX($C213*J180,0),$D$174*(1-$C$206)-SUM($F213:I213)),0)</f>
        <v>0.74241315773999994</v>
      </c>
      <c r="K213" s="1">
        <f>IF(K$1&lt;=ROUNDUP($C57,0),IF(SUM($F213:J213)&lt;=$D$174*(1-$C$206),MAX($C213*K180,0),$D$174*(1-$C$206)-SUM($F213:J213)),0)</f>
        <v>0.63105118407899996</v>
      </c>
      <c r="L213" s="1">
        <f>IF(L$1&lt;=ROUNDUP($C57,0),IF(SUM($F213:K213)&lt;=$D$174*(1-$C$206),MAX($C213*L180,0),$D$174*(1-$C$206)-SUM($F213:K213)),0)</f>
        <v>0.53639350646715001</v>
      </c>
      <c r="M213" s="1">
        <f>IF(M$1&lt;=ROUNDUP($C57,0),IF(SUM($F213:L213)&lt;=$D$174*(1-$C$206),MAX($C213*M180,0),$D$174*(1-$C$206)-SUM($F213:L213)),0)</f>
        <v>0.45593448049707752</v>
      </c>
      <c r="N213" s="1">
        <f>IF(N$1&lt;=ROUNDUP($C57,0),IF(SUM($F213:M213)&lt;=$D$174*(1-$C$206),MAX($C213*N180,0),$D$174*(1-$C$206)-SUM($F213:M213)),0)</f>
        <v>0</v>
      </c>
      <c r="O213" s="1">
        <f>IF(O$1&lt;=ROUNDUP($C57,0),IF(SUM($F213:N213)&lt;=$D$174*(1-$C$206),MAX($C213*O180,0),$D$174*(1-$C$206)-SUM($F213:N213)),0)</f>
        <v>0</v>
      </c>
      <c r="P213" s="1">
        <f>IF(P$1&lt;=ROUNDUP($C57,0),IF(SUM($F213:O213)&lt;=$D$174*(1-$C$206),MAX($C213*P180,0),$D$174*(1-$C$206)-SUM($F213:O213)),0)</f>
        <v>0</v>
      </c>
      <c r="Q213" s="1">
        <f>IF(Q$1&lt;=ROUNDUP($C57,0),IF(SUM($F213:P213)&lt;=$D$174*(1-$C$206),MAX($C213*Q180,0),$D$174*(1-$C$206)-SUM($F213:P213)),0)</f>
        <v>0</v>
      </c>
      <c r="R213" s="1">
        <f>IF(R$1&lt;=ROUNDUP($C57,0),IF(SUM($F213:Q213)&lt;=$D$174*(1-$C$206),MAX($C213*R180,0),$D$174*(1-$C$206)-SUM($F213:Q213)),0)</f>
        <v>0</v>
      </c>
      <c r="S213" s="1">
        <f>IF(S$1&lt;=ROUNDUP($C57,0),IF(SUM($F213:R213)&lt;=$D$174*(1-$C$206),MAX($C213*S180,0),$D$174*(1-$C$206)-SUM($F213:R213)),0)</f>
        <v>0</v>
      </c>
      <c r="T213" s="1">
        <f>IF(T$1&lt;=ROUNDUP($C57,0),IF(SUM($F213:S213)&lt;=$D$174*(1-$C$206),MAX($C213*T180,0),$D$174*(1-$C$206)-SUM($F213:S213)),0)</f>
        <v>0</v>
      </c>
      <c r="U213" s="1">
        <f>IF(U$1&lt;=ROUNDUP($C57,0),IF(SUM($F213:T213)&lt;=$D$174*(1-$C$206),MAX($C213*U180,0),$D$174*(1-$C$206)-SUM($F213:T213)),0)</f>
        <v>0</v>
      </c>
      <c r="V213" s="1">
        <f>IF(V$1&lt;=ROUNDUP($C57,0),IF(SUM($F213:U213)&lt;=$D$174*(1-$C$206),MAX($C213*V180,0),$D$174*(1-$C$206)-SUM($F213:U213)),0)</f>
        <v>0</v>
      </c>
      <c r="W213" s="1">
        <f>IF(W$1&lt;=ROUNDUP($C57,0),IF(SUM($F213:V213)&lt;=$D$174*(1-$C$206),MAX($C213*W180,0),$D$174*(1-$C$206)-SUM($F213:V213)),0)</f>
        <v>0</v>
      </c>
      <c r="X213" s="1">
        <f>IF(X$1&lt;=ROUNDUP($C57,0),IF(SUM($F213:W213)&lt;=$D$174*(1-$C$206),MAX($C213*X180,0),$D$174*(1-$C$206)-SUM($F213:W213)),0)</f>
        <v>0</v>
      </c>
      <c r="Y213" s="1">
        <f>IF(Y$1&lt;=ROUNDUP($C57,0),IF(SUM($F213:X213)&lt;=$D$174*(1-$C$206),MAX($C213*Y180,0),$D$174*(1-$C$206)-SUM($F213:X213)),0)</f>
        <v>0</v>
      </c>
      <c r="Z213" s="1">
        <f>IF(Z$1&lt;=ROUNDUP($C57,0),IF(SUM($F213:Y213)&lt;=$D$174*(1-$C$206),MAX($C213*Z180,0),$D$174*(1-$C$206)-SUM($F213:Y213)),0)</f>
        <v>0</v>
      </c>
      <c r="AA213" s="1">
        <f>IF(AA$1&lt;=ROUNDUP($C57,0),IF(SUM($F213:Z213)&lt;=$D$174*(1-$C$206),MAX($C213*AA180,0),$D$174*(1-$C$206)-SUM($F213:Z213)),0)</f>
        <v>0</v>
      </c>
      <c r="AB213" s="1">
        <f>IF(AB$1&lt;=ROUNDUP($C57,0),IF(SUM($F213:AA213)&lt;=$D$174*(1-$C$206),MAX($C213*AB180,0),$D$174*(1-$C$206)-SUM($F213:AA213)),0)</f>
        <v>0</v>
      </c>
    </row>
    <row r="214" spans="2:28" x14ac:dyDescent="0.3">
      <c r="B214" t="str">
        <f t="shared" si="245"/>
        <v xml:space="preserve">   Discount</v>
      </c>
      <c r="C214" s="22">
        <v>0.15</v>
      </c>
      <c r="D214" s="3">
        <f t="shared" si="247"/>
        <v>0</v>
      </c>
      <c r="F214" s="1">
        <f t="shared" si="246"/>
        <v>0</v>
      </c>
      <c r="G214" s="1">
        <f>IF(G$1&lt;=ROUNDUP($C58,0),IF(SUM($F214:F214)&lt;=$D$174*(1-$C$206),MAX($C214*G181,0),$D$174*(1-$C$206)-SUM($F214:F214)),0)</f>
        <v>0</v>
      </c>
      <c r="H214" s="1">
        <f>IF(H$1&lt;=ROUNDUP($C58,0),IF(SUM($F214:G214)&lt;=$D$174*(1-$C$206),MAX($C214*H181,0),$D$174*(1-$C$206)-SUM($F214:G214)),0)</f>
        <v>0</v>
      </c>
      <c r="I214" s="1">
        <f>IF(I$1&lt;=ROUNDUP($C58,0),IF(SUM($F214:H214)&lt;=$D$174*(1-$C$206),MAX($C214*I181,0),$D$174*(1-$C$206)-SUM($F214:H214)),0)</f>
        <v>0</v>
      </c>
      <c r="J214" s="1">
        <f>IF(J$1&lt;=ROUNDUP($C58,0),IF(SUM($F214:I214)&lt;=$D$174*(1-$C$206),MAX($C214*J181,0),$D$174*(1-$C$206)-SUM($F214:I214)),0)</f>
        <v>0</v>
      </c>
      <c r="K214" s="1">
        <f>IF(K$1&lt;=ROUNDUP($C58,0),IF(SUM($F214:J214)&lt;=$D$174*(1-$C$206),MAX($C214*K181,0),$D$174*(1-$C$206)-SUM($F214:J214)),0)</f>
        <v>0</v>
      </c>
      <c r="L214" s="1">
        <f>IF(L$1&lt;=ROUNDUP($C58,0),IF(SUM($F214:K214)&lt;=$D$174*(1-$C$206),MAX($C214*L181,0),$D$174*(1-$C$206)-SUM($F214:K214)),0)</f>
        <v>0</v>
      </c>
      <c r="M214" s="1">
        <f>IF(M$1&lt;=ROUNDUP($C58,0),IF(SUM($F214:L214)&lt;=$D$174*(1-$C$206),MAX($C214*M181,0),$D$174*(1-$C$206)-SUM($F214:L214)),0)</f>
        <v>0</v>
      </c>
      <c r="N214" s="1">
        <f>IF(N$1&lt;=ROUNDUP($C58,0),IF(SUM($F214:M214)&lt;=$D$174*(1-$C$206),MAX($C214*N181,0),$D$174*(1-$C$206)-SUM($F214:M214)),0)</f>
        <v>0</v>
      </c>
      <c r="O214" s="1">
        <f>IF(O$1&lt;=ROUNDUP($C58,0),IF(SUM($F214:N214)&lt;=$D$174*(1-$C$206),MAX($C214*O181,0),$D$174*(1-$C$206)-SUM($F214:N214)),0)</f>
        <v>0</v>
      </c>
      <c r="P214" s="1">
        <f>IF(P$1&lt;=ROUNDUP($C58,0),IF(SUM($F214:O214)&lt;=$D$174*(1-$C$206),MAX($C214*P181,0),$D$174*(1-$C$206)-SUM($F214:O214)),0)</f>
        <v>0</v>
      </c>
      <c r="Q214" s="1">
        <f>IF(Q$1&lt;=ROUNDUP($C58,0),IF(SUM($F214:P214)&lt;=$D$174*(1-$C$206),MAX($C214*Q181,0),$D$174*(1-$C$206)-SUM($F214:P214)),0)</f>
        <v>0</v>
      </c>
      <c r="R214" s="1">
        <f>IF(R$1&lt;=ROUNDUP($C58,0),IF(SUM($F214:Q214)&lt;=$D$174*(1-$C$206),MAX($C214*R181,0),$D$174*(1-$C$206)-SUM($F214:Q214)),0)</f>
        <v>0</v>
      </c>
      <c r="S214" s="1">
        <f>IF(S$1&lt;=ROUNDUP($C58,0),IF(SUM($F214:R214)&lt;=$D$174*(1-$C$206),MAX($C214*S181,0),$D$174*(1-$C$206)-SUM($F214:R214)),0)</f>
        <v>0</v>
      </c>
      <c r="T214" s="1">
        <f>IF(T$1&lt;=ROUNDUP($C58,0),IF(SUM($F214:S214)&lt;=$D$174*(1-$C$206),MAX($C214*T181,0),$D$174*(1-$C$206)-SUM($F214:S214)),0)</f>
        <v>0</v>
      </c>
      <c r="U214" s="1">
        <f>IF(U$1&lt;=ROUNDUP($C58,0),IF(SUM($F214:T214)&lt;=$D$174*(1-$C$206),MAX($C214*U181,0),$D$174*(1-$C$206)-SUM($F214:T214)),0)</f>
        <v>0</v>
      </c>
      <c r="V214" s="1">
        <f>IF(V$1&lt;=ROUNDUP($C58,0),IF(SUM($F214:U214)&lt;=$D$174*(1-$C$206),MAX($C214*V181,0),$D$174*(1-$C$206)-SUM($F214:U214)),0)</f>
        <v>0</v>
      </c>
      <c r="W214" s="1">
        <f>IF(W$1&lt;=ROUNDUP($C58,0),IF(SUM($F214:V214)&lt;=$D$174*(1-$C$206),MAX($C214*W181,0),$D$174*(1-$C$206)-SUM($F214:V214)),0)</f>
        <v>0</v>
      </c>
      <c r="X214" s="1">
        <f>IF(X$1&lt;=ROUNDUP($C58,0),IF(SUM($F214:W214)&lt;=$D$174*(1-$C$206),MAX($C214*X181,0),$D$174*(1-$C$206)-SUM($F214:W214)),0)</f>
        <v>0</v>
      </c>
      <c r="Y214" s="1">
        <f>IF(Y$1&lt;=ROUNDUP($C58,0),IF(SUM($F214:X214)&lt;=$D$174*(1-$C$206),MAX($C214*Y181,0),$D$174*(1-$C$206)-SUM($F214:X214)),0)</f>
        <v>0</v>
      </c>
      <c r="Z214" s="1">
        <f>IF(Z$1&lt;=ROUNDUP($C58,0),IF(SUM($F214:Y214)&lt;=$D$174*(1-$C$206),MAX($C214*Z181,0),$D$174*(1-$C$206)-SUM($F214:Y214)),0)</f>
        <v>0</v>
      </c>
      <c r="AA214" s="1">
        <f>IF(AA$1&lt;=ROUNDUP($C58,0),IF(SUM($F214:Z214)&lt;=$D$174*(1-$C$206),MAX($C214*AA181,0),$D$174*(1-$C$206)-SUM($F214:Z214)),0)</f>
        <v>0</v>
      </c>
      <c r="AB214" s="1">
        <f>IF(AB$1&lt;=ROUNDUP($C58,0),IF(SUM($F214:AA214)&lt;=$D$174*(1-$C$206),MAX($C214*AB181,0),$D$174*(1-$C$206)-SUM($F214:AA214)),0)</f>
        <v>0</v>
      </c>
    </row>
    <row r="215" spans="2:28" x14ac:dyDescent="0.3">
      <c r="B215" t="str">
        <f t="shared" si="245"/>
        <v>Civil Cost</v>
      </c>
      <c r="C215" s="22"/>
      <c r="D215" s="3">
        <f t="shared" si="247"/>
        <v>0</v>
      </c>
      <c r="F215" s="1">
        <f>MAX($C215*F195,0)</f>
        <v>0</v>
      </c>
      <c r="G215" s="1">
        <f>IF(G$1&lt;=ROUNDUP($C73,0),IF(SUM($F215:F215)&lt;=$D$174*(1-$C$206),MAX($C215*G195,0),$D$174*(1-$C$206)-SUM($F215:F215)),0)</f>
        <v>0</v>
      </c>
      <c r="H215" s="1">
        <f>IF(H$1&lt;=ROUNDUP($C73,0),IF(SUM($F215:G215)&lt;=$D$174*(1-$C$206),MAX($C215*H195,0),$D$174*(1-$C$206)-SUM($F215:G215)),0)</f>
        <v>0</v>
      </c>
      <c r="I215" s="1">
        <f>IF(I$1&lt;=ROUNDUP($C73,0),IF(SUM($F215:H215)&lt;=$D$174*(1-$C$206),MAX($C215*I195,0),$D$174*(1-$C$206)-SUM($F215:H215)),0)</f>
        <v>0</v>
      </c>
      <c r="J215" s="1">
        <f>IF(J$1&lt;=ROUNDUP($C73,0),IF(SUM($F215:I215)&lt;=$D$174*(1-$C$206),MAX($C215*J195,0),$D$174*(1-$C$206)-SUM($F215:I215)),0)</f>
        <v>0</v>
      </c>
      <c r="K215" s="1">
        <f>IF(K$1&lt;=ROUNDUP($C73,0),IF(SUM($F215:J215)&lt;=$D$174*(1-$C$206),MAX($C215*K195,0),$D$174*(1-$C$206)-SUM($F215:J215)),0)</f>
        <v>0</v>
      </c>
      <c r="L215" s="1">
        <f>IF(L$1&lt;=ROUNDUP($C73,0),IF(SUM($F215:K215)&lt;=$D$174*(1-$C$206),MAX($C215*L195,0),$D$174*(1-$C$206)-SUM($F215:K215)),0)</f>
        <v>0</v>
      </c>
      <c r="M215" s="1">
        <f>IF(M$1&lt;=ROUNDUP($C73,0),IF(SUM($F215:L215)&lt;=$D$174*(1-$C$206),MAX($C215*M195,0),$D$174*(1-$C$206)-SUM($F215:L215)),0)</f>
        <v>0</v>
      </c>
      <c r="N215" s="1">
        <f>IF(N$1&lt;=ROUNDUP($C73,0),IF(SUM($F215:M215)&lt;=$D$174*(1-$C$206),MAX($C215*N195,0),$D$174*(1-$C$206)-SUM($F215:M215)),0)</f>
        <v>0</v>
      </c>
      <c r="O215" s="1">
        <f>IF(O$1&lt;=ROUNDUP($C73,0),IF(SUM($F215:N215)&lt;=$D$174*(1-$C$206),MAX($C215*O195,0),$D$174*(1-$C$206)-SUM($F215:N215)),0)</f>
        <v>0</v>
      </c>
      <c r="P215" s="1">
        <f>IF(P$1&lt;=ROUNDUP($C73,0),IF(SUM($F215:O215)&lt;=$D$174*(1-$C$206),MAX($C215*P195,0),$D$174*(1-$C$206)-SUM($F215:O215)),0)</f>
        <v>0</v>
      </c>
      <c r="Q215" s="1">
        <f>IF(Q$1&lt;=ROUNDUP($C73,0),IF(SUM($F215:P215)&lt;=$D$174*(1-$C$206),MAX($C215*Q195,0),$D$174*(1-$C$206)-SUM($F215:P215)),0)</f>
        <v>0</v>
      </c>
      <c r="R215" s="1">
        <f>IF(R$1&lt;=ROUNDUP($C73,0),IF(SUM($F215:Q215)&lt;=$D$174*(1-$C$206),MAX($C215*R195,0),$D$174*(1-$C$206)-SUM($F215:Q215)),0)</f>
        <v>0</v>
      </c>
      <c r="S215" s="1">
        <f>IF(S$1&lt;=ROUNDUP($C73,0),IF(SUM($F215:R215)&lt;=$D$174*(1-$C$206),MAX($C215*S195,0),$D$174*(1-$C$206)-SUM($F215:R215)),0)</f>
        <v>0</v>
      </c>
      <c r="T215" s="1">
        <f>IF(T$1&lt;=ROUNDUP($C73,0),IF(SUM($F215:S215)&lt;=$D$174*(1-$C$206),MAX($C215*T195,0),$D$174*(1-$C$206)-SUM($F215:S215)),0)</f>
        <v>0</v>
      </c>
      <c r="U215" s="1">
        <f>IF(U$1&lt;=ROUNDUP($C73,0),IF(SUM($F215:T215)&lt;=$D$174*(1-$C$206),MAX($C215*U195,0),$D$174*(1-$C$206)-SUM($F215:T215)),0)</f>
        <v>0</v>
      </c>
      <c r="V215" s="1">
        <f>IF(V$1&lt;=ROUNDUP($C73,0),IF(SUM($F215:U215)&lt;=$D$174*(1-$C$206),MAX($C215*V195,0),$D$174*(1-$C$206)-SUM($F215:U215)),0)</f>
        <v>0</v>
      </c>
      <c r="W215" s="1">
        <f>IF(W$1&lt;=ROUNDUP($C73,0),IF(SUM($F215:V215)&lt;=$D$174*(1-$C$206),MAX($C215*W195,0),$D$174*(1-$C$206)-SUM($F215:V215)),0)</f>
        <v>0</v>
      </c>
      <c r="X215" s="1">
        <f>IF(X$1&lt;=ROUNDUP($C73,0),IF(SUM($F215:W215)&lt;=$D$174*(1-$C$206),MAX($C215*X195,0),$D$174*(1-$C$206)-SUM($F215:W215)),0)</f>
        <v>0</v>
      </c>
      <c r="Y215" s="1">
        <f>IF(Y$1&lt;=ROUNDUP($C73,0),IF(SUM($F215:X215)&lt;=$D$174*(1-$C$206),MAX($C215*Y195,0),$D$174*(1-$C$206)-SUM($F215:X215)),0)</f>
        <v>0</v>
      </c>
      <c r="Z215" s="1">
        <f>IF(Z$1&lt;=ROUNDUP($C73,0),IF(SUM($F215:Y215)&lt;=$D$174*(1-$C$206),MAX($C215*Z195,0),$D$174*(1-$C$206)-SUM($F215:Y215)),0)</f>
        <v>0</v>
      </c>
      <c r="AA215" s="1">
        <f>IF(AA$1&lt;=ROUNDUP($C73,0),IF(SUM($F215:Z215)&lt;=$D$174*(1-$C$206),MAX($C215*AA195,0),$D$174*(1-$C$206)-SUM($F215:Z215)),0)</f>
        <v>0</v>
      </c>
      <c r="AB215" s="1">
        <f>IF(AB$1&lt;=ROUNDUP($C73,0),IF(SUM($F215:AA215)&lt;=$D$174*(1-$C$206),MAX($C215*AB195,0),$D$174*(1-$C$206)-SUM($F215:AA215)),0)</f>
        <v>0</v>
      </c>
    </row>
    <row r="216" spans="2:28" x14ac:dyDescent="0.3">
      <c r="B216" s="293" t="str">
        <f t="shared" si="245"/>
        <v>Earthworks and soiling</v>
      </c>
      <c r="C216" s="22">
        <v>0.15</v>
      </c>
      <c r="D216" s="3">
        <f t="shared" ref="D216:D230" si="248">SUM(F216:AB216)</f>
        <v>1.1589225936127734</v>
      </c>
      <c r="F216" s="1">
        <f t="shared" ref="F216:F235" si="249">MAX($C216*F183,0)</f>
        <v>0.23895</v>
      </c>
      <c r="G216" s="1">
        <f>IF(G$1&lt;=ROUNDUP($C60,0),IF(SUM($F216:F216)&lt;=$D$174*(1-$C$206),MAX($C216*G183,0),$D$174*(1-$C$206)-SUM($F216:F216)),0)</f>
        <v>0.2031075</v>
      </c>
      <c r="H216" s="1">
        <f>IF(H$1&lt;=ROUNDUP($C60,0),IF(SUM($F216:G216)&lt;=$D$174*(1-$C$206),MAX($C216*H183,0),$D$174*(1-$C$206)-SUM($F216:G216)),0)</f>
        <v>0.17264137499999999</v>
      </c>
      <c r="I216" s="1">
        <f>IF(I$1&lt;=ROUNDUP($C60,0),IF(SUM($F216:H216)&lt;=$D$174*(1-$C$206),MAX($C216*I183,0),$D$174*(1-$C$206)-SUM($F216:H216)),0)</f>
        <v>0.14674516874999999</v>
      </c>
      <c r="J216" s="1">
        <f>IF(J$1&lt;=ROUNDUP($C60,0),IF(SUM($F216:I216)&lt;=$D$174*(1-$C$206),MAX($C216*J183,0),$D$174*(1-$C$206)-SUM($F216:I216)),0)</f>
        <v>0.12473339343749999</v>
      </c>
      <c r="K216" s="1">
        <f>IF(K$1&lt;=ROUNDUP($C60,0),IF(SUM($F216:J216)&lt;=$D$174*(1-$C$206),MAX($C216*K183,0),$D$174*(1-$C$206)-SUM($F216:J216)),0)</f>
        <v>0.10602338442187499</v>
      </c>
      <c r="L216" s="1">
        <f>IF(L$1&lt;=ROUNDUP($C60,0),IF(SUM($F216:K216)&lt;=$D$174*(1-$C$206),MAX($C216*L183,0),$D$174*(1-$C$206)-SUM($F216:K216)),0)</f>
        <v>9.0119876758593745E-2</v>
      </c>
      <c r="M216" s="1">
        <f>IF(M$1&lt;=ROUNDUP($C60,0),IF(SUM($F216:L216)&lt;=$D$174*(1-$C$206),MAX($C216*M183,0),$D$174*(1-$C$206)-SUM($F216:L216)),0)</f>
        <v>7.660189524480468E-2</v>
      </c>
      <c r="N216" s="1">
        <f>IF(N$1&lt;=ROUNDUP($C60,0),IF(SUM($F216:M216)&lt;=$D$174*(1-$C$206),MAX($C216*N183,0),$D$174*(1-$C$206)-SUM($F216:M216)),0)</f>
        <v>0</v>
      </c>
      <c r="O216" s="1">
        <f>IF(O$1&lt;=ROUNDUP($C60,0),IF(SUM($F216:N216)&lt;=$D$174*(1-$C$206),MAX($C216*O183,0),$D$174*(1-$C$206)-SUM($F216:N216)),0)</f>
        <v>0</v>
      </c>
      <c r="P216" s="1">
        <f>IF(P$1&lt;=ROUNDUP($C60,0),IF(SUM($F216:O216)&lt;=$D$174*(1-$C$206),MAX($C216*P183,0),$D$174*(1-$C$206)-SUM($F216:O216)),0)</f>
        <v>0</v>
      </c>
      <c r="Q216" s="1">
        <f>IF(Q$1&lt;=ROUNDUP($C60,0),IF(SUM($F216:P216)&lt;=$D$174*(1-$C$206),MAX($C216*Q183,0),$D$174*(1-$C$206)-SUM($F216:P216)),0)</f>
        <v>0</v>
      </c>
      <c r="R216" s="1">
        <f>IF(R$1&lt;=ROUNDUP($C60,0),IF(SUM($F216:Q216)&lt;=$D$174*(1-$C$206),MAX($C216*R183,0),$D$174*(1-$C$206)-SUM($F216:Q216)),0)</f>
        <v>0</v>
      </c>
      <c r="S216" s="1">
        <f>IF(S$1&lt;=ROUNDUP($C60,0),IF(SUM($F216:R216)&lt;=$D$174*(1-$C$206),MAX($C216*S183,0),$D$174*(1-$C$206)-SUM($F216:R216)),0)</f>
        <v>0</v>
      </c>
      <c r="T216" s="1">
        <f>IF(T$1&lt;=ROUNDUP($C60,0),IF(SUM($F216:S216)&lt;=$D$174*(1-$C$206),MAX($C216*T183,0),$D$174*(1-$C$206)-SUM($F216:S216)),0)</f>
        <v>0</v>
      </c>
      <c r="U216" s="1">
        <f>IF(U$1&lt;=ROUNDUP($C60,0),IF(SUM($F216:T216)&lt;=$D$174*(1-$C$206),MAX($C216*U183,0),$D$174*(1-$C$206)-SUM($F216:T216)),0)</f>
        <v>0</v>
      </c>
      <c r="V216" s="1">
        <f>IF(V$1&lt;=ROUNDUP($C60,0),IF(SUM($F216:U216)&lt;=$D$174*(1-$C$206),MAX($C216*V183,0),$D$174*(1-$C$206)-SUM($F216:U216)),0)</f>
        <v>0</v>
      </c>
      <c r="W216" s="1">
        <f>IF(W$1&lt;=ROUNDUP($C60,0),IF(SUM($F216:V216)&lt;=$D$174*(1-$C$206),MAX($C216*W183,0),$D$174*(1-$C$206)-SUM($F216:V216)),0)</f>
        <v>0</v>
      </c>
      <c r="X216" s="1">
        <f>IF(X$1&lt;=ROUNDUP($C60,0),IF(SUM($F216:W216)&lt;=$D$174*(1-$C$206),MAX($C216*X183,0),$D$174*(1-$C$206)-SUM($F216:W216)),0)</f>
        <v>0</v>
      </c>
      <c r="Y216" s="1">
        <f>IF(Y$1&lt;=ROUNDUP($C60,0),IF(SUM($F216:X216)&lt;=$D$174*(1-$C$206),MAX($C216*Y183,0),$D$174*(1-$C$206)-SUM($F216:X216)),0)</f>
        <v>0</v>
      </c>
      <c r="Z216" s="1">
        <f>IF(Z$1&lt;=ROUNDUP($C60,0),IF(SUM($F216:Y216)&lt;=$D$174*(1-$C$206),MAX($C216*Z183,0),$D$174*(1-$C$206)-SUM($F216:Y216)),0)</f>
        <v>0</v>
      </c>
      <c r="AA216" s="1">
        <f>IF(AA$1&lt;=ROUNDUP($C60,0),IF(SUM($F216:Z216)&lt;=$D$174*(1-$C$206),MAX($C216*AA183,0),$D$174*(1-$C$206)-SUM($F216:Z216)),0)</f>
        <v>0</v>
      </c>
      <c r="AB216" s="1">
        <f>IF(AB$1&lt;=ROUNDUP($C60,0),IF(SUM($F216:AA216)&lt;=$D$174*(1-$C$206),MAX($C216*AB183,0),$D$174*(1-$C$206)-SUM($F216:AA216)),0)</f>
        <v>0</v>
      </c>
    </row>
    <row r="217" spans="2:28" x14ac:dyDescent="0.3">
      <c r="B217" s="293" t="str">
        <f t="shared" si="245"/>
        <v>PCC works</v>
      </c>
      <c r="C217" s="22">
        <v>0.15</v>
      </c>
      <c r="D217" s="3">
        <f t="shared" si="248"/>
        <v>0.38630753120425781</v>
      </c>
      <c r="F217" s="1">
        <f t="shared" si="249"/>
        <v>7.9649999999999999E-2</v>
      </c>
      <c r="G217" s="1">
        <f>IF(G$1&lt;=ROUNDUP($C61,0),IF(SUM($F217:F217)&lt;=$D$174*(1-$C$206),MAX($C217*G184,0),$D$174*(1-$C$206)-SUM($F217:F217)),0)</f>
        <v>6.7702499999999999E-2</v>
      </c>
      <c r="H217" s="1">
        <f>IF(H$1&lt;=ROUNDUP($C61,0),IF(SUM($F217:G217)&lt;=$D$174*(1-$C$206),MAX($C217*H184,0),$D$174*(1-$C$206)-SUM($F217:G217)),0)</f>
        <v>5.7547125000000005E-2</v>
      </c>
      <c r="I217" s="1">
        <f>IF(I$1&lt;=ROUNDUP($C61,0),IF(SUM($F217:H217)&lt;=$D$174*(1-$C$206),MAX($C217*I184,0),$D$174*(1-$C$206)-SUM($F217:H217)),0)</f>
        <v>4.8915056249999998E-2</v>
      </c>
      <c r="J217" s="1">
        <f>IF(J$1&lt;=ROUNDUP($C61,0),IF(SUM($F217:I217)&lt;=$D$174*(1-$C$206),MAX($C217*J184,0),$D$174*(1-$C$206)-SUM($F217:I217)),0)</f>
        <v>4.1577797812500004E-2</v>
      </c>
      <c r="K217" s="1">
        <f>IF(K$1&lt;=ROUNDUP($C61,0),IF(SUM($F217:J217)&lt;=$D$174*(1-$C$206),MAX($C217*K184,0),$D$174*(1-$C$206)-SUM($F217:J217)),0)</f>
        <v>3.5341128140624997E-2</v>
      </c>
      <c r="L217" s="1">
        <f>IF(L$1&lt;=ROUNDUP($C61,0),IF(SUM($F217:K217)&lt;=$D$174*(1-$C$206),MAX($C217*L184,0),$D$174*(1-$C$206)-SUM($F217:K217)),0)</f>
        <v>3.0039958919531252E-2</v>
      </c>
      <c r="M217" s="1">
        <f>IF(M$1&lt;=ROUNDUP($C61,0),IF(SUM($F217:L217)&lt;=$D$174*(1-$C$206),MAX($C217*M184,0),$D$174*(1-$C$206)-SUM($F217:L217)),0)</f>
        <v>2.5533965081601565E-2</v>
      </c>
      <c r="N217" s="1">
        <f>IF(N$1&lt;=ROUNDUP($C61,0),IF(SUM($F217:M217)&lt;=$D$174*(1-$C$206),MAX($C217*N184,0),$D$174*(1-$C$206)-SUM($F217:M217)),0)</f>
        <v>0</v>
      </c>
      <c r="O217" s="1">
        <f>IF(O$1&lt;=ROUNDUP($C61,0),IF(SUM($F217:N217)&lt;=$D$174*(1-$C$206),MAX($C217*O184,0),$D$174*(1-$C$206)-SUM($F217:N217)),0)</f>
        <v>0</v>
      </c>
      <c r="P217" s="1">
        <f>IF(P$1&lt;=ROUNDUP($C61,0),IF(SUM($F217:O217)&lt;=$D$174*(1-$C$206),MAX($C217*P184,0),$D$174*(1-$C$206)-SUM($F217:O217)),0)</f>
        <v>0</v>
      </c>
      <c r="Q217" s="1">
        <f>IF(Q$1&lt;=ROUNDUP($C61,0),IF(SUM($F217:P217)&lt;=$D$174*(1-$C$206),MAX($C217*Q184,0),$D$174*(1-$C$206)-SUM($F217:P217)),0)</f>
        <v>0</v>
      </c>
      <c r="R217" s="1">
        <f>IF(R$1&lt;=ROUNDUP($C61,0),IF(SUM($F217:Q217)&lt;=$D$174*(1-$C$206),MAX($C217*R184,0),$D$174*(1-$C$206)-SUM($F217:Q217)),0)</f>
        <v>0</v>
      </c>
      <c r="S217" s="1">
        <f>IF(S$1&lt;=ROUNDUP($C61,0),IF(SUM($F217:R217)&lt;=$D$174*(1-$C$206),MAX($C217*S184,0),$D$174*(1-$C$206)-SUM($F217:R217)),0)</f>
        <v>0</v>
      </c>
      <c r="T217" s="1">
        <f>IF(T$1&lt;=ROUNDUP($C61,0),IF(SUM($F217:S217)&lt;=$D$174*(1-$C$206),MAX($C217*T184,0),$D$174*(1-$C$206)-SUM($F217:S217)),0)</f>
        <v>0</v>
      </c>
      <c r="U217" s="1">
        <f>IF(U$1&lt;=ROUNDUP($C61,0),IF(SUM($F217:T217)&lt;=$D$174*(1-$C$206),MAX($C217*U184,0),$D$174*(1-$C$206)-SUM($F217:T217)),0)</f>
        <v>0</v>
      </c>
      <c r="V217" s="1">
        <f>IF(V$1&lt;=ROUNDUP($C61,0),IF(SUM($F217:U217)&lt;=$D$174*(1-$C$206),MAX($C217*V184,0),$D$174*(1-$C$206)-SUM($F217:U217)),0)</f>
        <v>0</v>
      </c>
      <c r="W217" s="1">
        <f>IF(W$1&lt;=ROUNDUP($C61,0),IF(SUM($F217:V217)&lt;=$D$174*(1-$C$206),MAX($C217*W184,0),$D$174*(1-$C$206)-SUM($F217:V217)),0)</f>
        <v>0</v>
      </c>
      <c r="X217" s="1">
        <f>IF(X$1&lt;=ROUNDUP($C61,0),IF(SUM($F217:W217)&lt;=$D$174*(1-$C$206),MAX($C217*X184,0),$D$174*(1-$C$206)-SUM($F217:W217)),0)</f>
        <v>0</v>
      </c>
      <c r="Y217" s="1">
        <f>IF(Y$1&lt;=ROUNDUP($C61,0),IF(SUM($F217:X217)&lt;=$D$174*(1-$C$206),MAX($C217*Y184,0),$D$174*(1-$C$206)-SUM($F217:X217)),0)</f>
        <v>0</v>
      </c>
      <c r="Z217" s="1">
        <f>IF(Z$1&lt;=ROUNDUP($C61,0),IF(SUM($F217:Y217)&lt;=$D$174*(1-$C$206),MAX($C217*Z184,0),$D$174*(1-$C$206)-SUM($F217:Y217)),0)</f>
        <v>0</v>
      </c>
      <c r="AA217" s="1">
        <f>IF(AA$1&lt;=ROUNDUP($C61,0),IF(SUM($F217:Z217)&lt;=$D$174*(1-$C$206),MAX($C217*AA184,0),$D$174*(1-$C$206)-SUM($F217:Z217)),0)</f>
        <v>0</v>
      </c>
      <c r="AB217" s="1">
        <f>IF(AB$1&lt;=ROUNDUP($C61,0),IF(SUM($F217:AA217)&lt;=$D$174*(1-$C$206),MAX($C217*AB184,0),$D$174*(1-$C$206)-SUM($F217:AA217)),0)</f>
        <v>0</v>
      </c>
    </row>
    <row r="218" spans="2:28" x14ac:dyDescent="0.3">
      <c r="B218" s="293" t="str">
        <f t="shared" si="245"/>
        <v>RCC works</v>
      </c>
      <c r="C218" s="22">
        <v>0.15</v>
      </c>
      <c r="D218" s="3">
        <f t="shared" si="248"/>
        <v>2.575383541361719</v>
      </c>
      <c r="F218" s="1">
        <f t="shared" si="249"/>
        <v>0.53100000000000003</v>
      </c>
      <c r="G218" s="1">
        <f>IF(G$1&lt;=ROUNDUP($C62,0),IF(SUM($F218:F218)&lt;=$D$174*(1-$C$206),MAX($C218*G185,0),$D$174*(1-$C$206)-SUM($F218:F218)),0)</f>
        <v>0.45134999999999997</v>
      </c>
      <c r="H218" s="1">
        <f>IF(H$1&lt;=ROUNDUP($C62,0),IF(SUM($F218:G218)&lt;=$D$174*(1-$C$206),MAX($C218*H185,0),$D$174*(1-$C$206)-SUM($F218:G218)),0)</f>
        <v>0.38364749999999997</v>
      </c>
      <c r="I218" s="1">
        <f>IF(I$1&lt;=ROUNDUP($C62,0),IF(SUM($F218:H218)&lt;=$D$174*(1-$C$206),MAX($C218*I185,0),$D$174*(1-$C$206)-SUM($F218:H218)),0)</f>
        <v>0.32610037499999994</v>
      </c>
      <c r="J218" s="1">
        <f>IF(J$1&lt;=ROUNDUP($C62,0),IF(SUM($F218:I218)&lt;=$D$174*(1-$C$206),MAX($C218*J185,0),$D$174*(1-$C$206)-SUM($F218:I218)),0)</f>
        <v>0.27718531874999996</v>
      </c>
      <c r="K218" s="1">
        <f>IF(K$1&lt;=ROUNDUP($C62,0),IF(SUM($F218:J218)&lt;=$D$174*(1-$C$206),MAX($C218*K185,0),$D$174*(1-$C$206)-SUM($F218:J218)),0)</f>
        <v>0.23560752093749998</v>
      </c>
      <c r="L218" s="1">
        <f>IF(L$1&lt;=ROUNDUP($C62,0),IF(SUM($F218:K218)&lt;=$D$174*(1-$C$206),MAX($C218*L185,0),$D$174*(1-$C$206)-SUM($F218:K218)),0)</f>
        <v>0.200266392796875</v>
      </c>
      <c r="M218" s="1">
        <f>IF(M$1&lt;=ROUNDUP($C62,0),IF(SUM($F218:L218)&lt;=$D$174*(1-$C$206),MAX($C218*M185,0),$D$174*(1-$C$206)-SUM($F218:L218)),0)</f>
        <v>0.17022643387734374</v>
      </c>
      <c r="N218" s="1">
        <f>IF(N$1&lt;=ROUNDUP($C62,0),IF(SUM($F218:M218)&lt;=$D$174*(1-$C$206),MAX($C218*N185,0),$D$174*(1-$C$206)-SUM($F218:M218)),0)</f>
        <v>0</v>
      </c>
      <c r="O218" s="1">
        <f>IF(O$1&lt;=ROUNDUP($C62,0),IF(SUM($F218:N218)&lt;=$D$174*(1-$C$206),MAX($C218*O185,0),$D$174*(1-$C$206)-SUM($F218:N218)),0)</f>
        <v>0</v>
      </c>
      <c r="P218" s="1">
        <f>IF(P$1&lt;=ROUNDUP($C62,0),IF(SUM($F218:O218)&lt;=$D$174*(1-$C$206),MAX($C218*P185,0),$D$174*(1-$C$206)-SUM($F218:O218)),0)</f>
        <v>0</v>
      </c>
      <c r="Q218" s="1">
        <f>IF(Q$1&lt;=ROUNDUP($C62,0),IF(SUM($F218:P218)&lt;=$D$174*(1-$C$206),MAX($C218*Q185,0),$D$174*(1-$C$206)-SUM($F218:P218)),0)</f>
        <v>0</v>
      </c>
      <c r="R218" s="1">
        <f>IF(R$1&lt;=ROUNDUP($C62,0),IF(SUM($F218:Q218)&lt;=$D$174*(1-$C$206),MAX($C218*R185,0),$D$174*(1-$C$206)-SUM($F218:Q218)),0)</f>
        <v>0</v>
      </c>
      <c r="S218" s="1">
        <f>IF(S$1&lt;=ROUNDUP($C62,0),IF(SUM($F218:R218)&lt;=$D$174*(1-$C$206),MAX($C218*S185,0),$D$174*(1-$C$206)-SUM($F218:R218)),0)</f>
        <v>0</v>
      </c>
      <c r="T218" s="1">
        <f>IF(T$1&lt;=ROUNDUP($C62,0),IF(SUM($F218:S218)&lt;=$D$174*(1-$C$206),MAX($C218*T185,0),$D$174*(1-$C$206)-SUM($F218:S218)),0)</f>
        <v>0</v>
      </c>
      <c r="U218" s="1">
        <f>IF(U$1&lt;=ROUNDUP($C62,0),IF(SUM($F218:T218)&lt;=$D$174*(1-$C$206),MAX($C218*U185,0),$D$174*(1-$C$206)-SUM($F218:T218)),0)</f>
        <v>0</v>
      </c>
      <c r="V218" s="1">
        <f>IF(V$1&lt;=ROUNDUP($C62,0),IF(SUM($F218:U218)&lt;=$D$174*(1-$C$206),MAX($C218*V185,0),$D$174*(1-$C$206)-SUM($F218:U218)),0)</f>
        <v>0</v>
      </c>
      <c r="W218" s="1">
        <f>IF(W$1&lt;=ROUNDUP($C62,0),IF(SUM($F218:V218)&lt;=$D$174*(1-$C$206),MAX($C218*W185,0),$D$174*(1-$C$206)-SUM($F218:V218)),0)</f>
        <v>0</v>
      </c>
      <c r="X218" s="1">
        <f>IF(X$1&lt;=ROUNDUP($C62,0),IF(SUM($F218:W218)&lt;=$D$174*(1-$C$206),MAX($C218*X185,0),$D$174*(1-$C$206)-SUM($F218:W218)),0)</f>
        <v>0</v>
      </c>
      <c r="Y218" s="1">
        <f>IF(Y$1&lt;=ROUNDUP($C62,0),IF(SUM($F218:X218)&lt;=$D$174*(1-$C$206),MAX($C218*Y185,0),$D$174*(1-$C$206)-SUM($F218:X218)),0)</f>
        <v>0</v>
      </c>
      <c r="Z218" s="1">
        <f>IF(Z$1&lt;=ROUNDUP($C62,0),IF(SUM($F218:Y218)&lt;=$D$174*(1-$C$206),MAX($C218*Z185,0),$D$174*(1-$C$206)-SUM($F218:Y218)),0)</f>
        <v>0</v>
      </c>
      <c r="AA218" s="1">
        <f>IF(AA$1&lt;=ROUNDUP($C62,0),IF(SUM($F218:Z218)&lt;=$D$174*(1-$C$206),MAX($C218*AA185,0),$D$174*(1-$C$206)-SUM($F218:Z218)),0)</f>
        <v>0</v>
      </c>
      <c r="AB218" s="1">
        <f>IF(AB$1&lt;=ROUNDUP($C62,0),IF(SUM($F218:AA218)&lt;=$D$174*(1-$C$206),MAX($C218*AB185,0),$D$174*(1-$C$206)-SUM($F218:AA218)),0)</f>
        <v>0</v>
      </c>
    </row>
    <row r="219" spans="2:28" x14ac:dyDescent="0.3">
      <c r="B219" s="293" t="str">
        <f t="shared" si="245"/>
        <v>Shuttering</v>
      </c>
      <c r="C219" s="22">
        <v>0.15</v>
      </c>
      <c r="D219" s="3">
        <f t="shared" si="248"/>
        <v>0.10730764755673824</v>
      </c>
      <c r="F219" s="1">
        <f t="shared" si="249"/>
        <v>2.2124999999999995E-2</v>
      </c>
      <c r="G219" s="1">
        <f>IF(G$1&lt;=ROUNDUP($C63,0),IF(SUM($F219:F219)&lt;=$D$174*(1-$C$206),MAX($C219*G186,0),$D$174*(1-$C$206)-SUM($F219:F219)),0)</f>
        <v>1.8806249999999993E-2</v>
      </c>
      <c r="H219" s="1">
        <f>IF(H$1&lt;=ROUNDUP($C63,0),IF(SUM($F219:G219)&lt;=$D$174*(1-$C$206),MAX($C219*H186,0),$D$174*(1-$C$206)-SUM($F219:G219)),0)</f>
        <v>1.5985312499999994E-2</v>
      </c>
      <c r="I219" s="1">
        <f>IF(I$1&lt;=ROUNDUP($C63,0),IF(SUM($F219:H219)&lt;=$D$174*(1-$C$206),MAX($C219*I186,0),$D$174*(1-$C$206)-SUM($F219:H219)),0)</f>
        <v>1.3587515624999996E-2</v>
      </c>
      <c r="J219" s="1">
        <f>IF(J$1&lt;=ROUNDUP($C63,0),IF(SUM($F219:I219)&lt;=$D$174*(1-$C$206),MAX($C219*J186,0),$D$174*(1-$C$206)-SUM($F219:I219)),0)</f>
        <v>1.1549388281249998E-2</v>
      </c>
      <c r="K219" s="1">
        <f>IF(K$1&lt;=ROUNDUP($C63,0),IF(SUM($F219:J219)&lt;=$D$174*(1-$C$206),MAX($C219*K186,0),$D$174*(1-$C$206)-SUM($F219:J219)),0)</f>
        <v>9.8169800390624975E-3</v>
      </c>
      <c r="L219" s="1">
        <f>IF(L$1&lt;=ROUNDUP($C63,0),IF(SUM($F219:K219)&lt;=$D$174*(1-$C$206),MAX($C219*L186,0),$D$174*(1-$C$206)-SUM($F219:K219)),0)</f>
        <v>8.3444330332031226E-3</v>
      </c>
      <c r="M219" s="1">
        <f>IF(M$1&lt;=ROUNDUP($C63,0),IF(SUM($F219:L219)&lt;=$D$174*(1-$C$206),MAX($C219*M186,0),$D$174*(1-$C$206)-SUM($F219:L219)),0)</f>
        <v>7.0927680782226533E-3</v>
      </c>
      <c r="N219" s="1">
        <f>IF(N$1&lt;=ROUNDUP($C63,0),IF(SUM($F219:M219)&lt;=$D$174*(1-$C$206),MAX($C219*N186,0),$D$174*(1-$C$206)-SUM($F219:M219)),0)</f>
        <v>0</v>
      </c>
      <c r="O219" s="1">
        <f>IF(O$1&lt;=ROUNDUP($C63,0),IF(SUM($F219:N219)&lt;=$D$174*(1-$C$206),MAX($C219*O186,0),$D$174*(1-$C$206)-SUM($F219:N219)),0)</f>
        <v>0</v>
      </c>
      <c r="P219" s="1">
        <f>IF(P$1&lt;=ROUNDUP($C63,0),IF(SUM($F219:O219)&lt;=$D$174*(1-$C$206),MAX($C219*P186,0),$D$174*(1-$C$206)-SUM($F219:O219)),0)</f>
        <v>0</v>
      </c>
      <c r="Q219" s="1">
        <f>IF(Q$1&lt;=ROUNDUP($C63,0),IF(SUM($F219:P219)&lt;=$D$174*(1-$C$206),MAX($C219*Q186,0),$D$174*(1-$C$206)-SUM($F219:P219)),0)</f>
        <v>0</v>
      </c>
      <c r="R219" s="1">
        <f>IF(R$1&lt;=ROUNDUP($C63,0),IF(SUM($F219:Q219)&lt;=$D$174*(1-$C$206),MAX($C219*R186,0),$D$174*(1-$C$206)-SUM($F219:Q219)),0)</f>
        <v>0</v>
      </c>
      <c r="S219" s="1">
        <f>IF(S$1&lt;=ROUNDUP($C63,0),IF(SUM($F219:R219)&lt;=$D$174*(1-$C$206),MAX($C219*S186,0),$D$174*(1-$C$206)-SUM($F219:R219)),0)</f>
        <v>0</v>
      </c>
      <c r="T219" s="1">
        <f>IF(T$1&lt;=ROUNDUP($C63,0),IF(SUM($F219:S219)&lt;=$D$174*(1-$C$206),MAX($C219*T186,0),$D$174*(1-$C$206)-SUM($F219:S219)),0)</f>
        <v>0</v>
      </c>
      <c r="U219" s="1">
        <f>IF(U$1&lt;=ROUNDUP($C63,0),IF(SUM($F219:T219)&lt;=$D$174*(1-$C$206),MAX($C219*U186,0),$D$174*(1-$C$206)-SUM($F219:T219)),0)</f>
        <v>0</v>
      </c>
      <c r="V219" s="1">
        <f>IF(V$1&lt;=ROUNDUP($C63,0),IF(SUM($F219:U219)&lt;=$D$174*(1-$C$206),MAX($C219*V186,0),$D$174*(1-$C$206)-SUM($F219:U219)),0)</f>
        <v>0</v>
      </c>
      <c r="W219" s="1">
        <f>IF(W$1&lt;=ROUNDUP($C63,0),IF(SUM($F219:V219)&lt;=$D$174*(1-$C$206),MAX($C219*W186,0),$D$174*(1-$C$206)-SUM($F219:V219)),0)</f>
        <v>0</v>
      </c>
      <c r="X219" s="1">
        <f>IF(X$1&lt;=ROUNDUP($C63,0),IF(SUM($F219:W219)&lt;=$D$174*(1-$C$206),MAX($C219*X186,0),$D$174*(1-$C$206)-SUM($F219:W219)),0)</f>
        <v>0</v>
      </c>
      <c r="Y219" s="1">
        <f>IF(Y$1&lt;=ROUNDUP($C63,0),IF(SUM($F219:X219)&lt;=$D$174*(1-$C$206),MAX($C219*Y186,0),$D$174*(1-$C$206)-SUM($F219:X219)),0)</f>
        <v>0</v>
      </c>
      <c r="Z219" s="1">
        <f>IF(Z$1&lt;=ROUNDUP($C63,0),IF(SUM($F219:Y219)&lt;=$D$174*(1-$C$206),MAX($C219*Z186,0),$D$174*(1-$C$206)-SUM($F219:Y219)),0)</f>
        <v>0</v>
      </c>
      <c r="AA219" s="1">
        <f>IF(AA$1&lt;=ROUNDUP($C63,0),IF(SUM($F219:Z219)&lt;=$D$174*(1-$C$206),MAX($C219*AA186,0),$D$174*(1-$C$206)-SUM($F219:Z219)),0)</f>
        <v>0</v>
      </c>
      <c r="AB219" s="1">
        <f>IF(AB$1&lt;=ROUNDUP($C63,0),IF(SUM($F219:AA219)&lt;=$D$174*(1-$C$206),MAX($C219*AB186,0),$D$174*(1-$C$206)-SUM($F219:AA219)),0)</f>
        <v>0</v>
      </c>
    </row>
    <row r="220" spans="2:28" x14ac:dyDescent="0.3">
      <c r="B220" s="293" t="str">
        <f t="shared" si="245"/>
        <v>TMT bards Fe 500</v>
      </c>
      <c r="C220" s="22">
        <v>0.15</v>
      </c>
      <c r="D220" s="3">
        <f t="shared" si="248"/>
        <v>1.8027684789532028</v>
      </c>
      <c r="F220" s="1">
        <f t="shared" si="249"/>
        <v>0.37169999999999997</v>
      </c>
      <c r="G220" s="1">
        <f>IF(G$1&lt;=ROUNDUP($C64,0),IF(SUM($F220:F220)&lt;=$D$174*(1-$C$206),MAX($C220*G187,0),$D$174*(1-$C$206)-SUM($F220:F220)),0)</f>
        <v>0.31594499999999992</v>
      </c>
      <c r="H220" s="1">
        <f>IF(H$1&lt;=ROUNDUP($C64,0),IF(SUM($F220:G220)&lt;=$D$174*(1-$C$206),MAX($C220*H187,0),$D$174*(1-$C$206)-SUM($F220:G220)),0)</f>
        <v>0.26855324999999997</v>
      </c>
      <c r="I220" s="1">
        <f>IF(I$1&lt;=ROUNDUP($C64,0),IF(SUM($F220:H220)&lt;=$D$174*(1-$C$206),MAX($C220*I187,0),$D$174*(1-$C$206)-SUM($F220:H220)),0)</f>
        <v>0.22827026249999996</v>
      </c>
      <c r="J220" s="1">
        <f>IF(J$1&lt;=ROUNDUP($C64,0),IF(SUM($F220:I220)&lt;=$D$174*(1-$C$206),MAX($C220*J187,0),$D$174*(1-$C$206)-SUM($F220:I220)),0)</f>
        <v>0.19402972312499997</v>
      </c>
      <c r="K220" s="1">
        <f>IF(K$1&lt;=ROUNDUP($C64,0),IF(SUM($F220:J220)&lt;=$D$174*(1-$C$206),MAX($C220*K187,0),$D$174*(1-$C$206)-SUM($F220:J220)),0)</f>
        <v>0.16492526465624999</v>
      </c>
      <c r="L220" s="1">
        <f>IF(L$1&lt;=ROUNDUP($C64,0),IF(SUM($F220:K220)&lt;=$D$174*(1-$C$206),MAX($C220*L187,0),$D$174*(1-$C$206)-SUM($F220:K220)),0)</f>
        <v>0.1401864749578125</v>
      </c>
      <c r="M220" s="1">
        <f>IF(M$1&lt;=ROUNDUP($C64,0),IF(SUM($F220:L220)&lt;=$D$174*(1-$C$206),MAX($C220*M187,0),$D$174*(1-$C$206)-SUM($F220:L220)),0)</f>
        <v>0.11915850371414061</v>
      </c>
      <c r="N220" s="1">
        <f>IF(N$1&lt;=ROUNDUP($C64,0),IF(SUM($F220:M220)&lt;=$D$174*(1-$C$206),MAX($C220*N187,0),$D$174*(1-$C$206)-SUM($F220:M220)),0)</f>
        <v>0</v>
      </c>
      <c r="O220" s="1">
        <f>IF(O$1&lt;=ROUNDUP($C64,0),IF(SUM($F220:N220)&lt;=$D$174*(1-$C$206),MAX($C220*O187,0),$D$174*(1-$C$206)-SUM($F220:N220)),0)</f>
        <v>0</v>
      </c>
      <c r="P220" s="1">
        <f>IF(P$1&lt;=ROUNDUP($C64,0),IF(SUM($F220:O220)&lt;=$D$174*(1-$C$206),MAX($C220*P187,0),$D$174*(1-$C$206)-SUM($F220:O220)),0)</f>
        <v>0</v>
      </c>
      <c r="Q220" s="1">
        <f>IF(Q$1&lt;=ROUNDUP($C64,0),IF(SUM($F220:P220)&lt;=$D$174*(1-$C$206),MAX($C220*Q187,0),$D$174*(1-$C$206)-SUM($F220:P220)),0)</f>
        <v>0</v>
      </c>
      <c r="R220" s="1">
        <f>IF(R$1&lt;=ROUNDUP($C64,0),IF(SUM($F220:Q220)&lt;=$D$174*(1-$C$206),MAX($C220*R187,0),$D$174*(1-$C$206)-SUM($F220:Q220)),0)</f>
        <v>0</v>
      </c>
      <c r="S220" s="1">
        <f>IF(S$1&lt;=ROUNDUP($C64,0),IF(SUM($F220:R220)&lt;=$D$174*(1-$C$206),MAX($C220*S187,0),$D$174*(1-$C$206)-SUM($F220:R220)),0)</f>
        <v>0</v>
      </c>
      <c r="T220" s="1">
        <f>IF(T$1&lt;=ROUNDUP($C64,0),IF(SUM($F220:S220)&lt;=$D$174*(1-$C$206),MAX($C220*T187,0),$D$174*(1-$C$206)-SUM($F220:S220)),0)</f>
        <v>0</v>
      </c>
      <c r="U220" s="1">
        <f>IF(U$1&lt;=ROUNDUP($C64,0),IF(SUM($F220:T220)&lt;=$D$174*(1-$C$206),MAX($C220*U187,0),$D$174*(1-$C$206)-SUM($F220:T220)),0)</f>
        <v>0</v>
      </c>
      <c r="V220" s="1">
        <f>IF(V$1&lt;=ROUNDUP($C64,0),IF(SUM($F220:U220)&lt;=$D$174*(1-$C$206),MAX($C220*V187,0),$D$174*(1-$C$206)-SUM($F220:U220)),0)</f>
        <v>0</v>
      </c>
      <c r="W220" s="1">
        <f>IF(W$1&lt;=ROUNDUP($C64,0),IF(SUM($F220:V220)&lt;=$D$174*(1-$C$206),MAX($C220*W187,0),$D$174*(1-$C$206)-SUM($F220:V220)),0)</f>
        <v>0</v>
      </c>
      <c r="X220" s="1">
        <f>IF(X$1&lt;=ROUNDUP($C64,0),IF(SUM($F220:W220)&lt;=$D$174*(1-$C$206),MAX($C220*X187,0),$D$174*(1-$C$206)-SUM($F220:W220)),0)</f>
        <v>0</v>
      </c>
      <c r="Y220" s="1">
        <f>IF(Y$1&lt;=ROUNDUP($C64,0),IF(SUM($F220:X220)&lt;=$D$174*(1-$C$206),MAX($C220*Y187,0),$D$174*(1-$C$206)-SUM($F220:X220)),0)</f>
        <v>0</v>
      </c>
      <c r="Z220" s="1">
        <f>IF(Z$1&lt;=ROUNDUP($C64,0),IF(SUM($F220:Y220)&lt;=$D$174*(1-$C$206),MAX($C220*Z187,0),$D$174*(1-$C$206)-SUM($F220:Y220)),0)</f>
        <v>0</v>
      </c>
      <c r="AA220" s="1">
        <f>IF(AA$1&lt;=ROUNDUP($C64,0),IF(SUM($F220:Z220)&lt;=$D$174*(1-$C$206),MAX($C220*AA187,0),$D$174*(1-$C$206)-SUM($F220:Z220)),0)</f>
        <v>0</v>
      </c>
      <c r="AB220" s="1">
        <f>IF(AB$1&lt;=ROUNDUP($C64,0),IF(SUM($F220:AA220)&lt;=$D$174*(1-$C$206),MAX($C220*AB187,0),$D$174*(1-$C$206)-SUM($F220:AA220)),0)</f>
        <v>0</v>
      </c>
    </row>
    <row r="221" spans="2:28" x14ac:dyDescent="0.3">
      <c r="B221" s="293" t="str">
        <f t="shared" si="245"/>
        <v>Masonary works</v>
      </c>
      <c r="C221" s="22">
        <v>0.15</v>
      </c>
      <c r="D221" s="3">
        <f t="shared" si="248"/>
        <v>5.150767082723437E-2</v>
      </c>
      <c r="F221" s="1">
        <f t="shared" si="249"/>
        <v>1.0619999999999999E-2</v>
      </c>
      <c r="G221" s="1">
        <f>IF(G$1&lt;=ROUNDUP($C65,0),IF(SUM($F221:F221)&lt;=$D$174*(1-$C$206),MAX($C221*G188,0),$D$174*(1-$C$206)-SUM($F221:F221)),0)</f>
        <v>9.0270000000000003E-3</v>
      </c>
      <c r="H221" s="1">
        <f>IF(H$1&lt;=ROUNDUP($C65,0),IF(SUM($F221:G221)&lt;=$D$174*(1-$C$206),MAX($C221*H188,0),$D$174*(1-$C$206)-SUM($F221:G221)),0)</f>
        <v>7.6729500000000004E-3</v>
      </c>
      <c r="I221" s="1">
        <f>IF(I$1&lt;=ROUNDUP($C65,0),IF(SUM($F221:H221)&lt;=$D$174*(1-$C$206),MAX($C221*I188,0),$D$174*(1-$C$206)-SUM($F221:H221)),0)</f>
        <v>6.5220075000000004E-3</v>
      </c>
      <c r="J221" s="1">
        <f>IF(J$1&lt;=ROUNDUP($C65,0),IF(SUM($F221:I221)&lt;=$D$174*(1-$C$206),MAX($C221*J188,0),$D$174*(1-$C$206)-SUM($F221:I221)),0)</f>
        <v>5.5437063750000005E-3</v>
      </c>
      <c r="K221" s="1">
        <f>IF(K$1&lt;=ROUNDUP($C65,0),IF(SUM($F221:J221)&lt;=$D$174*(1-$C$206),MAX($C221*K188,0),$D$174*(1-$C$206)-SUM($F221:J221)),0)</f>
        <v>4.7121504187500008E-3</v>
      </c>
      <c r="L221" s="1">
        <f>IF(L$1&lt;=ROUNDUP($C65,0),IF(SUM($F221:K221)&lt;=$D$174*(1-$C$206),MAX($C221*L188,0),$D$174*(1-$C$206)-SUM($F221:K221)),0)</f>
        <v>4.0053278559375001E-3</v>
      </c>
      <c r="M221" s="1">
        <f>IF(M$1&lt;=ROUNDUP($C65,0),IF(SUM($F221:L221)&lt;=$D$174*(1-$C$206),MAX($C221*M188,0),$D$174*(1-$C$206)-SUM($F221:L221)),0)</f>
        <v>3.4045286775468754E-3</v>
      </c>
      <c r="N221" s="1">
        <f>IF(N$1&lt;=ROUNDUP($C65,0),IF(SUM($F221:M221)&lt;=$D$174*(1-$C$206),MAX($C221*N188,0),$D$174*(1-$C$206)-SUM($F221:M221)),0)</f>
        <v>0</v>
      </c>
      <c r="O221" s="1">
        <f>IF(O$1&lt;=ROUNDUP($C65,0),IF(SUM($F221:N221)&lt;=$D$174*(1-$C$206),MAX($C221*O188,0),$D$174*(1-$C$206)-SUM($F221:N221)),0)</f>
        <v>0</v>
      </c>
      <c r="P221" s="1">
        <f>IF(P$1&lt;=ROUNDUP($C65,0),IF(SUM($F221:O221)&lt;=$D$174*(1-$C$206),MAX($C221*P188,0),$D$174*(1-$C$206)-SUM($F221:O221)),0)</f>
        <v>0</v>
      </c>
      <c r="Q221" s="1">
        <f>IF(Q$1&lt;=ROUNDUP($C65,0),IF(SUM($F221:P221)&lt;=$D$174*(1-$C$206),MAX($C221*Q188,0),$D$174*(1-$C$206)-SUM($F221:P221)),0)</f>
        <v>0</v>
      </c>
      <c r="R221" s="1">
        <f>IF(R$1&lt;=ROUNDUP($C65,0),IF(SUM($F221:Q221)&lt;=$D$174*(1-$C$206),MAX($C221*R188,0),$D$174*(1-$C$206)-SUM($F221:Q221)),0)</f>
        <v>0</v>
      </c>
      <c r="S221" s="1">
        <f>IF(S$1&lt;=ROUNDUP($C65,0),IF(SUM($F221:R221)&lt;=$D$174*(1-$C$206),MAX($C221*S188,0),$D$174*(1-$C$206)-SUM($F221:R221)),0)</f>
        <v>0</v>
      </c>
      <c r="T221" s="1">
        <f>IF(T$1&lt;=ROUNDUP($C65,0),IF(SUM($F221:S221)&lt;=$D$174*(1-$C$206),MAX($C221*T188,0),$D$174*(1-$C$206)-SUM($F221:S221)),0)</f>
        <v>0</v>
      </c>
      <c r="U221" s="1">
        <f>IF(U$1&lt;=ROUNDUP($C65,0),IF(SUM($F221:T221)&lt;=$D$174*(1-$C$206),MAX($C221*U188,0),$D$174*(1-$C$206)-SUM($F221:T221)),0)</f>
        <v>0</v>
      </c>
      <c r="V221" s="1">
        <f>IF(V$1&lt;=ROUNDUP($C65,0),IF(SUM($F221:U221)&lt;=$D$174*(1-$C$206),MAX($C221*V188,0),$D$174*(1-$C$206)-SUM($F221:U221)),0)</f>
        <v>0</v>
      </c>
      <c r="W221" s="1">
        <f>IF(W$1&lt;=ROUNDUP($C65,0),IF(SUM($F221:V221)&lt;=$D$174*(1-$C$206),MAX($C221*W188,0),$D$174*(1-$C$206)-SUM($F221:V221)),0)</f>
        <v>0</v>
      </c>
      <c r="X221" s="1">
        <f>IF(X$1&lt;=ROUNDUP($C65,0),IF(SUM($F221:W221)&lt;=$D$174*(1-$C$206),MAX($C221*X188,0),$D$174*(1-$C$206)-SUM($F221:W221)),0)</f>
        <v>0</v>
      </c>
      <c r="Y221" s="1">
        <f>IF(Y$1&lt;=ROUNDUP($C65,0),IF(SUM($F221:X221)&lt;=$D$174*(1-$C$206),MAX($C221*Y188,0),$D$174*(1-$C$206)-SUM($F221:X221)),0)</f>
        <v>0</v>
      </c>
      <c r="Z221" s="1">
        <f>IF(Z$1&lt;=ROUNDUP($C65,0),IF(SUM($F221:Y221)&lt;=$D$174*(1-$C$206),MAX($C221*Z188,0),$D$174*(1-$C$206)-SUM($F221:Y221)),0)</f>
        <v>0</v>
      </c>
      <c r="AA221" s="1">
        <f>IF(AA$1&lt;=ROUNDUP($C65,0),IF(SUM($F221:Z221)&lt;=$D$174*(1-$C$206),MAX($C221*AA188,0),$D$174*(1-$C$206)-SUM($F221:Z221)),0)</f>
        <v>0</v>
      </c>
      <c r="AB221" s="1">
        <f>IF(AB$1&lt;=ROUNDUP($C65,0),IF(SUM($F221:AA221)&lt;=$D$174*(1-$C$206),MAX($C221*AB188,0),$D$174*(1-$C$206)-SUM($F221:AA221)),0)</f>
        <v>0</v>
      </c>
    </row>
    <row r="222" spans="2:28" x14ac:dyDescent="0.3">
      <c r="B222" s="293" t="str">
        <f t="shared" si="245"/>
        <v>Plastering</v>
      </c>
      <c r="C222" s="22">
        <v>0.15</v>
      </c>
      <c r="D222" s="3">
        <f t="shared" si="248"/>
        <v>4.1849982547127934E-2</v>
      </c>
      <c r="F222" s="1">
        <f t="shared" si="249"/>
        <v>8.6287499999999993E-3</v>
      </c>
      <c r="G222" s="1">
        <f>IF(G$1&lt;=ROUNDUP($C66,0),IF(SUM($F222:F222)&lt;=$D$174*(1-$C$206),MAX($C222*G189,0),$D$174*(1-$C$206)-SUM($F222:F222)),0)</f>
        <v>7.3344374999999998E-3</v>
      </c>
      <c r="H222" s="1">
        <f>IF(H$1&lt;=ROUNDUP($C66,0),IF(SUM($F222:G222)&lt;=$D$174*(1-$C$206),MAX($C222*H189,0),$D$174*(1-$C$206)-SUM($F222:G222)),0)</f>
        <v>6.234271875E-3</v>
      </c>
      <c r="I222" s="1">
        <f>IF(I$1&lt;=ROUNDUP($C66,0),IF(SUM($F222:H222)&lt;=$D$174*(1-$C$206),MAX($C222*I189,0),$D$174*(1-$C$206)-SUM($F222:H222)),0)</f>
        <v>5.2991310937500003E-3</v>
      </c>
      <c r="J222" s="1">
        <f>IF(J$1&lt;=ROUNDUP($C66,0),IF(SUM($F222:I222)&lt;=$D$174*(1-$C$206),MAX($C222*J189,0),$D$174*(1-$C$206)-SUM($F222:I222)),0)</f>
        <v>4.5042614296874998E-3</v>
      </c>
      <c r="K222" s="1">
        <f>IF(K$1&lt;=ROUNDUP($C66,0),IF(SUM($F222:J222)&lt;=$D$174*(1-$C$206),MAX($C222*K189,0),$D$174*(1-$C$206)-SUM($F222:J222)),0)</f>
        <v>3.8286222152343749E-3</v>
      </c>
      <c r="L222" s="1">
        <f>IF(L$1&lt;=ROUNDUP($C66,0),IF(SUM($F222:K222)&lt;=$D$174*(1-$C$206),MAX($C222*L189,0),$D$174*(1-$C$206)-SUM($F222:K222)),0)</f>
        <v>3.2543288829492189E-3</v>
      </c>
      <c r="M222" s="1">
        <f>IF(M$1&lt;=ROUNDUP($C66,0),IF(SUM($F222:L222)&lt;=$D$174*(1-$C$206),MAX($C222*M189,0),$D$174*(1-$C$206)-SUM($F222:L222)),0)</f>
        <v>2.766179550506836E-3</v>
      </c>
      <c r="N222" s="1">
        <f>IF(N$1&lt;=ROUNDUP($C66,0),IF(SUM($F222:M222)&lt;=$D$174*(1-$C$206),MAX($C222*N189,0),$D$174*(1-$C$206)-SUM($F222:M222)),0)</f>
        <v>0</v>
      </c>
      <c r="O222" s="1">
        <f>IF(O$1&lt;=ROUNDUP($C66,0),IF(SUM($F222:N222)&lt;=$D$174*(1-$C$206),MAX($C222*O189,0),$D$174*(1-$C$206)-SUM($F222:N222)),0)</f>
        <v>0</v>
      </c>
      <c r="P222" s="1">
        <f>IF(P$1&lt;=ROUNDUP($C66,0),IF(SUM($F222:O222)&lt;=$D$174*(1-$C$206),MAX($C222*P189,0),$D$174*(1-$C$206)-SUM($F222:O222)),0)</f>
        <v>0</v>
      </c>
      <c r="Q222" s="1">
        <f>IF(Q$1&lt;=ROUNDUP($C66,0),IF(SUM($F222:P222)&lt;=$D$174*(1-$C$206),MAX($C222*Q189,0),$D$174*(1-$C$206)-SUM($F222:P222)),0)</f>
        <v>0</v>
      </c>
      <c r="R222" s="1">
        <f>IF(R$1&lt;=ROUNDUP($C66,0),IF(SUM($F222:Q222)&lt;=$D$174*(1-$C$206),MAX($C222*R189,0),$D$174*(1-$C$206)-SUM($F222:Q222)),0)</f>
        <v>0</v>
      </c>
      <c r="S222" s="1">
        <f>IF(S$1&lt;=ROUNDUP($C66,0),IF(SUM($F222:R222)&lt;=$D$174*(1-$C$206),MAX($C222*S189,0),$D$174*(1-$C$206)-SUM($F222:R222)),0)</f>
        <v>0</v>
      </c>
      <c r="T222" s="1">
        <f>IF(T$1&lt;=ROUNDUP($C66,0),IF(SUM($F222:S222)&lt;=$D$174*(1-$C$206),MAX($C222*T189,0),$D$174*(1-$C$206)-SUM($F222:S222)),0)</f>
        <v>0</v>
      </c>
      <c r="U222" s="1">
        <f>IF(U$1&lt;=ROUNDUP($C66,0),IF(SUM($F222:T222)&lt;=$D$174*(1-$C$206),MAX($C222*U189,0),$D$174*(1-$C$206)-SUM($F222:T222)),0)</f>
        <v>0</v>
      </c>
      <c r="V222" s="1">
        <f>IF(V$1&lt;=ROUNDUP($C66,0),IF(SUM($F222:U222)&lt;=$D$174*(1-$C$206),MAX($C222*V189,0),$D$174*(1-$C$206)-SUM($F222:U222)),0)</f>
        <v>0</v>
      </c>
      <c r="W222" s="1">
        <f>IF(W$1&lt;=ROUNDUP($C66,0),IF(SUM($F222:V222)&lt;=$D$174*(1-$C$206),MAX($C222*W189,0),$D$174*(1-$C$206)-SUM($F222:V222)),0)</f>
        <v>0</v>
      </c>
      <c r="X222" s="1">
        <f>IF(X$1&lt;=ROUNDUP($C66,0),IF(SUM($F222:W222)&lt;=$D$174*(1-$C$206),MAX($C222*X189,0),$D$174*(1-$C$206)-SUM($F222:W222)),0)</f>
        <v>0</v>
      </c>
      <c r="Y222" s="1">
        <f>IF(Y$1&lt;=ROUNDUP($C66,0),IF(SUM($F222:X222)&lt;=$D$174*(1-$C$206),MAX($C222*Y189,0),$D$174*(1-$C$206)-SUM($F222:X222)),0)</f>
        <v>0</v>
      </c>
      <c r="Z222" s="1">
        <f>IF(Z$1&lt;=ROUNDUP($C66,0),IF(SUM($F222:Y222)&lt;=$D$174*(1-$C$206),MAX($C222*Z189,0),$D$174*(1-$C$206)-SUM($F222:Y222)),0)</f>
        <v>0</v>
      </c>
      <c r="AA222" s="1">
        <f>IF(AA$1&lt;=ROUNDUP($C66,0),IF(SUM($F222:Z222)&lt;=$D$174*(1-$C$206),MAX($C222*AA189,0),$D$174*(1-$C$206)-SUM($F222:Z222)),0)</f>
        <v>0</v>
      </c>
      <c r="AB222" s="1">
        <f>IF(AB$1&lt;=ROUNDUP($C66,0),IF(SUM($F222:AA222)&lt;=$D$174*(1-$C$206),MAX($C222*AB189,0),$D$174*(1-$C$206)-SUM($F222:AA222)),0)</f>
        <v>0</v>
      </c>
    </row>
    <row r="223" spans="2:28" x14ac:dyDescent="0.3">
      <c r="B223" s="293" t="str">
        <f t="shared" si="245"/>
        <v>VDF Flooring</v>
      </c>
      <c r="C223" s="22">
        <v>0.15</v>
      </c>
      <c r="D223" s="3">
        <f t="shared" si="248"/>
        <v>6.1809204992681242E-2</v>
      </c>
      <c r="F223" s="1">
        <f t="shared" si="249"/>
        <v>1.2743999999999998E-2</v>
      </c>
      <c r="G223" s="1">
        <f>IF(G$1&lt;=ROUNDUP($C67,0),IF(SUM($F223:F223)&lt;=$D$174*(1-$C$206),MAX($C223*G190,0),$D$174*(1-$C$206)-SUM($F223:F223)),0)</f>
        <v>1.0832400000000001E-2</v>
      </c>
      <c r="H223" s="1">
        <f>IF(H$1&lt;=ROUNDUP($C67,0),IF(SUM($F223:G223)&lt;=$D$174*(1-$C$206),MAX($C223*H190,0),$D$174*(1-$C$206)-SUM($F223:G223)),0)</f>
        <v>9.2075400000000002E-3</v>
      </c>
      <c r="I223" s="1">
        <f>IF(I$1&lt;=ROUNDUP($C67,0),IF(SUM($F223:H223)&lt;=$D$174*(1-$C$206),MAX($C223*I190,0),$D$174*(1-$C$206)-SUM($F223:H223)),0)</f>
        <v>7.8264089999999994E-3</v>
      </c>
      <c r="J223" s="1">
        <f>IF(J$1&lt;=ROUNDUP($C67,0),IF(SUM($F223:I223)&lt;=$D$174*(1-$C$206),MAX($C223*J190,0),$D$174*(1-$C$206)-SUM($F223:I223)),0)</f>
        <v>6.6524476500000006E-3</v>
      </c>
      <c r="K223" s="1">
        <f>IF(K$1&lt;=ROUNDUP($C67,0),IF(SUM($F223:J223)&lt;=$D$174*(1-$C$206),MAX($C223*K190,0),$D$174*(1-$C$206)-SUM($F223:J223)),0)</f>
        <v>5.6545805025000001E-3</v>
      </c>
      <c r="L223" s="1">
        <f>IF(L$1&lt;=ROUNDUP($C67,0),IF(SUM($F223:K223)&lt;=$D$174*(1-$C$206),MAX($C223*L190,0),$D$174*(1-$C$206)-SUM($F223:K223)),0)</f>
        <v>4.8063934271250002E-3</v>
      </c>
      <c r="M223" s="1">
        <f>IF(M$1&lt;=ROUNDUP($C67,0),IF(SUM($F223:L223)&lt;=$D$174*(1-$C$206),MAX($C223*M190,0),$D$174*(1-$C$206)-SUM($F223:L223)),0)</f>
        <v>4.0854344130562496E-3</v>
      </c>
      <c r="N223" s="1">
        <f>IF(N$1&lt;=ROUNDUP($C67,0),IF(SUM($F223:M223)&lt;=$D$174*(1-$C$206),MAX($C223*N190,0),$D$174*(1-$C$206)-SUM($F223:M223)),0)</f>
        <v>0</v>
      </c>
      <c r="O223" s="1">
        <f>IF(O$1&lt;=ROUNDUP($C67,0),IF(SUM($F223:N223)&lt;=$D$174*(1-$C$206),MAX($C223*O190,0),$D$174*(1-$C$206)-SUM($F223:N223)),0)</f>
        <v>0</v>
      </c>
      <c r="P223" s="1">
        <f>IF(P$1&lt;=ROUNDUP($C67,0),IF(SUM($F223:O223)&lt;=$D$174*(1-$C$206),MAX($C223*P190,0),$D$174*(1-$C$206)-SUM($F223:O223)),0)</f>
        <v>0</v>
      </c>
      <c r="Q223" s="1">
        <f>IF(Q$1&lt;=ROUNDUP($C67,0),IF(SUM($F223:P223)&lt;=$D$174*(1-$C$206),MAX($C223*Q190,0),$D$174*(1-$C$206)-SUM($F223:P223)),0)</f>
        <v>0</v>
      </c>
      <c r="R223" s="1">
        <f>IF(R$1&lt;=ROUNDUP($C67,0),IF(SUM($F223:Q223)&lt;=$D$174*(1-$C$206),MAX($C223*R190,0),$D$174*(1-$C$206)-SUM($F223:Q223)),0)</f>
        <v>0</v>
      </c>
      <c r="S223" s="1">
        <f>IF(S$1&lt;=ROUNDUP($C67,0),IF(SUM($F223:R223)&lt;=$D$174*(1-$C$206),MAX($C223*S190,0),$D$174*(1-$C$206)-SUM($F223:R223)),0)</f>
        <v>0</v>
      </c>
      <c r="T223" s="1">
        <f>IF(T$1&lt;=ROUNDUP($C67,0),IF(SUM($F223:S223)&lt;=$D$174*(1-$C$206),MAX($C223*T190,0),$D$174*(1-$C$206)-SUM($F223:S223)),0)</f>
        <v>0</v>
      </c>
      <c r="U223" s="1">
        <f>IF(U$1&lt;=ROUNDUP($C67,0),IF(SUM($F223:T223)&lt;=$D$174*(1-$C$206),MAX($C223*U190,0),$D$174*(1-$C$206)-SUM($F223:T223)),0)</f>
        <v>0</v>
      </c>
      <c r="V223" s="1">
        <f>IF(V$1&lt;=ROUNDUP($C67,0),IF(SUM($F223:U223)&lt;=$D$174*(1-$C$206),MAX($C223*V190,0),$D$174*(1-$C$206)-SUM($F223:U223)),0)</f>
        <v>0</v>
      </c>
      <c r="W223" s="1">
        <f>IF(W$1&lt;=ROUNDUP($C67,0),IF(SUM($F223:V223)&lt;=$D$174*(1-$C$206),MAX($C223*W190,0),$D$174*(1-$C$206)-SUM($F223:V223)),0)</f>
        <v>0</v>
      </c>
      <c r="X223" s="1">
        <f>IF(X$1&lt;=ROUNDUP($C67,0),IF(SUM($F223:W223)&lt;=$D$174*(1-$C$206),MAX($C223*X190,0),$D$174*(1-$C$206)-SUM($F223:W223)),0)</f>
        <v>0</v>
      </c>
      <c r="Y223" s="1">
        <f>IF(Y$1&lt;=ROUNDUP($C67,0),IF(SUM($F223:X223)&lt;=$D$174*(1-$C$206),MAX($C223*Y190,0),$D$174*(1-$C$206)-SUM($F223:X223)),0)</f>
        <v>0</v>
      </c>
      <c r="Z223" s="1">
        <f>IF(Z$1&lt;=ROUNDUP($C67,0),IF(SUM($F223:Y223)&lt;=$D$174*(1-$C$206),MAX($C223*Z190,0),$D$174*(1-$C$206)-SUM($F223:Y223)),0)</f>
        <v>0</v>
      </c>
      <c r="AA223" s="1">
        <f>IF(AA$1&lt;=ROUNDUP($C67,0),IF(SUM($F223:Z223)&lt;=$D$174*(1-$C$206),MAX($C223*AA190,0),$D$174*(1-$C$206)-SUM($F223:Z223)),0)</f>
        <v>0</v>
      </c>
      <c r="AB223" s="1">
        <f>IF(AB$1&lt;=ROUNDUP($C67,0),IF(SUM($F223:AA223)&lt;=$D$174*(1-$C$206),MAX($C223*AB190,0),$D$174*(1-$C$206)-SUM($F223:AA223)),0)</f>
        <v>0</v>
      </c>
    </row>
    <row r="224" spans="2:28" x14ac:dyDescent="0.3">
      <c r="B224" s="293" t="str">
        <f t="shared" si="245"/>
        <v>J BOLTS installation</v>
      </c>
      <c r="C224" s="22">
        <v>0.15</v>
      </c>
      <c r="D224" s="3">
        <f t="shared" si="248"/>
        <v>0.13735378887262498</v>
      </c>
      <c r="F224" s="1">
        <f t="shared" si="249"/>
        <v>2.8319999999999998E-2</v>
      </c>
      <c r="G224" s="1">
        <f>IF(G$1&lt;=ROUNDUP($C68,0),IF(SUM($F224:F224)&lt;=$D$174*(1-$C$206),MAX($C224*G191,0),$D$174*(1-$C$206)-SUM($F224:F224)),0)</f>
        <v>2.4072E-2</v>
      </c>
      <c r="H224" s="1">
        <f>IF(H$1&lt;=ROUNDUP($C68,0),IF(SUM($F224:G224)&lt;=$D$174*(1-$C$206),MAX($C224*H191,0),$D$174*(1-$C$206)-SUM($F224:G224)),0)</f>
        <v>2.0461199999999999E-2</v>
      </c>
      <c r="I224" s="1">
        <f>IF(I$1&lt;=ROUNDUP($C68,0),IF(SUM($F224:H224)&lt;=$D$174*(1-$C$206),MAX($C224*I191,0),$D$174*(1-$C$206)-SUM($F224:H224)),0)</f>
        <v>1.7392020000000001E-2</v>
      </c>
      <c r="J224" s="1">
        <f>IF(J$1&lt;=ROUNDUP($C68,0),IF(SUM($F224:I224)&lt;=$D$174*(1-$C$206),MAX($C224*J191,0),$D$174*(1-$C$206)-SUM($F224:I224)),0)</f>
        <v>1.4783217000000001E-2</v>
      </c>
      <c r="K224" s="1">
        <f>IF(K$1&lt;=ROUNDUP($C68,0),IF(SUM($F224:J224)&lt;=$D$174*(1-$C$206),MAX($C224*K191,0),$D$174*(1-$C$206)-SUM($F224:J224)),0)</f>
        <v>1.2565734450000001E-2</v>
      </c>
      <c r="L224" s="1">
        <f>IF(L$1&lt;=ROUNDUP($C68,0),IF(SUM($F224:K224)&lt;=$D$174*(1-$C$206),MAX($C224*L191,0),$D$174*(1-$C$206)-SUM($F224:K224)),0)</f>
        <v>1.0680874282500001E-2</v>
      </c>
      <c r="M224" s="1">
        <f>IF(M$1&lt;=ROUNDUP($C68,0),IF(SUM($F224:L224)&lt;=$D$174*(1-$C$206),MAX($C224*M191,0),$D$174*(1-$C$206)-SUM($F224:L224)),0)</f>
        <v>9.0787431401250004E-3</v>
      </c>
      <c r="N224" s="1">
        <f>IF(N$1&lt;=ROUNDUP($C68,0),IF(SUM($F224:M224)&lt;=$D$174*(1-$C$206),MAX($C224*N191,0),$D$174*(1-$C$206)-SUM($F224:M224)),0)</f>
        <v>0</v>
      </c>
      <c r="O224" s="1">
        <f>IF(O$1&lt;=ROUNDUP($C68,0),IF(SUM($F224:N224)&lt;=$D$174*(1-$C$206),MAX($C224*O191,0),$D$174*(1-$C$206)-SUM($F224:N224)),0)</f>
        <v>0</v>
      </c>
      <c r="P224" s="1">
        <f>IF(P$1&lt;=ROUNDUP($C68,0),IF(SUM($F224:O224)&lt;=$D$174*(1-$C$206),MAX($C224*P191,0),$D$174*(1-$C$206)-SUM($F224:O224)),0)</f>
        <v>0</v>
      </c>
      <c r="Q224" s="1">
        <f>IF(Q$1&lt;=ROUNDUP($C68,0),IF(SUM($F224:P224)&lt;=$D$174*(1-$C$206),MAX($C224*Q191,0),$D$174*(1-$C$206)-SUM($F224:P224)),0)</f>
        <v>0</v>
      </c>
      <c r="R224" s="1">
        <f>IF(R$1&lt;=ROUNDUP($C68,0),IF(SUM($F224:Q224)&lt;=$D$174*(1-$C$206),MAX($C224*R191,0),$D$174*(1-$C$206)-SUM($F224:Q224)),0)</f>
        <v>0</v>
      </c>
      <c r="S224" s="1">
        <f>IF(S$1&lt;=ROUNDUP($C68,0),IF(SUM($F224:R224)&lt;=$D$174*(1-$C$206),MAX($C224*S191,0),$D$174*(1-$C$206)-SUM($F224:R224)),0)</f>
        <v>0</v>
      </c>
      <c r="T224" s="1">
        <f>IF(T$1&lt;=ROUNDUP($C68,0),IF(SUM($F224:S224)&lt;=$D$174*(1-$C$206),MAX($C224*T191,0),$D$174*(1-$C$206)-SUM($F224:S224)),0)</f>
        <v>0</v>
      </c>
      <c r="U224" s="1">
        <f>IF(U$1&lt;=ROUNDUP($C68,0),IF(SUM($F224:T224)&lt;=$D$174*(1-$C$206),MAX($C224*U191,0),$D$174*(1-$C$206)-SUM($F224:T224)),0)</f>
        <v>0</v>
      </c>
      <c r="V224" s="1">
        <f>IF(V$1&lt;=ROUNDUP($C68,0),IF(SUM($F224:U224)&lt;=$D$174*(1-$C$206),MAX($C224*V191,0),$D$174*(1-$C$206)-SUM($F224:U224)),0)</f>
        <v>0</v>
      </c>
      <c r="W224" s="1">
        <f>IF(W$1&lt;=ROUNDUP($C68,0),IF(SUM($F224:V224)&lt;=$D$174*(1-$C$206),MAX($C224*W191,0),$D$174*(1-$C$206)-SUM($F224:V224)),0)</f>
        <v>0</v>
      </c>
      <c r="X224" s="1">
        <f>IF(X$1&lt;=ROUNDUP($C68,0),IF(SUM($F224:W224)&lt;=$D$174*(1-$C$206),MAX($C224*X191,0),$D$174*(1-$C$206)-SUM($F224:W224)),0)</f>
        <v>0</v>
      </c>
      <c r="Y224" s="1">
        <f>IF(Y$1&lt;=ROUNDUP($C68,0),IF(SUM($F224:X224)&lt;=$D$174*(1-$C$206),MAX($C224*Y191,0),$D$174*(1-$C$206)-SUM($F224:X224)),0)</f>
        <v>0</v>
      </c>
      <c r="Z224" s="1">
        <f>IF(Z$1&lt;=ROUNDUP($C68,0),IF(SUM($F224:Y224)&lt;=$D$174*(1-$C$206),MAX($C224*Z191,0),$D$174*(1-$C$206)-SUM($F224:Y224)),0)</f>
        <v>0</v>
      </c>
      <c r="AA224" s="1">
        <f>IF(AA$1&lt;=ROUNDUP($C68,0),IF(SUM($F224:Z224)&lt;=$D$174*(1-$C$206),MAX($C224*AA191,0),$D$174*(1-$C$206)-SUM($F224:Z224)),0)</f>
        <v>0</v>
      </c>
      <c r="AB224" s="1">
        <f>IF(AB$1&lt;=ROUNDUP($C68,0),IF(SUM($F224:AA224)&lt;=$D$174*(1-$C$206),MAX($C224*AB191,0),$D$174*(1-$C$206)-SUM($F224:AA224)),0)</f>
        <v>0</v>
      </c>
    </row>
    <row r="225" spans="2:28" x14ac:dyDescent="0.3">
      <c r="B225" s="293" t="str">
        <f t="shared" si="245"/>
        <v>Baseplate Grouting</v>
      </c>
      <c r="C225" s="22">
        <v>0.15</v>
      </c>
      <c r="D225" s="3">
        <f t="shared" si="248"/>
        <v>7.5544583879943769E-2</v>
      </c>
      <c r="F225" s="1">
        <f t="shared" si="249"/>
        <v>1.5576E-2</v>
      </c>
      <c r="G225" s="1">
        <f>IF(G$1&lt;=ROUNDUP($C69,0),IF(SUM($F225:F225)&lt;=$D$174*(1-$C$206),MAX($C225*G192,0),$D$174*(1-$C$206)-SUM($F225:F225)),0)</f>
        <v>1.3239600000000001E-2</v>
      </c>
      <c r="H225" s="1">
        <f>IF(H$1&lt;=ROUNDUP($C69,0),IF(SUM($F225:G225)&lt;=$D$174*(1-$C$206),MAX($C225*H192,0),$D$174*(1-$C$206)-SUM($F225:G225)),0)</f>
        <v>1.125366E-2</v>
      </c>
      <c r="I225" s="1">
        <f>IF(I$1&lt;=ROUNDUP($C69,0),IF(SUM($F225:H225)&lt;=$D$174*(1-$C$206),MAX($C225*I192,0),$D$174*(1-$C$206)-SUM($F225:H225)),0)</f>
        <v>9.5656109999999999E-3</v>
      </c>
      <c r="J225" s="1">
        <f>IF(J$1&lt;=ROUNDUP($C69,0),IF(SUM($F225:I225)&lt;=$D$174*(1-$C$206),MAX($C225*J192,0),$D$174*(1-$C$206)-SUM($F225:I225)),0)</f>
        <v>8.1307693500000007E-3</v>
      </c>
      <c r="K225" s="1">
        <f>IF(K$1&lt;=ROUNDUP($C69,0),IF(SUM($F225:J225)&lt;=$D$174*(1-$C$206),MAX($C225*K192,0),$D$174*(1-$C$206)-SUM($F225:J225)),0)</f>
        <v>6.9111539475000009E-3</v>
      </c>
      <c r="L225" s="1">
        <f>IF(L$1&lt;=ROUNDUP($C69,0),IF(SUM($F225:K225)&lt;=$D$174*(1-$C$206),MAX($C225*L192,0),$D$174*(1-$C$206)-SUM($F225:K225)),0)</f>
        <v>5.8744808553750014E-3</v>
      </c>
      <c r="M225" s="1">
        <f>IF(M$1&lt;=ROUNDUP($C69,0),IF(SUM($F225:L225)&lt;=$D$174*(1-$C$206),MAX($C225*M192,0),$D$174*(1-$C$206)-SUM($F225:L225)),0)</f>
        <v>4.9933087270687508E-3</v>
      </c>
      <c r="N225" s="1">
        <f>IF(N$1&lt;=ROUNDUP($C69,0),IF(SUM($F225:M225)&lt;=$D$174*(1-$C$206),MAX($C225*N192,0),$D$174*(1-$C$206)-SUM($F225:M225)),0)</f>
        <v>0</v>
      </c>
      <c r="O225" s="1">
        <f>IF(O$1&lt;=ROUNDUP($C69,0),IF(SUM($F225:N225)&lt;=$D$174*(1-$C$206),MAX($C225*O192,0),$D$174*(1-$C$206)-SUM($F225:N225)),0)</f>
        <v>0</v>
      </c>
      <c r="P225" s="1">
        <f>IF(P$1&lt;=ROUNDUP($C69,0),IF(SUM($F225:O225)&lt;=$D$174*(1-$C$206),MAX($C225*P192,0),$D$174*(1-$C$206)-SUM($F225:O225)),0)</f>
        <v>0</v>
      </c>
      <c r="Q225" s="1">
        <f>IF(Q$1&lt;=ROUNDUP($C69,0),IF(SUM($F225:P225)&lt;=$D$174*(1-$C$206),MAX($C225*Q192,0),$D$174*(1-$C$206)-SUM($F225:P225)),0)</f>
        <v>0</v>
      </c>
      <c r="R225" s="1">
        <f>IF(R$1&lt;=ROUNDUP($C69,0),IF(SUM($F225:Q225)&lt;=$D$174*(1-$C$206),MAX($C225*R192,0),$D$174*(1-$C$206)-SUM($F225:Q225)),0)</f>
        <v>0</v>
      </c>
      <c r="S225" s="1">
        <f>IF(S$1&lt;=ROUNDUP($C69,0),IF(SUM($F225:R225)&lt;=$D$174*(1-$C$206),MAX($C225*S192,0),$D$174*(1-$C$206)-SUM($F225:R225)),0)</f>
        <v>0</v>
      </c>
      <c r="T225" s="1">
        <f>IF(T$1&lt;=ROUNDUP($C69,0),IF(SUM($F225:S225)&lt;=$D$174*(1-$C$206),MAX($C225*T192,0),$D$174*(1-$C$206)-SUM($F225:S225)),0)</f>
        <v>0</v>
      </c>
      <c r="U225" s="1">
        <f>IF(U$1&lt;=ROUNDUP($C69,0),IF(SUM($F225:T225)&lt;=$D$174*(1-$C$206),MAX($C225*U192,0),$D$174*(1-$C$206)-SUM($F225:T225)),0)</f>
        <v>0</v>
      </c>
      <c r="V225" s="1">
        <f>IF(V$1&lt;=ROUNDUP($C69,0),IF(SUM($F225:U225)&lt;=$D$174*(1-$C$206),MAX($C225*V192,0),$D$174*(1-$C$206)-SUM($F225:U225)),0)</f>
        <v>0</v>
      </c>
      <c r="W225" s="1">
        <f>IF(W$1&lt;=ROUNDUP($C69,0),IF(SUM($F225:V225)&lt;=$D$174*(1-$C$206),MAX($C225*W192,0),$D$174*(1-$C$206)-SUM($F225:V225)),0)</f>
        <v>0</v>
      </c>
      <c r="X225" s="1">
        <f>IF(X$1&lt;=ROUNDUP($C69,0),IF(SUM($F225:W225)&lt;=$D$174*(1-$C$206),MAX($C225*X192,0),$D$174*(1-$C$206)-SUM($F225:W225)),0)</f>
        <v>0</v>
      </c>
      <c r="Y225" s="1">
        <f>IF(Y$1&lt;=ROUNDUP($C69,0),IF(SUM($F225:X225)&lt;=$D$174*(1-$C$206),MAX($C225*Y192,0),$D$174*(1-$C$206)-SUM($F225:X225)),0)</f>
        <v>0</v>
      </c>
      <c r="Z225" s="1">
        <f>IF(Z$1&lt;=ROUNDUP($C69,0),IF(SUM($F225:Y225)&lt;=$D$174*(1-$C$206),MAX($C225*Z192,0),$D$174*(1-$C$206)-SUM($F225:Y225)),0)</f>
        <v>0</v>
      </c>
      <c r="AA225" s="1">
        <f>IF(AA$1&lt;=ROUNDUP($C69,0),IF(SUM($F225:Z225)&lt;=$D$174*(1-$C$206),MAX($C225*AA192,0),$D$174*(1-$C$206)-SUM($F225:Z225)),0)</f>
        <v>0</v>
      </c>
      <c r="AB225" s="1">
        <f>IF(AB$1&lt;=ROUNDUP($C69,0),IF(SUM($F225:AA225)&lt;=$D$174*(1-$C$206),MAX($C225*AB192,0),$D$174*(1-$C$206)-SUM($F225:AA225)),0)</f>
        <v>0</v>
      </c>
    </row>
    <row r="226" spans="2:28" x14ac:dyDescent="0.3">
      <c r="B226" s="293" t="str">
        <f t="shared" si="245"/>
        <v>Miscellenous</v>
      </c>
      <c r="C226" s="22">
        <v>0.15</v>
      </c>
      <c r="D226" s="3">
        <f t="shared" si="248"/>
        <v>0.10301534165446874</v>
      </c>
      <c r="F226" s="1">
        <f t="shared" si="249"/>
        <v>2.1239999999999998E-2</v>
      </c>
      <c r="G226" s="1">
        <f>IF(G$1&lt;=ROUNDUP($C70,0),IF(SUM($F226:F226)&lt;=$D$174*(1-$C$206),MAX($C226*G193,0),$D$174*(1-$C$206)-SUM($F226:F226)),0)</f>
        <v>1.8054000000000001E-2</v>
      </c>
      <c r="H226" s="1">
        <f>IF(H$1&lt;=ROUNDUP($C70,0),IF(SUM($F226:G226)&lt;=$D$174*(1-$C$206),MAX($C226*H193,0),$D$174*(1-$C$206)-SUM($F226:G226)),0)</f>
        <v>1.5345900000000001E-2</v>
      </c>
      <c r="I226" s="1">
        <f>IF(I$1&lt;=ROUNDUP($C70,0),IF(SUM($F226:H226)&lt;=$D$174*(1-$C$206),MAX($C226*I193,0),$D$174*(1-$C$206)-SUM($F226:H226)),0)</f>
        <v>1.3044015000000001E-2</v>
      </c>
      <c r="J226" s="1">
        <f>IF(J$1&lt;=ROUNDUP($C70,0),IF(SUM($F226:I226)&lt;=$D$174*(1-$C$206),MAX($C226*J193,0),$D$174*(1-$C$206)-SUM($F226:I226)),0)</f>
        <v>1.1087412750000001E-2</v>
      </c>
      <c r="K226" s="1">
        <f>IF(K$1&lt;=ROUNDUP($C70,0),IF(SUM($F226:J226)&lt;=$D$174*(1-$C$206),MAX($C226*K193,0),$D$174*(1-$C$206)-SUM($F226:J226)),0)</f>
        <v>9.4243008375000017E-3</v>
      </c>
      <c r="L226" s="1">
        <f>IF(L$1&lt;=ROUNDUP($C70,0),IF(SUM($F226:K226)&lt;=$D$174*(1-$C$206),MAX($C226*L193,0),$D$174*(1-$C$206)-SUM($F226:K226)),0)</f>
        <v>8.0106557118750001E-3</v>
      </c>
      <c r="M226" s="1">
        <f>IF(M$1&lt;=ROUNDUP($C70,0),IF(SUM($F226:L226)&lt;=$D$174*(1-$C$206),MAX($C226*M193,0),$D$174*(1-$C$206)-SUM($F226:L226)),0)</f>
        <v>6.8090573550937507E-3</v>
      </c>
      <c r="N226" s="1">
        <f>IF(N$1&lt;=ROUNDUP($C70,0),IF(SUM($F226:M226)&lt;=$D$174*(1-$C$206),MAX($C226*N193,0),$D$174*(1-$C$206)-SUM($F226:M226)),0)</f>
        <v>0</v>
      </c>
      <c r="O226" s="1">
        <f>IF(O$1&lt;=ROUNDUP($C70,0),IF(SUM($F226:N226)&lt;=$D$174*(1-$C$206),MAX($C226*O193,0),$D$174*(1-$C$206)-SUM($F226:N226)),0)</f>
        <v>0</v>
      </c>
      <c r="P226" s="1">
        <f>IF(P$1&lt;=ROUNDUP($C70,0),IF(SUM($F226:O226)&lt;=$D$174*(1-$C$206),MAX($C226*P193,0),$D$174*(1-$C$206)-SUM($F226:O226)),0)</f>
        <v>0</v>
      </c>
      <c r="Q226" s="1">
        <f>IF(Q$1&lt;=ROUNDUP($C70,0),IF(SUM($F226:P226)&lt;=$D$174*(1-$C$206),MAX($C226*Q193,0),$D$174*(1-$C$206)-SUM($F226:P226)),0)</f>
        <v>0</v>
      </c>
      <c r="R226" s="1">
        <f>IF(R$1&lt;=ROUNDUP($C70,0),IF(SUM($F226:Q226)&lt;=$D$174*(1-$C$206),MAX($C226*R193,0),$D$174*(1-$C$206)-SUM($F226:Q226)),0)</f>
        <v>0</v>
      </c>
      <c r="S226" s="1">
        <f>IF(S$1&lt;=ROUNDUP($C70,0),IF(SUM($F226:R226)&lt;=$D$174*(1-$C$206),MAX($C226*S193,0),$D$174*(1-$C$206)-SUM($F226:R226)),0)</f>
        <v>0</v>
      </c>
      <c r="T226" s="1">
        <f>IF(T$1&lt;=ROUNDUP($C70,0),IF(SUM($F226:S226)&lt;=$D$174*(1-$C$206),MAX($C226*T193,0),$D$174*(1-$C$206)-SUM($F226:S226)),0)</f>
        <v>0</v>
      </c>
      <c r="U226" s="1">
        <f>IF(U$1&lt;=ROUNDUP($C70,0),IF(SUM($F226:T226)&lt;=$D$174*(1-$C$206),MAX($C226*U193,0),$D$174*(1-$C$206)-SUM($F226:T226)),0)</f>
        <v>0</v>
      </c>
      <c r="V226" s="1">
        <f>IF(V$1&lt;=ROUNDUP($C70,0),IF(SUM($F226:U226)&lt;=$D$174*(1-$C$206),MAX($C226*V193,0),$D$174*(1-$C$206)-SUM($F226:U226)),0)</f>
        <v>0</v>
      </c>
      <c r="W226" s="1">
        <f>IF(W$1&lt;=ROUNDUP($C70,0),IF(SUM($F226:V226)&lt;=$D$174*(1-$C$206),MAX($C226*W193,0),$D$174*(1-$C$206)-SUM($F226:V226)),0)</f>
        <v>0</v>
      </c>
      <c r="X226" s="1">
        <f>IF(X$1&lt;=ROUNDUP($C70,0),IF(SUM($F226:W226)&lt;=$D$174*(1-$C$206),MAX($C226*X193,0),$D$174*(1-$C$206)-SUM($F226:W226)),0)</f>
        <v>0</v>
      </c>
      <c r="Y226" s="1">
        <f>IF(Y$1&lt;=ROUNDUP($C70,0),IF(SUM($F226:X226)&lt;=$D$174*(1-$C$206),MAX($C226*Y193,0),$D$174*(1-$C$206)-SUM($F226:X226)),0)</f>
        <v>0</v>
      </c>
      <c r="Z226" s="1">
        <f>IF(Z$1&lt;=ROUNDUP($C70,0),IF(SUM($F226:Y226)&lt;=$D$174*(1-$C$206),MAX($C226*Z193,0),$D$174*(1-$C$206)-SUM($F226:Y226)),0)</f>
        <v>0</v>
      </c>
      <c r="AA226" s="1">
        <f>IF(AA$1&lt;=ROUNDUP($C70,0),IF(SUM($F226:Z226)&lt;=$D$174*(1-$C$206),MAX($C226*AA193,0),$D$174*(1-$C$206)-SUM($F226:Z226)),0)</f>
        <v>0</v>
      </c>
      <c r="AB226" s="1">
        <f>IF(AB$1&lt;=ROUNDUP($C70,0),IF(SUM($F226:AA226)&lt;=$D$174*(1-$C$206),MAX($C226*AB193,0),$D$174*(1-$C$206)-SUM($F226:AA226)),0)</f>
        <v>0</v>
      </c>
    </row>
    <row r="227" spans="2:28" x14ac:dyDescent="0.3">
      <c r="B227" t="str">
        <f t="shared" si="245"/>
        <v>Road</v>
      </c>
      <c r="C227" s="22">
        <v>0.15</v>
      </c>
      <c r="D227" s="3">
        <f t="shared" si="248"/>
        <v>1.2298602455678114</v>
      </c>
      <c r="F227" s="1">
        <f t="shared" si="249"/>
        <v>0.25357612950000002</v>
      </c>
      <c r="G227" s="1">
        <f>IF(G$1&lt;=ROUNDUP($C71,0),IF(SUM($F227:F227)&lt;=$D$174*(1-$C$206),MAX($C227*G194,0),$D$174*(1-$C$206)-SUM($F227:F227)),0)</f>
        <v>0.21553971007500003</v>
      </c>
      <c r="H227" s="1">
        <f>IF(H$1&lt;=ROUNDUP($C71,0),IF(SUM($F227:G227)&lt;=$D$174*(1-$C$206),MAX($C227*H194,0),$D$174*(1-$C$206)-SUM($F227:G227)),0)</f>
        <v>0.18320875356375002</v>
      </c>
      <c r="I227" s="1">
        <f>IF(I$1&lt;=ROUNDUP($C71,0),IF(SUM($F227:H227)&lt;=$D$174*(1-$C$206),MAX($C227*I194,0),$D$174*(1-$C$206)-SUM($F227:H227)),0)</f>
        <v>0.15572744052918749</v>
      </c>
      <c r="J227" s="1">
        <f>IF(J$1&lt;=ROUNDUP($C71,0),IF(SUM($F227:I227)&lt;=$D$174*(1-$C$206),MAX($C227*J194,0),$D$174*(1-$C$206)-SUM($F227:I227)),0)</f>
        <v>0.13236832444980937</v>
      </c>
      <c r="K227" s="1">
        <f>IF(K$1&lt;=ROUNDUP($C71,0),IF(SUM($F227:J227)&lt;=$D$174*(1-$C$206),MAX($C227*K194,0),$D$174*(1-$C$206)-SUM($F227:J227)),0)</f>
        <v>0.11251307578233796</v>
      </c>
      <c r="L227" s="1">
        <f>IF(L$1&lt;=ROUNDUP($C71,0),IF(SUM($F227:K227)&lt;=$D$174*(1-$C$206),MAX($C227*L194,0),$D$174*(1-$C$206)-SUM($F227:K227)),0)</f>
        <v>9.5636114414987275E-2</v>
      </c>
      <c r="M227" s="1">
        <f>IF(M$1&lt;=ROUNDUP($C71,0),IF(SUM($F227:L227)&lt;=$D$174*(1-$C$206),MAX($C227*M194,0),$D$174*(1-$C$206)-SUM($F227:L227)),0)</f>
        <v>8.1290697252739186E-2</v>
      </c>
      <c r="N227" s="1">
        <f>IF(N$1&lt;=ROUNDUP($C71,0),IF(SUM($F227:M227)&lt;=$D$174*(1-$C$206),MAX($C227*N194,0),$D$174*(1-$C$206)-SUM($F227:M227)),0)</f>
        <v>0</v>
      </c>
      <c r="O227" s="1">
        <f>IF(O$1&lt;=ROUNDUP($C71,0),IF(SUM($F227:N227)&lt;=$D$174*(1-$C$206),MAX($C227*O194,0),$D$174*(1-$C$206)-SUM($F227:N227)),0)</f>
        <v>0</v>
      </c>
      <c r="P227" s="1">
        <f>IF(P$1&lt;=ROUNDUP($C71,0),IF(SUM($F227:O227)&lt;=$D$174*(1-$C$206),MAX($C227*P194,0),$D$174*(1-$C$206)-SUM($F227:O227)),0)</f>
        <v>0</v>
      </c>
      <c r="Q227" s="1">
        <f>IF(Q$1&lt;=ROUNDUP($C71,0),IF(SUM($F227:P227)&lt;=$D$174*(1-$C$206),MAX($C227*Q194,0),$D$174*(1-$C$206)-SUM($F227:P227)),0)</f>
        <v>0</v>
      </c>
      <c r="R227" s="1">
        <f>IF(R$1&lt;=ROUNDUP($C71,0),IF(SUM($F227:Q227)&lt;=$D$174*(1-$C$206),MAX($C227*R194,0),$D$174*(1-$C$206)-SUM($F227:Q227)),0)</f>
        <v>0</v>
      </c>
      <c r="S227" s="1">
        <f>IF(S$1&lt;=ROUNDUP($C71,0),IF(SUM($F227:R227)&lt;=$D$174*(1-$C$206),MAX($C227*S194,0),$D$174*(1-$C$206)-SUM($F227:R227)),0)</f>
        <v>0</v>
      </c>
      <c r="T227" s="1">
        <f>IF(T$1&lt;=ROUNDUP($C71,0),IF(SUM($F227:S227)&lt;=$D$174*(1-$C$206),MAX($C227*T194,0),$D$174*(1-$C$206)-SUM($F227:S227)),0)</f>
        <v>0</v>
      </c>
      <c r="U227" s="1">
        <f>IF(U$1&lt;=ROUNDUP($C71,0),IF(SUM($F227:T227)&lt;=$D$174*(1-$C$206),MAX($C227*U194,0),$D$174*(1-$C$206)-SUM($F227:T227)),0)</f>
        <v>0</v>
      </c>
      <c r="V227" s="1">
        <f>IF(V$1&lt;=ROUNDUP($C71,0),IF(SUM($F227:U227)&lt;=$D$174*(1-$C$206),MAX($C227*V194,0),$D$174*(1-$C$206)-SUM($F227:U227)),0)</f>
        <v>0</v>
      </c>
      <c r="W227" s="1">
        <f>IF(W$1&lt;=ROUNDUP($C71,0),IF(SUM($F227:V227)&lt;=$D$174*(1-$C$206),MAX($C227*W194,0),$D$174*(1-$C$206)-SUM($F227:V227)),0)</f>
        <v>0</v>
      </c>
      <c r="X227" s="1">
        <f>IF(X$1&lt;=ROUNDUP($C71,0),IF(SUM($F227:W227)&lt;=$D$174*(1-$C$206),MAX($C227*X194,0),$D$174*(1-$C$206)-SUM($F227:W227)),0)</f>
        <v>0</v>
      </c>
      <c r="Y227" s="1">
        <f>IF(Y$1&lt;=ROUNDUP($C71,0),IF(SUM($F227:X227)&lt;=$D$174*(1-$C$206),MAX($C227*Y194,0),$D$174*(1-$C$206)-SUM($F227:X227)),0)</f>
        <v>0</v>
      </c>
      <c r="Z227" s="1">
        <f>IF(Z$1&lt;=ROUNDUP($C71,0),IF(SUM($F227:Y227)&lt;=$D$174*(1-$C$206),MAX($C227*Z194,0),$D$174*(1-$C$206)-SUM($F227:Y227)),0)</f>
        <v>0</v>
      </c>
      <c r="AA227" s="1">
        <f>IF(AA$1&lt;=ROUNDUP($C71,0),IF(SUM($F227:Z227)&lt;=$D$174*(1-$C$206),MAX($C227*AA194,0),$D$174*(1-$C$206)-SUM($F227:Z227)),0)</f>
        <v>0</v>
      </c>
      <c r="AB227" s="1">
        <f>IF(AB$1&lt;=ROUNDUP($C71,0),IF(SUM($F227:AA227)&lt;=$D$174*(1-$C$206),MAX($C227*AB194,0),$D$174*(1-$C$206)-SUM($F227:AA227)),0)</f>
        <v>0</v>
      </c>
    </row>
    <row r="228" spans="2:28" x14ac:dyDescent="0.3">
      <c r="B228" t="str">
        <f t="shared" si="245"/>
        <v>Electrical</v>
      </c>
      <c r="C228" s="22">
        <v>0.15</v>
      </c>
      <c r="D228" s="3">
        <f t="shared" si="248"/>
        <v>0</v>
      </c>
      <c r="F228" s="1">
        <f t="shared" si="249"/>
        <v>0</v>
      </c>
      <c r="G228" s="1">
        <f>IF(G$1&lt;=ROUNDUP($C72,0),IF(SUM($F228:F228)&lt;=$D$174*(1-$C$206),MAX($C228*G195,0),$D$174*(1-$C$206)-SUM($F228:F228)),0)</f>
        <v>0</v>
      </c>
      <c r="H228" s="1">
        <f>IF(H$1&lt;=ROUNDUP($C72,0),IF(SUM($F228:G228)&lt;=$D$174*(1-$C$206),MAX($C228*H195,0),$D$174*(1-$C$206)-SUM($F228:G228)),0)</f>
        <v>0</v>
      </c>
      <c r="I228" s="1">
        <f>IF(I$1&lt;=ROUNDUP($C72,0),IF(SUM($F228:H228)&lt;=$D$174*(1-$C$206),MAX($C228*I195,0),$D$174*(1-$C$206)-SUM($F228:H228)),0)</f>
        <v>0</v>
      </c>
      <c r="J228" s="1">
        <f>IF(J$1&lt;=ROUNDUP($C72,0),IF(SUM($F228:I228)&lt;=$D$174*(1-$C$206),MAX($C228*J195,0),$D$174*(1-$C$206)-SUM($F228:I228)),0)</f>
        <v>0</v>
      </c>
      <c r="K228" s="1">
        <f>IF(K$1&lt;=ROUNDUP($C72,0),IF(SUM($F228:J228)&lt;=$D$174*(1-$C$206),MAX($C228*K195,0),$D$174*(1-$C$206)-SUM($F228:J228)),0)</f>
        <v>0</v>
      </c>
      <c r="L228" s="1">
        <f>IF(L$1&lt;=ROUNDUP($C72,0),IF(SUM($F228:K228)&lt;=$D$174*(1-$C$206),MAX($C228*L195,0),$D$174*(1-$C$206)-SUM($F228:K228)),0)</f>
        <v>0</v>
      </c>
      <c r="M228" s="1">
        <f>IF(M$1&lt;=ROUNDUP($C72,0),IF(SUM($F228:L228)&lt;=$D$174*(1-$C$206),MAX($C228*M195,0),$D$174*(1-$C$206)-SUM($F228:L228)),0)</f>
        <v>0</v>
      </c>
      <c r="N228" s="1">
        <f>IF(N$1&lt;=ROUNDUP($C72,0),IF(SUM($F228:M228)&lt;=$D$174*(1-$C$206),MAX($C228*N195,0),$D$174*(1-$C$206)-SUM($F228:M228)),0)</f>
        <v>0</v>
      </c>
      <c r="O228" s="1">
        <f>IF(O$1&lt;=ROUNDUP($C72,0),IF(SUM($F228:N228)&lt;=$D$174*(1-$C$206),MAX($C228*O195,0),$D$174*(1-$C$206)-SUM($F228:N228)),0)</f>
        <v>0</v>
      </c>
      <c r="P228" s="1">
        <f>IF(P$1&lt;=ROUNDUP($C72,0),IF(SUM($F228:O228)&lt;=$D$174*(1-$C$206),MAX($C228*P195,0),$D$174*(1-$C$206)-SUM($F228:O228)),0)</f>
        <v>0</v>
      </c>
      <c r="Q228" s="1">
        <f>IF(Q$1&lt;=ROUNDUP($C72,0),IF(SUM($F228:P228)&lt;=$D$174*(1-$C$206),MAX($C228*Q195,0),$D$174*(1-$C$206)-SUM($F228:P228)),0)</f>
        <v>0</v>
      </c>
      <c r="R228" s="1">
        <f>IF(R$1&lt;=ROUNDUP($C72,0),IF(SUM($F228:Q228)&lt;=$D$174*(1-$C$206),MAX($C228*R195,0),$D$174*(1-$C$206)-SUM($F228:Q228)),0)</f>
        <v>0</v>
      </c>
      <c r="S228" s="1">
        <f>IF(S$1&lt;=ROUNDUP($C72,0),IF(SUM($F228:R228)&lt;=$D$174*(1-$C$206),MAX($C228*S195,0),$D$174*(1-$C$206)-SUM($F228:R228)),0)</f>
        <v>0</v>
      </c>
      <c r="T228" s="1">
        <f>IF(T$1&lt;=ROUNDUP($C72,0),IF(SUM($F228:S228)&lt;=$D$174*(1-$C$206),MAX($C228*T195,0),$D$174*(1-$C$206)-SUM($F228:S228)),0)</f>
        <v>0</v>
      </c>
      <c r="U228" s="1">
        <f>IF(U$1&lt;=ROUNDUP($C72,0),IF(SUM($F228:T228)&lt;=$D$174*(1-$C$206),MAX($C228*U195,0),$D$174*(1-$C$206)-SUM($F228:T228)),0)</f>
        <v>0</v>
      </c>
      <c r="V228" s="1">
        <f>IF(V$1&lt;=ROUNDUP($C72,0),IF(SUM($F228:U228)&lt;=$D$174*(1-$C$206),MAX($C228*V195,0),$D$174*(1-$C$206)-SUM($F228:U228)),0)</f>
        <v>0</v>
      </c>
      <c r="W228" s="1">
        <f>IF(W$1&lt;=ROUNDUP($C72,0),IF(SUM($F228:V228)&lt;=$D$174*(1-$C$206),MAX($C228*W195,0),$D$174*(1-$C$206)-SUM($F228:V228)),0)</f>
        <v>0</v>
      </c>
      <c r="X228" s="1">
        <f>IF(X$1&lt;=ROUNDUP($C72,0),IF(SUM($F228:W228)&lt;=$D$174*(1-$C$206),MAX($C228*X195,0),$D$174*(1-$C$206)-SUM($F228:W228)),0)</f>
        <v>0</v>
      </c>
      <c r="Y228" s="1">
        <f>IF(Y$1&lt;=ROUNDUP($C72,0),IF(SUM($F228:X228)&lt;=$D$174*(1-$C$206),MAX($C228*Y195,0),$D$174*(1-$C$206)-SUM($F228:X228)),0)</f>
        <v>0</v>
      </c>
      <c r="Z228" s="1">
        <f>IF(Z$1&lt;=ROUNDUP($C72,0),IF(SUM($F228:Y228)&lt;=$D$174*(1-$C$206),MAX($C228*Z195,0),$D$174*(1-$C$206)-SUM($F228:Y228)),0)</f>
        <v>0</v>
      </c>
      <c r="AA228" s="1">
        <f>IF(AA$1&lt;=ROUNDUP($C72,0),IF(SUM($F228:Z228)&lt;=$D$174*(1-$C$206),MAX($C228*AA195,0),$D$174*(1-$C$206)-SUM($F228:Z228)),0)</f>
        <v>0</v>
      </c>
      <c r="AB228" s="1">
        <f>IF(AB$1&lt;=ROUNDUP($C72,0),IF(SUM($F228:AA228)&lt;=$D$174*(1-$C$206),MAX($C228*AB195,0),$D$174*(1-$C$206)-SUM($F228:AA228)),0)</f>
        <v>0</v>
      </c>
    </row>
    <row r="229" spans="2:28" x14ac:dyDescent="0.3">
      <c r="B229" t="str">
        <f t="shared" si="245"/>
        <v>CDA</v>
      </c>
      <c r="C229" s="22">
        <v>0.15</v>
      </c>
      <c r="D229" s="3">
        <f t="shared" si="248"/>
        <v>0</v>
      </c>
      <c r="F229" s="1">
        <f t="shared" si="249"/>
        <v>0</v>
      </c>
      <c r="G229" s="1">
        <f>IF(G$1&lt;=ROUNDUP($C73,0),IF(SUM($F229:F229)&lt;=$D$174*(1-$C$206),MAX($C229*G196,0),$D$174*(1-$C$206)-SUM($F229:F229)),0)</f>
        <v>0</v>
      </c>
      <c r="H229" s="1">
        <f>IF(H$1&lt;=ROUNDUP($C73,0),IF(SUM($F229:G229)&lt;=$D$174*(1-$C$206),MAX($C229*H196,0),$D$174*(1-$C$206)-SUM($F229:G229)),0)</f>
        <v>0</v>
      </c>
      <c r="I229" s="1">
        <f>IF(I$1&lt;=ROUNDUP($C73,0),IF(SUM($F229:H229)&lt;=$D$174*(1-$C$206),MAX($C229*I196,0),$D$174*(1-$C$206)-SUM($F229:H229)),0)</f>
        <v>0</v>
      </c>
      <c r="J229" s="1">
        <f>IF(J$1&lt;=ROUNDUP($C73,0),IF(SUM($F229:I229)&lt;=$D$174*(1-$C$206),MAX($C229*J196,0),$D$174*(1-$C$206)-SUM($F229:I229)),0)</f>
        <v>0</v>
      </c>
      <c r="K229" s="1">
        <f>IF(K$1&lt;=ROUNDUP($C73,0),IF(SUM($F229:J229)&lt;=$D$174*(1-$C$206),MAX($C229*K196,0),$D$174*(1-$C$206)-SUM($F229:J229)),0)</f>
        <v>0</v>
      </c>
      <c r="L229" s="1">
        <f>IF(L$1&lt;=ROUNDUP($C73,0),IF(SUM($F229:K229)&lt;=$D$174*(1-$C$206),MAX($C229*L196,0),$D$174*(1-$C$206)-SUM($F229:K229)),0)</f>
        <v>0</v>
      </c>
      <c r="M229" s="1">
        <f>IF(M$1&lt;=ROUNDUP($C73,0),IF(SUM($F229:L229)&lt;=$D$174*(1-$C$206),MAX($C229*M196,0),$D$174*(1-$C$206)-SUM($F229:L229)),0)</f>
        <v>0</v>
      </c>
      <c r="N229" s="1">
        <f>IF(N$1&lt;=ROUNDUP($C73,0),IF(SUM($F229:M229)&lt;=$D$174*(1-$C$206),MAX($C229*N196,0),$D$174*(1-$C$206)-SUM($F229:M229)),0)</f>
        <v>0</v>
      </c>
      <c r="O229" s="1">
        <f>IF(O$1&lt;=ROUNDUP($C73,0),IF(SUM($F229:N229)&lt;=$D$174*(1-$C$206),MAX($C229*O196,0),$D$174*(1-$C$206)-SUM($F229:N229)),0)</f>
        <v>0</v>
      </c>
      <c r="P229" s="1">
        <f>IF(P$1&lt;=ROUNDUP($C73,0),IF(SUM($F229:O229)&lt;=$D$174*(1-$C$206),MAX($C229*P196,0),$D$174*(1-$C$206)-SUM($F229:O229)),0)</f>
        <v>0</v>
      </c>
      <c r="Q229" s="1">
        <f>IF(Q$1&lt;=ROUNDUP($C73,0),IF(SUM($F229:P229)&lt;=$D$174*(1-$C$206),MAX($C229*Q196,0),$D$174*(1-$C$206)-SUM($F229:P229)),0)</f>
        <v>0</v>
      </c>
      <c r="R229" s="1">
        <f>IF(R$1&lt;=ROUNDUP($C73,0),IF(SUM($F229:Q229)&lt;=$D$174*(1-$C$206),MAX($C229*R196,0),$D$174*(1-$C$206)-SUM($F229:Q229)),0)</f>
        <v>0</v>
      </c>
      <c r="S229" s="1">
        <f>IF(S$1&lt;=ROUNDUP($C73,0),IF(SUM($F229:R229)&lt;=$D$174*(1-$C$206),MAX($C229*S196,0),$D$174*(1-$C$206)-SUM($F229:R229)),0)</f>
        <v>0</v>
      </c>
      <c r="T229" s="1">
        <f>IF(T$1&lt;=ROUNDUP($C73,0),IF(SUM($F229:S229)&lt;=$D$174*(1-$C$206),MAX($C229*T196,0),$D$174*(1-$C$206)-SUM($F229:S229)),0)</f>
        <v>0</v>
      </c>
      <c r="U229" s="1">
        <f>IF(U$1&lt;=ROUNDUP($C73,0),IF(SUM($F229:T229)&lt;=$D$174*(1-$C$206),MAX($C229*U196,0),$D$174*(1-$C$206)-SUM($F229:T229)),0)</f>
        <v>0</v>
      </c>
      <c r="V229" s="1">
        <f>IF(V$1&lt;=ROUNDUP($C73,0),IF(SUM($F229:U229)&lt;=$D$174*(1-$C$206),MAX($C229*V196,0),$D$174*(1-$C$206)-SUM($F229:U229)),0)</f>
        <v>0</v>
      </c>
      <c r="W229" s="1">
        <f>IF(W$1&lt;=ROUNDUP($C73,0),IF(SUM($F229:V229)&lt;=$D$174*(1-$C$206),MAX($C229*W196,0),$D$174*(1-$C$206)-SUM($F229:V229)),0)</f>
        <v>0</v>
      </c>
      <c r="X229" s="1">
        <f>IF(X$1&lt;=ROUNDUP($C73,0),IF(SUM($F229:W229)&lt;=$D$174*(1-$C$206),MAX($C229*X196,0),$D$174*(1-$C$206)-SUM($F229:W229)),0)</f>
        <v>0</v>
      </c>
      <c r="Y229" s="1">
        <f>IF(Y$1&lt;=ROUNDUP($C73,0),IF(SUM($F229:X229)&lt;=$D$174*(1-$C$206),MAX($C229*Y196,0),$D$174*(1-$C$206)-SUM($F229:X229)),0)</f>
        <v>0</v>
      </c>
      <c r="Z229" s="1">
        <f>IF(Z$1&lt;=ROUNDUP($C73,0),IF(SUM($F229:Y229)&lt;=$D$174*(1-$C$206),MAX($C229*Z196,0),$D$174*(1-$C$206)-SUM($F229:Y229)),0)</f>
        <v>0</v>
      </c>
      <c r="AA229" s="1">
        <f>IF(AA$1&lt;=ROUNDUP($C73,0),IF(SUM($F229:Z229)&lt;=$D$174*(1-$C$206),MAX($C229*AA196,0),$D$174*(1-$C$206)-SUM($F229:Z229)),0)</f>
        <v>0</v>
      </c>
      <c r="AB229" s="1">
        <f>IF(AB$1&lt;=ROUNDUP($C73,0),IF(SUM($F229:AA229)&lt;=$D$174*(1-$C$206),MAX($C229*AB196,0),$D$174*(1-$C$206)-SUM($F229:AA229)),0)</f>
        <v>0</v>
      </c>
    </row>
    <row r="230" spans="2:28" x14ac:dyDescent="0.3">
      <c r="B230" t="str">
        <f t="shared" si="245"/>
        <v>FHS and FAS for the ASRS</v>
      </c>
      <c r="C230" s="22">
        <v>0.15</v>
      </c>
      <c r="D230" s="3">
        <f t="shared" si="248"/>
        <v>0</v>
      </c>
      <c r="F230" s="1">
        <f t="shared" si="249"/>
        <v>0</v>
      </c>
      <c r="G230" s="1">
        <f>IF(G$1&lt;=ROUNDUP($C74,0),IF(SUM($F230:F230)&lt;=$D$174*(1-$C$206),MAX($C230*G197,0),$D$174*(1-$C$206)-SUM($F230:F230)),0)</f>
        <v>0</v>
      </c>
      <c r="H230" s="1">
        <f>IF(H$1&lt;=ROUNDUP($C74,0),IF(SUM($F230:G230)&lt;=$D$174*(1-$C$206),MAX($C230*H197,0),$D$174*(1-$C$206)-SUM($F230:G230)),0)</f>
        <v>0</v>
      </c>
      <c r="I230" s="1">
        <f>IF(I$1&lt;=ROUNDUP($C74,0),IF(SUM($F230:H230)&lt;=$D$174*(1-$C$206),MAX($C230*I197,0),$D$174*(1-$C$206)-SUM($F230:H230)),0)</f>
        <v>0</v>
      </c>
      <c r="J230" s="1">
        <f>IF(J$1&lt;=ROUNDUP($C74,0),IF(SUM($F230:I230)&lt;=$D$174*(1-$C$206),MAX($C230*J197,0),$D$174*(1-$C$206)-SUM($F230:I230)),0)</f>
        <v>0</v>
      </c>
      <c r="K230" s="1">
        <f>IF(K$1&lt;=ROUNDUP($C74,0),IF(SUM($F230:J230)&lt;=$D$174*(1-$C$206),MAX($C230*K197,0),$D$174*(1-$C$206)-SUM($F230:J230)),0)</f>
        <v>0</v>
      </c>
      <c r="L230" s="1">
        <f>IF(L$1&lt;=ROUNDUP($C74,0),IF(SUM($F230:K230)&lt;=$D$174*(1-$C$206),MAX($C230*L197,0),$D$174*(1-$C$206)-SUM($F230:K230)),0)</f>
        <v>0</v>
      </c>
      <c r="M230" s="1">
        <f>IF(M$1&lt;=ROUNDUP($C74,0),IF(SUM($F230:L230)&lt;=$D$174*(1-$C$206),MAX($C230*M197,0),$D$174*(1-$C$206)-SUM($F230:L230)),0)</f>
        <v>0</v>
      </c>
      <c r="N230" s="1">
        <f>IF(N$1&lt;=ROUNDUP($C74,0),IF(SUM($F230:M230)&lt;=$D$174*(1-$C$206),MAX($C230*N197,0),$D$174*(1-$C$206)-SUM($F230:M230)),0)</f>
        <v>0</v>
      </c>
      <c r="O230" s="1">
        <f>IF(O$1&lt;=ROUNDUP($C74,0),IF(SUM($F230:N230)&lt;=$D$174*(1-$C$206),MAX($C230*O197,0),$D$174*(1-$C$206)-SUM($F230:N230)),0)</f>
        <v>0</v>
      </c>
      <c r="P230" s="1">
        <f>IF(P$1&lt;=ROUNDUP($C74,0),IF(SUM($F230:O230)&lt;=$D$174*(1-$C$206),MAX($C230*P197,0),$D$174*(1-$C$206)-SUM($F230:O230)),0)</f>
        <v>0</v>
      </c>
      <c r="Q230" s="1">
        <f>IF(Q$1&lt;=ROUNDUP($C74,0),IF(SUM($F230:P230)&lt;=$D$174*(1-$C$206),MAX($C230*Q197,0),$D$174*(1-$C$206)-SUM($F230:P230)),0)</f>
        <v>0</v>
      </c>
      <c r="R230" s="1">
        <f>IF(R$1&lt;=ROUNDUP($C74,0),IF(SUM($F230:Q230)&lt;=$D$174*(1-$C$206),MAX($C230*R197,0),$D$174*(1-$C$206)-SUM($F230:Q230)),0)</f>
        <v>0</v>
      </c>
      <c r="S230" s="1">
        <f>IF(S$1&lt;=ROUNDUP($C74,0),IF(SUM($F230:R230)&lt;=$D$174*(1-$C$206),MAX($C230*S197,0),$D$174*(1-$C$206)-SUM($F230:R230)),0)</f>
        <v>0</v>
      </c>
      <c r="T230" s="1">
        <f>IF(T$1&lt;=ROUNDUP($C74,0),IF(SUM($F230:S230)&lt;=$D$174*(1-$C$206),MAX($C230*T197,0),$D$174*(1-$C$206)-SUM($F230:S230)),0)</f>
        <v>0</v>
      </c>
      <c r="U230" s="1">
        <f>IF(U$1&lt;=ROUNDUP($C74,0),IF(SUM($F230:T230)&lt;=$D$174*(1-$C$206),MAX($C230*U197,0),$D$174*(1-$C$206)-SUM($F230:T230)),0)</f>
        <v>0</v>
      </c>
      <c r="V230" s="1">
        <f>IF(V$1&lt;=ROUNDUP($C74,0),IF(SUM($F230:U230)&lt;=$D$174*(1-$C$206),MAX($C230*V197,0),$D$174*(1-$C$206)-SUM($F230:U230)),0)</f>
        <v>0</v>
      </c>
      <c r="W230" s="1">
        <f>IF(W$1&lt;=ROUNDUP($C74,0),IF(SUM($F230:V230)&lt;=$D$174*(1-$C$206),MAX($C230*W197,0),$D$174*(1-$C$206)-SUM($F230:V230)),0)</f>
        <v>0</v>
      </c>
      <c r="X230" s="1">
        <f>IF(X$1&lt;=ROUNDUP($C74,0),IF(SUM($F230:W230)&lt;=$D$174*(1-$C$206),MAX($C230*X197,0),$D$174*(1-$C$206)-SUM($F230:W230)),0)</f>
        <v>0</v>
      </c>
      <c r="Y230" s="1">
        <f>IF(Y$1&lt;=ROUNDUP($C74,0),IF(SUM($F230:X230)&lt;=$D$174*(1-$C$206),MAX($C230*Y197,0),$D$174*(1-$C$206)-SUM($F230:X230)),0)</f>
        <v>0</v>
      </c>
      <c r="Z230" s="1">
        <f>IF(Z$1&lt;=ROUNDUP($C74,0),IF(SUM($F230:Y230)&lt;=$D$174*(1-$C$206),MAX($C230*Z197,0),$D$174*(1-$C$206)-SUM($F230:Y230)),0)</f>
        <v>0</v>
      </c>
      <c r="AA230" s="1">
        <f>IF(AA$1&lt;=ROUNDUP($C74,0),IF(SUM($F230:Z230)&lt;=$D$174*(1-$C$206),MAX($C230*AA197,0),$D$174*(1-$C$206)-SUM($F230:Z230)),0)</f>
        <v>0</v>
      </c>
      <c r="AB230" s="1">
        <f>IF(AB$1&lt;=ROUNDUP($C74,0),IF(SUM($F230:AA230)&lt;=$D$174*(1-$C$206),MAX($C230*AB197,0),$D$174*(1-$C$206)-SUM($F230:AA230)),0)</f>
        <v>0</v>
      </c>
    </row>
    <row r="231" spans="2:28" x14ac:dyDescent="0.3">
      <c r="B231" t="str">
        <f t="shared" si="245"/>
        <v>Dock levellers</v>
      </c>
      <c r="C231" s="22">
        <v>0.15</v>
      </c>
      <c r="D231" s="3">
        <f t="shared" si="247"/>
        <v>0.60999478798943596</v>
      </c>
      <c r="F231" s="1">
        <f t="shared" si="249"/>
        <v>0.12577048320000001</v>
      </c>
      <c r="G231" s="1">
        <f>IF(G$1&lt;=ROUNDUP($C75,0),IF(SUM($F231:F231)&lt;=$D$174*(1-$C$206),MAX($C231*G198,0),$D$174*(1-$C$206)-SUM($F231:F231)),0)</f>
        <v>0.10690491071999998</v>
      </c>
      <c r="H231" s="1">
        <f>IF(H$1&lt;=ROUNDUP($C75,0),IF(SUM($F231:G231)&lt;=$D$174*(1-$C$206),MAX($C231*H198,0),$D$174*(1-$C$206)-SUM($F231:G231)),0)</f>
        <v>9.086917411199999E-2</v>
      </c>
      <c r="I231" s="1">
        <f>IF(I$1&lt;=ROUNDUP($C75,0),IF(SUM($F231:H231)&lt;=$D$174*(1-$C$206),MAX($C231*I198,0),$D$174*(1-$C$206)-SUM($F231:H231)),0)</f>
        <v>7.723879799519999E-2</v>
      </c>
      <c r="J231" s="1">
        <f>IF(J$1&lt;=ROUNDUP($C75,0),IF(SUM($F231:I231)&lt;=$D$174*(1-$C$206),MAX($C231*J198,0),$D$174*(1-$C$206)-SUM($F231:I231)),0)</f>
        <v>6.5652978295919984E-2</v>
      </c>
      <c r="K231" s="1">
        <f>IF(K$1&lt;=ROUNDUP($C75,0),IF(SUM($F231:J231)&lt;=$D$174*(1-$C$206),MAX($C231*K198,0),$D$174*(1-$C$206)-SUM($F231:J231)),0)</f>
        <v>5.5805031551531992E-2</v>
      </c>
      <c r="L231" s="1">
        <f>IF(L$1&lt;=ROUNDUP($C75,0),IF(SUM($F231:K231)&lt;=$D$174*(1-$C$206),MAX($C231*L198,0),$D$174*(1-$C$206)-SUM($F231:K231)),0)</f>
        <v>4.7434276818802197E-2</v>
      </c>
      <c r="M231" s="1">
        <f>IF(M$1&lt;=ROUNDUP($C75,0),IF(SUM($F231:L231)&lt;=$D$174*(1-$C$206),MAX($C231*M198,0),$D$174*(1-$C$206)-SUM($F231:L231)),0)</f>
        <v>4.0319135295981863E-2</v>
      </c>
      <c r="N231" s="1">
        <f>IF(N$1&lt;=ROUNDUP($C75,0),IF(SUM($F231:M231)&lt;=$D$174*(1-$C$206),MAX($C231*N198,0),$D$174*(1-$C$206)-SUM($F231:M231)),0)</f>
        <v>0</v>
      </c>
      <c r="O231" s="1">
        <f>IF(O$1&lt;=ROUNDUP($C75,0),IF(SUM($F231:N231)&lt;=$D$174*(1-$C$206),MAX($C231*O198,0),$D$174*(1-$C$206)-SUM($F231:N231)),0)</f>
        <v>0</v>
      </c>
      <c r="P231" s="1">
        <f>IF(P$1&lt;=ROUNDUP($C75,0),IF(SUM($F231:O231)&lt;=$D$174*(1-$C$206),MAX($C231*P198,0),$D$174*(1-$C$206)-SUM($F231:O231)),0)</f>
        <v>0</v>
      </c>
      <c r="Q231" s="1">
        <f>IF(Q$1&lt;=ROUNDUP($C75,0),IF(SUM($F231:P231)&lt;=$D$174*(1-$C$206),MAX($C231*Q198,0),$D$174*(1-$C$206)-SUM($F231:P231)),0)</f>
        <v>0</v>
      </c>
      <c r="R231" s="1">
        <f>IF(R$1&lt;=ROUNDUP($C75,0),IF(SUM($F231:Q231)&lt;=$D$174*(1-$C$206),MAX($C231*R198,0),$D$174*(1-$C$206)-SUM($F231:Q231)),0)</f>
        <v>0</v>
      </c>
      <c r="S231" s="1">
        <f>IF(S$1&lt;=ROUNDUP($C75,0),IF(SUM($F231:R231)&lt;=$D$174*(1-$C$206),MAX($C231*S198,0),$D$174*(1-$C$206)-SUM($F231:R231)),0)</f>
        <v>0</v>
      </c>
      <c r="T231" s="1">
        <f>IF(T$1&lt;=ROUNDUP($C75,0),IF(SUM($F231:S231)&lt;=$D$174*(1-$C$206),MAX($C231*T198,0),$D$174*(1-$C$206)-SUM($F231:S231)),0)</f>
        <v>0</v>
      </c>
      <c r="U231" s="1">
        <f>IF(U$1&lt;=ROUNDUP($C75,0),IF(SUM($F231:T231)&lt;=$D$174*(1-$C$206),MAX($C231*U198,0),$D$174*(1-$C$206)-SUM($F231:T231)),0)</f>
        <v>0</v>
      </c>
      <c r="V231" s="1">
        <f>IF(V$1&lt;=ROUNDUP($C75,0),IF(SUM($F231:U231)&lt;=$D$174*(1-$C$206),MAX($C231*V198,0),$D$174*(1-$C$206)-SUM($F231:U231)),0)</f>
        <v>0</v>
      </c>
      <c r="W231" s="1">
        <f>IF(W$1&lt;=ROUNDUP($C75,0),IF(SUM($F231:V231)&lt;=$D$174*(1-$C$206),MAX($C231*W198,0),$D$174*(1-$C$206)-SUM($F231:V231)),0)</f>
        <v>0</v>
      </c>
      <c r="X231" s="1">
        <f>IF(X$1&lt;=ROUNDUP($C75,0),IF(SUM($F231:W231)&lt;=$D$174*(1-$C$206),MAX($C231*X198,0),$D$174*(1-$C$206)-SUM($F231:W231)),0)</f>
        <v>0</v>
      </c>
      <c r="Y231" s="1">
        <f>IF(Y$1&lt;=ROUNDUP($C75,0),IF(SUM($F231:X231)&lt;=$D$174*(1-$C$206),MAX($C231*Y198,0),$D$174*(1-$C$206)-SUM($F231:X231)),0)</f>
        <v>0</v>
      </c>
      <c r="Z231" s="1">
        <f>IF(Z$1&lt;=ROUNDUP($C75,0),IF(SUM($F231:Y231)&lt;=$D$174*(1-$C$206),MAX($C231*Z198,0),$D$174*(1-$C$206)-SUM($F231:Y231)),0)</f>
        <v>0</v>
      </c>
      <c r="AA231" s="1">
        <f>IF(AA$1&lt;=ROUNDUP($C75,0),IF(SUM($F231:Z231)&lt;=$D$174*(1-$C$206),MAX($C231*AA198,0),$D$174*(1-$C$206)-SUM($F231:Z231)),0)</f>
        <v>0</v>
      </c>
      <c r="AB231" s="1">
        <f>IF(AB$1&lt;=ROUNDUP($C75,0),IF(SUM($F231:AA231)&lt;=$D$174*(1-$C$206),MAX($C231*AB198,0),$D$174*(1-$C$206)-SUM($F231:AA231)),0)</f>
        <v>0</v>
      </c>
    </row>
    <row r="232" spans="2:28" x14ac:dyDescent="0.3">
      <c r="B232" t="str">
        <f t="shared" si="245"/>
        <v>Contingency</v>
      </c>
      <c r="C232" s="22">
        <v>0.15</v>
      </c>
      <c r="D232" s="3">
        <f t="shared" si="247"/>
        <v>1.7305268760454775</v>
      </c>
      <c r="F232" s="1">
        <f t="shared" si="249"/>
        <v>0.35680501813499998</v>
      </c>
      <c r="G232" s="1">
        <f>IF(G$1&lt;=ROUNDUP($C76,0),IF(SUM($F232:F232)&lt;=$D$174*(1-$C$206),MAX($C232*G199,0),$D$174*(1-$C$206)-SUM($F232:F232)),0)</f>
        <v>0.30328426541474995</v>
      </c>
      <c r="H232" s="1">
        <f>IF(H$1&lt;=ROUNDUP($C76,0),IF(SUM($F232:G232)&lt;=$D$174*(1-$C$206),MAX($C232*H199,0),$D$174*(1-$C$206)-SUM($F232:G232)),0)</f>
        <v>0.25779162560253749</v>
      </c>
      <c r="I232" s="1">
        <f>IF(I$1&lt;=ROUNDUP($C76,0),IF(SUM($F232:H232)&lt;=$D$174*(1-$C$206),MAX($C232*I199,0),$D$174*(1-$C$206)-SUM($F232:H232)),0)</f>
        <v>0.21912288176215688</v>
      </c>
      <c r="J232" s="1">
        <f>IF(J$1&lt;=ROUNDUP($C76,0),IF(SUM($F232:I232)&lt;=$D$174*(1-$C$206),MAX($C232*J199,0),$D$174*(1-$C$206)-SUM($F232:I232)),0)</f>
        <v>0.18625444949783335</v>
      </c>
      <c r="K232" s="1">
        <f>IF(K$1&lt;=ROUNDUP($C76,0),IF(SUM($F232:J232)&lt;=$D$174*(1-$C$206),MAX($C232*K199,0),$D$174*(1-$C$206)-SUM($F232:J232)),0)</f>
        <v>0.15831628207315834</v>
      </c>
      <c r="L232" s="1">
        <f>IF(L$1&lt;=ROUNDUP($C76,0),IF(SUM($F232:K232)&lt;=$D$174*(1-$C$206),MAX($C232*L199,0),$D$174*(1-$C$206)-SUM($F232:K232)),0)</f>
        <v>0.13456883976218462</v>
      </c>
      <c r="M232" s="1">
        <f>IF(M$1&lt;=ROUNDUP($C76,0),IF(SUM($F232:L232)&lt;=$D$174*(1-$C$206),MAX($C232*M199,0),$D$174*(1-$C$206)-SUM($F232:L232)),0)</f>
        <v>0.11438351379785691</v>
      </c>
      <c r="N232" s="1">
        <f>IF(N$1&lt;=ROUNDUP($C76,0),IF(SUM($F232:M232)&lt;=$D$174*(1-$C$206),MAX($C232*N199,0),$D$174*(1-$C$206)-SUM($F232:M232)),0)</f>
        <v>0</v>
      </c>
      <c r="O232" s="1">
        <f>IF(O$1&lt;=ROUNDUP($C76,0),IF(SUM($F232:N232)&lt;=$D$174*(1-$C$206),MAX($C232*O199,0),$D$174*(1-$C$206)-SUM($F232:N232)),0)</f>
        <v>0</v>
      </c>
      <c r="P232" s="1">
        <f>IF(P$1&lt;=ROUNDUP($C76,0),IF(SUM($F232:O232)&lt;=$D$174*(1-$C$206),MAX($C232*P199,0),$D$174*(1-$C$206)-SUM($F232:O232)),0)</f>
        <v>0</v>
      </c>
      <c r="Q232" s="1">
        <f>IF(Q$1&lt;=ROUNDUP($C76,0),IF(SUM($F232:P232)&lt;=$D$174*(1-$C$206),MAX($C232*Q199,0),$D$174*(1-$C$206)-SUM($F232:P232)),0)</f>
        <v>0</v>
      </c>
      <c r="R232" s="1">
        <f>IF(R$1&lt;=ROUNDUP($C76,0),IF(SUM($F232:Q232)&lt;=$D$174*(1-$C$206),MAX($C232*R199,0),$D$174*(1-$C$206)-SUM($F232:Q232)),0)</f>
        <v>0</v>
      </c>
      <c r="S232" s="1">
        <f>IF(S$1&lt;=ROUNDUP($C76,0),IF(SUM($F232:R232)&lt;=$D$174*(1-$C$206),MAX($C232*S199,0),$D$174*(1-$C$206)-SUM($F232:R232)),0)</f>
        <v>0</v>
      </c>
      <c r="T232" s="1">
        <f>IF(T$1&lt;=ROUNDUP($C76,0),IF(SUM($F232:S232)&lt;=$D$174*(1-$C$206),MAX($C232*T199,0),$D$174*(1-$C$206)-SUM($F232:S232)),0)</f>
        <v>0</v>
      </c>
      <c r="U232" s="1">
        <f>IF(U$1&lt;=ROUNDUP($C76,0),IF(SUM($F232:T232)&lt;=$D$174*(1-$C$206),MAX($C232*U199,0),$D$174*(1-$C$206)-SUM($F232:T232)),0)</f>
        <v>0</v>
      </c>
      <c r="V232" s="1">
        <f>IF(V$1&lt;=ROUNDUP($C76,0),IF(SUM($F232:U232)&lt;=$D$174*(1-$C$206),MAX($C232*V199,0),$D$174*(1-$C$206)-SUM($F232:U232)),0)</f>
        <v>0</v>
      </c>
      <c r="W232" s="1">
        <f>IF(W$1&lt;=ROUNDUP($C76,0),IF(SUM($F232:V232)&lt;=$D$174*(1-$C$206),MAX($C232*W199,0),$D$174*(1-$C$206)-SUM($F232:V232)),0)</f>
        <v>0</v>
      </c>
      <c r="X232" s="1">
        <f>IF(X$1&lt;=ROUNDUP($C76,0),IF(SUM($F232:W232)&lt;=$D$174*(1-$C$206),MAX($C232*X199,0),$D$174*(1-$C$206)-SUM($F232:W232)),0)</f>
        <v>0</v>
      </c>
      <c r="Y232" s="1">
        <f>IF(Y$1&lt;=ROUNDUP($C76,0),IF(SUM($F232:X232)&lt;=$D$174*(1-$C$206),MAX($C232*Y199,0),$D$174*(1-$C$206)-SUM($F232:X232)),0)</f>
        <v>0</v>
      </c>
      <c r="Z232" s="1">
        <f>IF(Z$1&lt;=ROUNDUP($C76,0),IF(SUM($F232:Y232)&lt;=$D$174*(1-$C$206),MAX($C232*Z199,0),$D$174*(1-$C$206)-SUM($F232:Y232)),0)</f>
        <v>0</v>
      </c>
      <c r="AA232" s="1">
        <f>IF(AA$1&lt;=ROUNDUP($C76,0),IF(SUM($F232:Z232)&lt;=$D$174*(1-$C$206),MAX($C232*AA199,0),$D$174*(1-$C$206)-SUM($F232:Z232)),0)</f>
        <v>0</v>
      </c>
      <c r="AB232" s="1">
        <f>IF(AB$1&lt;=ROUNDUP($C76,0),IF(SUM($F232:AA232)&lt;=$D$174*(1-$C$206),MAX($C232*AB199,0),$D$174*(1-$C$206)-SUM($F232:AA232)),0)</f>
        <v>0</v>
      </c>
    </row>
    <row r="233" spans="2:28" x14ac:dyDescent="0.3">
      <c r="B233" t="str">
        <f t="shared" si="245"/>
        <v>Pre - operating expenses</v>
      </c>
      <c r="C233" s="22">
        <v>0.15</v>
      </c>
      <c r="D233" s="3">
        <f t="shared" si="247"/>
        <v>0.39376574015346311</v>
      </c>
      <c r="F233" s="1">
        <f t="shared" si="249"/>
        <v>8.1187755013349974E-2</v>
      </c>
      <c r="G233" s="1">
        <f>IF(G$1&lt;=ROUNDUP($C77,0),IF(SUM($F233:F233)&lt;=$D$174*(1-$C$206),MAX($C233*G200,0),$D$174*(1-$C$206)-SUM($F233:F233)),0)</f>
        <v>6.900959176134748E-2</v>
      </c>
      <c r="H233" s="1">
        <f>IF(H$1&lt;=ROUNDUP($C77,0),IF(SUM($F233:G233)&lt;=$D$174*(1-$C$206),MAX($C233*H200,0),$D$174*(1-$C$206)-SUM($F233:G233)),0)</f>
        <v>5.8658152997145357E-2</v>
      </c>
      <c r="I233" s="1">
        <f>IF(I$1&lt;=ROUNDUP($C77,0),IF(SUM($F233:H233)&lt;=$D$174*(1-$C$206),MAX($C233*I200,0),$D$174*(1-$C$206)-SUM($F233:H233)),0)</f>
        <v>4.9859430047573546E-2</v>
      </c>
      <c r="J233" s="1">
        <f>IF(J$1&lt;=ROUNDUP($C77,0),IF(SUM($F233:I233)&lt;=$D$174*(1-$C$206),MAX($C233*J200,0),$D$174*(1-$C$206)-SUM($F233:I233)),0)</f>
        <v>4.2380515540437515E-2</v>
      </c>
      <c r="K233" s="1">
        <f>IF(K$1&lt;=ROUNDUP($C77,0),IF(SUM($F233:J233)&lt;=$D$174*(1-$C$206),MAX($C233*K200,0),$D$174*(1-$C$206)-SUM($F233:J233)),0)</f>
        <v>3.6023438209371893E-2</v>
      </c>
      <c r="L233" s="1">
        <f>IF(L$1&lt;=ROUNDUP($C77,0),IF(SUM($F233:K233)&lt;=$D$174*(1-$C$206),MAX($C233*L200,0),$D$174*(1-$C$206)-SUM($F233:K233)),0)</f>
        <v>3.0619922477966105E-2</v>
      </c>
      <c r="M233" s="1">
        <f>IF(M$1&lt;=ROUNDUP($C77,0),IF(SUM($F233:L233)&lt;=$D$174*(1-$C$206),MAX($C233*M200,0),$D$174*(1-$C$206)-SUM($F233:L233)),0)</f>
        <v>2.6026934106271191E-2</v>
      </c>
      <c r="N233" s="1">
        <f>IF(N$1&lt;=ROUNDUP($C77,0),IF(SUM($F233:M233)&lt;=$D$174*(1-$C$206),MAX($C233*N200,0),$D$174*(1-$C$206)-SUM($F233:M233)),0)</f>
        <v>0</v>
      </c>
      <c r="O233" s="1">
        <f>IF(O$1&lt;=ROUNDUP($C77,0),IF(SUM($F233:N233)&lt;=$D$174*(1-$C$206),MAX($C233*O200,0),$D$174*(1-$C$206)-SUM($F233:N233)),0)</f>
        <v>0</v>
      </c>
      <c r="P233" s="1">
        <f>IF(P$1&lt;=ROUNDUP($C77,0),IF(SUM($F233:O233)&lt;=$D$174*(1-$C$206),MAX($C233*P200,0),$D$174*(1-$C$206)-SUM($F233:O233)),0)</f>
        <v>0</v>
      </c>
      <c r="Q233" s="1">
        <f>IF(Q$1&lt;=ROUNDUP($C77,0),IF(SUM($F233:P233)&lt;=$D$174*(1-$C$206),MAX($C233*Q200,0),$D$174*(1-$C$206)-SUM($F233:P233)),0)</f>
        <v>0</v>
      </c>
      <c r="R233" s="1">
        <f>IF(R$1&lt;=ROUNDUP($C77,0),IF(SUM($F233:Q233)&lt;=$D$174*(1-$C$206),MAX($C233*R200,0),$D$174*(1-$C$206)-SUM($F233:Q233)),0)</f>
        <v>0</v>
      </c>
      <c r="S233" s="1">
        <f>IF(S$1&lt;=ROUNDUP($C77,0),IF(SUM($F233:R233)&lt;=$D$174*(1-$C$206),MAX($C233*S200,0),$D$174*(1-$C$206)-SUM($F233:R233)),0)</f>
        <v>0</v>
      </c>
      <c r="T233" s="1">
        <f>IF(T$1&lt;=ROUNDUP($C77,0),IF(SUM($F233:S233)&lt;=$D$174*(1-$C$206),MAX($C233*T200,0),$D$174*(1-$C$206)-SUM($F233:S233)),0)</f>
        <v>0</v>
      </c>
      <c r="U233" s="1">
        <f>IF(U$1&lt;=ROUNDUP($C77,0),IF(SUM($F233:T233)&lt;=$D$174*(1-$C$206),MAX($C233*U200,0),$D$174*(1-$C$206)-SUM($F233:T233)),0)</f>
        <v>0</v>
      </c>
      <c r="V233" s="1">
        <f>IF(V$1&lt;=ROUNDUP($C77,0),IF(SUM($F233:U233)&lt;=$D$174*(1-$C$206),MAX($C233*V200,0),$D$174*(1-$C$206)-SUM($F233:U233)),0)</f>
        <v>0</v>
      </c>
      <c r="W233" s="1">
        <f>IF(W$1&lt;=ROUNDUP($C77,0),IF(SUM($F233:V233)&lt;=$D$174*(1-$C$206),MAX($C233*W200,0),$D$174*(1-$C$206)-SUM($F233:V233)),0)</f>
        <v>0</v>
      </c>
      <c r="X233" s="1">
        <f>IF(X$1&lt;=ROUNDUP($C77,0),IF(SUM($F233:W233)&lt;=$D$174*(1-$C$206),MAX($C233*X200,0),$D$174*(1-$C$206)-SUM($F233:W233)),0)</f>
        <v>0</v>
      </c>
      <c r="Y233" s="1">
        <f>IF(Y$1&lt;=ROUNDUP($C77,0),IF(SUM($F233:X233)&lt;=$D$174*(1-$C$206),MAX($C233*Y200,0),$D$174*(1-$C$206)-SUM($F233:X233)),0)</f>
        <v>0</v>
      </c>
      <c r="Z233" s="1">
        <f>IF(Z$1&lt;=ROUNDUP($C77,0),IF(SUM($F233:Y233)&lt;=$D$174*(1-$C$206),MAX($C233*Z200,0),$D$174*(1-$C$206)-SUM($F233:Y233)),0)</f>
        <v>0</v>
      </c>
      <c r="AA233" s="1">
        <f>IF(AA$1&lt;=ROUNDUP($C77,0),IF(SUM($F233:Z233)&lt;=$D$174*(1-$C$206),MAX($C233*AA200,0),$D$174*(1-$C$206)-SUM($F233:Z233)),0)</f>
        <v>0</v>
      </c>
      <c r="AB233" s="1">
        <f>IF(AB$1&lt;=ROUNDUP($C77,0),IF(SUM($F233:AA233)&lt;=$D$174*(1-$C$206),MAX($C233*AB200,0),$D$174*(1-$C$206)-SUM($F233:AA233)),0)</f>
        <v>0</v>
      </c>
    </row>
    <row r="234" spans="2:28" x14ac:dyDescent="0.3">
      <c r="B234" t="str">
        <f t="shared" si="245"/>
        <v>IDC</v>
      </c>
      <c r="C234" s="22">
        <v>0.15</v>
      </c>
      <c r="D234" s="3">
        <f t="shared" ca="1" si="247"/>
        <v>2.4754289602170174</v>
      </c>
      <c r="F234" s="1">
        <f t="shared" ca="1" si="249"/>
        <v>0.51039107642205528</v>
      </c>
      <c r="G234" s="1">
        <f ca="1">IF(G$1&lt;=ROUNDUP($C78,0),IF(SUM($F234:F234)&lt;=$D$174*(1-$C$206),MAX($C234*G201,0),$D$174*(1-$C$206)-SUM($F234:F234)),0)</f>
        <v>0.43383241495880193</v>
      </c>
      <c r="H234" s="1">
        <f ca="1">IF(H$1&lt;=ROUNDUP($C78,0),IF(SUM($F234:G234)&lt;=$D$174*(1-$C$206),MAX($C234*H201,0),$D$174*(1-$C$206)-SUM($F234:G234)),0)</f>
        <v>0.3687575527149356</v>
      </c>
      <c r="I234" s="1">
        <f ca="1">IF(I$1&lt;=ROUNDUP($C78,0),IF(SUM($F234:H234)&lt;=$D$174*(1-$C$206),MAX($C234*I201,0),$D$174*(1-$C$206)-SUM($F234:H234)),0)</f>
        <v>0.31344391980765518</v>
      </c>
      <c r="J234" s="1">
        <f ca="1">IF(J$1&lt;=ROUNDUP($C78,0),IF(SUM($F234:I234)&lt;=$D$174*(1-$C$206),MAX($C234*J201,0),$D$174*(1-$C$206)-SUM($F234:I234)),0)</f>
        <v>0.26642733183650685</v>
      </c>
      <c r="K234" s="1">
        <f ca="1">IF(K$1&lt;=ROUNDUP($C78,0),IF(SUM($F234:J234)&lt;=$D$174*(1-$C$206),MAX($C234*K201,0),$D$174*(1-$C$206)-SUM($F234:J234)),0)</f>
        <v>0.22646323206108804</v>
      </c>
      <c r="L234" s="1">
        <f ca="1">IF(L$1&lt;=ROUNDUP($C78,0),IF(SUM($F234:K234)&lt;=$D$174*(1-$C$206),MAX($C234*L201,0),$D$174*(1-$C$206)-SUM($F234:K234)),0)</f>
        <v>0.19249374725190074</v>
      </c>
      <c r="M234" s="1">
        <f ca="1">IF(M$1&lt;=ROUNDUP($C78,0),IF(SUM($F234:L234)&lt;=$D$174*(1-$C$206),MAX($C234*M201,0),$D$174*(1-$C$206)-SUM($F234:L234)),0)</f>
        <v>0.16361968516409511</v>
      </c>
      <c r="N234" s="1">
        <f>IF(N$1&lt;=ROUNDUP($C78,0),IF(SUM($F234:M234)&lt;=$D$174*(1-$C$206),MAX($C234*N201,0),$D$174*(1-$C$206)-SUM($F234:M234)),0)</f>
        <v>0</v>
      </c>
      <c r="O234" s="1">
        <f>IF(O$1&lt;=ROUNDUP($C78,0),IF(SUM($F234:N234)&lt;=$D$174*(1-$C$206),MAX($C234*O201,0),$D$174*(1-$C$206)-SUM($F234:N234)),0)</f>
        <v>0</v>
      </c>
      <c r="P234" s="1">
        <f>IF(P$1&lt;=ROUNDUP($C78,0),IF(SUM($F234:O234)&lt;=$D$174*(1-$C$206),MAX($C234*P201,0),$D$174*(1-$C$206)-SUM($F234:O234)),0)</f>
        <v>0</v>
      </c>
      <c r="Q234" s="1">
        <f>IF(Q$1&lt;=ROUNDUP($C78,0),IF(SUM($F234:P234)&lt;=$D$174*(1-$C$206),MAX($C234*Q201,0),$D$174*(1-$C$206)-SUM($F234:P234)),0)</f>
        <v>0</v>
      </c>
      <c r="R234" s="1">
        <f>IF(R$1&lt;=ROUNDUP($C78,0),IF(SUM($F234:Q234)&lt;=$D$174*(1-$C$206),MAX($C234*R201,0),$D$174*(1-$C$206)-SUM($F234:Q234)),0)</f>
        <v>0</v>
      </c>
      <c r="S234" s="1">
        <f>IF(S$1&lt;=ROUNDUP($C78,0),IF(SUM($F234:R234)&lt;=$D$174*(1-$C$206),MAX($C234*S201,0),$D$174*(1-$C$206)-SUM($F234:R234)),0)</f>
        <v>0</v>
      </c>
      <c r="T234" s="1">
        <f>IF(T$1&lt;=ROUNDUP($C78,0),IF(SUM($F234:S234)&lt;=$D$174*(1-$C$206),MAX($C234*T201,0),$D$174*(1-$C$206)-SUM($F234:S234)),0)</f>
        <v>0</v>
      </c>
      <c r="U234" s="1">
        <f>IF(U$1&lt;=ROUNDUP($C78,0),IF(SUM($F234:T234)&lt;=$D$174*(1-$C$206),MAX($C234*U201,0),$D$174*(1-$C$206)-SUM($F234:T234)),0)</f>
        <v>0</v>
      </c>
      <c r="V234" s="1">
        <f>IF(V$1&lt;=ROUNDUP($C78,0),IF(SUM($F234:U234)&lt;=$D$174*(1-$C$206),MAX($C234*V201,0),$D$174*(1-$C$206)-SUM($F234:U234)),0)</f>
        <v>0</v>
      </c>
      <c r="W234" s="1">
        <f>IF(W$1&lt;=ROUNDUP($C78,0),IF(SUM($F234:V234)&lt;=$D$174*(1-$C$206),MAX($C234*W201,0),$D$174*(1-$C$206)-SUM($F234:V234)),0)</f>
        <v>0</v>
      </c>
      <c r="X234" s="1">
        <f>IF(X$1&lt;=ROUNDUP($C78,0),IF(SUM($F234:W234)&lt;=$D$174*(1-$C$206),MAX($C234*X201,0),$D$174*(1-$C$206)-SUM($F234:W234)),0)</f>
        <v>0</v>
      </c>
      <c r="Y234" s="1">
        <f>IF(Y$1&lt;=ROUNDUP($C78,0),IF(SUM($F234:X234)&lt;=$D$174*(1-$C$206),MAX($C234*Y201,0),$D$174*(1-$C$206)-SUM($F234:X234)),0)</f>
        <v>0</v>
      </c>
      <c r="Z234" s="1">
        <f>IF(Z$1&lt;=ROUNDUP($C78,0),IF(SUM($F234:Y234)&lt;=$D$174*(1-$C$206),MAX($C234*Z201,0),$D$174*(1-$C$206)-SUM($F234:Y234)),0)</f>
        <v>0</v>
      </c>
      <c r="AA234" s="1">
        <f>IF(AA$1&lt;=ROUNDUP($C78,0),IF(SUM($F234:Z234)&lt;=$D$174*(1-$C$206),MAX($C234*AA201,0),$D$174*(1-$C$206)-SUM($F234:Z234)),0)</f>
        <v>0</v>
      </c>
      <c r="AB234" s="1">
        <f>IF(AB$1&lt;=ROUNDUP($C78,0),IF(SUM($F234:AA234)&lt;=$D$174*(1-$C$206),MAX($C234*AB201,0),$D$174*(1-$C$206)-SUM($F234:AA234)),0)</f>
        <v>0</v>
      </c>
    </row>
    <row r="235" spans="2:28" ht="15" thickBot="1" x14ac:dyDescent="0.35">
      <c r="B235" t="s">
        <v>105</v>
      </c>
      <c r="C235" s="22">
        <v>0.15</v>
      </c>
      <c r="D235" s="3">
        <f ca="1">D202</f>
        <v>0.26948280707568012</v>
      </c>
      <c r="F235" s="1">
        <f t="shared" ca="1" si="249"/>
        <v>4.0422421061352014E-2</v>
      </c>
      <c r="G235" s="1">
        <f ca="1">IF(G$1&lt;=ROUNDUP($C79,0),IF(SUM($F235:F235)&lt;=$D$174*(1-$C$206),MAX($C235*G202,0),$D$174*(1-$C$206)-SUM($F235:F235)),0)</f>
        <v>3.4359057902149506E-2</v>
      </c>
      <c r="H235" s="1">
        <f ca="1">IF(H$1&lt;=ROUNDUP($C79,0),IF(SUM($F235:G235)&lt;=$D$174*(1-$C$206),MAX($C235*H202,0),$D$174*(1-$C$206)-SUM($F235:G235)),0)</f>
        <v>2.9205199216826832E-2</v>
      </c>
      <c r="I235" s="1">
        <f ca="1">IF(I$1&lt;=ROUNDUP($C79,0),IF(SUM($F235:H235)&lt;=$D$174*(1-$C$206),MAX($C235*I202,0),$D$174*(1-$C$206)-SUM($F235:H235)),0)</f>
        <v>2.4824419334302617E-2</v>
      </c>
      <c r="J235" s="1">
        <f ca="1">IF(J$1&lt;=ROUNDUP($C79,0),IF(SUM($F235:I235)&lt;=$D$174*(1-$C$206),MAX($C235*J202,0),$D$174*(1-$C$206)-SUM($F235:I235)),0)</f>
        <v>2.1100756434157222E-2</v>
      </c>
      <c r="K235" s="1">
        <f ca="1">IF(K$1&lt;=ROUNDUP($C79,0),IF(SUM($F235:J235)&lt;=$D$174*(1-$C$206),MAX($C235*K202,0),$D$174*(1-$C$206)-SUM($F235:J235)),0)</f>
        <v>1.7935642969033935E-2</v>
      </c>
      <c r="L235" s="1">
        <f ca="1">IF(L$1&lt;=ROUNDUP($C79,0),IF(SUM($F235:K235)&lt;=$D$174*(1-$C$206),MAX($C235*L202,0),$D$174*(1-$C$206)-SUM($F235:K235)),0)</f>
        <v>1.524529652367871E-2</v>
      </c>
      <c r="M235" s="1">
        <f ca="1">IF(M$1&lt;=ROUNDUP($C79,0),IF(SUM($F235:L235)&lt;=$D$174*(1-$C$206),MAX($C235*M202,0),$D$174*(1-$C$206)-SUM($F235:L235)),0)</f>
        <v>1.2958502045126804E-2</v>
      </c>
      <c r="N235" s="1">
        <f>IF(N$1&lt;=ROUNDUP($C79,0),IF(SUM($F235:M235)&lt;=$D$174*(1-$C$206),MAX($C235*N202,0),$D$174*(1-$C$206)-SUM($F235:M235)),0)</f>
        <v>0</v>
      </c>
      <c r="O235" s="1">
        <f>IF(O$1&lt;=ROUNDUP($C79,0),IF(SUM($F235:N235)&lt;=$D$174*(1-$C$206),MAX($C235*O202,0),$D$174*(1-$C$206)-SUM($F235:N235)),0)</f>
        <v>0</v>
      </c>
      <c r="P235" s="1">
        <f>IF(P$1&lt;=ROUNDUP($C79,0),IF(SUM($F235:O235)&lt;=$D$174*(1-$C$206),MAX($C235*P202,0),$D$174*(1-$C$206)-SUM($F235:O235)),0)</f>
        <v>0</v>
      </c>
      <c r="Q235" s="1">
        <f>IF(Q$1&lt;=ROUNDUP($C79,0),IF(SUM($F235:P235)&lt;=$D$174*(1-$C$206),MAX($C235*Q202,0),$D$174*(1-$C$206)-SUM($F235:P235)),0)</f>
        <v>0</v>
      </c>
      <c r="R235" s="1">
        <f>IF(R$1&lt;=ROUNDUP($C79,0),IF(SUM($F235:Q235)&lt;=$D$174*(1-$C$206),MAX($C235*R202,0),$D$174*(1-$C$206)-SUM($F235:Q235)),0)</f>
        <v>0</v>
      </c>
      <c r="S235" s="1">
        <f>IF(S$1&lt;=ROUNDUP($C79,0),IF(SUM($F235:R235)&lt;=$D$174*(1-$C$206),MAX($C235*S202,0),$D$174*(1-$C$206)-SUM($F235:R235)),0)</f>
        <v>0</v>
      </c>
      <c r="T235" s="1">
        <f>IF(T$1&lt;=ROUNDUP($C79,0),IF(SUM($F235:S235)&lt;=$D$174*(1-$C$206),MAX($C235*T202,0),$D$174*(1-$C$206)-SUM($F235:S235)),0)</f>
        <v>0</v>
      </c>
      <c r="U235" s="1">
        <f>IF(U$1&lt;=ROUNDUP($C79,0),IF(SUM($F235:T235)&lt;=$D$174*(1-$C$206),MAX($C235*U202,0),$D$174*(1-$C$206)-SUM($F235:T235)),0)</f>
        <v>0</v>
      </c>
      <c r="V235" s="1">
        <f>IF(V$1&lt;=ROUNDUP($C79,0),IF(SUM($F235:U235)&lt;=$D$174*(1-$C$206),MAX($C235*V202,0),$D$174*(1-$C$206)-SUM($F235:U235)),0)</f>
        <v>0</v>
      </c>
      <c r="W235" s="1">
        <f>IF(W$1&lt;=ROUNDUP($C79,0),IF(SUM($F235:V235)&lt;=$D$174*(1-$C$206),MAX($C235*W202,0),$D$174*(1-$C$206)-SUM($F235:V235)),0)</f>
        <v>0</v>
      </c>
      <c r="X235" s="1">
        <f>IF(X$1&lt;=ROUNDUP($C79,0),IF(SUM($F235:W235)&lt;=$D$174*(1-$C$206),MAX($C235*X202,0),$D$174*(1-$C$206)-SUM($F235:W235)),0)</f>
        <v>0</v>
      </c>
      <c r="Y235" s="1">
        <f>IF(Y$1&lt;=ROUNDUP($C79,0),IF(SUM($F235:X235)&lt;=$D$174*(1-$C$206),MAX($C235*Y202,0),$D$174*(1-$C$206)-SUM($F235:X235)),0)</f>
        <v>0</v>
      </c>
      <c r="Z235" s="1">
        <f>IF(Z$1&lt;=ROUNDUP($C79,0),IF(SUM($F235:Y235)&lt;=$D$174*(1-$C$206),MAX($C235*Z202,0),$D$174*(1-$C$206)-SUM($F235:Y235)),0)</f>
        <v>0</v>
      </c>
      <c r="AA235" s="1">
        <f>IF(AA$1&lt;=ROUNDUP($C79,0),IF(SUM($F235:Z235)&lt;=$D$174*(1-$C$206),MAX($C235*AA202,0),$D$174*(1-$C$206)-SUM($F235:Z235)),0)</f>
        <v>0</v>
      </c>
      <c r="AB235" s="1">
        <f>IF(AB$1&lt;=ROUNDUP($C79,0),IF(SUM($F235:AA235)&lt;=$D$174*(1-$C$206),MAX($C235*AB202,0),$D$174*(1-$C$206)-SUM($F235:AA235)),0)</f>
        <v>0</v>
      </c>
    </row>
    <row r="236" spans="2:28" ht="15" thickBot="1" x14ac:dyDescent="0.35">
      <c r="B236" s="7" t="str">
        <f>B203</f>
        <v>Total</v>
      </c>
      <c r="C236" s="232"/>
      <c r="D236" s="9">
        <f ca="1">SUM(D207:D235)</f>
        <v>39.503501362800385</v>
      </c>
      <c r="E236" s="8"/>
      <c r="F236" s="13">
        <f t="shared" ref="F236:AB236" ca="1" si="250">SUM(F207:F234)</f>
        <v>8.0893830058704044</v>
      </c>
      <c r="G236" s="13">
        <f t="shared" ca="1" si="250"/>
        <v>6.8759755549899007</v>
      </c>
      <c r="H236" s="13">
        <f t="shared" ca="1" si="250"/>
        <v>5.8445792217413697</v>
      </c>
      <c r="I236" s="13">
        <f t="shared" ca="1" si="250"/>
        <v>4.9678923384801221</v>
      </c>
      <c r="J236" s="13">
        <f t="shared" ca="1" si="250"/>
        <v>4.2227084877081049</v>
      </c>
      <c r="K236" s="13">
        <f t="shared" ca="1" si="250"/>
        <v>3.5893022145519473</v>
      </c>
      <c r="L236" s="13">
        <f t="shared" ca="1" si="250"/>
        <v>3.0509068823691305</v>
      </c>
      <c r="M236" s="13">
        <f t="shared" ca="1" si="250"/>
        <v>2.5932708500137394</v>
      </c>
      <c r="N236" s="13">
        <f t="shared" si="250"/>
        <v>0</v>
      </c>
      <c r="O236" s="13">
        <f t="shared" si="250"/>
        <v>0</v>
      </c>
      <c r="P236" s="13">
        <f t="shared" si="250"/>
        <v>0</v>
      </c>
      <c r="Q236" s="13">
        <f t="shared" si="250"/>
        <v>0</v>
      </c>
      <c r="R236" s="13">
        <f t="shared" si="250"/>
        <v>0</v>
      </c>
      <c r="S236" s="13">
        <f t="shared" si="250"/>
        <v>0</v>
      </c>
      <c r="T236" s="13">
        <f t="shared" si="250"/>
        <v>0</v>
      </c>
      <c r="U236" s="13">
        <f t="shared" si="250"/>
        <v>0</v>
      </c>
      <c r="V236" s="13">
        <f t="shared" si="250"/>
        <v>0</v>
      </c>
      <c r="W236" s="13">
        <f t="shared" si="250"/>
        <v>0</v>
      </c>
      <c r="X236" s="13">
        <f t="shared" si="250"/>
        <v>0</v>
      </c>
      <c r="Y236" s="13">
        <f t="shared" si="250"/>
        <v>0</v>
      </c>
      <c r="Z236" s="13">
        <f t="shared" si="250"/>
        <v>0</v>
      </c>
      <c r="AA236" s="13">
        <f t="shared" si="250"/>
        <v>0</v>
      </c>
      <c r="AB236" s="14">
        <f t="shared" si="250"/>
        <v>0</v>
      </c>
    </row>
    <row r="237" spans="2:28" ht="15" thickBot="1" x14ac:dyDescent="0.35">
      <c r="B237" s="7" t="s">
        <v>453</v>
      </c>
      <c r="C237" s="8"/>
      <c r="D237" s="8"/>
      <c r="E237" s="8"/>
      <c r="F237" s="9">
        <f ca="1">IF(F1&lt;ROUNDUP($C51,0),F236,0)</f>
        <v>8.0893830058704044</v>
      </c>
      <c r="G237" s="9">
        <f t="shared" ref="G237:AB237" ca="1" si="251">IF(G1&lt;=ROUNDUP($C51,0),G236+F237,0)</f>
        <v>14.965358560860306</v>
      </c>
      <c r="H237" s="9">
        <f t="shared" ca="1" si="251"/>
        <v>20.809937782601676</v>
      </c>
      <c r="I237" s="9">
        <f t="shared" ca="1" si="251"/>
        <v>25.777830121081799</v>
      </c>
      <c r="J237" s="9">
        <f t="shared" ca="1" si="251"/>
        <v>30.000538608789903</v>
      </c>
      <c r="K237" s="9">
        <f t="shared" ca="1" si="251"/>
        <v>33.589840823341852</v>
      </c>
      <c r="L237" s="9">
        <f t="shared" ca="1" si="251"/>
        <v>36.640747705710986</v>
      </c>
      <c r="M237" s="9">
        <f t="shared" ca="1" si="251"/>
        <v>39.234018555724724</v>
      </c>
      <c r="N237" s="9">
        <f t="shared" si="251"/>
        <v>0</v>
      </c>
      <c r="O237" s="9">
        <f t="shared" si="251"/>
        <v>0</v>
      </c>
      <c r="P237" s="9">
        <f t="shared" si="251"/>
        <v>0</v>
      </c>
      <c r="Q237" s="9">
        <f t="shared" si="251"/>
        <v>0</v>
      </c>
      <c r="R237" s="9">
        <f t="shared" si="251"/>
        <v>0</v>
      </c>
      <c r="S237" s="9">
        <f t="shared" si="251"/>
        <v>0</v>
      </c>
      <c r="T237" s="9">
        <f t="shared" si="251"/>
        <v>0</v>
      </c>
      <c r="U237" s="9">
        <f t="shared" si="251"/>
        <v>0</v>
      </c>
      <c r="V237" s="9">
        <f t="shared" si="251"/>
        <v>0</v>
      </c>
      <c r="W237" s="9">
        <f t="shared" si="251"/>
        <v>0</v>
      </c>
      <c r="X237" s="9">
        <f t="shared" si="251"/>
        <v>0</v>
      </c>
      <c r="Y237" s="9">
        <f t="shared" si="251"/>
        <v>0</v>
      </c>
      <c r="Z237" s="9">
        <f t="shared" si="251"/>
        <v>0</v>
      </c>
      <c r="AA237" s="9">
        <f t="shared" si="251"/>
        <v>0</v>
      </c>
      <c r="AB237" s="10">
        <f t="shared" si="251"/>
        <v>0</v>
      </c>
    </row>
    <row r="240" spans="2:28" x14ac:dyDescent="0.3">
      <c r="B240" s="6" t="s">
        <v>436</v>
      </c>
    </row>
    <row r="241" spans="2:28" x14ac:dyDescent="0.3">
      <c r="B241" t="str">
        <f t="shared" ref="B241:B249" si="252">B206</f>
        <v>ASRS</v>
      </c>
    </row>
    <row r="242" spans="2:28" x14ac:dyDescent="0.3">
      <c r="B242" t="str">
        <f t="shared" si="252"/>
        <v xml:space="preserve">   Racking system</v>
      </c>
      <c r="F242" s="3">
        <f t="shared" ref="F242:AB242" si="253">F174-F207</f>
        <v>12.7856405952</v>
      </c>
      <c r="G242" s="3">
        <f t="shared" si="253"/>
        <v>10.867794505920001</v>
      </c>
      <c r="H242" s="3">
        <f t="shared" si="253"/>
        <v>9.2376253300320013</v>
      </c>
      <c r="I242" s="3">
        <f t="shared" si="253"/>
        <v>7.8519815305272012</v>
      </c>
      <c r="J242" s="3">
        <f t="shared" si="253"/>
        <v>6.674184300948121</v>
      </c>
      <c r="K242" s="3">
        <f t="shared" si="253"/>
        <v>5.6730566558059028</v>
      </c>
      <c r="L242" s="3">
        <f t="shared" si="253"/>
        <v>4.8220981574350175</v>
      </c>
      <c r="M242" s="3">
        <f t="shared" si="253"/>
        <v>4.0987834338197651</v>
      </c>
      <c r="N242" s="3">
        <f t="shared" si="253"/>
        <v>4.0987834338197651</v>
      </c>
      <c r="O242" s="3">
        <f t="shared" si="253"/>
        <v>4.0987834338197651</v>
      </c>
      <c r="P242" s="3">
        <f t="shared" si="253"/>
        <v>4.0987834338197651</v>
      </c>
      <c r="Q242" s="3">
        <f t="shared" si="253"/>
        <v>4.0987834338197651</v>
      </c>
      <c r="R242" s="3">
        <f t="shared" si="253"/>
        <v>4.0987834338197651</v>
      </c>
      <c r="S242" s="3">
        <f t="shared" si="253"/>
        <v>4.0987834338197651</v>
      </c>
      <c r="T242" s="3">
        <f t="shared" si="253"/>
        <v>4.0987834338197651</v>
      </c>
      <c r="U242" s="3">
        <f t="shared" si="253"/>
        <v>4.0987834338197651</v>
      </c>
      <c r="V242" s="3">
        <f t="shared" si="253"/>
        <v>4.0987834338197651</v>
      </c>
      <c r="W242" s="3">
        <f t="shared" si="253"/>
        <v>4.0987834338197651</v>
      </c>
      <c r="X242" s="3">
        <f t="shared" si="253"/>
        <v>4.0987834338197651</v>
      </c>
      <c r="Y242" s="3">
        <f t="shared" si="253"/>
        <v>4.0987834338197651</v>
      </c>
      <c r="Z242" s="3">
        <f t="shared" si="253"/>
        <v>4.0987834338197651</v>
      </c>
      <c r="AA242" s="3">
        <f t="shared" si="253"/>
        <v>4.0987834338197651</v>
      </c>
      <c r="AB242" s="3">
        <f t="shared" si="253"/>
        <v>4.0987834338197651</v>
      </c>
    </row>
    <row r="243" spans="2:28" x14ac:dyDescent="0.3">
      <c r="B243" t="str">
        <f t="shared" si="252"/>
        <v xml:space="preserve">   Cladding for high bay</v>
      </c>
      <c r="F243" s="3">
        <f t="shared" ref="F243:AB243" si="254">F175-F208</f>
        <v>1.2036</v>
      </c>
      <c r="G243" s="3">
        <f t="shared" si="254"/>
        <v>1.0230600000000001</v>
      </c>
      <c r="H243" s="3">
        <f t="shared" si="254"/>
        <v>0.86960100000000007</v>
      </c>
      <c r="I243" s="3">
        <f t="shared" si="254"/>
        <v>0.73916085000000009</v>
      </c>
      <c r="J243" s="3">
        <f t="shared" si="254"/>
        <v>0.62828672250000006</v>
      </c>
      <c r="K243" s="3">
        <f t="shared" si="254"/>
        <v>0.53404371412500007</v>
      </c>
      <c r="L243" s="3">
        <f t="shared" si="254"/>
        <v>0.45393715700625004</v>
      </c>
      <c r="M243" s="3">
        <f t="shared" si="254"/>
        <v>0.38584658345531253</v>
      </c>
      <c r="N243" s="3">
        <f t="shared" si="254"/>
        <v>0.38584658345531253</v>
      </c>
      <c r="O243" s="3">
        <f t="shared" si="254"/>
        <v>0.38584658345531253</v>
      </c>
      <c r="P243" s="3">
        <f t="shared" si="254"/>
        <v>0.38584658345531253</v>
      </c>
      <c r="Q243" s="3">
        <f t="shared" si="254"/>
        <v>0.38584658345531253</v>
      </c>
      <c r="R243" s="3">
        <f t="shared" si="254"/>
        <v>0.38584658345531253</v>
      </c>
      <c r="S243" s="3">
        <f t="shared" si="254"/>
        <v>0.38584658345531253</v>
      </c>
      <c r="T243" s="3">
        <f t="shared" si="254"/>
        <v>0.38584658345531253</v>
      </c>
      <c r="U243" s="3">
        <f t="shared" si="254"/>
        <v>0.38584658345531253</v>
      </c>
      <c r="V243" s="3">
        <f t="shared" si="254"/>
        <v>0.38584658345531253</v>
      </c>
      <c r="W243" s="3">
        <f t="shared" si="254"/>
        <v>0.38584658345531253</v>
      </c>
      <c r="X243" s="3">
        <f t="shared" si="254"/>
        <v>0.38584658345531253</v>
      </c>
      <c r="Y243" s="3">
        <f t="shared" si="254"/>
        <v>0.38584658345531253</v>
      </c>
      <c r="Z243" s="3">
        <f t="shared" si="254"/>
        <v>0.38584658345531253</v>
      </c>
      <c r="AA243" s="3">
        <f t="shared" si="254"/>
        <v>0.38584658345531253</v>
      </c>
      <c r="AB243" s="3">
        <f t="shared" si="254"/>
        <v>0.38584658345531253</v>
      </c>
    </row>
    <row r="244" spans="2:28" x14ac:dyDescent="0.3">
      <c r="B244" t="str">
        <f t="shared" si="252"/>
        <v xml:space="preserve">   Double deep Stacker crane</v>
      </c>
      <c r="F244" s="3">
        <f t="shared" ref="F244:AB244" si="255">F176-F209</f>
        <v>5.546590000000001</v>
      </c>
      <c r="G244" s="3">
        <f t="shared" si="255"/>
        <v>4.7146015000000006</v>
      </c>
      <c r="H244" s="3">
        <f t="shared" si="255"/>
        <v>4.0074112750000008</v>
      </c>
      <c r="I244" s="3">
        <f t="shared" si="255"/>
        <v>3.406299583750001</v>
      </c>
      <c r="J244" s="3">
        <f t="shared" si="255"/>
        <v>2.895354646187501</v>
      </c>
      <c r="K244" s="3">
        <f t="shared" si="255"/>
        <v>2.4610514492593758</v>
      </c>
      <c r="L244" s="3">
        <f t="shared" si="255"/>
        <v>2.0918937318704693</v>
      </c>
      <c r="M244" s="3">
        <f t="shared" si="255"/>
        <v>1.778109672089899</v>
      </c>
      <c r="N244" s="3">
        <f t="shared" si="255"/>
        <v>1.778109672089899</v>
      </c>
      <c r="O244" s="3">
        <f t="shared" si="255"/>
        <v>1.778109672089899</v>
      </c>
      <c r="P244" s="3">
        <f t="shared" si="255"/>
        <v>1.778109672089899</v>
      </c>
      <c r="Q244" s="3">
        <f t="shared" si="255"/>
        <v>1.778109672089899</v>
      </c>
      <c r="R244" s="3">
        <f t="shared" si="255"/>
        <v>1.778109672089899</v>
      </c>
      <c r="S244" s="3">
        <f t="shared" si="255"/>
        <v>1.778109672089899</v>
      </c>
      <c r="T244" s="3">
        <f t="shared" si="255"/>
        <v>1.778109672089899</v>
      </c>
      <c r="U244" s="3">
        <f t="shared" si="255"/>
        <v>1.778109672089899</v>
      </c>
      <c r="V244" s="3">
        <f t="shared" si="255"/>
        <v>1.778109672089899</v>
      </c>
      <c r="W244" s="3">
        <f t="shared" si="255"/>
        <v>1.778109672089899</v>
      </c>
      <c r="X244" s="3">
        <f t="shared" si="255"/>
        <v>1.778109672089899</v>
      </c>
      <c r="Y244" s="3">
        <f t="shared" si="255"/>
        <v>1.778109672089899</v>
      </c>
      <c r="Z244" s="3">
        <f t="shared" si="255"/>
        <v>1.778109672089899</v>
      </c>
      <c r="AA244" s="3">
        <f t="shared" si="255"/>
        <v>1.778109672089899</v>
      </c>
      <c r="AB244" s="3">
        <f t="shared" si="255"/>
        <v>1.778109672089899</v>
      </c>
    </row>
    <row r="245" spans="2:28" x14ac:dyDescent="0.3">
      <c r="B245" t="str">
        <f t="shared" si="252"/>
        <v xml:space="preserve">   Bottom Rail with aisle accessories</v>
      </c>
      <c r="F245" s="3">
        <f t="shared" ref="F245:AB245" si="256">F177-F210</f>
        <v>1.3491136352000002</v>
      </c>
      <c r="G245" s="3">
        <f t="shared" si="256"/>
        <v>1.1467465899200002</v>
      </c>
      <c r="H245" s="3">
        <f t="shared" si="256"/>
        <v>0.97473460143200019</v>
      </c>
      <c r="I245" s="3">
        <f t="shared" si="256"/>
        <v>0.82852441121720011</v>
      </c>
      <c r="J245" s="3">
        <f t="shared" si="256"/>
        <v>0.70424574953462016</v>
      </c>
      <c r="K245" s="3">
        <f t="shared" si="256"/>
        <v>0.59860888710442717</v>
      </c>
      <c r="L245" s="3">
        <f t="shared" si="256"/>
        <v>0.50881755403876305</v>
      </c>
      <c r="M245" s="3">
        <f t="shared" si="256"/>
        <v>0.43249492093294861</v>
      </c>
      <c r="N245" s="3">
        <f t="shared" si="256"/>
        <v>0.43249492093294861</v>
      </c>
      <c r="O245" s="3">
        <f t="shared" si="256"/>
        <v>0.43249492093294861</v>
      </c>
      <c r="P245" s="3">
        <f t="shared" si="256"/>
        <v>0.43249492093294861</v>
      </c>
      <c r="Q245" s="3">
        <f t="shared" si="256"/>
        <v>0.43249492093294861</v>
      </c>
      <c r="R245" s="3">
        <f t="shared" si="256"/>
        <v>0.43249492093294861</v>
      </c>
      <c r="S245" s="3">
        <f t="shared" si="256"/>
        <v>0.43249492093294861</v>
      </c>
      <c r="T245" s="3">
        <f t="shared" si="256"/>
        <v>0.43249492093294861</v>
      </c>
      <c r="U245" s="3">
        <f t="shared" si="256"/>
        <v>0.43249492093294861</v>
      </c>
      <c r="V245" s="3">
        <f t="shared" si="256"/>
        <v>0.43249492093294861</v>
      </c>
      <c r="W245" s="3">
        <f t="shared" si="256"/>
        <v>0.43249492093294861</v>
      </c>
      <c r="X245" s="3">
        <f t="shared" si="256"/>
        <v>0.43249492093294861</v>
      </c>
      <c r="Y245" s="3">
        <f t="shared" si="256"/>
        <v>0.43249492093294861</v>
      </c>
      <c r="Z245" s="3">
        <f t="shared" si="256"/>
        <v>0.43249492093294861</v>
      </c>
      <c r="AA245" s="3">
        <f t="shared" si="256"/>
        <v>0.43249492093294861</v>
      </c>
      <c r="AB245" s="3">
        <f t="shared" si="256"/>
        <v>0.43249492093294861</v>
      </c>
    </row>
    <row r="246" spans="2:28" x14ac:dyDescent="0.3">
      <c r="B246" t="str">
        <f t="shared" si="252"/>
        <v xml:space="preserve">   Conveyor system</v>
      </c>
      <c r="F246" s="3">
        <f t="shared" ref="F246:AB246" si="257">F178-F211</f>
        <v>1.4944700000000002</v>
      </c>
      <c r="G246" s="3">
        <f t="shared" si="257"/>
        <v>1.2702995000000001</v>
      </c>
      <c r="H246" s="3">
        <f t="shared" si="257"/>
        <v>1.0797545750000002</v>
      </c>
      <c r="I246" s="3">
        <f t="shared" si="257"/>
        <v>0.9177913887500001</v>
      </c>
      <c r="J246" s="3">
        <f t="shared" si="257"/>
        <v>0.7801226804375001</v>
      </c>
      <c r="K246" s="3">
        <f t="shared" si="257"/>
        <v>0.66310427837187513</v>
      </c>
      <c r="L246" s="3">
        <f t="shared" si="257"/>
        <v>0.56363863661609392</v>
      </c>
      <c r="M246" s="3">
        <f t="shared" si="257"/>
        <v>0.47909284112367984</v>
      </c>
      <c r="N246" s="3">
        <f t="shared" si="257"/>
        <v>0.47909284112367984</v>
      </c>
      <c r="O246" s="3">
        <f t="shared" si="257"/>
        <v>0.47909284112367984</v>
      </c>
      <c r="P246" s="3">
        <f t="shared" si="257"/>
        <v>0.47909284112367984</v>
      </c>
      <c r="Q246" s="3">
        <f t="shared" si="257"/>
        <v>0.47909284112367984</v>
      </c>
      <c r="R246" s="3">
        <f t="shared" si="257"/>
        <v>0.47909284112367984</v>
      </c>
      <c r="S246" s="3">
        <f t="shared" si="257"/>
        <v>0.47909284112367984</v>
      </c>
      <c r="T246" s="3">
        <f t="shared" si="257"/>
        <v>0.47909284112367984</v>
      </c>
      <c r="U246" s="3">
        <f t="shared" si="257"/>
        <v>0.47909284112367984</v>
      </c>
      <c r="V246" s="3">
        <f t="shared" si="257"/>
        <v>0.47909284112367984</v>
      </c>
      <c r="W246" s="3">
        <f t="shared" si="257"/>
        <v>0.47909284112367984</v>
      </c>
      <c r="X246" s="3">
        <f t="shared" si="257"/>
        <v>0.47909284112367984</v>
      </c>
      <c r="Y246" s="3">
        <f t="shared" si="257"/>
        <v>0.47909284112367984</v>
      </c>
      <c r="Z246" s="3">
        <f t="shared" si="257"/>
        <v>0.47909284112367984</v>
      </c>
      <c r="AA246" s="3">
        <f t="shared" si="257"/>
        <v>0.47909284112367984</v>
      </c>
      <c r="AB246" s="3">
        <f t="shared" si="257"/>
        <v>0.47909284112367984</v>
      </c>
    </row>
    <row r="247" spans="2:28" x14ac:dyDescent="0.3">
      <c r="B247" t="str">
        <f t="shared" si="252"/>
        <v xml:space="preserve">   Critical spares</v>
      </c>
      <c r="F247" s="3">
        <f t="shared" ref="F247:AB247" si="258">F179-F212</f>
        <v>0.28084000000000003</v>
      </c>
      <c r="G247" s="3">
        <f t="shared" si="258"/>
        <v>0.23871400000000004</v>
      </c>
      <c r="H247" s="3">
        <f t="shared" si="258"/>
        <v>0.20290690000000003</v>
      </c>
      <c r="I247" s="3">
        <f t="shared" si="258"/>
        <v>0.17247086500000003</v>
      </c>
      <c r="J247" s="3">
        <f t="shared" si="258"/>
        <v>0.14660023525000002</v>
      </c>
      <c r="K247" s="3">
        <f t="shared" si="258"/>
        <v>0.12461019996250002</v>
      </c>
      <c r="L247" s="3">
        <f t="shared" si="258"/>
        <v>0.10591866996812502</v>
      </c>
      <c r="M247" s="3">
        <f t="shared" si="258"/>
        <v>9.0030869472906269E-2</v>
      </c>
      <c r="N247" s="3">
        <f t="shared" si="258"/>
        <v>9.0030869472906269E-2</v>
      </c>
      <c r="O247" s="3">
        <f t="shared" si="258"/>
        <v>9.0030869472906269E-2</v>
      </c>
      <c r="P247" s="3">
        <f t="shared" si="258"/>
        <v>9.0030869472906269E-2</v>
      </c>
      <c r="Q247" s="3">
        <f t="shared" si="258"/>
        <v>9.0030869472906269E-2</v>
      </c>
      <c r="R247" s="3">
        <f t="shared" si="258"/>
        <v>9.0030869472906269E-2</v>
      </c>
      <c r="S247" s="3">
        <f t="shared" si="258"/>
        <v>9.0030869472906269E-2</v>
      </c>
      <c r="T247" s="3">
        <f t="shared" si="258"/>
        <v>9.0030869472906269E-2</v>
      </c>
      <c r="U247" s="3">
        <f t="shared" si="258"/>
        <v>9.0030869472906269E-2</v>
      </c>
      <c r="V247" s="3">
        <f t="shared" si="258"/>
        <v>9.0030869472906269E-2</v>
      </c>
      <c r="W247" s="3">
        <f t="shared" si="258"/>
        <v>9.0030869472906269E-2</v>
      </c>
      <c r="X247" s="3">
        <f t="shared" si="258"/>
        <v>9.0030869472906269E-2</v>
      </c>
      <c r="Y247" s="3">
        <f t="shared" si="258"/>
        <v>9.0030869472906269E-2</v>
      </c>
      <c r="Z247" s="3">
        <f t="shared" si="258"/>
        <v>9.0030869472906269E-2</v>
      </c>
      <c r="AA247" s="3">
        <f t="shared" si="258"/>
        <v>9.0030869472906269E-2</v>
      </c>
      <c r="AB247" s="3">
        <f t="shared" si="258"/>
        <v>9.0030869472906269E-2</v>
      </c>
    </row>
    <row r="248" spans="2:28" x14ac:dyDescent="0.3">
      <c r="B248" t="str">
        <f t="shared" si="252"/>
        <v xml:space="preserve">   Metal pallets</v>
      </c>
      <c r="F248" s="3">
        <f t="shared" ref="F248:AB248" si="259">F180-F213</f>
        <v>8.0593056000000001</v>
      </c>
      <c r="G248" s="3">
        <f t="shared" si="259"/>
        <v>6.8504097599999998</v>
      </c>
      <c r="H248" s="3">
        <f t="shared" si="259"/>
        <v>5.8228482960000001</v>
      </c>
      <c r="I248" s="3">
        <f t="shared" si="259"/>
        <v>4.9494210515999999</v>
      </c>
      <c r="J248" s="3">
        <f t="shared" si="259"/>
        <v>4.2070078938600002</v>
      </c>
      <c r="K248" s="3">
        <f t="shared" si="259"/>
        <v>3.5759567097810003</v>
      </c>
      <c r="L248" s="3">
        <f t="shared" si="259"/>
        <v>3.0395632033138504</v>
      </c>
      <c r="M248" s="3">
        <f t="shared" si="259"/>
        <v>2.5836287228167727</v>
      </c>
      <c r="N248" s="3">
        <f t="shared" si="259"/>
        <v>2.5836287228167727</v>
      </c>
      <c r="O248" s="3">
        <f t="shared" si="259"/>
        <v>2.5836287228167727</v>
      </c>
      <c r="P248" s="3">
        <f t="shared" si="259"/>
        <v>2.5836287228167727</v>
      </c>
      <c r="Q248" s="3">
        <f t="shared" si="259"/>
        <v>2.5836287228167727</v>
      </c>
      <c r="R248" s="3">
        <f t="shared" si="259"/>
        <v>2.5836287228167727</v>
      </c>
      <c r="S248" s="3">
        <f t="shared" si="259"/>
        <v>2.5836287228167727</v>
      </c>
      <c r="T248" s="3">
        <f t="shared" si="259"/>
        <v>2.5836287228167727</v>
      </c>
      <c r="U248" s="3">
        <f t="shared" si="259"/>
        <v>2.5836287228167727</v>
      </c>
      <c r="V248" s="3">
        <f t="shared" si="259"/>
        <v>2.5836287228167727</v>
      </c>
      <c r="W248" s="3">
        <f t="shared" si="259"/>
        <v>2.5836287228167727</v>
      </c>
      <c r="X248" s="3">
        <f t="shared" si="259"/>
        <v>2.5836287228167727</v>
      </c>
      <c r="Y248" s="3">
        <f t="shared" si="259"/>
        <v>2.5836287228167727</v>
      </c>
      <c r="Z248" s="3">
        <f t="shared" si="259"/>
        <v>2.5836287228167727</v>
      </c>
      <c r="AA248" s="3">
        <f t="shared" si="259"/>
        <v>2.5836287228167727</v>
      </c>
      <c r="AB248" s="3">
        <f t="shared" si="259"/>
        <v>2.5836287228167727</v>
      </c>
    </row>
    <row r="249" spans="2:28" x14ac:dyDescent="0.3">
      <c r="B249" t="str">
        <f t="shared" si="252"/>
        <v xml:space="preserve">   Discount</v>
      </c>
      <c r="F249" s="3">
        <f t="shared" ref="F249:AB249" si="260">F181-F214</f>
        <v>-3.2658623999999997E-2</v>
      </c>
      <c r="G249" s="3">
        <f t="shared" si="260"/>
        <v>-3.2658623999999997E-2</v>
      </c>
      <c r="H249" s="3">
        <f t="shared" si="260"/>
        <v>-3.2658623999999997E-2</v>
      </c>
      <c r="I249" s="3">
        <f t="shared" si="260"/>
        <v>-3.2658623999999997E-2</v>
      </c>
      <c r="J249" s="3">
        <f t="shared" si="260"/>
        <v>-3.2658623999999997E-2</v>
      </c>
      <c r="K249" s="3">
        <f t="shared" si="260"/>
        <v>-3.2658623999999997E-2</v>
      </c>
      <c r="L249" s="3">
        <f t="shared" si="260"/>
        <v>-3.2658623999999997E-2</v>
      </c>
      <c r="M249" s="3">
        <f t="shared" si="260"/>
        <v>-3.2658623999999997E-2</v>
      </c>
      <c r="N249" s="3">
        <f t="shared" si="260"/>
        <v>-3.2658623999999997E-2</v>
      </c>
      <c r="O249" s="3">
        <f t="shared" si="260"/>
        <v>-3.2658623999999997E-2</v>
      </c>
      <c r="P249" s="3">
        <f t="shared" si="260"/>
        <v>-3.2658623999999997E-2</v>
      </c>
      <c r="Q249" s="3">
        <f t="shared" si="260"/>
        <v>-3.2658623999999997E-2</v>
      </c>
      <c r="R249" s="3">
        <f t="shared" si="260"/>
        <v>-3.2658623999999997E-2</v>
      </c>
      <c r="S249" s="3">
        <f t="shared" si="260"/>
        <v>-3.2658623999999997E-2</v>
      </c>
      <c r="T249" s="3">
        <f t="shared" si="260"/>
        <v>-3.2658623999999997E-2</v>
      </c>
      <c r="U249" s="3">
        <f t="shared" si="260"/>
        <v>-3.2658623999999997E-2</v>
      </c>
      <c r="V249" s="3">
        <f t="shared" si="260"/>
        <v>-3.2658623999999997E-2</v>
      </c>
      <c r="W249" s="3">
        <f t="shared" si="260"/>
        <v>-3.2658623999999997E-2</v>
      </c>
      <c r="X249" s="3">
        <f t="shared" si="260"/>
        <v>-3.2658623999999997E-2</v>
      </c>
      <c r="Y249" s="3">
        <f t="shared" si="260"/>
        <v>-3.2658623999999997E-2</v>
      </c>
      <c r="Z249" s="3">
        <f t="shared" si="260"/>
        <v>-3.2658623999999997E-2</v>
      </c>
      <c r="AA249" s="3">
        <f t="shared" si="260"/>
        <v>-3.2658623999999997E-2</v>
      </c>
      <c r="AB249" s="3">
        <f t="shared" si="260"/>
        <v>-3.2658623999999997E-2</v>
      </c>
    </row>
    <row r="250" spans="2:28" x14ac:dyDescent="0.3">
      <c r="B250" t="str">
        <f t="shared" ref="B250:B265" si="261">B182</f>
        <v>Civil Cost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2:28" x14ac:dyDescent="0.3">
      <c r="B251" s="293" t="str">
        <f t="shared" si="261"/>
        <v>Earthworks and soiling</v>
      </c>
      <c r="F251" s="3">
        <f t="shared" ref="F251:AB251" si="262">F183-F216</f>
        <v>1.35405</v>
      </c>
      <c r="G251" s="3">
        <f t="shared" si="262"/>
        <v>1.1509425</v>
      </c>
      <c r="H251" s="3">
        <f t="shared" si="262"/>
        <v>0.97830112499999999</v>
      </c>
      <c r="I251" s="3">
        <f t="shared" si="262"/>
        <v>0.83155595625000001</v>
      </c>
      <c r="J251" s="3">
        <f t="shared" si="262"/>
        <v>0.7068225628125</v>
      </c>
      <c r="K251" s="3">
        <f t="shared" si="262"/>
        <v>0.60079917839062502</v>
      </c>
      <c r="L251" s="3">
        <f t="shared" si="262"/>
        <v>0.51067930163203124</v>
      </c>
      <c r="M251" s="3">
        <f t="shared" si="262"/>
        <v>0.43407740638722658</v>
      </c>
      <c r="N251" s="3">
        <f t="shared" si="262"/>
        <v>0.43407740638722658</v>
      </c>
      <c r="O251" s="3">
        <f t="shared" si="262"/>
        <v>0.43407740638722658</v>
      </c>
      <c r="P251" s="3">
        <f t="shared" si="262"/>
        <v>0.43407740638722658</v>
      </c>
      <c r="Q251" s="3">
        <f t="shared" si="262"/>
        <v>0.43407740638722658</v>
      </c>
      <c r="R251" s="3">
        <f t="shared" si="262"/>
        <v>0.43407740638722658</v>
      </c>
      <c r="S251" s="3">
        <f t="shared" si="262"/>
        <v>0.43407740638722658</v>
      </c>
      <c r="T251" s="3">
        <f t="shared" si="262"/>
        <v>0.43407740638722658</v>
      </c>
      <c r="U251" s="3">
        <f t="shared" si="262"/>
        <v>0.43407740638722658</v>
      </c>
      <c r="V251" s="3">
        <f t="shared" si="262"/>
        <v>0.43407740638722658</v>
      </c>
      <c r="W251" s="3">
        <f t="shared" si="262"/>
        <v>0.43407740638722658</v>
      </c>
      <c r="X251" s="3">
        <f t="shared" si="262"/>
        <v>0.43407740638722658</v>
      </c>
      <c r="Y251" s="3">
        <f t="shared" si="262"/>
        <v>0.43407740638722658</v>
      </c>
      <c r="Z251" s="3">
        <f t="shared" si="262"/>
        <v>0.43407740638722658</v>
      </c>
      <c r="AA251" s="3">
        <f t="shared" si="262"/>
        <v>0.43407740638722658</v>
      </c>
      <c r="AB251" s="3">
        <f t="shared" si="262"/>
        <v>0.43407740638722658</v>
      </c>
    </row>
    <row r="252" spans="2:28" x14ac:dyDescent="0.3">
      <c r="B252" s="293" t="str">
        <f t="shared" si="261"/>
        <v>PCC works</v>
      </c>
      <c r="F252" s="3">
        <f t="shared" ref="F252:AB252" si="263">F184-F217</f>
        <v>0.45135000000000003</v>
      </c>
      <c r="G252" s="3">
        <f t="shared" si="263"/>
        <v>0.38364750000000003</v>
      </c>
      <c r="H252" s="3">
        <f t="shared" si="263"/>
        <v>0.326100375</v>
      </c>
      <c r="I252" s="3">
        <f t="shared" si="263"/>
        <v>0.27718531875000002</v>
      </c>
      <c r="J252" s="3">
        <f t="shared" si="263"/>
        <v>0.23560752093750001</v>
      </c>
      <c r="K252" s="3">
        <f t="shared" si="263"/>
        <v>0.20026639279687503</v>
      </c>
      <c r="L252" s="3">
        <f t="shared" si="263"/>
        <v>0.17022643387734376</v>
      </c>
      <c r="M252" s="3">
        <f t="shared" si="263"/>
        <v>0.14469246879574221</v>
      </c>
      <c r="N252" s="3">
        <f t="shared" si="263"/>
        <v>0.14469246879574221</v>
      </c>
      <c r="O252" s="3">
        <f t="shared" si="263"/>
        <v>0.14469246879574221</v>
      </c>
      <c r="P252" s="3">
        <f t="shared" si="263"/>
        <v>0.14469246879574221</v>
      </c>
      <c r="Q252" s="3">
        <f t="shared" si="263"/>
        <v>0.14469246879574221</v>
      </c>
      <c r="R252" s="3">
        <f t="shared" si="263"/>
        <v>0.14469246879574221</v>
      </c>
      <c r="S252" s="3">
        <f t="shared" si="263"/>
        <v>0.14469246879574221</v>
      </c>
      <c r="T252" s="3">
        <f t="shared" si="263"/>
        <v>0.14469246879574221</v>
      </c>
      <c r="U252" s="3">
        <f t="shared" si="263"/>
        <v>0.14469246879574221</v>
      </c>
      <c r="V252" s="3">
        <f t="shared" si="263"/>
        <v>0.14469246879574221</v>
      </c>
      <c r="W252" s="3">
        <f t="shared" si="263"/>
        <v>0.14469246879574221</v>
      </c>
      <c r="X252" s="3">
        <f t="shared" si="263"/>
        <v>0.14469246879574221</v>
      </c>
      <c r="Y252" s="3">
        <f t="shared" si="263"/>
        <v>0.14469246879574221</v>
      </c>
      <c r="Z252" s="3">
        <f t="shared" si="263"/>
        <v>0.14469246879574221</v>
      </c>
      <c r="AA252" s="3">
        <f t="shared" si="263"/>
        <v>0.14469246879574221</v>
      </c>
      <c r="AB252" s="3">
        <f t="shared" si="263"/>
        <v>0.14469246879574221</v>
      </c>
    </row>
    <row r="253" spans="2:28" x14ac:dyDescent="0.3">
      <c r="B253" s="293" t="str">
        <f t="shared" si="261"/>
        <v>RCC works</v>
      </c>
      <c r="F253" s="3">
        <f t="shared" ref="F253:AB253" si="264">F185-F218</f>
        <v>3.0089999999999999</v>
      </c>
      <c r="G253" s="3">
        <f t="shared" si="264"/>
        <v>2.5576499999999998</v>
      </c>
      <c r="H253" s="3">
        <f t="shared" si="264"/>
        <v>2.1740024999999998</v>
      </c>
      <c r="I253" s="3">
        <f t="shared" si="264"/>
        <v>1.8479021249999998</v>
      </c>
      <c r="J253" s="3">
        <f t="shared" si="264"/>
        <v>1.5707168062499999</v>
      </c>
      <c r="K253" s="3">
        <f t="shared" si="264"/>
        <v>1.3351092853124999</v>
      </c>
      <c r="L253" s="3">
        <f t="shared" si="264"/>
        <v>1.1348428925156249</v>
      </c>
      <c r="M253" s="3">
        <f t="shared" si="264"/>
        <v>0.96461645863828116</v>
      </c>
      <c r="N253" s="3">
        <f t="shared" si="264"/>
        <v>0.96461645863828116</v>
      </c>
      <c r="O253" s="3">
        <f t="shared" si="264"/>
        <v>0.96461645863828116</v>
      </c>
      <c r="P253" s="3">
        <f t="shared" si="264"/>
        <v>0.96461645863828116</v>
      </c>
      <c r="Q253" s="3">
        <f t="shared" si="264"/>
        <v>0.96461645863828116</v>
      </c>
      <c r="R253" s="3">
        <f t="shared" si="264"/>
        <v>0.96461645863828116</v>
      </c>
      <c r="S253" s="3">
        <f t="shared" si="264"/>
        <v>0.96461645863828116</v>
      </c>
      <c r="T253" s="3">
        <f t="shared" si="264"/>
        <v>0.96461645863828116</v>
      </c>
      <c r="U253" s="3">
        <f t="shared" si="264"/>
        <v>0.96461645863828116</v>
      </c>
      <c r="V253" s="3">
        <f t="shared" si="264"/>
        <v>0.96461645863828116</v>
      </c>
      <c r="W253" s="3">
        <f t="shared" si="264"/>
        <v>0.96461645863828116</v>
      </c>
      <c r="X253" s="3">
        <f t="shared" si="264"/>
        <v>0.96461645863828116</v>
      </c>
      <c r="Y253" s="3">
        <f t="shared" si="264"/>
        <v>0.96461645863828116</v>
      </c>
      <c r="Z253" s="3">
        <f t="shared" si="264"/>
        <v>0.96461645863828116</v>
      </c>
      <c r="AA253" s="3">
        <f t="shared" si="264"/>
        <v>0.96461645863828116</v>
      </c>
      <c r="AB253" s="3">
        <f t="shared" si="264"/>
        <v>0.96461645863828116</v>
      </c>
    </row>
    <row r="254" spans="2:28" x14ac:dyDescent="0.3">
      <c r="B254" s="293" t="str">
        <f t="shared" si="261"/>
        <v>Shuttering</v>
      </c>
      <c r="F254" s="3">
        <f t="shared" ref="F254:AB254" si="265">F186-F219</f>
        <v>0.12537499999999996</v>
      </c>
      <c r="G254" s="3">
        <f t="shared" si="265"/>
        <v>0.10656874999999996</v>
      </c>
      <c r="H254" s="3">
        <f t="shared" si="265"/>
        <v>9.0583437499999975E-2</v>
      </c>
      <c r="I254" s="3">
        <f t="shared" si="265"/>
        <v>7.6995921874999984E-2</v>
      </c>
      <c r="J254" s="3">
        <f t="shared" si="265"/>
        <v>6.5446533593749981E-2</v>
      </c>
      <c r="K254" s="3">
        <f t="shared" si="265"/>
        <v>5.5629553554687482E-2</v>
      </c>
      <c r="L254" s="3">
        <f t="shared" si="265"/>
        <v>4.7285120521484356E-2</v>
      </c>
      <c r="M254" s="3">
        <f t="shared" si="265"/>
        <v>4.0192352443261706E-2</v>
      </c>
      <c r="N254" s="3">
        <f t="shared" si="265"/>
        <v>4.0192352443261706E-2</v>
      </c>
      <c r="O254" s="3">
        <f t="shared" si="265"/>
        <v>4.0192352443261706E-2</v>
      </c>
      <c r="P254" s="3">
        <f t="shared" si="265"/>
        <v>4.0192352443261706E-2</v>
      </c>
      <c r="Q254" s="3">
        <f t="shared" si="265"/>
        <v>4.0192352443261706E-2</v>
      </c>
      <c r="R254" s="3">
        <f t="shared" si="265"/>
        <v>4.0192352443261706E-2</v>
      </c>
      <c r="S254" s="3">
        <f t="shared" si="265"/>
        <v>4.0192352443261706E-2</v>
      </c>
      <c r="T254" s="3">
        <f t="shared" si="265"/>
        <v>4.0192352443261706E-2</v>
      </c>
      <c r="U254" s="3">
        <f t="shared" si="265"/>
        <v>4.0192352443261706E-2</v>
      </c>
      <c r="V254" s="3">
        <f t="shared" si="265"/>
        <v>4.0192352443261706E-2</v>
      </c>
      <c r="W254" s="3">
        <f t="shared" si="265"/>
        <v>4.0192352443261706E-2</v>
      </c>
      <c r="X254" s="3">
        <f t="shared" si="265"/>
        <v>4.0192352443261706E-2</v>
      </c>
      <c r="Y254" s="3">
        <f t="shared" si="265"/>
        <v>4.0192352443261706E-2</v>
      </c>
      <c r="Z254" s="3">
        <f t="shared" si="265"/>
        <v>4.0192352443261706E-2</v>
      </c>
      <c r="AA254" s="3">
        <f t="shared" si="265"/>
        <v>4.0192352443261706E-2</v>
      </c>
      <c r="AB254" s="3">
        <f t="shared" si="265"/>
        <v>4.0192352443261706E-2</v>
      </c>
    </row>
    <row r="255" spans="2:28" x14ac:dyDescent="0.3">
      <c r="B255" s="293" t="str">
        <f t="shared" si="261"/>
        <v>TMT bards Fe 500</v>
      </c>
      <c r="F255" s="3">
        <f t="shared" ref="F255:AB255" si="266">F187-F220</f>
        <v>2.1062999999999996</v>
      </c>
      <c r="G255" s="3">
        <f t="shared" si="266"/>
        <v>1.7903549999999997</v>
      </c>
      <c r="H255" s="3">
        <f t="shared" si="266"/>
        <v>1.5218017499999998</v>
      </c>
      <c r="I255" s="3">
        <f t="shared" si="266"/>
        <v>1.2935314874999999</v>
      </c>
      <c r="J255" s="3">
        <f t="shared" si="266"/>
        <v>1.099501764375</v>
      </c>
      <c r="K255" s="3">
        <f t="shared" si="266"/>
        <v>0.93457649971875001</v>
      </c>
      <c r="L255" s="3">
        <f t="shared" si="266"/>
        <v>0.79439002476093745</v>
      </c>
      <c r="M255" s="3">
        <f t="shared" si="266"/>
        <v>0.67523152104679685</v>
      </c>
      <c r="N255" s="3">
        <f t="shared" si="266"/>
        <v>0.67523152104679685</v>
      </c>
      <c r="O255" s="3">
        <f t="shared" si="266"/>
        <v>0.67523152104679685</v>
      </c>
      <c r="P255" s="3">
        <f t="shared" si="266"/>
        <v>0.67523152104679685</v>
      </c>
      <c r="Q255" s="3">
        <f t="shared" si="266"/>
        <v>0.67523152104679685</v>
      </c>
      <c r="R255" s="3">
        <f t="shared" si="266"/>
        <v>0.67523152104679685</v>
      </c>
      <c r="S255" s="3">
        <f t="shared" si="266"/>
        <v>0.67523152104679685</v>
      </c>
      <c r="T255" s="3">
        <f t="shared" si="266"/>
        <v>0.67523152104679685</v>
      </c>
      <c r="U255" s="3">
        <f t="shared" si="266"/>
        <v>0.67523152104679685</v>
      </c>
      <c r="V255" s="3">
        <f t="shared" si="266"/>
        <v>0.67523152104679685</v>
      </c>
      <c r="W255" s="3">
        <f t="shared" si="266"/>
        <v>0.67523152104679685</v>
      </c>
      <c r="X255" s="3">
        <f t="shared" si="266"/>
        <v>0.67523152104679685</v>
      </c>
      <c r="Y255" s="3">
        <f t="shared" si="266"/>
        <v>0.67523152104679685</v>
      </c>
      <c r="Z255" s="3">
        <f t="shared" si="266"/>
        <v>0.67523152104679685</v>
      </c>
      <c r="AA255" s="3">
        <f t="shared" si="266"/>
        <v>0.67523152104679685</v>
      </c>
      <c r="AB255" s="3">
        <f t="shared" si="266"/>
        <v>0.67523152104679685</v>
      </c>
    </row>
    <row r="256" spans="2:28" x14ac:dyDescent="0.3">
      <c r="B256" s="293" t="str">
        <f t="shared" si="261"/>
        <v>Masonary works</v>
      </c>
      <c r="F256" s="3">
        <f t="shared" ref="F256:AB256" si="267">F188-F221</f>
        <v>6.0180000000000004E-2</v>
      </c>
      <c r="G256" s="3">
        <f t="shared" si="267"/>
        <v>5.1153000000000004E-2</v>
      </c>
      <c r="H256" s="3">
        <f t="shared" si="267"/>
        <v>4.3480050000000006E-2</v>
      </c>
      <c r="I256" s="3">
        <f t="shared" si="267"/>
        <v>3.6958042500000003E-2</v>
      </c>
      <c r="J256" s="3">
        <f t="shared" si="267"/>
        <v>3.1414336125000004E-2</v>
      </c>
      <c r="K256" s="3">
        <f t="shared" si="267"/>
        <v>2.6702185706250003E-2</v>
      </c>
      <c r="L256" s="3">
        <f t="shared" si="267"/>
        <v>2.2696857850312502E-2</v>
      </c>
      <c r="M256" s="3">
        <f t="shared" si="267"/>
        <v>1.9292329172765625E-2</v>
      </c>
      <c r="N256" s="3">
        <f t="shared" si="267"/>
        <v>1.9292329172765625E-2</v>
      </c>
      <c r="O256" s="3">
        <f t="shared" si="267"/>
        <v>1.9292329172765625E-2</v>
      </c>
      <c r="P256" s="3">
        <f t="shared" si="267"/>
        <v>1.9292329172765625E-2</v>
      </c>
      <c r="Q256" s="3">
        <f t="shared" si="267"/>
        <v>1.9292329172765625E-2</v>
      </c>
      <c r="R256" s="3">
        <f t="shared" si="267"/>
        <v>1.9292329172765625E-2</v>
      </c>
      <c r="S256" s="3">
        <f t="shared" si="267"/>
        <v>1.9292329172765625E-2</v>
      </c>
      <c r="T256" s="3">
        <f t="shared" si="267"/>
        <v>1.9292329172765625E-2</v>
      </c>
      <c r="U256" s="3">
        <f t="shared" si="267"/>
        <v>1.9292329172765625E-2</v>
      </c>
      <c r="V256" s="3">
        <f t="shared" si="267"/>
        <v>1.9292329172765625E-2</v>
      </c>
      <c r="W256" s="3">
        <f t="shared" si="267"/>
        <v>1.9292329172765625E-2</v>
      </c>
      <c r="X256" s="3">
        <f t="shared" si="267"/>
        <v>1.9292329172765625E-2</v>
      </c>
      <c r="Y256" s="3">
        <f t="shared" si="267"/>
        <v>1.9292329172765625E-2</v>
      </c>
      <c r="Z256" s="3">
        <f t="shared" si="267"/>
        <v>1.9292329172765625E-2</v>
      </c>
      <c r="AA256" s="3">
        <f t="shared" si="267"/>
        <v>1.9292329172765625E-2</v>
      </c>
      <c r="AB256" s="3">
        <f t="shared" si="267"/>
        <v>1.9292329172765625E-2</v>
      </c>
    </row>
    <row r="257" spans="2:28" x14ac:dyDescent="0.3">
      <c r="B257" s="293" t="str">
        <f t="shared" si="261"/>
        <v>Plastering</v>
      </c>
      <c r="F257" s="3">
        <f t="shared" ref="F257:AB257" si="268">F189-F222</f>
        <v>4.8896250000000002E-2</v>
      </c>
      <c r="G257" s="3">
        <f t="shared" si="268"/>
        <v>4.1561812500000003E-2</v>
      </c>
      <c r="H257" s="3">
        <f t="shared" si="268"/>
        <v>3.5327540625000001E-2</v>
      </c>
      <c r="I257" s="3">
        <f t="shared" si="268"/>
        <v>3.0028409531250001E-2</v>
      </c>
      <c r="J257" s="3">
        <f t="shared" si="268"/>
        <v>2.5524148101562501E-2</v>
      </c>
      <c r="K257" s="3">
        <f t="shared" si="268"/>
        <v>2.1695525886328126E-2</v>
      </c>
      <c r="L257" s="3">
        <f t="shared" si="268"/>
        <v>1.8441197003378908E-2</v>
      </c>
      <c r="M257" s="3">
        <f t="shared" si="268"/>
        <v>1.5675017452872073E-2</v>
      </c>
      <c r="N257" s="3">
        <f t="shared" si="268"/>
        <v>1.5675017452872073E-2</v>
      </c>
      <c r="O257" s="3">
        <f t="shared" si="268"/>
        <v>1.5675017452872073E-2</v>
      </c>
      <c r="P257" s="3">
        <f t="shared" si="268"/>
        <v>1.5675017452872073E-2</v>
      </c>
      <c r="Q257" s="3">
        <f t="shared" si="268"/>
        <v>1.5675017452872073E-2</v>
      </c>
      <c r="R257" s="3">
        <f t="shared" si="268"/>
        <v>1.5675017452872073E-2</v>
      </c>
      <c r="S257" s="3">
        <f t="shared" si="268"/>
        <v>1.5675017452872073E-2</v>
      </c>
      <c r="T257" s="3">
        <f t="shared" si="268"/>
        <v>1.5675017452872073E-2</v>
      </c>
      <c r="U257" s="3">
        <f t="shared" si="268"/>
        <v>1.5675017452872073E-2</v>
      </c>
      <c r="V257" s="3">
        <f t="shared" si="268"/>
        <v>1.5675017452872073E-2</v>
      </c>
      <c r="W257" s="3">
        <f t="shared" si="268"/>
        <v>1.5675017452872073E-2</v>
      </c>
      <c r="X257" s="3">
        <f t="shared" si="268"/>
        <v>1.5675017452872073E-2</v>
      </c>
      <c r="Y257" s="3">
        <f t="shared" si="268"/>
        <v>1.5675017452872073E-2</v>
      </c>
      <c r="Z257" s="3">
        <f t="shared" si="268"/>
        <v>1.5675017452872073E-2</v>
      </c>
      <c r="AA257" s="3">
        <f t="shared" si="268"/>
        <v>1.5675017452872073E-2</v>
      </c>
      <c r="AB257" s="3">
        <f t="shared" si="268"/>
        <v>1.5675017452872073E-2</v>
      </c>
    </row>
    <row r="258" spans="2:28" x14ac:dyDescent="0.3">
      <c r="B258" s="293" t="str">
        <f t="shared" si="261"/>
        <v>VDF Flooring</v>
      </c>
      <c r="F258" s="3">
        <f t="shared" ref="F258:AB258" si="269">F190-F223</f>
        <v>7.2216000000000002E-2</v>
      </c>
      <c r="G258" s="3">
        <f t="shared" si="269"/>
        <v>6.1383600000000003E-2</v>
      </c>
      <c r="H258" s="3">
        <f t="shared" si="269"/>
        <v>5.2176060000000003E-2</v>
      </c>
      <c r="I258" s="3">
        <f t="shared" si="269"/>
        <v>4.4349651000000004E-2</v>
      </c>
      <c r="J258" s="3">
        <f t="shared" si="269"/>
        <v>3.769720335E-2</v>
      </c>
      <c r="K258" s="3">
        <f t="shared" si="269"/>
        <v>3.2042622847500001E-2</v>
      </c>
      <c r="L258" s="3">
        <f t="shared" si="269"/>
        <v>2.7236229420374999E-2</v>
      </c>
      <c r="M258" s="3">
        <f t="shared" si="269"/>
        <v>2.3150795007318752E-2</v>
      </c>
      <c r="N258" s="3">
        <f t="shared" si="269"/>
        <v>2.3150795007318752E-2</v>
      </c>
      <c r="O258" s="3">
        <f t="shared" si="269"/>
        <v>2.3150795007318752E-2</v>
      </c>
      <c r="P258" s="3">
        <f t="shared" si="269"/>
        <v>2.3150795007318752E-2</v>
      </c>
      <c r="Q258" s="3">
        <f t="shared" si="269"/>
        <v>2.3150795007318752E-2</v>
      </c>
      <c r="R258" s="3">
        <f t="shared" si="269"/>
        <v>2.3150795007318752E-2</v>
      </c>
      <c r="S258" s="3">
        <f t="shared" si="269"/>
        <v>2.3150795007318752E-2</v>
      </c>
      <c r="T258" s="3">
        <f t="shared" si="269"/>
        <v>2.3150795007318752E-2</v>
      </c>
      <c r="U258" s="3">
        <f t="shared" si="269"/>
        <v>2.3150795007318752E-2</v>
      </c>
      <c r="V258" s="3">
        <f t="shared" si="269"/>
        <v>2.3150795007318752E-2</v>
      </c>
      <c r="W258" s="3">
        <f t="shared" si="269"/>
        <v>2.3150795007318752E-2</v>
      </c>
      <c r="X258" s="3">
        <f t="shared" si="269"/>
        <v>2.3150795007318752E-2</v>
      </c>
      <c r="Y258" s="3">
        <f t="shared" si="269"/>
        <v>2.3150795007318752E-2</v>
      </c>
      <c r="Z258" s="3">
        <f t="shared" si="269"/>
        <v>2.3150795007318752E-2</v>
      </c>
      <c r="AA258" s="3">
        <f t="shared" si="269"/>
        <v>2.3150795007318752E-2</v>
      </c>
      <c r="AB258" s="3">
        <f t="shared" si="269"/>
        <v>2.3150795007318752E-2</v>
      </c>
    </row>
    <row r="259" spans="2:28" x14ac:dyDescent="0.3">
      <c r="B259" s="293" t="str">
        <f t="shared" si="261"/>
        <v>J BOLTS installation</v>
      </c>
      <c r="F259" s="3">
        <f t="shared" ref="F259:AB259" si="270">F191-F224</f>
        <v>0.16048000000000001</v>
      </c>
      <c r="G259" s="3">
        <f t="shared" si="270"/>
        <v>0.136408</v>
      </c>
      <c r="H259" s="3">
        <f t="shared" si="270"/>
        <v>0.1159468</v>
      </c>
      <c r="I259" s="3">
        <f t="shared" si="270"/>
        <v>9.8554780000000008E-2</v>
      </c>
      <c r="J259" s="3">
        <f t="shared" si="270"/>
        <v>8.3771563000000007E-2</v>
      </c>
      <c r="K259" s="3">
        <f t="shared" si="270"/>
        <v>7.1205828550000003E-2</v>
      </c>
      <c r="L259" s="3">
        <f t="shared" si="270"/>
        <v>6.05249542675E-2</v>
      </c>
      <c r="M259" s="3">
        <f t="shared" si="270"/>
        <v>5.1446211127374998E-2</v>
      </c>
      <c r="N259" s="3">
        <f t="shared" si="270"/>
        <v>5.1446211127374998E-2</v>
      </c>
      <c r="O259" s="3">
        <f t="shared" si="270"/>
        <v>5.1446211127374998E-2</v>
      </c>
      <c r="P259" s="3">
        <f t="shared" si="270"/>
        <v>5.1446211127374998E-2</v>
      </c>
      <c r="Q259" s="3">
        <f t="shared" si="270"/>
        <v>5.1446211127374998E-2</v>
      </c>
      <c r="R259" s="3">
        <f t="shared" si="270"/>
        <v>5.1446211127374998E-2</v>
      </c>
      <c r="S259" s="3">
        <f t="shared" si="270"/>
        <v>5.1446211127374998E-2</v>
      </c>
      <c r="T259" s="3">
        <f t="shared" si="270"/>
        <v>5.1446211127374998E-2</v>
      </c>
      <c r="U259" s="3">
        <f t="shared" si="270"/>
        <v>5.1446211127374998E-2</v>
      </c>
      <c r="V259" s="3">
        <f t="shared" si="270"/>
        <v>5.1446211127374998E-2</v>
      </c>
      <c r="W259" s="3">
        <f t="shared" si="270"/>
        <v>5.1446211127374998E-2</v>
      </c>
      <c r="X259" s="3">
        <f t="shared" si="270"/>
        <v>5.1446211127374998E-2</v>
      </c>
      <c r="Y259" s="3">
        <f t="shared" si="270"/>
        <v>5.1446211127374998E-2</v>
      </c>
      <c r="Z259" s="3">
        <f t="shared" si="270"/>
        <v>5.1446211127374998E-2</v>
      </c>
      <c r="AA259" s="3">
        <f t="shared" si="270"/>
        <v>5.1446211127374998E-2</v>
      </c>
      <c r="AB259" s="3">
        <f t="shared" si="270"/>
        <v>5.1446211127374998E-2</v>
      </c>
    </row>
    <row r="260" spans="2:28" x14ac:dyDescent="0.3">
      <c r="B260" s="293" t="str">
        <f t="shared" si="261"/>
        <v>Baseplate Grouting</v>
      </c>
      <c r="F260" s="3">
        <f t="shared" ref="F260:AB260" si="271">F192-F225</f>
        <v>8.8264000000000009E-2</v>
      </c>
      <c r="G260" s="3">
        <f t="shared" si="271"/>
        <v>7.5024400000000005E-2</v>
      </c>
      <c r="H260" s="3">
        <f t="shared" si="271"/>
        <v>6.3770740000000006E-2</v>
      </c>
      <c r="I260" s="3">
        <f t="shared" si="271"/>
        <v>5.4205129000000005E-2</v>
      </c>
      <c r="J260" s="3">
        <f t="shared" si="271"/>
        <v>4.6074359650000007E-2</v>
      </c>
      <c r="K260" s="3">
        <f t="shared" si="271"/>
        <v>3.9163205702500009E-2</v>
      </c>
      <c r="L260" s="3">
        <f t="shared" si="271"/>
        <v>3.3288724847125008E-2</v>
      </c>
      <c r="M260" s="3">
        <f t="shared" si="271"/>
        <v>2.8295416120056257E-2</v>
      </c>
      <c r="N260" s="3">
        <f t="shared" si="271"/>
        <v>2.8295416120056257E-2</v>
      </c>
      <c r="O260" s="3">
        <f t="shared" si="271"/>
        <v>2.8295416120056257E-2</v>
      </c>
      <c r="P260" s="3">
        <f t="shared" si="271"/>
        <v>2.8295416120056257E-2</v>
      </c>
      <c r="Q260" s="3">
        <f t="shared" si="271"/>
        <v>2.8295416120056257E-2</v>
      </c>
      <c r="R260" s="3">
        <f t="shared" si="271"/>
        <v>2.8295416120056257E-2</v>
      </c>
      <c r="S260" s="3">
        <f t="shared" si="271"/>
        <v>2.8295416120056257E-2</v>
      </c>
      <c r="T260" s="3">
        <f t="shared" si="271"/>
        <v>2.8295416120056257E-2</v>
      </c>
      <c r="U260" s="3">
        <f t="shared" si="271"/>
        <v>2.8295416120056257E-2</v>
      </c>
      <c r="V260" s="3">
        <f t="shared" si="271"/>
        <v>2.8295416120056257E-2</v>
      </c>
      <c r="W260" s="3">
        <f t="shared" si="271"/>
        <v>2.8295416120056257E-2</v>
      </c>
      <c r="X260" s="3">
        <f t="shared" si="271"/>
        <v>2.8295416120056257E-2</v>
      </c>
      <c r="Y260" s="3">
        <f t="shared" si="271"/>
        <v>2.8295416120056257E-2</v>
      </c>
      <c r="Z260" s="3">
        <f t="shared" si="271"/>
        <v>2.8295416120056257E-2</v>
      </c>
      <c r="AA260" s="3">
        <f t="shared" si="271"/>
        <v>2.8295416120056257E-2</v>
      </c>
      <c r="AB260" s="3">
        <f t="shared" si="271"/>
        <v>2.8295416120056257E-2</v>
      </c>
    </row>
    <row r="261" spans="2:28" x14ac:dyDescent="0.3">
      <c r="B261" s="293" t="str">
        <f t="shared" si="261"/>
        <v>Miscellenous</v>
      </c>
      <c r="F261" s="3">
        <f t="shared" ref="F261:AB261" si="272">F193-F226</f>
        <v>0.12036000000000001</v>
      </c>
      <c r="G261" s="3">
        <f t="shared" si="272"/>
        <v>0.10230600000000001</v>
      </c>
      <c r="H261" s="3">
        <f t="shared" si="272"/>
        <v>8.6960100000000012E-2</v>
      </c>
      <c r="I261" s="3">
        <f t="shared" si="272"/>
        <v>7.3916085000000006E-2</v>
      </c>
      <c r="J261" s="3">
        <f t="shared" si="272"/>
        <v>6.2828672250000009E-2</v>
      </c>
      <c r="K261" s="3">
        <f t="shared" si="272"/>
        <v>5.3404371412500005E-2</v>
      </c>
      <c r="L261" s="3">
        <f t="shared" si="272"/>
        <v>4.5393715700625004E-2</v>
      </c>
      <c r="M261" s="3">
        <f t="shared" si="272"/>
        <v>3.858465834553125E-2</v>
      </c>
      <c r="N261" s="3">
        <f t="shared" si="272"/>
        <v>3.858465834553125E-2</v>
      </c>
      <c r="O261" s="3">
        <f t="shared" si="272"/>
        <v>3.858465834553125E-2</v>
      </c>
      <c r="P261" s="3">
        <f t="shared" si="272"/>
        <v>3.858465834553125E-2</v>
      </c>
      <c r="Q261" s="3">
        <f t="shared" si="272"/>
        <v>3.858465834553125E-2</v>
      </c>
      <c r="R261" s="3">
        <f t="shared" si="272"/>
        <v>3.858465834553125E-2</v>
      </c>
      <c r="S261" s="3">
        <f t="shared" si="272"/>
        <v>3.858465834553125E-2</v>
      </c>
      <c r="T261" s="3">
        <f t="shared" si="272"/>
        <v>3.858465834553125E-2</v>
      </c>
      <c r="U261" s="3">
        <f t="shared" si="272"/>
        <v>3.858465834553125E-2</v>
      </c>
      <c r="V261" s="3">
        <f t="shared" si="272"/>
        <v>3.858465834553125E-2</v>
      </c>
      <c r="W261" s="3">
        <f t="shared" si="272"/>
        <v>3.858465834553125E-2</v>
      </c>
      <c r="X261" s="3">
        <f t="shared" si="272"/>
        <v>3.858465834553125E-2</v>
      </c>
      <c r="Y261" s="3">
        <f t="shared" si="272"/>
        <v>3.858465834553125E-2</v>
      </c>
      <c r="Z261" s="3">
        <f t="shared" si="272"/>
        <v>3.858465834553125E-2</v>
      </c>
      <c r="AA261" s="3">
        <f t="shared" si="272"/>
        <v>3.858465834553125E-2</v>
      </c>
      <c r="AB261" s="3">
        <f t="shared" si="272"/>
        <v>3.858465834553125E-2</v>
      </c>
    </row>
    <row r="262" spans="2:28" x14ac:dyDescent="0.3">
      <c r="B262" t="str">
        <f t="shared" si="261"/>
        <v>Road</v>
      </c>
      <c r="F262" s="3">
        <f t="shared" ref="F262:AB262" si="273">F194-F227</f>
        <v>1.4369314005000002</v>
      </c>
      <c r="G262" s="3">
        <f t="shared" si="273"/>
        <v>1.2213916904250002</v>
      </c>
      <c r="H262" s="3">
        <f t="shared" si="273"/>
        <v>1.0381829368612501</v>
      </c>
      <c r="I262" s="3">
        <f t="shared" si="273"/>
        <v>0.88245549633206255</v>
      </c>
      <c r="J262" s="3">
        <f t="shared" si="273"/>
        <v>0.75008717188225316</v>
      </c>
      <c r="K262" s="3">
        <f t="shared" si="273"/>
        <v>0.63757409609991522</v>
      </c>
      <c r="L262" s="3">
        <f t="shared" si="273"/>
        <v>0.54193798168492791</v>
      </c>
      <c r="M262" s="3">
        <f t="shared" si="273"/>
        <v>0.46064728443218872</v>
      </c>
      <c r="N262" s="3">
        <f t="shared" si="273"/>
        <v>0.46064728443218872</v>
      </c>
      <c r="O262" s="3">
        <f t="shared" si="273"/>
        <v>0.46064728443218872</v>
      </c>
      <c r="P262" s="3">
        <f t="shared" si="273"/>
        <v>0.46064728443218872</v>
      </c>
      <c r="Q262" s="3">
        <f t="shared" si="273"/>
        <v>0.46064728443218872</v>
      </c>
      <c r="R262" s="3">
        <f t="shared" si="273"/>
        <v>0.46064728443218872</v>
      </c>
      <c r="S262" s="3">
        <f t="shared" si="273"/>
        <v>0.46064728443218872</v>
      </c>
      <c r="T262" s="3">
        <f t="shared" si="273"/>
        <v>0.46064728443218872</v>
      </c>
      <c r="U262" s="3">
        <f t="shared" si="273"/>
        <v>0.46064728443218872</v>
      </c>
      <c r="V262" s="3">
        <f t="shared" si="273"/>
        <v>0.46064728443218872</v>
      </c>
      <c r="W262" s="3">
        <f t="shared" si="273"/>
        <v>0.46064728443218872</v>
      </c>
      <c r="X262" s="3">
        <f t="shared" si="273"/>
        <v>0.46064728443218872</v>
      </c>
      <c r="Y262" s="3">
        <f t="shared" si="273"/>
        <v>0.46064728443218872</v>
      </c>
      <c r="Z262" s="3">
        <f t="shared" si="273"/>
        <v>0.46064728443218872</v>
      </c>
      <c r="AA262" s="3">
        <f t="shared" si="273"/>
        <v>0.46064728443218872</v>
      </c>
      <c r="AB262" s="3">
        <f t="shared" si="273"/>
        <v>0.46064728443218872</v>
      </c>
    </row>
    <row r="263" spans="2:28" x14ac:dyDescent="0.3">
      <c r="B263" t="str">
        <f t="shared" si="261"/>
        <v>Electrical</v>
      </c>
      <c r="F263" s="3">
        <f t="shared" ref="F263:AB263" si="274">F195-F228</f>
        <v>0</v>
      </c>
      <c r="G263" s="3">
        <f t="shared" si="274"/>
        <v>0</v>
      </c>
      <c r="H263" s="3">
        <f t="shared" si="274"/>
        <v>0</v>
      </c>
      <c r="I263" s="3">
        <f t="shared" si="274"/>
        <v>0</v>
      </c>
      <c r="J263" s="3">
        <f t="shared" si="274"/>
        <v>0</v>
      </c>
      <c r="K263" s="3">
        <f t="shared" si="274"/>
        <v>0</v>
      </c>
      <c r="L263" s="3">
        <f t="shared" si="274"/>
        <v>0</v>
      </c>
      <c r="M263" s="3">
        <f t="shared" si="274"/>
        <v>0</v>
      </c>
      <c r="N263" s="3">
        <f t="shared" si="274"/>
        <v>0</v>
      </c>
      <c r="O263" s="3">
        <f t="shared" si="274"/>
        <v>0</v>
      </c>
      <c r="P263" s="3">
        <f t="shared" si="274"/>
        <v>0</v>
      </c>
      <c r="Q263" s="3">
        <f t="shared" si="274"/>
        <v>0</v>
      </c>
      <c r="R263" s="3">
        <f t="shared" si="274"/>
        <v>0</v>
      </c>
      <c r="S263" s="3">
        <f t="shared" si="274"/>
        <v>0</v>
      </c>
      <c r="T263" s="3">
        <f t="shared" si="274"/>
        <v>0</v>
      </c>
      <c r="U263" s="3">
        <f t="shared" si="274"/>
        <v>0</v>
      </c>
      <c r="V263" s="3">
        <f t="shared" si="274"/>
        <v>0</v>
      </c>
      <c r="W263" s="3">
        <f t="shared" si="274"/>
        <v>0</v>
      </c>
      <c r="X263" s="3">
        <f t="shared" si="274"/>
        <v>0</v>
      </c>
      <c r="Y263" s="3">
        <f t="shared" si="274"/>
        <v>0</v>
      </c>
      <c r="Z263" s="3">
        <f t="shared" si="274"/>
        <v>0</v>
      </c>
      <c r="AA263" s="3">
        <f t="shared" si="274"/>
        <v>0</v>
      </c>
      <c r="AB263" s="3">
        <f t="shared" si="274"/>
        <v>0</v>
      </c>
    </row>
    <row r="264" spans="2:28" x14ac:dyDescent="0.3">
      <c r="B264" t="str">
        <f t="shared" si="261"/>
        <v>CDA</v>
      </c>
      <c r="F264" s="3">
        <f t="shared" ref="F264:AB264" si="275">F196-F229</f>
        <v>0</v>
      </c>
      <c r="G264" s="3">
        <f t="shared" si="275"/>
        <v>0</v>
      </c>
      <c r="H264" s="3">
        <f t="shared" si="275"/>
        <v>0</v>
      </c>
      <c r="I264" s="3">
        <f t="shared" si="275"/>
        <v>0</v>
      </c>
      <c r="J264" s="3">
        <f t="shared" si="275"/>
        <v>0</v>
      </c>
      <c r="K264" s="3">
        <f t="shared" si="275"/>
        <v>0</v>
      </c>
      <c r="L264" s="3">
        <f t="shared" si="275"/>
        <v>0</v>
      </c>
      <c r="M264" s="3">
        <f t="shared" si="275"/>
        <v>0</v>
      </c>
      <c r="N264" s="3">
        <f t="shared" si="275"/>
        <v>0</v>
      </c>
      <c r="O264" s="3">
        <f t="shared" si="275"/>
        <v>0</v>
      </c>
      <c r="P264" s="3">
        <f t="shared" si="275"/>
        <v>0</v>
      </c>
      <c r="Q264" s="3">
        <f t="shared" si="275"/>
        <v>0</v>
      </c>
      <c r="R264" s="3">
        <f t="shared" si="275"/>
        <v>0</v>
      </c>
      <c r="S264" s="3">
        <f t="shared" si="275"/>
        <v>0</v>
      </c>
      <c r="T264" s="3">
        <f t="shared" si="275"/>
        <v>0</v>
      </c>
      <c r="U264" s="3">
        <f t="shared" si="275"/>
        <v>0</v>
      </c>
      <c r="V264" s="3">
        <f t="shared" si="275"/>
        <v>0</v>
      </c>
      <c r="W264" s="3">
        <f t="shared" si="275"/>
        <v>0</v>
      </c>
      <c r="X264" s="3">
        <f t="shared" si="275"/>
        <v>0</v>
      </c>
      <c r="Y264" s="3">
        <f t="shared" si="275"/>
        <v>0</v>
      </c>
      <c r="Z264" s="3">
        <f t="shared" si="275"/>
        <v>0</v>
      </c>
      <c r="AA264" s="3">
        <f t="shared" si="275"/>
        <v>0</v>
      </c>
      <c r="AB264" s="3">
        <f t="shared" si="275"/>
        <v>0</v>
      </c>
    </row>
    <row r="265" spans="2:28" x14ac:dyDescent="0.3">
      <c r="B265" t="str">
        <f t="shared" si="261"/>
        <v>FHS and FAS for the ASRS</v>
      </c>
      <c r="F265" s="3">
        <f t="shared" ref="F265:AB265" si="276">F197-F230</f>
        <v>0</v>
      </c>
      <c r="G265" s="3">
        <f t="shared" si="276"/>
        <v>0</v>
      </c>
      <c r="H265" s="3">
        <f t="shared" si="276"/>
        <v>0</v>
      </c>
      <c r="I265" s="3">
        <f t="shared" si="276"/>
        <v>0</v>
      </c>
      <c r="J265" s="3">
        <f t="shared" si="276"/>
        <v>0</v>
      </c>
      <c r="K265" s="3">
        <f t="shared" si="276"/>
        <v>0</v>
      </c>
      <c r="L265" s="3">
        <f t="shared" si="276"/>
        <v>0</v>
      </c>
      <c r="M265" s="3">
        <f t="shared" si="276"/>
        <v>0</v>
      </c>
      <c r="N265" s="3">
        <f t="shared" si="276"/>
        <v>0</v>
      </c>
      <c r="O265" s="3">
        <f t="shared" si="276"/>
        <v>0</v>
      </c>
      <c r="P265" s="3">
        <f t="shared" si="276"/>
        <v>0</v>
      </c>
      <c r="Q265" s="3">
        <f t="shared" si="276"/>
        <v>0</v>
      </c>
      <c r="R265" s="3">
        <f t="shared" si="276"/>
        <v>0</v>
      </c>
      <c r="S265" s="3">
        <f t="shared" si="276"/>
        <v>0</v>
      </c>
      <c r="T265" s="3">
        <f t="shared" si="276"/>
        <v>0</v>
      </c>
      <c r="U265" s="3">
        <f t="shared" si="276"/>
        <v>0</v>
      </c>
      <c r="V265" s="3">
        <f t="shared" si="276"/>
        <v>0</v>
      </c>
      <c r="W265" s="3">
        <f t="shared" si="276"/>
        <v>0</v>
      </c>
      <c r="X265" s="3">
        <f t="shared" si="276"/>
        <v>0</v>
      </c>
      <c r="Y265" s="3">
        <f t="shared" si="276"/>
        <v>0</v>
      </c>
      <c r="Z265" s="3">
        <f t="shared" si="276"/>
        <v>0</v>
      </c>
      <c r="AA265" s="3">
        <f t="shared" si="276"/>
        <v>0</v>
      </c>
      <c r="AB265" s="3">
        <f t="shared" si="276"/>
        <v>0</v>
      </c>
    </row>
    <row r="266" spans="2:28" x14ac:dyDescent="0.3">
      <c r="B266" t="str">
        <f>B231</f>
        <v>Dock levellers</v>
      </c>
      <c r="F266" s="3">
        <f t="shared" ref="F266:AB266" si="277">F198-F231</f>
        <v>0.71269940479999994</v>
      </c>
      <c r="G266" s="3">
        <f t="shared" si="277"/>
        <v>0.60579449407999997</v>
      </c>
      <c r="H266" s="3">
        <f t="shared" si="277"/>
        <v>0.51492531996799995</v>
      </c>
      <c r="I266" s="3">
        <f t="shared" si="277"/>
        <v>0.43768652197279995</v>
      </c>
      <c r="J266" s="3">
        <f t="shared" si="277"/>
        <v>0.37203354367687996</v>
      </c>
      <c r="K266" s="3">
        <f t="shared" si="277"/>
        <v>0.31622851212534797</v>
      </c>
      <c r="L266" s="3">
        <f t="shared" si="277"/>
        <v>0.26879423530654578</v>
      </c>
      <c r="M266" s="3">
        <f t="shared" si="277"/>
        <v>0.22847510001056393</v>
      </c>
      <c r="N266" s="3">
        <f t="shared" si="277"/>
        <v>0.22847510001056393</v>
      </c>
      <c r="O266" s="3">
        <f t="shared" si="277"/>
        <v>0.22847510001056393</v>
      </c>
      <c r="P266" s="3">
        <f t="shared" si="277"/>
        <v>0.22847510001056393</v>
      </c>
      <c r="Q266" s="3">
        <f t="shared" si="277"/>
        <v>0.22847510001056393</v>
      </c>
      <c r="R266" s="3">
        <f t="shared" si="277"/>
        <v>0.22847510001056393</v>
      </c>
      <c r="S266" s="3">
        <f t="shared" si="277"/>
        <v>0.22847510001056393</v>
      </c>
      <c r="T266" s="3">
        <f t="shared" si="277"/>
        <v>0.22847510001056393</v>
      </c>
      <c r="U266" s="3">
        <f t="shared" si="277"/>
        <v>0.22847510001056393</v>
      </c>
      <c r="V266" s="3">
        <f t="shared" si="277"/>
        <v>0.22847510001056393</v>
      </c>
      <c r="W266" s="3">
        <f t="shared" si="277"/>
        <v>0.22847510001056393</v>
      </c>
      <c r="X266" s="3">
        <f t="shared" si="277"/>
        <v>0.22847510001056393</v>
      </c>
      <c r="Y266" s="3">
        <f t="shared" si="277"/>
        <v>0.22847510001056393</v>
      </c>
      <c r="Z266" s="3">
        <f t="shared" si="277"/>
        <v>0.22847510001056393</v>
      </c>
      <c r="AA266" s="3">
        <f t="shared" si="277"/>
        <v>0.22847510001056393</v>
      </c>
      <c r="AB266" s="3">
        <f t="shared" si="277"/>
        <v>0.22847510001056393</v>
      </c>
    </row>
    <row r="267" spans="2:28" x14ac:dyDescent="0.3">
      <c r="B267" t="str">
        <f>B232</f>
        <v>Contingency</v>
      </c>
      <c r="F267" s="3">
        <f t="shared" ref="F267:AB267" si="278">F199-F232</f>
        <v>2.0218951027649998</v>
      </c>
      <c r="G267" s="3">
        <f t="shared" si="278"/>
        <v>1.71861083735025</v>
      </c>
      <c r="H267" s="3">
        <f t="shared" si="278"/>
        <v>1.4608192117477126</v>
      </c>
      <c r="I267" s="3">
        <f t="shared" si="278"/>
        <v>1.2416963299855557</v>
      </c>
      <c r="J267" s="3">
        <f t="shared" si="278"/>
        <v>1.0554418804877224</v>
      </c>
      <c r="K267" s="3">
        <f t="shared" si="278"/>
        <v>0.89712559841456407</v>
      </c>
      <c r="L267" s="3">
        <f t="shared" si="278"/>
        <v>0.76255675865237948</v>
      </c>
      <c r="M267" s="3">
        <f t="shared" si="278"/>
        <v>0.64817324485452255</v>
      </c>
      <c r="N267" s="3">
        <f t="shared" si="278"/>
        <v>0.64817324485452255</v>
      </c>
      <c r="O267" s="3">
        <f t="shared" si="278"/>
        <v>0.64817324485452255</v>
      </c>
      <c r="P267" s="3">
        <f t="shared" si="278"/>
        <v>0.64817324485452255</v>
      </c>
      <c r="Q267" s="3">
        <f t="shared" si="278"/>
        <v>0.64817324485452255</v>
      </c>
      <c r="R267" s="3">
        <f t="shared" si="278"/>
        <v>0.64817324485452255</v>
      </c>
      <c r="S267" s="3">
        <f t="shared" si="278"/>
        <v>0.64817324485452255</v>
      </c>
      <c r="T267" s="3">
        <f t="shared" si="278"/>
        <v>0.64817324485452255</v>
      </c>
      <c r="U267" s="3">
        <f t="shared" si="278"/>
        <v>0.64817324485452255</v>
      </c>
      <c r="V267" s="3">
        <f t="shared" si="278"/>
        <v>0.64817324485452255</v>
      </c>
      <c r="W267" s="3">
        <f t="shared" si="278"/>
        <v>0.64817324485452255</v>
      </c>
      <c r="X267" s="3">
        <f t="shared" si="278"/>
        <v>0.64817324485452255</v>
      </c>
      <c r="Y267" s="3">
        <f t="shared" si="278"/>
        <v>0.64817324485452255</v>
      </c>
      <c r="Z267" s="3">
        <f t="shared" si="278"/>
        <v>0.64817324485452255</v>
      </c>
      <c r="AA267" s="3">
        <f t="shared" si="278"/>
        <v>0.64817324485452255</v>
      </c>
      <c r="AB267" s="3">
        <f t="shared" si="278"/>
        <v>0.64817324485452255</v>
      </c>
    </row>
    <row r="268" spans="2:28" x14ac:dyDescent="0.3">
      <c r="B268" t="str">
        <f>B233</f>
        <v>Pre - operating expenses</v>
      </c>
      <c r="F268" s="3">
        <f t="shared" ref="F268:AB268" si="279">F200-F233</f>
        <v>0.46006394507564985</v>
      </c>
      <c r="G268" s="3">
        <f t="shared" si="279"/>
        <v>0.39105435331430238</v>
      </c>
      <c r="H268" s="3">
        <f t="shared" si="279"/>
        <v>0.332396200317157</v>
      </c>
      <c r="I268" s="3">
        <f t="shared" si="279"/>
        <v>0.28253677026958346</v>
      </c>
      <c r="J268" s="3">
        <f t="shared" si="279"/>
        <v>0.24015625472914595</v>
      </c>
      <c r="K268" s="3">
        <f t="shared" si="279"/>
        <v>0.20413281651977405</v>
      </c>
      <c r="L268" s="3">
        <f t="shared" si="279"/>
        <v>0.17351289404180795</v>
      </c>
      <c r="M268" s="3">
        <f t="shared" si="279"/>
        <v>0.14748595993553676</v>
      </c>
      <c r="N268" s="3">
        <f t="shared" si="279"/>
        <v>0.14748595993553676</v>
      </c>
      <c r="O268" s="3">
        <f t="shared" si="279"/>
        <v>0.14748595993553676</v>
      </c>
      <c r="P268" s="3">
        <f t="shared" si="279"/>
        <v>0.14748595993553676</v>
      </c>
      <c r="Q268" s="3">
        <f t="shared" si="279"/>
        <v>0.14748595993553676</v>
      </c>
      <c r="R268" s="3">
        <f t="shared" si="279"/>
        <v>0.14748595993553676</v>
      </c>
      <c r="S268" s="3">
        <f t="shared" si="279"/>
        <v>0.14748595993553676</v>
      </c>
      <c r="T268" s="3">
        <f t="shared" si="279"/>
        <v>0.14748595993553676</v>
      </c>
      <c r="U268" s="3">
        <f t="shared" si="279"/>
        <v>0.14748595993553676</v>
      </c>
      <c r="V268" s="3">
        <f t="shared" si="279"/>
        <v>0.14748595993553676</v>
      </c>
      <c r="W268" s="3">
        <f t="shared" si="279"/>
        <v>0.14748595993553676</v>
      </c>
      <c r="X268" s="3">
        <f t="shared" si="279"/>
        <v>0.14748595993553676</v>
      </c>
      <c r="Y268" s="3">
        <f t="shared" si="279"/>
        <v>0.14748595993553676</v>
      </c>
      <c r="Z268" s="3">
        <f t="shared" si="279"/>
        <v>0.14748595993553676</v>
      </c>
      <c r="AA268" s="3">
        <f t="shared" si="279"/>
        <v>0.14748595993553676</v>
      </c>
      <c r="AB268" s="3">
        <f t="shared" si="279"/>
        <v>0.14748595993553676</v>
      </c>
    </row>
    <row r="269" spans="2:28" x14ac:dyDescent="0.3">
      <c r="B269" t="str">
        <f>B234</f>
        <v>IDC</v>
      </c>
      <c r="F269" s="3">
        <f t="shared" ref="F269:AB270" ca="1" si="280">F201-F234</f>
        <v>2.8922160997249802</v>
      </c>
      <c r="G269" s="3">
        <f t="shared" ca="1" si="280"/>
        <v>2.4583836847665443</v>
      </c>
      <c r="H269" s="3">
        <f t="shared" ca="1" si="280"/>
        <v>2.0896261320513019</v>
      </c>
      <c r="I269" s="3">
        <f t="shared" ca="1" si="280"/>
        <v>1.7761822122433792</v>
      </c>
      <c r="J269" s="3">
        <f t="shared" ca="1" si="280"/>
        <v>1.5097548804068723</v>
      </c>
      <c r="K269" s="3">
        <f t="shared" ca="1" si="280"/>
        <v>1.2832916483461656</v>
      </c>
      <c r="L269" s="3">
        <f t="shared" ca="1" si="280"/>
        <v>1.0907979010941042</v>
      </c>
      <c r="M269" s="3">
        <f t="shared" ca="1" si="280"/>
        <v>0.92717821592987237</v>
      </c>
      <c r="N269" s="3">
        <f t="shared" ca="1" si="280"/>
        <v>0.92717821592987382</v>
      </c>
      <c r="O269" s="3">
        <f t="shared" ca="1" si="280"/>
        <v>0.9271782159298757</v>
      </c>
      <c r="P269" s="3">
        <f t="shared" ca="1" si="280"/>
        <v>0.92717821592975858</v>
      </c>
      <c r="Q269" s="3">
        <f t="shared" ca="1" si="280"/>
        <v>0.92717821592964</v>
      </c>
      <c r="R269" s="3">
        <f t="shared" ca="1" si="280"/>
        <v>0.92717821593010596</v>
      </c>
      <c r="S269" s="3">
        <f t="shared" ca="1" si="280"/>
        <v>0.92717821593010596</v>
      </c>
      <c r="T269" s="3">
        <f t="shared" ca="1" si="280"/>
        <v>0.92717821592998773</v>
      </c>
      <c r="U269" s="3">
        <f t="shared" ca="1" si="280"/>
        <v>0.9271782159299875</v>
      </c>
      <c r="V269" s="3">
        <f t="shared" ca="1" si="280"/>
        <v>0.92717821593010485</v>
      </c>
      <c r="W269" s="3">
        <f t="shared" ca="1" si="280"/>
        <v>0.92717821592998917</v>
      </c>
      <c r="X269" s="3">
        <f t="shared" ca="1" si="280"/>
        <v>0.92717821592987049</v>
      </c>
      <c r="Y269" s="3">
        <f t="shared" ca="1" si="280"/>
        <v>0.92717821592987049</v>
      </c>
      <c r="Z269" s="3">
        <f t="shared" ca="1" si="280"/>
        <v>0.92717821593010474</v>
      </c>
      <c r="AA269" s="3">
        <f t="shared" ca="1" si="280"/>
        <v>0.92717821592998861</v>
      </c>
      <c r="AB269" s="3">
        <f t="shared" ca="1" si="280"/>
        <v>0.92717821592987237</v>
      </c>
    </row>
    <row r="270" spans="2:28" ht="15" thickBot="1" x14ac:dyDescent="0.35">
      <c r="B270" t="s">
        <v>514</v>
      </c>
      <c r="F270" s="3">
        <f t="shared" ca="1" si="280"/>
        <v>0.2290603860143281</v>
      </c>
      <c r="G270" s="3">
        <f ca="1">G202-G235</f>
        <v>0.19470132811218055</v>
      </c>
      <c r="H270" s="3">
        <f t="shared" ca="1" si="280"/>
        <v>0.16549612889535206</v>
      </c>
      <c r="I270" s="3">
        <f t="shared" ca="1" si="280"/>
        <v>0.14067170956104816</v>
      </c>
      <c r="J270" s="3">
        <f t="shared" ca="1" si="280"/>
        <v>0.11957095312689094</v>
      </c>
      <c r="K270" s="3">
        <f t="shared" ca="1" si="280"/>
        <v>0.10163531015785895</v>
      </c>
      <c r="L270" s="3">
        <f t="shared" ca="1" si="280"/>
        <v>8.6390013634179363E-2</v>
      </c>
      <c r="M270" s="3">
        <f t="shared" ca="1" si="280"/>
        <v>7.3431511589051895E-2</v>
      </c>
      <c r="N270" s="3">
        <f t="shared" ca="1" si="280"/>
        <v>7.3431511589051923E-2</v>
      </c>
      <c r="O270" s="3">
        <f t="shared" ca="1" si="280"/>
        <v>7.3431511589051923E-2</v>
      </c>
      <c r="P270" s="3">
        <f t="shared" ca="1" si="280"/>
        <v>7.3431511589051299E-2</v>
      </c>
      <c r="Q270" s="3">
        <f t="shared" ca="1" si="280"/>
        <v>7.343151158905073E-2</v>
      </c>
      <c r="R270" s="3">
        <f t="shared" ca="1" si="280"/>
        <v>7.3431511589053089E-2</v>
      </c>
      <c r="S270" s="3">
        <f t="shared" ca="1" si="280"/>
        <v>7.3431511589053089E-2</v>
      </c>
      <c r="T270" s="3">
        <f t="shared" ca="1" si="280"/>
        <v>7.3431511589052464E-2</v>
      </c>
      <c r="U270" s="3">
        <f t="shared" ca="1" si="280"/>
        <v>7.3431511589052464E-2</v>
      </c>
      <c r="V270" s="3">
        <f t="shared" ca="1" si="280"/>
        <v>7.3431511589053089E-2</v>
      </c>
      <c r="W270" s="3">
        <f t="shared" ca="1" si="280"/>
        <v>7.3431511589052464E-2</v>
      </c>
      <c r="X270" s="3">
        <f t="shared" ca="1" si="280"/>
        <v>7.3431511589051895E-2</v>
      </c>
      <c r="Y270" s="3">
        <f t="shared" ca="1" si="280"/>
        <v>7.3431511589051895E-2</v>
      </c>
      <c r="Z270" s="3">
        <f t="shared" ca="1" si="280"/>
        <v>7.3431511589053089E-2</v>
      </c>
      <c r="AA270" s="3">
        <f t="shared" ca="1" si="280"/>
        <v>7.3431511589052464E-2</v>
      </c>
      <c r="AB270" s="3">
        <f t="shared" ca="1" si="280"/>
        <v>7.3431511589051895E-2</v>
      </c>
    </row>
    <row r="271" spans="2:28" ht="15" thickBot="1" x14ac:dyDescent="0.35">
      <c r="B271" s="7" t="str">
        <f>B236</f>
        <v>Total</v>
      </c>
      <c r="C271" s="11"/>
      <c r="D271" s="11"/>
      <c r="E271" s="11"/>
      <c r="F271" s="9">
        <f ca="1">SUM(F242:F269)</f>
        <v>45.807178409265632</v>
      </c>
      <c r="G271" s="9">
        <f t="shared" ref="G271:AB271" ca="1" si="281">SUM(G242:G269)</f>
        <v>38.931202854276094</v>
      </c>
      <c r="H271" s="9">
        <f t="shared" ca="1" si="281"/>
        <v>33.086623632534419</v>
      </c>
      <c r="I271" s="9">
        <f t="shared" ca="1" si="281"/>
        <v>28.118731294054037</v>
      </c>
      <c r="J271" s="9">
        <f t="shared" ca="1" si="281"/>
        <v>23.896022806345933</v>
      </c>
      <c r="K271" s="9">
        <f t="shared" ca="1" si="281"/>
        <v>20.306720591794367</v>
      </c>
      <c r="L271" s="9">
        <f t="shared" ca="1" si="281"/>
        <v>17.25581370942507</v>
      </c>
      <c r="M271" s="9">
        <f t="shared" ca="1" si="281"/>
        <v>14.662542859411197</v>
      </c>
      <c r="N271" s="9">
        <f t="shared" ca="1" si="281"/>
        <v>14.662542859411198</v>
      </c>
      <c r="O271" s="9">
        <f t="shared" ca="1" si="281"/>
        <v>14.6625428594112</v>
      </c>
      <c r="P271" s="9">
        <f t="shared" ca="1" si="281"/>
        <v>14.662542859411083</v>
      </c>
      <c r="Q271" s="9">
        <f t="shared" ca="1" si="281"/>
        <v>14.662542859410964</v>
      </c>
      <c r="R271" s="9">
        <f t="shared" ca="1" si="281"/>
        <v>14.662542859411429</v>
      </c>
      <c r="S271" s="9">
        <f t="shared" ca="1" si="281"/>
        <v>14.662542859411429</v>
      </c>
      <c r="T271" s="9">
        <f t="shared" ca="1" si="281"/>
        <v>14.662542859411312</v>
      </c>
      <c r="U271" s="9">
        <f t="shared" ca="1" si="281"/>
        <v>14.662542859411312</v>
      </c>
      <c r="V271" s="9">
        <f t="shared" ca="1" si="281"/>
        <v>14.662542859411429</v>
      </c>
      <c r="W271" s="9">
        <f t="shared" ca="1" si="281"/>
        <v>14.662542859411314</v>
      </c>
      <c r="X271" s="9">
        <f t="shared" ca="1" si="281"/>
        <v>14.662542859411195</v>
      </c>
      <c r="Y271" s="9">
        <f t="shared" ca="1" si="281"/>
        <v>14.662542859411195</v>
      </c>
      <c r="Z271" s="9">
        <f t="shared" ca="1" si="281"/>
        <v>14.662542859411429</v>
      </c>
      <c r="AA271" s="9">
        <f t="shared" ca="1" si="281"/>
        <v>14.662542859411312</v>
      </c>
      <c r="AB271" s="10">
        <f t="shared" ca="1" si="281"/>
        <v>14.662542859411197</v>
      </c>
    </row>
    <row r="278" spans="2:3" x14ac:dyDescent="0.3">
      <c r="B278" t="s">
        <v>459</v>
      </c>
      <c r="C278" s="37">
        <f>G40</f>
        <v>47692031.769600004</v>
      </c>
    </row>
    <row r="279" spans="2:3" x14ac:dyDescent="0.3">
      <c r="B279" t="s">
        <v>461</v>
      </c>
      <c r="C279" s="2">
        <f>3.5*10^7*1.18*95%/304</f>
        <v>129062.5</v>
      </c>
    </row>
    <row r="280" spans="2:3" x14ac:dyDescent="0.3">
      <c r="B280" t="s">
        <v>460</v>
      </c>
      <c r="C280" s="37">
        <f ca="1">F113*10^7</f>
        <v>68610322.681468189</v>
      </c>
    </row>
    <row r="281" spans="2:3" x14ac:dyDescent="0.3">
      <c r="B281" t="s">
        <v>462</v>
      </c>
      <c r="C281" s="37">
        <f>F6*10^7</f>
        <v>18054000</v>
      </c>
    </row>
    <row r="282" spans="2:3" x14ac:dyDescent="0.3">
      <c r="B282" t="s">
        <v>463</v>
      </c>
      <c r="C282" s="2">
        <f>4.5*10^5*8*95%/15</f>
        <v>228000</v>
      </c>
    </row>
    <row r="283" spans="2:3" x14ac:dyDescent="0.3">
      <c r="B283" t="s">
        <v>51</v>
      </c>
      <c r="C283" s="37">
        <f>F16*10^7</f>
        <v>5208000</v>
      </c>
    </row>
    <row r="284" spans="2:3" x14ac:dyDescent="0.3">
      <c r="B284" t="s">
        <v>165</v>
      </c>
      <c r="C284" s="37">
        <f>F25*10^7</f>
        <v>25020660</v>
      </c>
    </row>
    <row r="285" spans="2:3" x14ac:dyDescent="0.3">
      <c r="C285" s="37"/>
    </row>
    <row r="286" spans="2:3" x14ac:dyDescent="0.3">
      <c r="C286" s="37">
        <f ca="1">SUM(C278:C285)</f>
        <v>164942076.95106819</v>
      </c>
    </row>
    <row r="287" spans="2:3" x14ac:dyDescent="0.3">
      <c r="C287" s="3">
        <f ca="1">C286/8928</f>
        <v>18474.694998999574</v>
      </c>
    </row>
    <row r="288" spans="2:3" x14ac:dyDescent="0.3">
      <c r="C288" s="3">
        <f ca="1">C287/365</f>
        <v>50.615602736985132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8A0F-6171-465D-9B94-D983E9740DD2}">
  <dimension ref="B2:I40"/>
  <sheetViews>
    <sheetView zoomScale="80" zoomScaleNormal="80" workbookViewId="0">
      <selection activeCell="G30" sqref="G30"/>
    </sheetView>
  </sheetViews>
  <sheetFormatPr defaultRowHeight="14.4" x14ac:dyDescent="0.3"/>
  <cols>
    <col min="2" max="2" width="30.44140625" bestFit="1" customWidth="1"/>
    <col min="4" max="4" width="14.88671875" bestFit="1" customWidth="1"/>
    <col min="5" max="5" width="16.33203125" bestFit="1" customWidth="1"/>
    <col min="6" max="6" width="13.88671875" bestFit="1" customWidth="1"/>
    <col min="7" max="7" width="15.21875" bestFit="1" customWidth="1"/>
  </cols>
  <sheetData>
    <row r="2" spans="2:7" x14ac:dyDescent="0.3">
      <c r="B2" s="282" t="s">
        <v>77</v>
      </c>
      <c r="C2" s="282" t="s">
        <v>103</v>
      </c>
      <c r="D2" s="282" t="s">
        <v>67</v>
      </c>
      <c r="E2" s="282" t="s">
        <v>52</v>
      </c>
      <c r="F2" s="282" t="s">
        <v>47</v>
      </c>
      <c r="G2" s="282" t="s">
        <v>2</v>
      </c>
    </row>
    <row r="3" spans="2:7" x14ac:dyDescent="0.3">
      <c r="B3" s="283" t="s">
        <v>101</v>
      </c>
      <c r="C3" s="283"/>
      <c r="D3" s="284"/>
      <c r="E3" s="284">
        <f>SUM(E4:E11)</f>
        <v>306000000</v>
      </c>
      <c r="F3" s="284">
        <f>SUM(F4:F11)</f>
        <v>55079999.999999993</v>
      </c>
      <c r="G3" s="285">
        <f>E3+F3</f>
        <v>361080000</v>
      </c>
    </row>
    <row r="4" spans="2:7" x14ac:dyDescent="0.3">
      <c r="B4" s="286" t="s">
        <v>106</v>
      </c>
      <c r="C4" s="259">
        <v>8928</v>
      </c>
      <c r="D4" s="287">
        <v>14278</v>
      </c>
      <c r="E4" s="287">
        <f>D4*C4</f>
        <v>127473984</v>
      </c>
      <c r="F4" s="288">
        <f>E4*0.18</f>
        <v>22945317.119999997</v>
      </c>
      <c r="G4" s="288">
        <f>E4+F4</f>
        <v>150419301.12</v>
      </c>
    </row>
    <row r="5" spans="2:7" x14ac:dyDescent="0.3">
      <c r="B5" s="286" t="s">
        <v>107</v>
      </c>
      <c r="C5" s="259">
        <v>50</v>
      </c>
      <c r="D5" s="287">
        <v>240000</v>
      </c>
      <c r="E5" s="287">
        <f t="shared" ref="E5:E10" si="0">D5*C5</f>
        <v>12000000</v>
      </c>
      <c r="F5" s="288">
        <f t="shared" ref="F5:F11" si="1">E5*0.18</f>
        <v>2160000</v>
      </c>
      <c r="G5" s="288">
        <f t="shared" ref="G5:G11" si="2">E5+F5</f>
        <v>14160000</v>
      </c>
    </row>
    <row r="6" spans="2:7" x14ac:dyDescent="0.3">
      <c r="B6" s="286" t="s">
        <v>108</v>
      </c>
      <c r="C6" s="259">
        <v>20</v>
      </c>
      <c r="D6" s="287">
        <v>2765000</v>
      </c>
      <c r="E6" s="287">
        <f t="shared" si="0"/>
        <v>55300000</v>
      </c>
      <c r="F6" s="288">
        <f t="shared" si="1"/>
        <v>9954000</v>
      </c>
      <c r="G6" s="288">
        <f t="shared" si="2"/>
        <v>65254000</v>
      </c>
    </row>
    <row r="7" spans="2:7" x14ac:dyDescent="0.3">
      <c r="B7" s="286" t="s">
        <v>109</v>
      </c>
      <c r="C7" s="259">
        <v>4</v>
      </c>
      <c r="D7" s="287">
        <v>3362696</v>
      </c>
      <c r="E7" s="287">
        <f t="shared" si="0"/>
        <v>13450784</v>
      </c>
      <c r="F7" s="288">
        <f t="shared" si="1"/>
        <v>2421141.12</v>
      </c>
      <c r="G7" s="288">
        <f t="shared" si="2"/>
        <v>15871925.120000001</v>
      </c>
    </row>
    <row r="8" spans="2:7" x14ac:dyDescent="0.3">
      <c r="B8" s="286" t="s">
        <v>110</v>
      </c>
      <c r="C8" s="259">
        <v>50</v>
      </c>
      <c r="D8" s="287">
        <v>298000</v>
      </c>
      <c r="E8" s="287">
        <f t="shared" si="0"/>
        <v>14900000</v>
      </c>
      <c r="F8" s="288">
        <f t="shared" si="1"/>
        <v>2682000</v>
      </c>
      <c r="G8" s="288">
        <f t="shared" si="2"/>
        <v>17582000</v>
      </c>
    </row>
    <row r="9" spans="2:7" x14ac:dyDescent="0.3">
      <c r="B9" s="286" t="s">
        <v>111</v>
      </c>
      <c r="C9" s="259">
        <v>2</v>
      </c>
      <c r="D9" s="287">
        <v>1400000</v>
      </c>
      <c r="E9" s="287">
        <f t="shared" si="0"/>
        <v>2800000</v>
      </c>
      <c r="F9" s="288">
        <f t="shared" si="1"/>
        <v>504000</v>
      </c>
      <c r="G9" s="288">
        <f t="shared" si="2"/>
        <v>3304000</v>
      </c>
    </row>
    <row r="10" spans="2:7" x14ac:dyDescent="0.3">
      <c r="B10" s="286" t="s">
        <v>112</v>
      </c>
      <c r="C10" s="259">
        <f>C4</f>
        <v>8928</v>
      </c>
      <c r="D10" s="287">
        <v>9000</v>
      </c>
      <c r="E10" s="287">
        <f t="shared" si="0"/>
        <v>80352000</v>
      </c>
      <c r="F10" s="288">
        <f t="shared" si="1"/>
        <v>14463360</v>
      </c>
      <c r="G10" s="288">
        <f t="shared" si="2"/>
        <v>94815360</v>
      </c>
    </row>
    <row r="11" spans="2:7" x14ac:dyDescent="0.3">
      <c r="B11" s="286" t="s">
        <v>113</v>
      </c>
      <c r="C11" s="259"/>
      <c r="D11" s="287"/>
      <c r="E11" s="287">
        <v>-276768</v>
      </c>
      <c r="F11" s="288">
        <f t="shared" si="1"/>
        <v>-49818.239999999998</v>
      </c>
      <c r="G11" s="288">
        <f t="shared" si="2"/>
        <v>-326586.23999999999</v>
      </c>
    </row>
    <row r="12" spans="2:7" x14ac:dyDescent="0.3">
      <c r="B12" s="283" t="s">
        <v>498</v>
      </c>
      <c r="C12" s="284"/>
      <c r="D12" s="284"/>
      <c r="E12" s="284">
        <f>SUM(E13:E23)</f>
        <v>75737500</v>
      </c>
      <c r="F12" s="284">
        <f>SUM(F13:F23)</f>
        <v>13632750</v>
      </c>
      <c r="G12" s="284">
        <f>E12+F12</f>
        <v>89370250</v>
      </c>
    </row>
    <row r="13" spans="2:7" x14ac:dyDescent="0.3">
      <c r="B13" s="289" t="s">
        <v>499</v>
      </c>
      <c r="C13" s="259"/>
      <c r="D13" s="287"/>
      <c r="E13" s="287">
        <v>13500000</v>
      </c>
      <c r="F13" s="290">
        <f>E13*0.18</f>
        <v>2430000</v>
      </c>
      <c r="G13" s="288">
        <f>F13+E13</f>
        <v>15930000</v>
      </c>
    </row>
    <row r="14" spans="2:7" x14ac:dyDescent="0.3">
      <c r="B14" s="289" t="s">
        <v>500</v>
      </c>
      <c r="C14" s="259"/>
      <c r="D14" s="287"/>
      <c r="E14" s="287">
        <v>4500000</v>
      </c>
      <c r="F14" s="290">
        <f t="shared" ref="F14:F23" si="3">E14*0.18</f>
        <v>810000</v>
      </c>
      <c r="G14" s="288">
        <f t="shared" ref="G14:G24" si="4">F14+E14</f>
        <v>5310000</v>
      </c>
    </row>
    <row r="15" spans="2:7" x14ac:dyDescent="0.3">
      <c r="B15" s="289" t="s">
        <v>501</v>
      </c>
      <c r="C15" s="259"/>
      <c r="D15" s="287"/>
      <c r="E15" s="287">
        <v>30000000</v>
      </c>
      <c r="F15" s="290">
        <f t="shared" si="3"/>
        <v>5400000</v>
      </c>
      <c r="G15" s="288">
        <f t="shared" si="4"/>
        <v>35400000</v>
      </c>
    </row>
    <row r="16" spans="2:7" x14ac:dyDescent="0.3">
      <c r="B16" s="289" t="s">
        <v>502</v>
      </c>
      <c r="C16" s="259"/>
      <c r="D16" s="287"/>
      <c r="E16" s="287">
        <v>1250000</v>
      </c>
      <c r="F16" s="290">
        <f t="shared" si="3"/>
        <v>225000</v>
      </c>
      <c r="G16" s="288">
        <f t="shared" si="4"/>
        <v>1475000</v>
      </c>
    </row>
    <row r="17" spans="2:8" x14ac:dyDescent="0.3">
      <c r="B17" s="289" t="s">
        <v>503</v>
      </c>
      <c r="C17" s="259"/>
      <c r="D17" s="287"/>
      <c r="E17" s="287">
        <v>21000000</v>
      </c>
      <c r="F17" s="290">
        <f t="shared" si="3"/>
        <v>3780000</v>
      </c>
      <c r="G17" s="288">
        <f t="shared" si="4"/>
        <v>24780000</v>
      </c>
    </row>
    <row r="18" spans="2:8" x14ac:dyDescent="0.3">
      <c r="B18" s="289" t="s">
        <v>504</v>
      </c>
      <c r="C18" s="259"/>
      <c r="D18" s="287"/>
      <c r="E18" s="287">
        <v>600000</v>
      </c>
      <c r="F18" s="290">
        <f t="shared" si="3"/>
        <v>108000</v>
      </c>
      <c r="G18" s="288">
        <f t="shared" si="4"/>
        <v>708000</v>
      </c>
    </row>
    <row r="19" spans="2:8" x14ac:dyDescent="0.3">
      <c r="B19" s="289" t="s">
        <v>505</v>
      </c>
      <c r="C19" s="259"/>
      <c r="D19" s="287"/>
      <c r="E19" s="287">
        <v>487500</v>
      </c>
      <c r="F19" s="290">
        <f t="shared" si="3"/>
        <v>87750</v>
      </c>
      <c r="G19" s="288">
        <f t="shared" si="4"/>
        <v>575250</v>
      </c>
    </row>
    <row r="20" spans="2:8" x14ac:dyDescent="0.3">
      <c r="B20" s="289" t="s">
        <v>506</v>
      </c>
      <c r="C20" s="259"/>
      <c r="D20" s="287"/>
      <c r="E20" s="287">
        <v>720000</v>
      </c>
      <c r="F20" s="290">
        <f t="shared" si="3"/>
        <v>129600</v>
      </c>
      <c r="G20" s="288">
        <f t="shared" si="4"/>
        <v>849600</v>
      </c>
    </row>
    <row r="21" spans="2:8" x14ac:dyDescent="0.3">
      <c r="B21" s="289" t="s">
        <v>507</v>
      </c>
      <c r="C21" s="259"/>
      <c r="D21" s="287"/>
      <c r="E21" s="287">
        <v>1600000</v>
      </c>
      <c r="F21" s="290">
        <f t="shared" si="3"/>
        <v>288000</v>
      </c>
      <c r="G21" s="288">
        <f t="shared" si="4"/>
        <v>1888000</v>
      </c>
    </row>
    <row r="22" spans="2:8" x14ac:dyDescent="0.3">
      <c r="B22" s="289" t="s">
        <v>508</v>
      </c>
      <c r="C22" s="259"/>
      <c r="D22" s="287"/>
      <c r="E22" s="287">
        <v>880000</v>
      </c>
      <c r="F22" s="290">
        <f t="shared" si="3"/>
        <v>158400</v>
      </c>
      <c r="G22" s="288">
        <f t="shared" si="4"/>
        <v>1038400</v>
      </c>
    </row>
    <row r="23" spans="2:8" x14ac:dyDescent="0.3">
      <c r="B23" s="289" t="s">
        <v>509</v>
      </c>
      <c r="C23" s="259"/>
      <c r="D23" s="287"/>
      <c r="E23" s="287">
        <v>1200000</v>
      </c>
      <c r="F23" s="290">
        <f t="shared" si="3"/>
        <v>216000</v>
      </c>
      <c r="G23" s="288">
        <f t="shared" si="4"/>
        <v>1416000</v>
      </c>
    </row>
    <row r="24" spans="2:8" x14ac:dyDescent="0.3">
      <c r="B24" s="283" t="s">
        <v>510</v>
      </c>
      <c r="C24" s="284"/>
      <c r="D24" s="284"/>
      <c r="E24" s="294">
        <v>14326335</v>
      </c>
      <c r="F24" s="284">
        <f>E24*0.18</f>
        <v>2578740.2999999998</v>
      </c>
      <c r="G24" s="284">
        <f t="shared" si="4"/>
        <v>16905075.300000001</v>
      </c>
    </row>
    <row r="25" spans="2:8" x14ac:dyDescent="0.3">
      <c r="B25" s="283" t="s">
        <v>511</v>
      </c>
      <c r="C25" s="284"/>
      <c r="D25" s="284"/>
      <c r="E25" s="284"/>
      <c r="F25" s="284"/>
      <c r="G25" s="284"/>
    </row>
    <row r="26" spans="2:8" x14ac:dyDescent="0.3">
      <c r="B26" s="283" t="s">
        <v>512</v>
      </c>
      <c r="C26" s="284"/>
      <c r="D26" s="284"/>
      <c r="E26" s="284"/>
      <c r="F26" s="284"/>
      <c r="G26" s="284"/>
    </row>
    <row r="27" spans="2:8" x14ac:dyDescent="0.3">
      <c r="B27" s="283" t="s">
        <v>513</v>
      </c>
      <c r="C27" s="284"/>
      <c r="D27" s="284"/>
      <c r="E27" s="284"/>
      <c r="F27" s="284"/>
      <c r="G27" s="284"/>
    </row>
    <row r="28" spans="2:8" x14ac:dyDescent="0.3">
      <c r="B28" s="283" t="s">
        <v>102</v>
      </c>
      <c r="C28" s="283">
        <v>8</v>
      </c>
      <c r="D28" s="284">
        <v>429544</v>
      </c>
      <c r="E28" s="284">
        <f>C28*D28</f>
        <v>3436352</v>
      </c>
      <c r="F28" s="285">
        <f>E28*0.18</f>
        <v>618543.35999999999</v>
      </c>
      <c r="G28" s="284">
        <f>(D28+F28)*C28</f>
        <v>8384698.8799999999</v>
      </c>
    </row>
    <row r="29" spans="2:8" x14ac:dyDescent="0.3">
      <c r="B29" s="283" t="s">
        <v>23</v>
      </c>
      <c r="C29" s="291">
        <v>0.05</v>
      </c>
      <c r="D29" s="284"/>
      <c r="E29" s="284"/>
      <c r="F29" s="285"/>
      <c r="G29" s="284">
        <f>C29*SUM(G12,G3,G24,G28)</f>
        <v>23787001.209000003</v>
      </c>
    </row>
    <row r="30" spans="2:8" x14ac:dyDescent="0.3">
      <c r="B30" s="283" t="s">
        <v>104</v>
      </c>
      <c r="C30" s="292"/>
      <c r="D30" s="292"/>
      <c r="E30" s="292"/>
      <c r="F30" s="292"/>
      <c r="G30" s="284">
        <f>'Pre - operating expense'!H11</f>
        <v>5412517.0008899998</v>
      </c>
    </row>
    <row r="31" spans="2:8" x14ac:dyDescent="0.3">
      <c r="B31" s="283" t="s">
        <v>36</v>
      </c>
      <c r="C31" s="292"/>
      <c r="D31" s="292"/>
      <c r="E31" s="292"/>
      <c r="F31" s="292"/>
      <c r="G31" s="296">
        <f ca="1">'Term Loan'!A44*10^7</f>
        <v>34026071.761474714</v>
      </c>
      <c r="H31" s="51">
        <f ca="1">G31/G35</f>
        <v>6.2818085112299443E-2</v>
      </c>
    </row>
    <row r="32" spans="2:8" x14ac:dyDescent="0.3">
      <c r="B32" s="283" t="s">
        <v>105</v>
      </c>
      <c r="C32" s="292"/>
      <c r="D32" s="292"/>
      <c r="E32" s="292"/>
      <c r="F32" s="292"/>
      <c r="G32" s="296">
        <f ca="1">0.5%*SUM(G24:G31,G12,G3)</f>
        <v>2694828.0707568233</v>
      </c>
    </row>
    <row r="33" spans="2:9" x14ac:dyDescent="0.3">
      <c r="B33" s="283" t="s">
        <v>71</v>
      </c>
      <c r="C33" s="292"/>
      <c r="D33" s="292"/>
      <c r="E33" s="292"/>
      <c r="F33" s="292"/>
      <c r="G33" s="292"/>
    </row>
    <row r="34" spans="2:9" x14ac:dyDescent="0.3">
      <c r="B34" s="259"/>
      <c r="C34" s="259"/>
      <c r="D34" s="259"/>
      <c r="E34" s="259"/>
      <c r="F34" s="259"/>
      <c r="G34" s="259"/>
    </row>
    <row r="35" spans="2:9" x14ac:dyDescent="0.3">
      <c r="B35" s="283" t="s">
        <v>2</v>
      </c>
      <c r="C35" s="283"/>
      <c r="D35" s="283"/>
      <c r="E35" s="283"/>
      <c r="F35" s="283"/>
      <c r="G35" s="284">
        <f ca="1">G3+G28+G30+G31+G32+G33+G29+G12+G24+G25+G27+G26</f>
        <v>541660442.2221216</v>
      </c>
      <c r="I35" s="3"/>
    </row>
    <row r="36" spans="2:9" x14ac:dyDescent="0.3">
      <c r="B36" s="178"/>
      <c r="G36" s="180"/>
    </row>
    <row r="37" spans="2:9" x14ac:dyDescent="0.3">
      <c r="B37" s="318" t="s">
        <v>129</v>
      </c>
      <c r="C37" s="317"/>
      <c r="D37" s="317"/>
      <c r="E37" s="317"/>
      <c r="F37" s="317"/>
      <c r="G37" s="319"/>
    </row>
    <row r="38" spans="2:9" x14ac:dyDescent="0.3">
      <c r="B38" s="178" t="s">
        <v>37</v>
      </c>
      <c r="D38" s="22">
        <f>Inputs!J6</f>
        <v>1</v>
      </c>
      <c r="G38" s="201">
        <f ca="1">D38*G35</f>
        <v>541660442.2221216</v>
      </c>
    </row>
    <row r="39" spans="2:9" ht="15" thickBot="1" x14ac:dyDescent="0.35">
      <c r="B39" s="178" t="s">
        <v>38</v>
      </c>
      <c r="D39" s="22">
        <f>Inputs!J7</f>
        <v>9.9999999999999998E-13</v>
      </c>
      <c r="G39" s="201">
        <f ca="1">D39*G35</f>
        <v>5.4166044222212157E-4</v>
      </c>
    </row>
    <row r="40" spans="2:9" x14ac:dyDescent="0.3">
      <c r="B40" s="181" t="s">
        <v>2</v>
      </c>
      <c r="C40" s="202"/>
      <c r="D40" s="203">
        <f>SUM(D38:D39)</f>
        <v>1.0000000000010001</v>
      </c>
      <c r="E40" s="202"/>
      <c r="F40" s="202"/>
      <c r="G40" s="204">
        <f ca="1">SUM(G38:G39)</f>
        <v>541660442.22266328</v>
      </c>
    </row>
  </sheetData>
  <mergeCells count="1">
    <mergeCell ref="B37:G3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EA56-1A0D-4E7B-B7F4-6BBE810FA5DE}">
  <dimension ref="B1:H11"/>
  <sheetViews>
    <sheetView workbookViewId="0">
      <selection activeCell="F7" sqref="F7"/>
    </sheetView>
  </sheetViews>
  <sheetFormatPr defaultRowHeight="14.4" x14ac:dyDescent="0.3"/>
  <cols>
    <col min="3" max="3" width="33.33203125" bestFit="1" customWidth="1"/>
    <col min="4" max="4" width="15.44140625" bestFit="1" customWidth="1"/>
    <col min="5" max="5" width="11.6640625" bestFit="1" customWidth="1"/>
    <col min="6" max="6" width="12.33203125" bestFit="1" customWidth="1"/>
    <col min="7" max="7" width="13.21875" bestFit="1" customWidth="1"/>
    <col min="8" max="8" width="12.33203125" bestFit="1" customWidth="1"/>
  </cols>
  <sheetData>
    <row r="1" spans="2:8" ht="15" thickBot="1" x14ac:dyDescent="0.35"/>
    <row r="2" spans="2:8" ht="15" thickBot="1" x14ac:dyDescent="0.35">
      <c r="B2" s="56" t="s">
        <v>76</v>
      </c>
      <c r="C2" s="57" t="s">
        <v>118</v>
      </c>
      <c r="D2" s="57" t="s">
        <v>121</v>
      </c>
      <c r="E2" s="57" t="s">
        <v>119</v>
      </c>
      <c r="F2" s="57" t="s">
        <v>122</v>
      </c>
      <c r="G2" s="57" t="s">
        <v>127</v>
      </c>
      <c r="H2" s="58" t="s">
        <v>48</v>
      </c>
    </row>
    <row r="3" spans="2:8" x14ac:dyDescent="0.3">
      <c r="B3" s="16">
        <v>1</v>
      </c>
      <c r="C3" t="s">
        <v>120</v>
      </c>
      <c r="D3">
        <v>1</v>
      </c>
      <c r="E3" s="67">
        <v>40000</v>
      </c>
      <c r="F3" s="23">
        <f>D3*E3</f>
        <v>40000</v>
      </c>
      <c r="G3">
        <f>Inputs!$G$4</f>
        <v>14</v>
      </c>
      <c r="H3" s="50">
        <f>F3*G3</f>
        <v>560000</v>
      </c>
    </row>
    <row r="4" spans="2:8" x14ac:dyDescent="0.3">
      <c r="B4" s="16">
        <v>2</v>
      </c>
      <c r="C4" t="s">
        <v>123</v>
      </c>
      <c r="D4">
        <v>1</v>
      </c>
      <c r="E4" s="67">
        <v>10000</v>
      </c>
      <c r="F4" s="23">
        <f>D4*E4</f>
        <v>10000</v>
      </c>
      <c r="G4">
        <f>Inputs!$G$4</f>
        <v>14</v>
      </c>
      <c r="H4" s="50">
        <f t="shared" ref="H4:H10" si="0">F4*G4</f>
        <v>140000</v>
      </c>
    </row>
    <row r="5" spans="2:8" x14ac:dyDescent="0.3">
      <c r="B5" s="16">
        <v>3</v>
      </c>
      <c r="C5" t="s">
        <v>124</v>
      </c>
      <c r="D5">
        <v>1</v>
      </c>
      <c r="E5" s="67">
        <v>10000</v>
      </c>
      <c r="F5" s="23">
        <f>D5*E5</f>
        <v>10000</v>
      </c>
      <c r="G5">
        <f>Inputs!$G$4</f>
        <v>14</v>
      </c>
      <c r="H5" s="50">
        <f t="shared" si="0"/>
        <v>140000</v>
      </c>
    </row>
    <row r="6" spans="2:8" x14ac:dyDescent="0.3">
      <c r="B6" s="16">
        <v>4</v>
      </c>
      <c r="C6" t="s">
        <v>125</v>
      </c>
      <c r="D6">
        <v>1</v>
      </c>
      <c r="E6" s="67">
        <v>0</v>
      </c>
      <c r="F6" s="23">
        <v>500000</v>
      </c>
      <c r="G6">
        <v>1</v>
      </c>
      <c r="H6" s="50">
        <f t="shared" si="0"/>
        <v>500000</v>
      </c>
    </row>
    <row r="7" spans="2:8" x14ac:dyDescent="0.3">
      <c r="B7" s="16">
        <v>5</v>
      </c>
      <c r="C7" t="s">
        <v>126</v>
      </c>
      <c r="D7" s="4">
        <v>0.01</v>
      </c>
      <c r="F7" s="38">
        <f>D7*SUM('Project Cost Details'!G3,'Project Cost Details'!G28,'Project Cost Details'!G29)</f>
        <v>3932517.0008899998</v>
      </c>
      <c r="H7" s="68">
        <f>F7</f>
        <v>3932517.0008899998</v>
      </c>
    </row>
    <row r="8" spans="2:8" x14ac:dyDescent="0.3">
      <c r="B8" s="16">
        <v>6</v>
      </c>
      <c r="C8" t="s">
        <v>68</v>
      </c>
      <c r="D8">
        <v>1</v>
      </c>
      <c r="E8" s="67">
        <v>10000</v>
      </c>
      <c r="F8" s="23">
        <f t="shared" ref="F8:F10" si="1">D8*E8</f>
        <v>10000</v>
      </c>
      <c r="G8">
        <f>Inputs!$G$4</f>
        <v>14</v>
      </c>
      <c r="H8" s="50">
        <f t="shared" si="0"/>
        <v>140000</v>
      </c>
    </row>
    <row r="9" spans="2:8" x14ac:dyDescent="0.3">
      <c r="B9" s="16"/>
      <c r="F9" s="23">
        <f t="shared" si="1"/>
        <v>0</v>
      </c>
      <c r="G9">
        <f>Inputs!$G$4</f>
        <v>14</v>
      </c>
      <c r="H9" s="50">
        <f t="shared" si="0"/>
        <v>0</v>
      </c>
    </row>
    <row r="10" spans="2:8" ht="15" thickBot="1" x14ac:dyDescent="0.35">
      <c r="B10" s="16"/>
      <c r="F10" s="23">
        <f t="shared" si="1"/>
        <v>0</v>
      </c>
      <c r="G10">
        <f>Inputs!$G$4</f>
        <v>14</v>
      </c>
      <c r="H10" s="50">
        <f t="shared" si="0"/>
        <v>0</v>
      </c>
    </row>
    <row r="11" spans="2:8" ht="15" thickBot="1" x14ac:dyDescent="0.35">
      <c r="B11" s="26"/>
      <c r="C11" s="57" t="s">
        <v>2</v>
      </c>
      <c r="D11" s="57"/>
      <c r="E11" s="57"/>
      <c r="F11" s="87">
        <f>SUM(F3:F10)</f>
        <v>4502517.0008899998</v>
      </c>
      <c r="G11" s="57"/>
      <c r="H11" s="88">
        <f>SUM(H3:H10)</f>
        <v>5412517.0008899998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8AB5-4A92-47E6-A3E7-E343CBBB1DA8}">
  <dimension ref="A2:AG30"/>
  <sheetViews>
    <sheetView zoomScale="60" zoomScaleNormal="60" workbookViewId="0">
      <selection activeCell="C28" sqref="C28"/>
    </sheetView>
  </sheetViews>
  <sheetFormatPr defaultRowHeight="14.4" x14ac:dyDescent="0.3"/>
  <cols>
    <col min="2" max="2" width="15.109375" bestFit="1" customWidth="1"/>
    <col min="4" max="33" width="13.6640625" bestFit="1" customWidth="1"/>
  </cols>
  <sheetData>
    <row r="2" spans="2:33" x14ac:dyDescent="0.3">
      <c r="B2" t="s">
        <v>20</v>
      </c>
      <c r="C2">
        <v>0</v>
      </c>
      <c r="D2">
        <v>1</v>
      </c>
      <c r="E2">
        <f>D2+1</f>
        <v>2</v>
      </c>
      <c r="F2">
        <f t="shared" ref="F2:AG2" si="0">E2+1</f>
        <v>3</v>
      </c>
      <c r="G2">
        <f t="shared" si="0"/>
        <v>4</v>
      </c>
      <c r="H2">
        <f t="shared" si="0"/>
        <v>5</v>
      </c>
      <c r="I2">
        <f t="shared" si="0"/>
        <v>6</v>
      </c>
      <c r="J2">
        <f t="shared" si="0"/>
        <v>7</v>
      </c>
      <c r="K2">
        <f t="shared" si="0"/>
        <v>8</v>
      </c>
      <c r="L2">
        <f t="shared" si="0"/>
        <v>9</v>
      </c>
      <c r="M2">
        <f t="shared" si="0"/>
        <v>10</v>
      </c>
      <c r="N2">
        <f t="shared" si="0"/>
        <v>11</v>
      </c>
      <c r="O2">
        <f t="shared" si="0"/>
        <v>12</v>
      </c>
      <c r="P2">
        <f t="shared" si="0"/>
        <v>13</v>
      </c>
      <c r="Q2">
        <f t="shared" si="0"/>
        <v>14</v>
      </c>
      <c r="R2">
        <f t="shared" si="0"/>
        <v>15</v>
      </c>
      <c r="S2">
        <f t="shared" si="0"/>
        <v>16</v>
      </c>
      <c r="T2">
        <f t="shared" si="0"/>
        <v>17</v>
      </c>
      <c r="U2">
        <f t="shared" si="0"/>
        <v>18</v>
      </c>
      <c r="V2">
        <f t="shared" si="0"/>
        <v>19</v>
      </c>
      <c r="W2">
        <f t="shared" si="0"/>
        <v>20</v>
      </c>
      <c r="X2">
        <f t="shared" si="0"/>
        <v>21</v>
      </c>
      <c r="Y2">
        <f t="shared" si="0"/>
        <v>22</v>
      </c>
      <c r="Z2">
        <f t="shared" si="0"/>
        <v>23</v>
      </c>
      <c r="AA2">
        <f t="shared" si="0"/>
        <v>24</v>
      </c>
      <c r="AB2">
        <f t="shared" si="0"/>
        <v>25</v>
      </c>
      <c r="AC2">
        <f t="shared" si="0"/>
        <v>26</v>
      </c>
      <c r="AD2">
        <f t="shared" si="0"/>
        <v>27</v>
      </c>
      <c r="AE2">
        <f t="shared" si="0"/>
        <v>28</v>
      </c>
      <c r="AF2">
        <f t="shared" si="0"/>
        <v>29</v>
      </c>
      <c r="AG2">
        <f t="shared" si="0"/>
        <v>30</v>
      </c>
    </row>
    <row r="3" spans="2:33" x14ac:dyDescent="0.3">
      <c r="B3" t="s">
        <v>1</v>
      </c>
      <c r="C3">
        <f>3.85*1.18</f>
        <v>4.5430000000000001</v>
      </c>
    </row>
    <row r="4" spans="2:33" x14ac:dyDescent="0.3">
      <c r="B4" t="s">
        <v>23</v>
      </c>
      <c r="C4">
        <f>C3*2%</f>
        <v>9.086000000000001E-2</v>
      </c>
    </row>
    <row r="5" spans="2:33" x14ac:dyDescent="0.3">
      <c r="B5" t="s">
        <v>464</v>
      </c>
      <c r="C5">
        <f>C3*0.5%</f>
        <v>2.2715000000000003E-2</v>
      </c>
    </row>
    <row r="6" spans="2:33" x14ac:dyDescent="0.3">
      <c r="B6" t="s">
        <v>48</v>
      </c>
      <c r="C6">
        <f>SUM(C2:C5)</f>
        <v>4.6565750000000001</v>
      </c>
    </row>
    <row r="8" spans="2:33" x14ac:dyDescent="0.3">
      <c r="B8" t="s">
        <v>466</v>
      </c>
      <c r="C8" t="s">
        <v>66</v>
      </c>
      <c r="D8" s="3">
        <f>Inputs!$N$15</f>
        <v>248395.9988</v>
      </c>
      <c r="E8" s="3">
        <f>Inputs!$N$15</f>
        <v>248395.9988</v>
      </c>
      <c r="F8" s="3">
        <f>Inputs!$N$15</f>
        <v>248395.9988</v>
      </c>
      <c r="G8" s="3">
        <f>Inputs!$N$15</f>
        <v>248395.9988</v>
      </c>
      <c r="H8" s="3">
        <f>Inputs!$N$15</f>
        <v>248395.9988</v>
      </c>
      <c r="I8" s="3">
        <f>Inputs!$N$15</f>
        <v>248395.9988</v>
      </c>
      <c r="J8" s="3">
        <f>Inputs!$N$15</f>
        <v>248395.9988</v>
      </c>
      <c r="K8" s="3">
        <f>Inputs!$N$15</f>
        <v>248395.9988</v>
      </c>
      <c r="L8" s="3">
        <f>Inputs!$N$15</f>
        <v>248395.9988</v>
      </c>
      <c r="M8" s="3">
        <f>Inputs!$N$15</f>
        <v>248395.9988</v>
      </c>
      <c r="N8" s="3">
        <f>Inputs!$N$15</f>
        <v>248395.9988</v>
      </c>
      <c r="O8" s="3">
        <f>Inputs!$N$15</f>
        <v>248395.9988</v>
      </c>
      <c r="P8" s="3">
        <f>Inputs!$N$15</f>
        <v>248395.9988</v>
      </c>
      <c r="Q8" s="3">
        <f>Inputs!$N$15</f>
        <v>248395.9988</v>
      </c>
      <c r="R8" s="3">
        <f>Inputs!$N$15</f>
        <v>248395.9988</v>
      </c>
      <c r="S8" s="3">
        <f>Inputs!$N$15</f>
        <v>248395.9988</v>
      </c>
      <c r="T8" s="3">
        <f>Inputs!$N$15</f>
        <v>248395.9988</v>
      </c>
      <c r="U8" s="3">
        <f>Inputs!$N$15</f>
        <v>248395.9988</v>
      </c>
      <c r="V8" s="3">
        <f>Inputs!$N$15</f>
        <v>248395.9988</v>
      </c>
      <c r="W8" s="3">
        <f>Inputs!$N$15</f>
        <v>248395.9988</v>
      </c>
      <c r="X8" s="3">
        <f>Inputs!$N$15</f>
        <v>248395.9988</v>
      </c>
      <c r="Y8" s="3">
        <f>Inputs!$N$15</f>
        <v>248395.9988</v>
      </c>
      <c r="Z8" s="3">
        <f>Inputs!$N$15</f>
        <v>248395.9988</v>
      </c>
      <c r="AA8" s="3">
        <f>Inputs!$N$15</f>
        <v>248395.9988</v>
      </c>
      <c r="AB8" s="3">
        <f>Inputs!$N$15</f>
        <v>248395.9988</v>
      </c>
      <c r="AC8" s="3">
        <f>Inputs!$N$15</f>
        <v>248395.9988</v>
      </c>
      <c r="AD8" s="3">
        <f>Inputs!$N$15</f>
        <v>248395.9988</v>
      </c>
      <c r="AE8" s="3">
        <f>Inputs!$N$15</f>
        <v>248395.9988</v>
      </c>
      <c r="AF8" s="3">
        <f>Inputs!$N$15</f>
        <v>248395.9988</v>
      </c>
      <c r="AG8" s="3">
        <f>Inputs!$N$15</f>
        <v>248395.9988</v>
      </c>
    </row>
    <row r="9" spans="2:33" x14ac:dyDescent="0.3">
      <c r="B9" t="s">
        <v>467</v>
      </c>
      <c r="C9">
        <v>45</v>
      </c>
      <c r="D9" s="3">
        <f>D8*$C$9</f>
        <v>11177819.946</v>
      </c>
      <c r="E9" s="3">
        <f t="shared" ref="E9:AG9" si="1">E8*$C$9</f>
        <v>11177819.946</v>
      </c>
      <c r="F9" s="3">
        <f t="shared" si="1"/>
        <v>11177819.946</v>
      </c>
      <c r="G9" s="3">
        <f t="shared" si="1"/>
        <v>11177819.946</v>
      </c>
      <c r="H9" s="3">
        <f t="shared" si="1"/>
        <v>11177819.946</v>
      </c>
      <c r="I9" s="3">
        <f t="shared" si="1"/>
        <v>11177819.946</v>
      </c>
      <c r="J9" s="3">
        <f t="shared" si="1"/>
        <v>11177819.946</v>
      </c>
      <c r="K9" s="3">
        <f t="shared" si="1"/>
        <v>11177819.946</v>
      </c>
      <c r="L9" s="3">
        <f t="shared" si="1"/>
        <v>11177819.946</v>
      </c>
      <c r="M9" s="3">
        <f t="shared" si="1"/>
        <v>11177819.946</v>
      </c>
      <c r="N9" s="3">
        <f t="shared" si="1"/>
        <v>11177819.946</v>
      </c>
      <c r="O9" s="3">
        <f t="shared" si="1"/>
        <v>11177819.946</v>
      </c>
      <c r="P9" s="3">
        <f t="shared" si="1"/>
        <v>11177819.946</v>
      </c>
      <c r="Q9" s="3">
        <f t="shared" si="1"/>
        <v>11177819.946</v>
      </c>
      <c r="R9" s="3">
        <f t="shared" si="1"/>
        <v>11177819.946</v>
      </c>
      <c r="S9" s="3">
        <f t="shared" si="1"/>
        <v>11177819.946</v>
      </c>
      <c r="T9" s="3">
        <f t="shared" si="1"/>
        <v>11177819.946</v>
      </c>
      <c r="U9" s="3">
        <f t="shared" si="1"/>
        <v>11177819.946</v>
      </c>
      <c r="V9" s="3">
        <f t="shared" si="1"/>
        <v>11177819.946</v>
      </c>
      <c r="W9" s="3">
        <f t="shared" si="1"/>
        <v>11177819.946</v>
      </c>
      <c r="X9" s="3">
        <f t="shared" si="1"/>
        <v>11177819.946</v>
      </c>
      <c r="Y9" s="3">
        <f t="shared" si="1"/>
        <v>11177819.946</v>
      </c>
      <c r="Z9" s="3">
        <f t="shared" si="1"/>
        <v>11177819.946</v>
      </c>
      <c r="AA9" s="3">
        <f t="shared" si="1"/>
        <v>11177819.946</v>
      </c>
      <c r="AB9" s="3">
        <f t="shared" si="1"/>
        <v>11177819.946</v>
      </c>
      <c r="AC9" s="3">
        <f t="shared" si="1"/>
        <v>11177819.946</v>
      </c>
      <c r="AD9" s="3">
        <f t="shared" si="1"/>
        <v>11177819.946</v>
      </c>
      <c r="AE9" s="3">
        <f t="shared" si="1"/>
        <v>11177819.946</v>
      </c>
      <c r="AF9" s="3">
        <f t="shared" si="1"/>
        <v>11177819.946</v>
      </c>
      <c r="AG9" s="3">
        <f t="shared" si="1"/>
        <v>11177819.946</v>
      </c>
    </row>
    <row r="10" spans="2:33" x14ac:dyDescent="0.3">
      <c r="B10" t="s">
        <v>2</v>
      </c>
      <c r="D10" s="3">
        <f>D9/10^7</f>
        <v>1.1177819946000001</v>
      </c>
      <c r="E10" s="3">
        <f t="shared" ref="E10:AG10" si="2">E9/10^7</f>
        <v>1.1177819946000001</v>
      </c>
      <c r="F10" s="3">
        <f t="shared" si="2"/>
        <v>1.1177819946000001</v>
      </c>
      <c r="G10" s="3">
        <f t="shared" si="2"/>
        <v>1.1177819946000001</v>
      </c>
      <c r="H10" s="3">
        <f t="shared" si="2"/>
        <v>1.1177819946000001</v>
      </c>
      <c r="I10" s="3">
        <f t="shared" si="2"/>
        <v>1.1177819946000001</v>
      </c>
      <c r="J10" s="3">
        <f t="shared" si="2"/>
        <v>1.1177819946000001</v>
      </c>
      <c r="K10" s="3">
        <f t="shared" si="2"/>
        <v>1.1177819946000001</v>
      </c>
      <c r="L10" s="3">
        <f t="shared" si="2"/>
        <v>1.1177819946000001</v>
      </c>
      <c r="M10" s="3">
        <f t="shared" si="2"/>
        <v>1.1177819946000001</v>
      </c>
      <c r="N10" s="3">
        <f t="shared" si="2"/>
        <v>1.1177819946000001</v>
      </c>
      <c r="O10" s="3">
        <f t="shared" si="2"/>
        <v>1.1177819946000001</v>
      </c>
      <c r="P10" s="3">
        <f t="shared" si="2"/>
        <v>1.1177819946000001</v>
      </c>
      <c r="Q10" s="3">
        <f t="shared" si="2"/>
        <v>1.1177819946000001</v>
      </c>
      <c r="R10" s="3">
        <f t="shared" si="2"/>
        <v>1.1177819946000001</v>
      </c>
      <c r="S10" s="3">
        <f t="shared" si="2"/>
        <v>1.1177819946000001</v>
      </c>
      <c r="T10" s="3">
        <f t="shared" si="2"/>
        <v>1.1177819946000001</v>
      </c>
      <c r="U10" s="3">
        <f t="shared" si="2"/>
        <v>1.1177819946000001</v>
      </c>
      <c r="V10" s="3">
        <f t="shared" si="2"/>
        <v>1.1177819946000001</v>
      </c>
      <c r="W10" s="3">
        <f t="shared" si="2"/>
        <v>1.1177819946000001</v>
      </c>
      <c r="X10" s="3">
        <f t="shared" si="2"/>
        <v>1.1177819946000001</v>
      </c>
      <c r="Y10" s="3">
        <f t="shared" si="2"/>
        <v>1.1177819946000001</v>
      </c>
      <c r="Z10" s="3">
        <f t="shared" si="2"/>
        <v>1.1177819946000001</v>
      </c>
      <c r="AA10" s="3">
        <f t="shared" si="2"/>
        <v>1.1177819946000001</v>
      </c>
      <c r="AB10" s="3">
        <f t="shared" si="2"/>
        <v>1.1177819946000001</v>
      </c>
      <c r="AC10" s="3">
        <f t="shared" si="2"/>
        <v>1.1177819946000001</v>
      </c>
      <c r="AD10" s="3">
        <f t="shared" si="2"/>
        <v>1.1177819946000001</v>
      </c>
      <c r="AE10" s="3">
        <f t="shared" si="2"/>
        <v>1.1177819946000001</v>
      </c>
      <c r="AF10" s="3">
        <f t="shared" si="2"/>
        <v>1.1177819946000001</v>
      </c>
      <c r="AG10" s="3">
        <f t="shared" si="2"/>
        <v>1.1177819946000001</v>
      </c>
    </row>
    <row r="11" spans="2:33" x14ac:dyDescent="0.3">
      <c r="B11" t="s">
        <v>117</v>
      </c>
      <c r="E11" s="22">
        <v>0.05</v>
      </c>
      <c r="F11" s="22">
        <v>0.05</v>
      </c>
      <c r="G11" s="22">
        <v>0.05</v>
      </c>
      <c r="H11" s="22">
        <v>0.05</v>
      </c>
      <c r="I11" s="22">
        <v>0.05</v>
      </c>
      <c r="J11" s="22">
        <v>0.05</v>
      </c>
      <c r="K11" s="22">
        <v>0.05</v>
      </c>
      <c r="L11" s="22">
        <v>0.05</v>
      </c>
      <c r="M11" s="22">
        <v>0.05</v>
      </c>
      <c r="N11" s="22">
        <v>0.05</v>
      </c>
      <c r="O11" s="22">
        <v>0.05</v>
      </c>
      <c r="P11" s="22">
        <v>0.05</v>
      </c>
      <c r="Q11" s="22">
        <v>0.05</v>
      </c>
      <c r="R11" s="22">
        <v>0.05</v>
      </c>
      <c r="S11" s="22">
        <v>0.05</v>
      </c>
      <c r="T11" s="22">
        <v>0.05</v>
      </c>
      <c r="U11" s="22">
        <v>0.05</v>
      </c>
      <c r="V11" s="22">
        <v>0.05</v>
      </c>
      <c r="W11" s="22">
        <v>0.05</v>
      </c>
      <c r="X11" s="22">
        <v>0.05</v>
      </c>
      <c r="Y11" s="22">
        <v>0.05</v>
      </c>
      <c r="Z11" s="22">
        <v>0.05</v>
      </c>
      <c r="AA11" s="22">
        <v>0.05</v>
      </c>
      <c r="AB11" s="22">
        <v>0.05</v>
      </c>
      <c r="AC11" s="22">
        <v>0.05</v>
      </c>
      <c r="AD11" s="22">
        <v>0.05</v>
      </c>
      <c r="AE11" s="22">
        <v>0.05</v>
      </c>
      <c r="AF11" s="22">
        <v>0.05</v>
      </c>
      <c r="AG11" s="22">
        <v>0.05</v>
      </c>
    </row>
    <row r="12" spans="2:33" x14ac:dyDescent="0.3">
      <c r="B12" t="s">
        <v>2</v>
      </c>
      <c r="D12" s="3">
        <f>D10</f>
        <v>1.1177819946000001</v>
      </c>
      <c r="E12" s="3">
        <f>D12*(1+$E$11)</f>
        <v>1.1736710943300002</v>
      </c>
      <c r="F12" s="3">
        <f t="shared" ref="F12:AG12" si="3">E12*(1+$E$11)</f>
        <v>1.2323546490465003</v>
      </c>
      <c r="G12" s="3">
        <f t="shared" si="3"/>
        <v>1.2939723814988253</v>
      </c>
      <c r="H12" s="3">
        <f t="shared" si="3"/>
        <v>1.3586710005737666</v>
      </c>
      <c r="I12" s="3">
        <f t="shared" si="3"/>
        <v>1.4266045506024549</v>
      </c>
      <c r="J12" s="3">
        <f t="shared" si="3"/>
        <v>1.4979347781325778</v>
      </c>
      <c r="K12" s="3">
        <f t="shared" si="3"/>
        <v>1.5728315170392067</v>
      </c>
      <c r="L12" s="3">
        <f t="shared" si="3"/>
        <v>1.6514730928911669</v>
      </c>
      <c r="M12" s="3">
        <f t="shared" si="3"/>
        <v>1.7340467475357253</v>
      </c>
      <c r="N12" s="3">
        <f t="shared" si="3"/>
        <v>1.8207490849125116</v>
      </c>
      <c r="O12" s="3">
        <f t="shared" si="3"/>
        <v>1.9117865391581372</v>
      </c>
      <c r="P12" s="3">
        <f t="shared" si="3"/>
        <v>2.0073758661160443</v>
      </c>
      <c r="Q12" s="3">
        <f t="shared" si="3"/>
        <v>2.1077446594218467</v>
      </c>
      <c r="R12" s="3">
        <f t="shared" si="3"/>
        <v>2.2131318923929393</v>
      </c>
      <c r="S12" s="3">
        <f t="shared" si="3"/>
        <v>2.3237884870125862</v>
      </c>
      <c r="T12" s="3">
        <f t="shared" si="3"/>
        <v>2.4399779113632158</v>
      </c>
      <c r="U12" s="3">
        <f t="shared" si="3"/>
        <v>2.5619768069313769</v>
      </c>
      <c r="V12" s="3">
        <f t="shared" si="3"/>
        <v>2.6900756472779457</v>
      </c>
      <c r="W12" s="3">
        <f t="shared" si="3"/>
        <v>2.8245794296418429</v>
      </c>
      <c r="X12" s="3">
        <f t="shared" si="3"/>
        <v>2.9658084011239354</v>
      </c>
      <c r="Y12" s="3">
        <f t="shared" si="3"/>
        <v>3.1140988211801321</v>
      </c>
      <c r="Z12" s="3">
        <f t="shared" si="3"/>
        <v>3.2698037622391389</v>
      </c>
      <c r="AA12" s="3">
        <f t="shared" si="3"/>
        <v>3.433293950351096</v>
      </c>
      <c r="AB12" s="3">
        <f t="shared" si="3"/>
        <v>3.6049586478686511</v>
      </c>
      <c r="AC12" s="3">
        <f t="shared" si="3"/>
        <v>3.7852065802620838</v>
      </c>
      <c r="AD12" s="3">
        <f t="shared" si="3"/>
        <v>3.9744669092751881</v>
      </c>
      <c r="AE12" s="3">
        <f t="shared" si="3"/>
        <v>4.1731902547389472</v>
      </c>
      <c r="AF12" s="3">
        <f t="shared" si="3"/>
        <v>4.3818497674758952</v>
      </c>
      <c r="AG12" s="3">
        <f t="shared" si="3"/>
        <v>4.6009422558496897</v>
      </c>
    </row>
    <row r="14" spans="2:33" x14ac:dyDescent="0.3">
      <c r="B14" t="s">
        <v>468</v>
      </c>
    </row>
    <row r="15" spans="2:33" x14ac:dyDescent="0.3">
      <c r="B15" t="s">
        <v>465</v>
      </c>
      <c r="D15" s="1">
        <f>$C$6*95%/30</f>
        <v>0.14745820833333331</v>
      </c>
      <c r="E15" s="1">
        <f t="shared" ref="E15:AG15" si="4">$C$6*95%/30</f>
        <v>0.14745820833333331</v>
      </c>
      <c r="F15" s="1">
        <f t="shared" si="4"/>
        <v>0.14745820833333331</v>
      </c>
      <c r="G15" s="1">
        <f t="shared" si="4"/>
        <v>0.14745820833333331</v>
      </c>
      <c r="H15" s="1">
        <f t="shared" si="4"/>
        <v>0.14745820833333331</v>
      </c>
      <c r="I15" s="1">
        <f t="shared" si="4"/>
        <v>0.14745820833333331</v>
      </c>
      <c r="J15" s="1">
        <f t="shared" si="4"/>
        <v>0.14745820833333331</v>
      </c>
      <c r="K15" s="1">
        <f t="shared" si="4"/>
        <v>0.14745820833333331</v>
      </c>
      <c r="L15" s="1">
        <f t="shared" si="4"/>
        <v>0.14745820833333331</v>
      </c>
      <c r="M15" s="1">
        <f t="shared" si="4"/>
        <v>0.14745820833333331</v>
      </c>
      <c r="N15" s="1">
        <f t="shared" si="4"/>
        <v>0.14745820833333331</v>
      </c>
      <c r="O15" s="1">
        <f t="shared" si="4"/>
        <v>0.14745820833333331</v>
      </c>
      <c r="P15" s="1">
        <f t="shared" si="4"/>
        <v>0.14745820833333331</v>
      </c>
      <c r="Q15" s="1">
        <f t="shared" si="4"/>
        <v>0.14745820833333331</v>
      </c>
      <c r="R15" s="1">
        <f t="shared" si="4"/>
        <v>0.14745820833333331</v>
      </c>
      <c r="S15" s="1">
        <f t="shared" si="4"/>
        <v>0.14745820833333331</v>
      </c>
      <c r="T15" s="1">
        <f t="shared" si="4"/>
        <v>0.14745820833333331</v>
      </c>
      <c r="U15" s="1">
        <f t="shared" si="4"/>
        <v>0.14745820833333331</v>
      </c>
      <c r="V15" s="1">
        <f t="shared" si="4"/>
        <v>0.14745820833333331</v>
      </c>
      <c r="W15" s="1">
        <f t="shared" si="4"/>
        <v>0.14745820833333331</v>
      </c>
      <c r="X15" s="1">
        <f t="shared" si="4"/>
        <v>0.14745820833333331</v>
      </c>
      <c r="Y15" s="1">
        <f t="shared" si="4"/>
        <v>0.14745820833333331</v>
      </c>
      <c r="Z15" s="1">
        <f t="shared" si="4"/>
        <v>0.14745820833333331</v>
      </c>
      <c r="AA15" s="1">
        <f t="shared" si="4"/>
        <v>0.14745820833333331</v>
      </c>
      <c r="AB15" s="1">
        <f t="shared" si="4"/>
        <v>0.14745820833333331</v>
      </c>
      <c r="AC15" s="1">
        <f t="shared" si="4"/>
        <v>0.14745820833333331</v>
      </c>
      <c r="AD15" s="1">
        <f t="shared" si="4"/>
        <v>0.14745820833333331</v>
      </c>
      <c r="AE15" s="1">
        <f t="shared" si="4"/>
        <v>0.14745820833333331</v>
      </c>
      <c r="AF15" s="1">
        <f t="shared" si="4"/>
        <v>0.14745820833333331</v>
      </c>
      <c r="AG15" s="1">
        <f t="shared" si="4"/>
        <v>0.14745820833333331</v>
      </c>
    </row>
    <row r="17" spans="1:33" x14ac:dyDescent="0.3">
      <c r="B17" t="s">
        <v>469</v>
      </c>
      <c r="D17" s="3">
        <f>D10-D15</f>
        <v>0.97032378626666671</v>
      </c>
      <c r="E17" s="3">
        <f t="shared" ref="E17:AG17" si="5">E10-E15</f>
        <v>0.97032378626666671</v>
      </c>
      <c r="F17" s="3">
        <f t="shared" si="5"/>
        <v>0.97032378626666671</v>
      </c>
      <c r="G17" s="3">
        <f t="shared" si="5"/>
        <v>0.97032378626666671</v>
      </c>
      <c r="H17" s="3">
        <f t="shared" si="5"/>
        <v>0.97032378626666671</v>
      </c>
      <c r="I17" s="3">
        <f t="shared" si="5"/>
        <v>0.97032378626666671</v>
      </c>
      <c r="J17" s="3">
        <f t="shared" si="5"/>
        <v>0.97032378626666671</v>
      </c>
      <c r="K17" s="3">
        <f t="shared" si="5"/>
        <v>0.97032378626666671</v>
      </c>
      <c r="L17" s="3">
        <f t="shared" si="5"/>
        <v>0.97032378626666671</v>
      </c>
      <c r="M17" s="3">
        <f t="shared" si="5"/>
        <v>0.97032378626666671</v>
      </c>
      <c r="N17" s="3">
        <f t="shared" si="5"/>
        <v>0.97032378626666671</v>
      </c>
      <c r="O17" s="3">
        <f t="shared" si="5"/>
        <v>0.97032378626666671</v>
      </c>
      <c r="P17" s="3">
        <f t="shared" si="5"/>
        <v>0.97032378626666671</v>
      </c>
      <c r="Q17" s="3">
        <f t="shared" si="5"/>
        <v>0.97032378626666671</v>
      </c>
      <c r="R17" s="3">
        <f t="shared" si="5"/>
        <v>0.97032378626666671</v>
      </c>
      <c r="S17" s="3">
        <f t="shared" si="5"/>
        <v>0.97032378626666671</v>
      </c>
      <c r="T17" s="3">
        <f t="shared" si="5"/>
        <v>0.97032378626666671</v>
      </c>
      <c r="U17" s="3">
        <f t="shared" si="5"/>
        <v>0.97032378626666671</v>
      </c>
      <c r="V17" s="3">
        <f t="shared" si="5"/>
        <v>0.97032378626666671</v>
      </c>
      <c r="W17" s="3">
        <f t="shared" si="5"/>
        <v>0.97032378626666671</v>
      </c>
      <c r="X17" s="3">
        <f t="shared" si="5"/>
        <v>0.97032378626666671</v>
      </c>
      <c r="Y17" s="3">
        <f t="shared" si="5"/>
        <v>0.97032378626666671</v>
      </c>
      <c r="Z17" s="3">
        <f t="shared" si="5"/>
        <v>0.97032378626666671</v>
      </c>
      <c r="AA17" s="3">
        <f t="shared" si="5"/>
        <v>0.97032378626666671</v>
      </c>
      <c r="AB17" s="3">
        <f t="shared" si="5"/>
        <v>0.97032378626666671</v>
      </c>
      <c r="AC17" s="3">
        <f t="shared" si="5"/>
        <v>0.97032378626666671</v>
      </c>
      <c r="AD17" s="3">
        <f t="shared" si="5"/>
        <v>0.97032378626666671</v>
      </c>
      <c r="AE17" s="3">
        <f t="shared" si="5"/>
        <v>0.97032378626666671</v>
      </c>
      <c r="AF17" s="3">
        <f t="shared" si="5"/>
        <v>0.97032378626666671</v>
      </c>
      <c r="AG17" s="3">
        <f t="shared" si="5"/>
        <v>0.97032378626666671</v>
      </c>
    </row>
    <row r="19" spans="1:33" x14ac:dyDescent="0.3">
      <c r="B19" t="s">
        <v>212</v>
      </c>
      <c r="D19" s="3">
        <f>D17*25.18%</f>
        <v>0.24432752938194671</v>
      </c>
      <c r="E19" s="3">
        <f t="shared" ref="E19:AG19" si="6">E17*25.18%</f>
        <v>0.24432752938194671</v>
      </c>
      <c r="F19" s="3">
        <f t="shared" si="6"/>
        <v>0.24432752938194671</v>
      </c>
      <c r="G19" s="3">
        <f t="shared" si="6"/>
        <v>0.24432752938194671</v>
      </c>
      <c r="H19" s="3">
        <f t="shared" si="6"/>
        <v>0.24432752938194671</v>
      </c>
      <c r="I19" s="3">
        <f t="shared" si="6"/>
        <v>0.24432752938194671</v>
      </c>
      <c r="J19" s="3">
        <f t="shared" si="6"/>
        <v>0.24432752938194671</v>
      </c>
      <c r="K19" s="3">
        <f t="shared" si="6"/>
        <v>0.24432752938194671</v>
      </c>
      <c r="L19" s="3">
        <f t="shared" si="6"/>
        <v>0.24432752938194671</v>
      </c>
      <c r="M19" s="3">
        <f t="shared" si="6"/>
        <v>0.24432752938194671</v>
      </c>
      <c r="N19" s="3">
        <f t="shared" si="6"/>
        <v>0.24432752938194671</v>
      </c>
      <c r="O19" s="3">
        <f t="shared" si="6"/>
        <v>0.24432752938194671</v>
      </c>
      <c r="P19" s="3">
        <f t="shared" si="6"/>
        <v>0.24432752938194671</v>
      </c>
      <c r="Q19" s="3">
        <f t="shared" si="6"/>
        <v>0.24432752938194671</v>
      </c>
      <c r="R19" s="3">
        <f t="shared" si="6"/>
        <v>0.24432752938194671</v>
      </c>
      <c r="S19" s="3">
        <f t="shared" si="6"/>
        <v>0.24432752938194671</v>
      </c>
      <c r="T19" s="3">
        <f t="shared" si="6"/>
        <v>0.24432752938194671</v>
      </c>
      <c r="U19" s="3">
        <f t="shared" si="6"/>
        <v>0.24432752938194671</v>
      </c>
      <c r="V19" s="3">
        <f t="shared" si="6"/>
        <v>0.24432752938194671</v>
      </c>
      <c r="W19" s="3">
        <f t="shared" si="6"/>
        <v>0.24432752938194671</v>
      </c>
      <c r="X19" s="3">
        <f t="shared" si="6"/>
        <v>0.24432752938194671</v>
      </c>
      <c r="Y19" s="3">
        <f t="shared" si="6"/>
        <v>0.24432752938194671</v>
      </c>
      <c r="Z19" s="3">
        <f t="shared" si="6"/>
        <v>0.24432752938194671</v>
      </c>
      <c r="AA19" s="3">
        <f t="shared" si="6"/>
        <v>0.24432752938194671</v>
      </c>
      <c r="AB19" s="3">
        <f t="shared" si="6"/>
        <v>0.24432752938194671</v>
      </c>
      <c r="AC19" s="3">
        <f t="shared" si="6"/>
        <v>0.24432752938194671</v>
      </c>
      <c r="AD19" s="3">
        <f t="shared" si="6"/>
        <v>0.24432752938194671</v>
      </c>
      <c r="AE19" s="3">
        <f t="shared" si="6"/>
        <v>0.24432752938194671</v>
      </c>
      <c r="AF19" s="3">
        <f t="shared" si="6"/>
        <v>0.24432752938194671</v>
      </c>
      <c r="AG19" s="3">
        <f t="shared" si="6"/>
        <v>0.24432752938194671</v>
      </c>
    </row>
    <row r="21" spans="1:33" x14ac:dyDescent="0.3">
      <c r="B21" t="s">
        <v>64</v>
      </c>
      <c r="D21" s="3">
        <f>D17-D19</f>
        <v>0.72599625688472003</v>
      </c>
      <c r="E21" s="3">
        <f t="shared" ref="E21:AG21" si="7">E17-E19</f>
        <v>0.72599625688472003</v>
      </c>
      <c r="F21" s="3">
        <f t="shared" si="7"/>
        <v>0.72599625688472003</v>
      </c>
      <c r="G21" s="3">
        <f t="shared" si="7"/>
        <v>0.72599625688472003</v>
      </c>
      <c r="H21" s="3">
        <f t="shared" si="7"/>
        <v>0.72599625688472003</v>
      </c>
      <c r="I21" s="3">
        <f t="shared" si="7"/>
        <v>0.72599625688472003</v>
      </c>
      <c r="J21" s="3">
        <f t="shared" si="7"/>
        <v>0.72599625688472003</v>
      </c>
      <c r="K21" s="3">
        <f t="shared" si="7"/>
        <v>0.72599625688472003</v>
      </c>
      <c r="L21" s="3">
        <f t="shared" si="7"/>
        <v>0.72599625688472003</v>
      </c>
      <c r="M21" s="3">
        <f t="shared" si="7"/>
        <v>0.72599625688472003</v>
      </c>
      <c r="N21" s="3">
        <f t="shared" si="7"/>
        <v>0.72599625688472003</v>
      </c>
      <c r="O21" s="3">
        <f t="shared" si="7"/>
        <v>0.72599625688472003</v>
      </c>
      <c r="P21" s="3">
        <f t="shared" si="7"/>
        <v>0.72599625688472003</v>
      </c>
      <c r="Q21" s="3">
        <f t="shared" si="7"/>
        <v>0.72599625688472003</v>
      </c>
      <c r="R21" s="3">
        <f t="shared" si="7"/>
        <v>0.72599625688472003</v>
      </c>
      <c r="S21" s="3">
        <f t="shared" si="7"/>
        <v>0.72599625688472003</v>
      </c>
      <c r="T21" s="3">
        <f t="shared" si="7"/>
        <v>0.72599625688472003</v>
      </c>
      <c r="U21" s="3">
        <f t="shared" si="7"/>
        <v>0.72599625688472003</v>
      </c>
      <c r="V21" s="3">
        <f t="shared" si="7"/>
        <v>0.72599625688472003</v>
      </c>
      <c r="W21" s="3">
        <f t="shared" si="7"/>
        <v>0.72599625688472003</v>
      </c>
      <c r="X21" s="3">
        <f t="shared" si="7"/>
        <v>0.72599625688472003</v>
      </c>
      <c r="Y21" s="3">
        <f t="shared" si="7"/>
        <v>0.72599625688472003</v>
      </c>
      <c r="Z21" s="3">
        <f t="shared" si="7"/>
        <v>0.72599625688472003</v>
      </c>
      <c r="AA21" s="3">
        <f t="shared" si="7"/>
        <v>0.72599625688472003</v>
      </c>
      <c r="AB21" s="3">
        <f t="shared" si="7"/>
        <v>0.72599625688472003</v>
      </c>
      <c r="AC21" s="3">
        <f t="shared" si="7"/>
        <v>0.72599625688472003</v>
      </c>
      <c r="AD21" s="3">
        <f t="shared" si="7"/>
        <v>0.72599625688472003</v>
      </c>
      <c r="AE21" s="3">
        <f t="shared" si="7"/>
        <v>0.72599625688472003</v>
      </c>
      <c r="AF21" s="3">
        <f t="shared" si="7"/>
        <v>0.72599625688472003</v>
      </c>
      <c r="AG21" s="3">
        <f t="shared" si="7"/>
        <v>0.72599625688472003</v>
      </c>
    </row>
    <row r="24" spans="1:33" x14ac:dyDescent="0.3">
      <c r="B24" t="s">
        <v>10</v>
      </c>
      <c r="C24">
        <f>-C6</f>
        <v>-4.6565750000000001</v>
      </c>
      <c r="D24" s="3">
        <f>D21+D15</f>
        <v>0.87345446521805337</v>
      </c>
      <c r="E24" s="3">
        <f t="shared" ref="E24:AG24" si="8">E21+E15</f>
        <v>0.87345446521805337</v>
      </c>
      <c r="F24" s="3">
        <f t="shared" si="8"/>
        <v>0.87345446521805337</v>
      </c>
      <c r="G24" s="3">
        <f t="shared" si="8"/>
        <v>0.87345446521805337</v>
      </c>
      <c r="H24" s="3">
        <f t="shared" si="8"/>
        <v>0.87345446521805337</v>
      </c>
      <c r="I24" s="3">
        <f t="shared" si="8"/>
        <v>0.87345446521805337</v>
      </c>
      <c r="J24" s="3">
        <f t="shared" si="8"/>
        <v>0.87345446521805337</v>
      </c>
      <c r="K24" s="3">
        <f t="shared" si="8"/>
        <v>0.87345446521805337</v>
      </c>
      <c r="L24" s="3">
        <f t="shared" si="8"/>
        <v>0.87345446521805337</v>
      </c>
      <c r="M24" s="3">
        <f t="shared" si="8"/>
        <v>0.87345446521805337</v>
      </c>
      <c r="N24" s="3">
        <f t="shared" si="8"/>
        <v>0.87345446521805337</v>
      </c>
      <c r="O24" s="3">
        <f t="shared" si="8"/>
        <v>0.87345446521805337</v>
      </c>
      <c r="P24" s="3">
        <f t="shared" si="8"/>
        <v>0.87345446521805337</v>
      </c>
      <c r="Q24" s="3">
        <f t="shared" si="8"/>
        <v>0.87345446521805337</v>
      </c>
      <c r="R24" s="3">
        <f t="shared" si="8"/>
        <v>0.87345446521805337</v>
      </c>
      <c r="S24" s="3">
        <f t="shared" si="8"/>
        <v>0.87345446521805337</v>
      </c>
      <c r="T24" s="3">
        <f t="shared" si="8"/>
        <v>0.87345446521805337</v>
      </c>
      <c r="U24" s="3">
        <f t="shared" si="8"/>
        <v>0.87345446521805337</v>
      </c>
      <c r="V24" s="3">
        <f t="shared" si="8"/>
        <v>0.87345446521805337</v>
      </c>
      <c r="W24" s="3">
        <f t="shared" si="8"/>
        <v>0.87345446521805337</v>
      </c>
      <c r="X24" s="3">
        <f t="shared" si="8"/>
        <v>0.87345446521805337</v>
      </c>
      <c r="Y24" s="3">
        <f t="shared" si="8"/>
        <v>0.87345446521805337</v>
      </c>
      <c r="Z24" s="3">
        <f t="shared" si="8"/>
        <v>0.87345446521805337</v>
      </c>
      <c r="AA24" s="3">
        <f t="shared" si="8"/>
        <v>0.87345446521805337</v>
      </c>
      <c r="AB24" s="3">
        <f t="shared" si="8"/>
        <v>0.87345446521805337</v>
      </c>
      <c r="AC24" s="3">
        <f t="shared" si="8"/>
        <v>0.87345446521805337</v>
      </c>
      <c r="AD24" s="3">
        <f t="shared" si="8"/>
        <v>0.87345446521805337</v>
      </c>
      <c r="AE24" s="3">
        <f t="shared" si="8"/>
        <v>0.87345446521805337</v>
      </c>
      <c r="AF24" s="3">
        <f t="shared" si="8"/>
        <v>0.87345446521805337</v>
      </c>
      <c r="AG24" s="3">
        <f t="shared" si="8"/>
        <v>0.87345446521805337</v>
      </c>
    </row>
    <row r="25" spans="1:33" x14ac:dyDescent="0.3">
      <c r="A25" s="22">
        <v>0.2</v>
      </c>
      <c r="B25" t="s">
        <v>470</v>
      </c>
      <c r="C25" s="1">
        <f>C24*(1/(1+$A$25)^C2)</f>
        <v>-4.6565750000000001</v>
      </c>
      <c r="D25" s="1">
        <f t="shared" ref="D25:AG25" si="9">D24*(1/(1+$A$25)^D2)</f>
        <v>0.72787872101504447</v>
      </c>
      <c r="E25" s="1">
        <f t="shared" si="9"/>
        <v>0.60656560084587041</v>
      </c>
      <c r="F25" s="1">
        <f t="shared" si="9"/>
        <v>0.50547133403822531</v>
      </c>
      <c r="G25" s="1">
        <f t="shared" si="9"/>
        <v>0.42122611169852114</v>
      </c>
      <c r="H25" s="1">
        <f t="shared" si="9"/>
        <v>0.35102175974876759</v>
      </c>
      <c r="I25" s="1">
        <f t="shared" si="9"/>
        <v>0.29251813312397301</v>
      </c>
      <c r="J25" s="1">
        <f t="shared" si="9"/>
        <v>0.24376511093664416</v>
      </c>
      <c r="K25" s="1">
        <f t="shared" si="9"/>
        <v>0.2031375924472035</v>
      </c>
      <c r="L25" s="1">
        <f t="shared" si="9"/>
        <v>0.16928132703933624</v>
      </c>
      <c r="M25" s="1">
        <f t="shared" si="9"/>
        <v>0.14106777253278019</v>
      </c>
      <c r="N25" s="1">
        <f t="shared" si="9"/>
        <v>0.11755647711065018</v>
      </c>
      <c r="O25" s="1">
        <f t="shared" si="9"/>
        <v>9.7963730925541823E-2</v>
      </c>
      <c r="P25" s="1">
        <f t="shared" si="9"/>
        <v>8.1636442437951512E-2</v>
      </c>
      <c r="Q25" s="1">
        <f t="shared" si="9"/>
        <v>6.8030368698292931E-2</v>
      </c>
      <c r="R25" s="1">
        <f t="shared" si="9"/>
        <v>5.6691973915244109E-2</v>
      </c>
      <c r="S25" s="1">
        <f t="shared" si="9"/>
        <v>4.7243311596036758E-2</v>
      </c>
      <c r="T25" s="1">
        <f t="shared" si="9"/>
        <v>3.9369426330030634E-2</v>
      </c>
      <c r="U25" s="1">
        <f t="shared" si="9"/>
        <v>3.2807855275025527E-2</v>
      </c>
      <c r="V25" s="1">
        <f t="shared" si="9"/>
        <v>2.7339879395854607E-2</v>
      </c>
      <c r="W25" s="1">
        <f t="shared" si="9"/>
        <v>2.278323282987884E-2</v>
      </c>
      <c r="X25" s="1">
        <f t="shared" si="9"/>
        <v>1.8986027358232366E-2</v>
      </c>
      <c r="Y25" s="1">
        <f t="shared" si="9"/>
        <v>1.582168946519364E-2</v>
      </c>
      <c r="Z25" s="1">
        <f t="shared" si="9"/>
        <v>1.3184741220994702E-2</v>
      </c>
      <c r="AA25" s="1">
        <f t="shared" si="9"/>
        <v>1.0987284350828918E-2</v>
      </c>
      <c r="AB25" s="1">
        <f t="shared" si="9"/>
        <v>9.1560702923574305E-3</v>
      </c>
      <c r="AC25" s="1">
        <f t="shared" si="9"/>
        <v>7.630058576964526E-3</v>
      </c>
      <c r="AD25" s="1">
        <f t="shared" si="9"/>
        <v>6.3583821474704379E-3</v>
      </c>
      <c r="AE25" s="1">
        <f t="shared" si="9"/>
        <v>5.2986517895586985E-3</v>
      </c>
      <c r="AF25" s="1">
        <f t="shared" si="9"/>
        <v>4.4155431579655825E-3</v>
      </c>
      <c r="AG25" s="1">
        <f t="shared" si="9"/>
        <v>3.6796192983046521E-3</v>
      </c>
    </row>
    <row r="27" spans="1:33" x14ac:dyDescent="0.3">
      <c r="B27" t="s">
        <v>16</v>
      </c>
      <c r="C27" s="3">
        <f>SUM(C25:AG25)</f>
        <v>-0.30770077040125582</v>
      </c>
    </row>
    <row r="28" spans="1:33" x14ac:dyDescent="0.3">
      <c r="B28" t="s">
        <v>10</v>
      </c>
      <c r="C28" s="22">
        <f>IRR(C25:AG25)</f>
        <v>-1.1280088048016279E-2</v>
      </c>
    </row>
    <row r="30" spans="1:33" x14ac:dyDescent="0.3">
      <c r="D30" s="1">
        <f>D15/D8*10^7</f>
        <v>5.9364164095115575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77D1-85A8-46A0-A9DD-228014A28751}">
  <sheetPr>
    <tabColor rgb="FFFFFF00"/>
  </sheetPr>
  <dimension ref="B1:I18"/>
  <sheetViews>
    <sheetView workbookViewId="0">
      <selection activeCell="I16" sqref="I16:I17"/>
    </sheetView>
  </sheetViews>
  <sheetFormatPr defaultRowHeight="14.4" x14ac:dyDescent="0.3"/>
  <cols>
    <col min="2" max="2" width="17.21875" bestFit="1" customWidth="1"/>
    <col min="3" max="4" width="17.21875" customWidth="1"/>
    <col min="9" max="9" width="9.88671875" bestFit="1" customWidth="1"/>
  </cols>
  <sheetData>
    <row r="1" spans="2:9" ht="15" thickBot="1" x14ac:dyDescent="0.35"/>
    <row r="2" spans="2:9" ht="15" thickBot="1" x14ac:dyDescent="0.35">
      <c r="B2" s="7" t="s">
        <v>5</v>
      </c>
      <c r="C2" s="8" t="s">
        <v>450</v>
      </c>
      <c r="D2" s="8" t="s">
        <v>94</v>
      </c>
      <c r="E2" s="8" t="s">
        <v>95</v>
      </c>
      <c r="F2" s="8" t="s">
        <v>96</v>
      </c>
      <c r="G2" s="8" t="s">
        <v>85</v>
      </c>
      <c r="H2" s="8" t="s">
        <v>86</v>
      </c>
      <c r="I2" s="15" t="s">
        <v>439</v>
      </c>
    </row>
    <row r="3" spans="2:9" x14ac:dyDescent="0.3">
      <c r="B3" s="6" t="s">
        <v>434</v>
      </c>
      <c r="C3" s="6"/>
      <c r="D3" s="6"/>
    </row>
    <row r="4" spans="2:9" x14ac:dyDescent="0.3">
      <c r="B4" t="s">
        <v>435</v>
      </c>
      <c r="F4">
        <f>E6</f>
        <v>48307</v>
      </c>
      <c r="G4">
        <f>F6</f>
        <v>39341</v>
      </c>
      <c r="I4" s="218">
        <f>AVERAGE(F4:G4)</f>
        <v>43824</v>
      </c>
    </row>
    <row r="5" spans="2:9" x14ac:dyDescent="0.3">
      <c r="B5" t="s">
        <v>440</v>
      </c>
      <c r="F5">
        <f>F6-F4</f>
        <v>-8966</v>
      </c>
      <c r="G5">
        <f>G6-G4</f>
        <v>60444</v>
      </c>
      <c r="I5" s="218">
        <f>AVERAGE(F5:G5)</f>
        <v>25739</v>
      </c>
    </row>
    <row r="6" spans="2:9" x14ac:dyDescent="0.3">
      <c r="B6" t="s">
        <v>436</v>
      </c>
      <c r="E6">
        <f>22877+9094+16181+155</f>
        <v>48307</v>
      </c>
      <c r="F6">
        <f>19708+8990+10488+155</f>
        <v>39341</v>
      </c>
      <c r="G6">
        <f>31790+27044+40951+0</f>
        <v>99785</v>
      </c>
      <c r="I6" s="219">
        <f>AVERAGE(E6:G6)</f>
        <v>62477.666666666664</v>
      </c>
    </row>
    <row r="7" spans="2:9" x14ac:dyDescent="0.3">
      <c r="B7" t="s">
        <v>438</v>
      </c>
    </row>
    <row r="10" spans="2:9" x14ac:dyDescent="0.3">
      <c r="B10" s="6" t="s">
        <v>437</v>
      </c>
      <c r="C10" s="6"/>
      <c r="D10" s="6"/>
    </row>
    <row r="11" spans="2:9" x14ac:dyDescent="0.3">
      <c r="B11" t="s">
        <v>435</v>
      </c>
      <c r="C11">
        <v>7440</v>
      </c>
      <c r="D11">
        <f>C13</f>
        <v>252571</v>
      </c>
      <c r="E11">
        <f>D13</f>
        <v>277176</v>
      </c>
      <c r="F11">
        <f>E13</f>
        <v>218079</v>
      </c>
      <c r="G11">
        <f>F13</f>
        <v>263702</v>
      </c>
      <c r="I11" s="218">
        <f>AVERAGE(F11:G11)</f>
        <v>240890.5</v>
      </c>
    </row>
    <row r="12" spans="2:9" x14ac:dyDescent="0.3">
      <c r="B12" t="s">
        <v>440</v>
      </c>
      <c r="C12">
        <f t="shared" ref="C12:E12" si="0">C13-C11</f>
        <v>245131</v>
      </c>
      <c r="D12">
        <f t="shared" si="0"/>
        <v>24605</v>
      </c>
      <c r="E12">
        <f t="shared" si="0"/>
        <v>-59097</v>
      </c>
      <c r="F12">
        <f>F13-F11</f>
        <v>45623</v>
      </c>
      <c r="G12">
        <f>G13-G11</f>
        <v>8167</v>
      </c>
      <c r="I12" s="218">
        <f>AVERAGE(C12:G12)</f>
        <v>52885.8</v>
      </c>
    </row>
    <row r="13" spans="2:9" x14ac:dyDescent="0.3">
      <c r="B13" t="s">
        <v>436</v>
      </c>
      <c r="C13">
        <v>252571</v>
      </c>
      <c r="D13">
        <v>277176</v>
      </c>
      <c r="E13">
        <v>218079</v>
      </c>
      <c r="F13">
        <v>263702</v>
      </c>
      <c r="G13">
        <v>271869</v>
      </c>
      <c r="I13" s="219">
        <f>AVERAGE(C13:G13)</f>
        <v>256679.4</v>
      </c>
    </row>
    <row r="15" spans="2:9" x14ac:dyDescent="0.3">
      <c r="B15" s="6" t="s">
        <v>444</v>
      </c>
      <c r="C15" s="6"/>
      <c r="D15" s="6"/>
    </row>
    <row r="16" spans="2:9" x14ac:dyDescent="0.3">
      <c r="B16" t="s">
        <v>445</v>
      </c>
      <c r="I16">
        <f>('Radiant Reference'!C3+'Kothur Reference'!C3)*31</f>
        <v>379990</v>
      </c>
    </row>
    <row r="17" spans="2:9" ht="15" thickBot="1" x14ac:dyDescent="0.35">
      <c r="B17" t="s">
        <v>446</v>
      </c>
      <c r="I17" s="218">
        <f>I6+I13</f>
        <v>319157.06666666665</v>
      </c>
    </row>
    <row r="18" spans="2:9" ht="15" thickBot="1" x14ac:dyDescent="0.35">
      <c r="B18" s="7" t="s">
        <v>438</v>
      </c>
      <c r="C18" s="8"/>
      <c r="D18" s="8"/>
      <c r="E18" s="8"/>
      <c r="F18" s="8"/>
      <c r="G18" s="8"/>
      <c r="H18" s="8"/>
      <c r="I18" s="222">
        <f>I17/I16</f>
        <v>0.83990912041544952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72A3-8AA8-4FD9-8C44-C9D8CF7228CA}">
  <sheetPr>
    <tabColor rgb="FFFFFF00"/>
  </sheetPr>
  <dimension ref="A1:Z212"/>
  <sheetViews>
    <sheetView topLeftCell="A30" zoomScale="87" workbookViewId="0">
      <selection activeCell="D56" sqref="D56"/>
    </sheetView>
  </sheetViews>
  <sheetFormatPr defaultRowHeight="14.4" x14ac:dyDescent="0.3"/>
  <cols>
    <col min="2" max="2" width="26.6640625" bestFit="1" customWidth="1"/>
    <col min="3" max="3" width="13" bestFit="1" customWidth="1"/>
    <col min="4" max="4" width="20.6640625" bestFit="1" customWidth="1"/>
    <col min="5" max="5" width="13.109375" bestFit="1" customWidth="1"/>
    <col min="6" max="6" width="13.21875" bestFit="1" customWidth="1"/>
    <col min="7" max="7" width="26.6640625" bestFit="1" customWidth="1"/>
    <col min="8" max="8" width="7.88671875" bestFit="1" customWidth="1"/>
    <col min="9" max="9" width="12.88671875" bestFit="1" customWidth="1"/>
    <col min="10" max="10" width="11.6640625" bestFit="1" customWidth="1"/>
    <col min="11" max="11" width="10.77734375" bestFit="1" customWidth="1"/>
    <col min="12" max="12" width="8.109375" bestFit="1" customWidth="1"/>
    <col min="13" max="13" width="10" bestFit="1" customWidth="1"/>
    <col min="14" max="15" width="10.33203125" bestFit="1" customWidth="1"/>
    <col min="16" max="16" width="11.6640625" bestFit="1" customWidth="1"/>
    <col min="17" max="17" width="12.6640625" bestFit="1" customWidth="1"/>
    <col min="18" max="18" width="11.5546875" bestFit="1" customWidth="1"/>
    <col min="19" max="19" width="12.6640625" bestFit="1" customWidth="1"/>
    <col min="22" max="22" width="12.6640625" bestFit="1" customWidth="1"/>
    <col min="23" max="23" width="11.5546875" bestFit="1" customWidth="1"/>
    <col min="24" max="24" width="12.6640625" bestFit="1" customWidth="1"/>
    <col min="25" max="25" width="9" bestFit="1" customWidth="1"/>
  </cols>
  <sheetData>
    <row r="1" spans="1:16" ht="15" thickBot="1" x14ac:dyDescent="0.35">
      <c r="B1" s="320" t="s">
        <v>281</v>
      </c>
      <c r="C1" s="321"/>
      <c r="D1" s="321"/>
      <c r="E1" s="322"/>
      <c r="G1" s="6" t="s">
        <v>280</v>
      </c>
      <c r="H1" s="6"/>
      <c r="I1" s="6"/>
    </row>
    <row r="2" spans="1:16" x14ac:dyDescent="0.3">
      <c r="B2" t="s">
        <v>196</v>
      </c>
      <c r="C2" s="59">
        <v>71858</v>
      </c>
      <c r="D2" t="s">
        <v>66</v>
      </c>
      <c r="G2" t="s">
        <v>268</v>
      </c>
      <c r="H2">
        <v>1</v>
      </c>
      <c r="I2" t="s">
        <v>24</v>
      </c>
    </row>
    <row r="3" spans="1:16" x14ac:dyDescent="0.3">
      <c r="B3" t="s">
        <v>305</v>
      </c>
      <c r="C3" s="59">
        <f>89990/31</f>
        <v>2902.9032258064517</v>
      </c>
      <c r="D3" t="s">
        <v>208</v>
      </c>
      <c r="E3" s="59">
        <f>89990/31</f>
        <v>2902.9032258064517</v>
      </c>
      <c r="G3" t="s">
        <v>304</v>
      </c>
      <c r="H3">
        <f>365/H2</f>
        <v>365</v>
      </c>
      <c r="I3" t="s">
        <v>306</v>
      </c>
    </row>
    <row r="4" spans="1:16" x14ac:dyDescent="0.3">
      <c r="G4" s="37"/>
      <c r="H4" s="2"/>
      <c r="I4" s="2"/>
    </row>
    <row r="5" spans="1:16" x14ac:dyDescent="0.3">
      <c r="A5">
        <v>1</v>
      </c>
      <c r="B5" s="6" t="s">
        <v>290</v>
      </c>
      <c r="G5" s="37"/>
      <c r="H5" s="2"/>
    </row>
    <row r="6" spans="1:16" x14ac:dyDescent="0.3">
      <c r="B6" t="s">
        <v>197</v>
      </c>
      <c r="C6">
        <v>22</v>
      </c>
      <c r="D6" t="s">
        <v>198</v>
      </c>
      <c r="I6" t="s">
        <v>415</v>
      </c>
      <c r="J6" t="s">
        <v>413</v>
      </c>
      <c r="M6" t="s">
        <v>414</v>
      </c>
    </row>
    <row r="7" spans="1:16" x14ac:dyDescent="0.3">
      <c r="B7" t="s">
        <v>199</v>
      </c>
      <c r="C7" s="2">
        <f>C6*C2*1.18</f>
        <v>1865433.68</v>
      </c>
      <c r="D7" t="s">
        <v>200</v>
      </c>
      <c r="F7" t="s">
        <v>411</v>
      </c>
      <c r="G7" s="2">
        <f>'Kothur Reference'!C7</f>
        <v>7099747.4651999995</v>
      </c>
      <c r="I7" s="2">
        <f>'Kothur Reference'!C2</f>
        <v>261597.18</v>
      </c>
      <c r="J7">
        <f>'Kothur Reference'!C3</f>
        <v>9354.8387096774186</v>
      </c>
      <c r="K7">
        <f>G7/I7</f>
        <v>27.14</v>
      </c>
      <c r="M7" s="205">
        <f>G7/J7</f>
        <v>758.93852214206902</v>
      </c>
    </row>
    <row r="8" spans="1:16" x14ac:dyDescent="0.3">
      <c r="B8" t="s">
        <v>203</v>
      </c>
      <c r="C8" s="2">
        <f>C7*3</f>
        <v>5596301.04</v>
      </c>
      <c r="D8" t="s">
        <v>201</v>
      </c>
      <c r="F8" t="s">
        <v>412</v>
      </c>
      <c r="G8" s="2">
        <f>C7</f>
        <v>1865433.68</v>
      </c>
      <c r="I8" s="2">
        <f>C2</f>
        <v>71858</v>
      </c>
      <c r="J8">
        <f>C3</f>
        <v>2902.9032258064517</v>
      </c>
      <c r="K8">
        <f>G8/I8</f>
        <v>25.96</v>
      </c>
      <c r="M8" s="205">
        <f>G8/J8</f>
        <v>642.60966862984776</v>
      </c>
      <c r="P8" s="22">
        <v>0.8</v>
      </c>
    </row>
    <row r="9" spans="1:16" x14ac:dyDescent="0.3">
      <c r="B9" t="s">
        <v>202</v>
      </c>
      <c r="C9" s="2">
        <f>C7*12</f>
        <v>22385204.16</v>
      </c>
      <c r="D9" t="s">
        <v>204</v>
      </c>
      <c r="G9" s="3">
        <f>SUM(G7:G8)</f>
        <v>8965181.1451999992</v>
      </c>
      <c r="I9" s="37">
        <f>SUM(I7:I8)</f>
        <v>333455.18</v>
      </c>
      <c r="J9" s="37">
        <f>SUM(J7:J8)</f>
        <v>12257.741935483871</v>
      </c>
      <c r="K9" s="1">
        <f>G9/I9</f>
        <v>26.885715631108202</v>
      </c>
      <c r="M9">
        <f>G9/J9</f>
        <v>731.38928787915461</v>
      </c>
      <c r="N9">
        <f>M9/30</f>
        <v>24.379642929305152</v>
      </c>
      <c r="O9">
        <f>8928</f>
        <v>8928</v>
      </c>
      <c r="P9">
        <f>O9*P8*N9*365</f>
        <v>63557144.005268231</v>
      </c>
    </row>
    <row r="10" spans="1:16" x14ac:dyDescent="0.3">
      <c r="B10" t="s">
        <v>205</v>
      </c>
      <c r="C10" s="22">
        <v>0.01</v>
      </c>
      <c r="M10">
        <f>Computations!C9</f>
        <v>8928</v>
      </c>
      <c r="P10">
        <f>P9/10^7</f>
        <v>6.3557144005268231</v>
      </c>
    </row>
    <row r="11" spans="1:16" x14ac:dyDescent="0.3">
      <c r="B11" t="s">
        <v>390</v>
      </c>
      <c r="C11">
        <v>1</v>
      </c>
      <c r="D11" t="s">
        <v>391</v>
      </c>
      <c r="M11">
        <f>M9*M10</f>
        <v>6529843.5621850919</v>
      </c>
    </row>
    <row r="12" spans="1:16" x14ac:dyDescent="0.3">
      <c r="M12">
        <f>M11*12</f>
        <v>78358122.746221095</v>
      </c>
    </row>
    <row r="13" spans="1:16" x14ac:dyDescent="0.3">
      <c r="A13">
        <v>2</v>
      </c>
      <c r="B13" s="6" t="s">
        <v>282</v>
      </c>
      <c r="G13" s="205">
        <f>G7*12</f>
        <v>85196969.582399994</v>
      </c>
      <c r="M13">
        <f>M12/10^7</f>
        <v>7.8358122746221097</v>
      </c>
    </row>
    <row r="14" spans="1:16" x14ac:dyDescent="0.3">
      <c r="B14" t="s">
        <v>283</v>
      </c>
      <c r="D14" t="s">
        <v>288</v>
      </c>
      <c r="E14" t="s">
        <v>289</v>
      </c>
      <c r="G14">
        <f>10000*365*10</f>
        <v>36500000</v>
      </c>
    </row>
    <row r="15" spans="1:16" x14ac:dyDescent="0.3">
      <c r="B15" t="s">
        <v>284</v>
      </c>
      <c r="C15">
        <v>2</v>
      </c>
      <c r="D15">
        <v>15000</v>
      </c>
      <c r="E15" s="2">
        <f>D15*C15*12</f>
        <v>360000</v>
      </c>
      <c r="G15" s="205">
        <f>G13+G14</f>
        <v>121696969.58239999</v>
      </c>
    </row>
    <row r="16" spans="1:16" x14ac:dyDescent="0.3">
      <c r="B16" t="s">
        <v>285</v>
      </c>
      <c r="C16">
        <v>1</v>
      </c>
      <c r="D16">
        <v>50000</v>
      </c>
      <c r="E16" s="2">
        <f t="shared" ref="E16:E18" si="0">D16*C16*12</f>
        <v>600000</v>
      </c>
    </row>
    <row r="17" spans="1:5" x14ac:dyDescent="0.3">
      <c r="B17" t="s">
        <v>286</v>
      </c>
      <c r="C17">
        <v>3</v>
      </c>
      <c r="D17">
        <f>'Kothur Reference'!D17</f>
        <v>15000</v>
      </c>
      <c r="E17" s="2">
        <f t="shared" si="0"/>
        <v>540000</v>
      </c>
    </row>
    <row r="18" spans="1:5" ht="15" thickBot="1" x14ac:dyDescent="0.35">
      <c r="B18" t="s">
        <v>287</v>
      </c>
      <c r="C18">
        <v>8</v>
      </c>
      <c r="D18">
        <f>'Kothur Reference'!D18</f>
        <v>12000</v>
      </c>
      <c r="E18" s="2">
        <f t="shared" si="0"/>
        <v>1152000</v>
      </c>
    </row>
    <row r="19" spans="1:5" ht="15" thickBot="1" x14ac:dyDescent="0.35">
      <c r="B19" s="7" t="s">
        <v>2</v>
      </c>
      <c r="C19" s="8"/>
      <c r="D19" s="8"/>
      <c r="E19" s="14">
        <f>SUM(E15:E18)</f>
        <v>2652000</v>
      </c>
    </row>
    <row r="20" spans="1:5" x14ac:dyDescent="0.3">
      <c r="B20" t="s">
        <v>117</v>
      </c>
      <c r="E20" s="22">
        <v>0.05</v>
      </c>
    </row>
    <row r="21" spans="1:5" x14ac:dyDescent="0.3">
      <c r="E21" s="22"/>
    </row>
    <row r="22" spans="1:5" x14ac:dyDescent="0.3">
      <c r="A22">
        <v>3</v>
      </c>
      <c r="B22" s="6" t="s">
        <v>291</v>
      </c>
      <c r="D22" t="s">
        <v>295</v>
      </c>
      <c r="E22" t="s">
        <v>289</v>
      </c>
    </row>
    <row r="23" spans="1:5" x14ac:dyDescent="0.3">
      <c r="B23" t="s">
        <v>292</v>
      </c>
      <c r="C23">
        <v>1</v>
      </c>
      <c r="D23" s="2">
        <v>5000</v>
      </c>
      <c r="E23" s="2">
        <f>D23*C23*12</f>
        <v>60000</v>
      </c>
    </row>
    <row r="24" spans="1:5" x14ac:dyDescent="0.3">
      <c r="B24" t="s">
        <v>293</v>
      </c>
      <c r="D24" s="2">
        <f>100000/12</f>
        <v>8333.3333333333339</v>
      </c>
      <c r="E24" s="2">
        <f>D24*12</f>
        <v>100000</v>
      </c>
    </row>
    <row r="25" spans="1:5" ht="15" thickBot="1" x14ac:dyDescent="0.35">
      <c r="B25" t="s">
        <v>294</v>
      </c>
      <c r="C25">
        <v>1</v>
      </c>
      <c r="D25" s="2">
        <v>1500</v>
      </c>
      <c r="E25" s="2">
        <f>D25*C25*12</f>
        <v>18000</v>
      </c>
    </row>
    <row r="26" spans="1:5" ht="15" thickBot="1" x14ac:dyDescent="0.35">
      <c r="B26" s="7" t="s">
        <v>2</v>
      </c>
      <c r="C26" s="11"/>
      <c r="D26" s="11"/>
      <c r="E26" s="10">
        <f>SUM(E23:E25)</f>
        <v>178000</v>
      </c>
    </row>
    <row r="28" spans="1:5" x14ac:dyDescent="0.3">
      <c r="A28">
        <v>4</v>
      </c>
      <c r="B28" s="6" t="s">
        <v>296</v>
      </c>
    </row>
    <row r="29" spans="1:5" x14ac:dyDescent="0.3">
      <c r="B29" s="106" t="s">
        <v>290</v>
      </c>
    </row>
    <row r="30" spans="1:5" x14ac:dyDescent="0.3">
      <c r="B30" t="s">
        <v>297</v>
      </c>
      <c r="C30">
        <v>2</v>
      </c>
      <c r="D30" s="3">
        <v>138702.5</v>
      </c>
      <c r="E30" s="3">
        <f>C30*D30*12</f>
        <v>3328860</v>
      </c>
    </row>
    <row r="31" spans="1:5" ht="15" thickBot="1" x14ac:dyDescent="0.35">
      <c r="B31" t="s">
        <v>301</v>
      </c>
      <c r="C31">
        <v>2</v>
      </c>
      <c r="D31" s="3">
        <v>50000</v>
      </c>
      <c r="E31" s="3">
        <f>C31*D31*12</f>
        <v>1200000</v>
      </c>
    </row>
    <row r="32" spans="1:5" ht="15" thickBot="1" x14ac:dyDescent="0.35">
      <c r="B32" s="7" t="s">
        <v>128</v>
      </c>
      <c r="C32" s="8"/>
      <c r="D32" s="9"/>
      <c r="E32" s="10">
        <f>SUM(E30:E31)</f>
        <v>4528860</v>
      </c>
    </row>
    <row r="33" spans="1:17" x14ac:dyDescent="0.3">
      <c r="B33" s="106" t="s">
        <v>300</v>
      </c>
    </row>
    <row r="34" spans="1:17" x14ac:dyDescent="0.3">
      <c r="B34" t="s">
        <v>298</v>
      </c>
      <c r="C34">
        <v>2</v>
      </c>
      <c r="D34" s="105">
        <f>392044*1.18</f>
        <v>462611.92</v>
      </c>
      <c r="E34" s="1">
        <f>C34*D34</f>
        <v>925223.84</v>
      </c>
    </row>
    <row r="35" spans="1:17" ht="15" thickBot="1" x14ac:dyDescent="0.35">
      <c r="B35" t="s">
        <v>299</v>
      </c>
      <c r="C35">
        <v>2</v>
      </c>
      <c r="D35">
        <f>16500*1.18</f>
        <v>19470</v>
      </c>
      <c r="E35" s="1">
        <f>C35*D35</f>
        <v>38940</v>
      </c>
    </row>
    <row r="36" spans="1:17" ht="15" thickBot="1" x14ac:dyDescent="0.35">
      <c r="B36" s="7" t="s">
        <v>128</v>
      </c>
      <c r="C36" s="8"/>
      <c r="D36" s="8"/>
      <c r="E36" s="14">
        <f>E34+E35</f>
        <v>964163.84</v>
      </c>
    </row>
    <row r="38" spans="1:17" x14ac:dyDescent="0.3">
      <c r="A38">
        <v>5</v>
      </c>
      <c r="B38" s="6" t="s">
        <v>380</v>
      </c>
    </row>
    <row r="39" spans="1:17" x14ac:dyDescent="0.3">
      <c r="B39" t="s">
        <v>381</v>
      </c>
      <c r="C39" s="1">
        <f>1.45*10^5</f>
        <v>145000</v>
      </c>
      <c r="D39" t="s">
        <v>200</v>
      </c>
    </row>
    <row r="40" spans="1:17" x14ac:dyDescent="0.3">
      <c r="B40" t="s">
        <v>47</v>
      </c>
      <c r="C40" s="3">
        <f>C39*0.18</f>
        <v>26100</v>
      </c>
      <c r="D40" t="s">
        <v>200</v>
      </c>
    </row>
    <row r="41" spans="1:17" ht="15" thickBot="1" x14ac:dyDescent="0.35">
      <c r="B41" t="s">
        <v>2</v>
      </c>
      <c r="C41" s="3">
        <f>SUM(C39:C40)</f>
        <v>171100</v>
      </c>
      <c r="D41" t="s">
        <v>200</v>
      </c>
    </row>
    <row r="42" spans="1:17" ht="15" thickBot="1" x14ac:dyDescent="0.35">
      <c r="B42" s="7" t="s">
        <v>382</v>
      </c>
      <c r="C42" s="9">
        <f>C41*12</f>
        <v>2053200</v>
      </c>
      <c r="D42" s="15" t="s">
        <v>204</v>
      </c>
    </row>
    <row r="43" spans="1:17" x14ac:dyDescent="0.3">
      <c r="B43" t="s">
        <v>117</v>
      </c>
      <c r="C43" s="22">
        <v>0.03</v>
      </c>
    </row>
    <row r="44" spans="1:17" ht="15" thickBot="1" x14ac:dyDescent="0.35"/>
    <row r="45" spans="1:17" ht="15" thickBot="1" x14ac:dyDescent="0.35">
      <c r="B45" s="7" t="s">
        <v>269</v>
      </c>
      <c r="C45" s="8">
        <v>1</v>
      </c>
      <c r="D45" s="8" t="str">
        <f>IFERROR(IF(C45+1&lt;=$C$11,C45+1,"-"),"-")</f>
        <v>-</v>
      </c>
      <c r="E45" s="8" t="str">
        <f t="shared" ref="E45:Q45" si="1">IFERROR(IF(D45+1&lt;=$C$11,D45+1,"-"),"-")</f>
        <v>-</v>
      </c>
      <c r="F45" s="8" t="str">
        <f t="shared" si="1"/>
        <v>-</v>
      </c>
      <c r="G45" s="8" t="str">
        <f t="shared" si="1"/>
        <v>-</v>
      </c>
      <c r="H45" s="8" t="str">
        <f t="shared" si="1"/>
        <v>-</v>
      </c>
      <c r="I45" s="8" t="str">
        <f t="shared" si="1"/>
        <v>-</v>
      </c>
      <c r="J45" s="8" t="str">
        <f t="shared" si="1"/>
        <v>-</v>
      </c>
      <c r="K45" s="8" t="str">
        <f t="shared" si="1"/>
        <v>-</v>
      </c>
      <c r="L45" s="8" t="str">
        <f t="shared" si="1"/>
        <v>-</v>
      </c>
      <c r="M45" s="8" t="str">
        <f t="shared" si="1"/>
        <v>-</v>
      </c>
      <c r="N45" s="8" t="str">
        <f t="shared" si="1"/>
        <v>-</v>
      </c>
      <c r="O45" s="8" t="str">
        <f t="shared" si="1"/>
        <v>-</v>
      </c>
      <c r="P45" s="8" t="str">
        <f t="shared" si="1"/>
        <v>-</v>
      </c>
      <c r="Q45" s="8" t="str">
        <f t="shared" si="1"/>
        <v>-</v>
      </c>
    </row>
    <row r="46" spans="1:17" x14ac:dyDescent="0.3">
      <c r="B46" t="s">
        <v>206</v>
      </c>
      <c r="C46" s="3">
        <f>C9/10^7</f>
        <v>2.2385204160000001</v>
      </c>
      <c r="D46" s="3">
        <f>IF(D45="-",0,C46*(1+$C$10))</f>
        <v>0</v>
      </c>
      <c r="E46" s="3">
        <f t="shared" ref="E46:Q46" si="2">IF(E45="-",0,D46*(1+$C$10))</f>
        <v>0</v>
      </c>
      <c r="F46" s="3">
        <f t="shared" si="2"/>
        <v>0</v>
      </c>
      <c r="G46" s="3">
        <f t="shared" si="2"/>
        <v>0</v>
      </c>
      <c r="H46" s="3">
        <f t="shared" si="2"/>
        <v>0</v>
      </c>
      <c r="I46" s="3">
        <f t="shared" si="2"/>
        <v>0</v>
      </c>
      <c r="J46" s="3">
        <f t="shared" si="2"/>
        <v>0</v>
      </c>
      <c r="K46" s="3">
        <f t="shared" si="2"/>
        <v>0</v>
      </c>
      <c r="L46" s="3">
        <f t="shared" si="2"/>
        <v>0</v>
      </c>
      <c r="M46" s="3">
        <f t="shared" si="2"/>
        <v>0</v>
      </c>
      <c r="N46" s="3">
        <f t="shared" si="2"/>
        <v>0</v>
      </c>
      <c r="O46" s="3">
        <f t="shared" si="2"/>
        <v>0</v>
      </c>
      <c r="P46" s="3">
        <f t="shared" si="2"/>
        <v>0</v>
      </c>
      <c r="Q46" s="3">
        <f t="shared" si="2"/>
        <v>0</v>
      </c>
    </row>
    <row r="47" spans="1:17" x14ac:dyDescent="0.3">
      <c r="B47" t="s">
        <v>207</v>
      </c>
      <c r="C47" s="1">
        <f>C8/10^7+IF(AND(C45=$C$11,D45="-"),-$C$8/10^7,0)</f>
        <v>0</v>
      </c>
      <c r="D47" s="1">
        <f>IF(AND(D45=$C$11,E45="-"),-$C$47,0)</f>
        <v>0</v>
      </c>
      <c r="E47" s="1">
        <f>IF(AND(E45=$C$11,F45="-"),-$C$47,0)</f>
        <v>0</v>
      </c>
      <c r="F47" s="1">
        <f t="shared" ref="F47:Q47" si="3">IF(AND(F45=$C$11,G45="-"),-$C$47,0)</f>
        <v>0</v>
      </c>
      <c r="G47" s="1">
        <f t="shared" si="3"/>
        <v>0</v>
      </c>
      <c r="H47" s="1">
        <f t="shared" si="3"/>
        <v>0</v>
      </c>
      <c r="I47" s="1">
        <f t="shared" si="3"/>
        <v>0</v>
      </c>
      <c r="J47" s="1">
        <f t="shared" si="3"/>
        <v>0</v>
      </c>
      <c r="K47" s="1">
        <f t="shared" si="3"/>
        <v>0</v>
      </c>
      <c r="L47" s="1">
        <f t="shared" si="3"/>
        <v>0</v>
      </c>
      <c r="M47" s="1">
        <f t="shared" si="3"/>
        <v>0</v>
      </c>
      <c r="N47" s="1">
        <f t="shared" si="3"/>
        <v>0</v>
      </c>
      <c r="O47" s="1">
        <f t="shared" si="3"/>
        <v>0</v>
      </c>
      <c r="P47" s="1">
        <f t="shared" si="3"/>
        <v>0</v>
      </c>
      <c r="Q47" s="1">
        <f t="shared" si="3"/>
        <v>0</v>
      </c>
    </row>
    <row r="48" spans="1:17" x14ac:dyDescent="0.3">
      <c r="B48" s="6" t="s">
        <v>128</v>
      </c>
      <c r="C48" s="3">
        <f>C46+C47</f>
        <v>2.2385204160000001</v>
      </c>
      <c r="D48" s="3">
        <f t="shared" ref="D48:K48" si="4">D46+D47</f>
        <v>0</v>
      </c>
      <c r="E48" s="3">
        <f t="shared" si="4"/>
        <v>0</v>
      </c>
      <c r="F48" s="3">
        <f t="shared" si="4"/>
        <v>0</v>
      </c>
      <c r="G48" s="3">
        <f t="shared" si="4"/>
        <v>0</v>
      </c>
      <c r="H48" s="3">
        <f t="shared" si="4"/>
        <v>0</v>
      </c>
      <c r="I48" s="3">
        <f t="shared" si="4"/>
        <v>0</v>
      </c>
      <c r="J48" s="3">
        <f t="shared" si="4"/>
        <v>0</v>
      </c>
      <c r="K48" s="3">
        <f t="shared" si="4"/>
        <v>0</v>
      </c>
      <c r="L48" s="3">
        <f t="shared" ref="L48" si="5">L46+L47</f>
        <v>0</v>
      </c>
      <c r="M48" s="3">
        <f t="shared" ref="M48" si="6">M46+M47</f>
        <v>0</v>
      </c>
      <c r="N48" s="3">
        <f>N46+Q47</f>
        <v>0</v>
      </c>
      <c r="O48" s="3">
        <f t="shared" ref="O48" si="7">O46+O47</f>
        <v>0</v>
      </c>
      <c r="P48" s="3">
        <f t="shared" ref="P48:Q48" si="8">P46+P47</f>
        <v>0</v>
      </c>
      <c r="Q48" s="3">
        <f t="shared" si="8"/>
        <v>0</v>
      </c>
    </row>
    <row r="49" spans="1:26" x14ac:dyDescent="0.3">
      <c r="B49" s="6" t="s">
        <v>166</v>
      </c>
      <c r="C49" s="89">
        <f>28660*12/10^7</f>
        <v>3.4391999999999999E-2</v>
      </c>
      <c r="D49" s="89">
        <f>IF(D45="-",0,C49*(1+1%))</f>
        <v>0</v>
      </c>
      <c r="E49" s="89">
        <f t="shared" ref="E49:Q49" si="9">IF(E45="-",0,D49*(1+1%))</f>
        <v>0</v>
      </c>
      <c r="F49" s="89">
        <f t="shared" si="9"/>
        <v>0</v>
      </c>
      <c r="G49" s="89">
        <f t="shared" si="9"/>
        <v>0</v>
      </c>
      <c r="H49" s="89">
        <f t="shared" si="9"/>
        <v>0</v>
      </c>
      <c r="I49" s="89">
        <f t="shared" si="9"/>
        <v>0</v>
      </c>
      <c r="J49" s="89">
        <f t="shared" si="9"/>
        <v>0</v>
      </c>
      <c r="K49" s="89">
        <f t="shared" si="9"/>
        <v>0</v>
      </c>
      <c r="L49" s="89">
        <f t="shared" si="9"/>
        <v>0</v>
      </c>
      <c r="M49" s="89">
        <f t="shared" si="9"/>
        <v>0</v>
      </c>
      <c r="N49" s="89">
        <f t="shared" si="9"/>
        <v>0</v>
      </c>
      <c r="O49" s="89">
        <f t="shared" si="9"/>
        <v>0</v>
      </c>
      <c r="P49" s="89">
        <f t="shared" si="9"/>
        <v>0</v>
      </c>
      <c r="Q49" s="89">
        <f t="shared" si="9"/>
        <v>0</v>
      </c>
    </row>
    <row r="50" spans="1:26" x14ac:dyDescent="0.3">
      <c r="B50" s="6" t="s">
        <v>51</v>
      </c>
      <c r="C50" s="89">
        <f>E19/10^7</f>
        <v>0.26519999999999999</v>
      </c>
      <c r="D50" s="89">
        <f>IF(D45="-",0,C50*(1+$E$20))</f>
        <v>0</v>
      </c>
      <c r="E50" s="89">
        <f t="shared" ref="E50:Q50" si="10">IF(E45="-",0,D50*(1+$E$20))</f>
        <v>0</v>
      </c>
      <c r="F50" s="89">
        <f t="shared" si="10"/>
        <v>0</v>
      </c>
      <c r="G50" s="89">
        <f t="shared" si="10"/>
        <v>0</v>
      </c>
      <c r="H50" s="89">
        <f t="shared" si="10"/>
        <v>0</v>
      </c>
      <c r="I50" s="89">
        <f t="shared" si="10"/>
        <v>0</v>
      </c>
      <c r="J50" s="89">
        <f t="shared" si="10"/>
        <v>0</v>
      </c>
      <c r="K50" s="89">
        <f t="shared" si="10"/>
        <v>0</v>
      </c>
      <c r="L50" s="89">
        <f t="shared" si="10"/>
        <v>0</v>
      </c>
      <c r="M50" s="89">
        <f t="shared" si="10"/>
        <v>0</v>
      </c>
      <c r="N50" s="89">
        <f t="shared" si="10"/>
        <v>0</v>
      </c>
      <c r="O50" s="89">
        <f t="shared" si="10"/>
        <v>0</v>
      </c>
      <c r="P50" s="89">
        <f t="shared" si="10"/>
        <v>0</v>
      </c>
      <c r="Q50" s="89">
        <f t="shared" si="10"/>
        <v>0</v>
      </c>
    </row>
    <row r="51" spans="1:26" x14ac:dyDescent="0.3">
      <c r="B51" s="6" t="s">
        <v>84</v>
      </c>
      <c r="C51" s="89">
        <f>(E23+E24+E25)/10^7</f>
        <v>1.78E-2</v>
      </c>
      <c r="D51" s="89">
        <f>IF(D45="-",0,$E$25*1.02/10^7)</f>
        <v>0</v>
      </c>
      <c r="E51" s="89">
        <f>IF(E45="-",0,D51*1.02)</f>
        <v>0</v>
      </c>
      <c r="F51" s="89">
        <f t="shared" ref="F51:Q51" si="11">IF(F45="-",0,E51*1.02)</f>
        <v>0</v>
      </c>
      <c r="G51" s="89">
        <f t="shared" si="11"/>
        <v>0</v>
      </c>
      <c r="H51" s="89">
        <f t="shared" si="11"/>
        <v>0</v>
      </c>
      <c r="I51" s="89">
        <f t="shared" si="11"/>
        <v>0</v>
      </c>
      <c r="J51" s="89">
        <f t="shared" si="11"/>
        <v>0</v>
      </c>
      <c r="K51" s="89">
        <f t="shared" si="11"/>
        <v>0</v>
      </c>
      <c r="L51" s="89">
        <f t="shared" si="11"/>
        <v>0</v>
      </c>
      <c r="M51" s="89">
        <f t="shared" si="11"/>
        <v>0</v>
      </c>
      <c r="N51" s="89">
        <f t="shared" si="11"/>
        <v>0</v>
      </c>
      <c r="O51" s="89">
        <f t="shared" si="11"/>
        <v>0</v>
      </c>
      <c r="P51" s="89">
        <f t="shared" si="11"/>
        <v>0</v>
      </c>
      <c r="Q51" s="89">
        <f t="shared" si="11"/>
        <v>0</v>
      </c>
    </row>
    <row r="52" spans="1:26" x14ac:dyDescent="0.3">
      <c r="B52" s="6" t="str">
        <f>B28</f>
        <v>Machineries</v>
      </c>
      <c r="C52" s="89">
        <f>(E36+E31)/10^7+E30/10^7</f>
        <v>0.54930238399999998</v>
      </c>
      <c r="D52" s="89">
        <f>IF(D45="-",0,(E30+E31)/10^7*1.01)</f>
        <v>0</v>
      </c>
      <c r="E52" s="89">
        <f>IF(E45="-",0,D52*1.01)</f>
        <v>0</v>
      </c>
      <c r="F52" s="89">
        <f t="shared" ref="F52:Q52" si="12">IF(F45="-",0,E52*1.01)</f>
        <v>0</v>
      </c>
      <c r="G52" s="89">
        <f t="shared" si="12"/>
        <v>0</v>
      </c>
      <c r="H52" s="89">
        <f t="shared" si="12"/>
        <v>0</v>
      </c>
      <c r="I52" s="89">
        <f t="shared" si="12"/>
        <v>0</v>
      </c>
      <c r="J52" s="89">
        <f t="shared" si="12"/>
        <v>0</v>
      </c>
      <c r="K52" s="89">
        <f t="shared" si="12"/>
        <v>0</v>
      </c>
      <c r="L52" s="89">
        <f t="shared" si="12"/>
        <v>0</v>
      </c>
      <c r="M52" s="89">
        <f t="shared" si="12"/>
        <v>0</v>
      </c>
      <c r="N52" s="89">
        <f t="shared" si="12"/>
        <v>0</v>
      </c>
      <c r="O52" s="89">
        <f t="shared" si="12"/>
        <v>0</v>
      </c>
      <c r="P52" s="89">
        <f t="shared" si="12"/>
        <v>0</v>
      </c>
      <c r="Q52" s="89">
        <f t="shared" si="12"/>
        <v>0</v>
      </c>
    </row>
    <row r="53" spans="1:26" ht="15" thickBot="1" x14ac:dyDescent="0.35">
      <c r="B53" s="6" t="s">
        <v>383</v>
      </c>
      <c r="C53" s="89">
        <f>C42/10^7</f>
        <v>0.20532</v>
      </c>
      <c r="D53" s="89">
        <f>IF(D45="-",0,C53*(1+$C$43))</f>
        <v>0</v>
      </c>
      <c r="E53" s="89">
        <f t="shared" ref="E53:Q53" si="13">IF(E45="-",0,D53*(1+$C$43))</f>
        <v>0</v>
      </c>
      <c r="F53" s="89">
        <f t="shared" si="13"/>
        <v>0</v>
      </c>
      <c r="G53" s="89">
        <f t="shared" si="13"/>
        <v>0</v>
      </c>
      <c r="H53" s="89">
        <f t="shared" si="13"/>
        <v>0</v>
      </c>
      <c r="I53" s="89">
        <f t="shared" si="13"/>
        <v>0</v>
      </c>
      <c r="J53" s="89">
        <f t="shared" si="13"/>
        <v>0</v>
      </c>
      <c r="K53" s="89">
        <f t="shared" si="13"/>
        <v>0</v>
      </c>
      <c r="L53" s="89">
        <f t="shared" si="13"/>
        <v>0</v>
      </c>
      <c r="M53" s="89">
        <f t="shared" si="13"/>
        <v>0</v>
      </c>
      <c r="N53" s="89">
        <f t="shared" si="13"/>
        <v>0</v>
      </c>
      <c r="O53" s="89">
        <f t="shared" si="13"/>
        <v>0</v>
      </c>
      <c r="P53" s="89">
        <f t="shared" si="13"/>
        <v>0</v>
      </c>
      <c r="Q53" s="89">
        <f t="shared" si="13"/>
        <v>0</v>
      </c>
    </row>
    <row r="54" spans="1:26" ht="15" thickBot="1" x14ac:dyDescent="0.35">
      <c r="B54" s="7" t="s">
        <v>48</v>
      </c>
      <c r="C54" s="9">
        <f>C48+C49+C50+C51+C52+C53</f>
        <v>3.3105347999999997</v>
      </c>
      <c r="D54" s="9">
        <f t="shared" ref="D54:Q54" si="14">D48+D49+D50+D51+D52+D53</f>
        <v>0</v>
      </c>
      <c r="E54" s="9">
        <f t="shared" si="14"/>
        <v>0</v>
      </c>
      <c r="F54" s="9">
        <f t="shared" si="14"/>
        <v>0</v>
      </c>
      <c r="G54" s="9">
        <f t="shared" si="14"/>
        <v>0</v>
      </c>
      <c r="H54" s="9">
        <f t="shared" si="14"/>
        <v>0</v>
      </c>
      <c r="I54" s="9">
        <f t="shared" si="14"/>
        <v>0</v>
      </c>
      <c r="J54" s="9">
        <f t="shared" si="14"/>
        <v>0</v>
      </c>
      <c r="K54" s="9">
        <f t="shared" si="14"/>
        <v>0</v>
      </c>
      <c r="L54" s="9">
        <f t="shared" si="14"/>
        <v>0</v>
      </c>
      <c r="M54" s="9">
        <f t="shared" si="14"/>
        <v>0</v>
      </c>
      <c r="N54" s="9">
        <f t="shared" si="14"/>
        <v>0</v>
      </c>
      <c r="O54" s="9">
        <f t="shared" si="14"/>
        <v>0</v>
      </c>
      <c r="P54" s="9">
        <f t="shared" si="14"/>
        <v>0</v>
      </c>
      <c r="Q54" s="9">
        <f t="shared" si="14"/>
        <v>0</v>
      </c>
    </row>
    <row r="55" spans="1:26" ht="15" thickBot="1" x14ac:dyDescent="0.35">
      <c r="A55" s="22">
        <v>0.2</v>
      </c>
      <c r="B55" s="6" t="s">
        <v>447</v>
      </c>
      <c r="C55" s="3">
        <f>IFERROR(C54*(1/((1+A55)^(C45))),0)</f>
        <v>2.7587789999999996</v>
      </c>
      <c r="D55" s="3">
        <f t="shared" ref="D55:Q55" si="15">IFERROR(D54*(1/((1+B55)^(D45))),0)</f>
        <v>0</v>
      </c>
      <c r="E55" s="3">
        <f t="shared" si="15"/>
        <v>0</v>
      </c>
      <c r="F55" s="3">
        <f t="shared" si="15"/>
        <v>0</v>
      </c>
      <c r="G55" s="3">
        <f t="shared" si="15"/>
        <v>0</v>
      </c>
      <c r="H55" s="3">
        <f t="shared" si="15"/>
        <v>0</v>
      </c>
      <c r="I55" s="3">
        <f t="shared" si="15"/>
        <v>0</v>
      </c>
      <c r="J55" s="3">
        <f t="shared" si="15"/>
        <v>0</v>
      </c>
      <c r="K55" s="3">
        <f t="shared" si="15"/>
        <v>0</v>
      </c>
      <c r="L55" s="3">
        <f t="shared" si="15"/>
        <v>0</v>
      </c>
      <c r="M55" s="3">
        <f t="shared" si="15"/>
        <v>0</v>
      </c>
      <c r="N55" s="3">
        <f t="shared" si="15"/>
        <v>0</v>
      </c>
      <c r="O55" s="3">
        <f t="shared" si="15"/>
        <v>0</v>
      </c>
      <c r="P55" s="3">
        <f t="shared" si="15"/>
        <v>0</v>
      </c>
      <c r="Q55" s="3">
        <f t="shared" si="15"/>
        <v>0</v>
      </c>
    </row>
    <row r="56" spans="1:26" ht="15" thickBot="1" x14ac:dyDescent="0.35">
      <c r="B56" s="7" t="s">
        <v>270</v>
      </c>
      <c r="C56" s="49">
        <f>(C54/($C$3*$H$3))*10^7</f>
        <v>31.244439275596829</v>
      </c>
      <c r="D56" s="49">
        <f t="shared" ref="D56:Q56" si="16">(D54/($C$3*$H$3))*10^7</f>
        <v>0</v>
      </c>
      <c r="E56" s="49">
        <f t="shared" si="16"/>
        <v>0</v>
      </c>
      <c r="F56" s="49">
        <f t="shared" si="16"/>
        <v>0</v>
      </c>
      <c r="G56" s="49">
        <f t="shared" si="16"/>
        <v>0</v>
      </c>
      <c r="H56" s="49">
        <f t="shared" si="16"/>
        <v>0</v>
      </c>
      <c r="I56" s="49">
        <f t="shared" si="16"/>
        <v>0</v>
      </c>
      <c r="J56" s="49">
        <f t="shared" si="16"/>
        <v>0</v>
      </c>
      <c r="K56" s="49">
        <f t="shared" si="16"/>
        <v>0</v>
      </c>
      <c r="L56" s="49">
        <f t="shared" si="16"/>
        <v>0</v>
      </c>
      <c r="M56" s="49">
        <f t="shared" si="16"/>
        <v>0</v>
      </c>
      <c r="N56" s="49">
        <f t="shared" si="16"/>
        <v>0</v>
      </c>
      <c r="O56" s="49">
        <f t="shared" si="16"/>
        <v>0</v>
      </c>
      <c r="P56" s="49">
        <f t="shared" si="16"/>
        <v>0</v>
      </c>
      <c r="Q56" s="49">
        <f t="shared" si="16"/>
        <v>0</v>
      </c>
    </row>
    <row r="57" spans="1:26" ht="15" thickBot="1" x14ac:dyDescent="0.35">
      <c r="B57" s="7" t="s">
        <v>271</v>
      </c>
      <c r="C57" s="49">
        <f>AVERAGE(C56)</f>
        <v>31.244439275596829</v>
      </c>
      <c r="D57" s="15" t="s">
        <v>266</v>
      </c>
    </row>
    <row r="58" spans="1:26" ht="15" thickBot="1" x14ac:dyDescent="0.35">
      <c r="B58" s="7"/>
      <c r="C58" s="9"/>
      <c r="D58" s="15"/>
    </row>
    <row r="59" spans="1:26" x14ac:dyDescent="0.3">
      <c r="C59" s="3"/>
    </row>
    <row r="60" spans="1:26" x14ac:dyDescent="0.3">
      <c r="C60" s="3"/>
    </row>
    <row r="62" spans="1:26" x14ac:dyDescent="0.3">
      <c r="G62">
        <f>MAX(G153:G214)</f>
        <v>131449</v>
      </c>
      <c r="Y62" s="3">
        <f>AVERAGE(Y67:Y68)</f>
        <v>31.816156596969286</v>
      </c>
    </row>
    <row r="63" spans="1:26" ht="46.8" x14ac:dyDescent="0.3">
      <c r="B63" s="252" t="s">
        <v>483</v>
      </c>
      <c r="C63" s="252" t="s">
        <v>5</v>
      </c>
      <c r="D63" s="252" t="s">
        <v>484</v>
      </c>
      <c r="E63" s="252" t="s">
        <v>485</v>
      </c>
      <c r="F63" s="252" t="s">
        <v>486</v>
      </c>
      <c r="G63" s="252" t="s">
        <v>487</v>
      </c>
      <c r="H63" s="254" t="s">
        <v>474</v>
      </c>
      <c r="I63" s="273" t="s">
        <v>493</v>
      </c>
      <c r="N63" s="250" t="s">
        <v>475</v>
      </c>
      <c r="O63" s="250" t="s">
        <v>476</v>
      </c>
      <c r="P63" s="250" t="s">
        <v>15</v>
      </c>
      <c r="Q63" s="250" t="s">
        <v>435</v>
      </c>
      <c r="R63" s="250" t="s">
        <v>477</v>
      </c>
      <c r="S63" s="250" t="s">
        <v>436</v>
      </c>
      <c r="T63" s="250" t="s">
        <v>494</v>
      </c>
      <c r="U63" s="250" t="s">
        <v>481</v>
      </c>
      <c r="V63" s="250" t="s">
        <v>534</v>
      </c>
      <c r="W63" s="250" t="s">
        <v>479</v>
      </c>
      <c r="X63" s="250" t="s">
        <v>2</v>
      </c>
      <c r="Y63" s="250" t="s">
        <v>267</v>
      </c>
      <c r="Z63" s="250" t="s">
        <v>438</v>
      </c>
    </row>
    <row r="64" spans="1:26" ht="15.6" x14ac:dyDescent="0.3">
      <c r="B64" s="255">
        <f t="shared" ref="B64:B127" si="17">B65-1</f>
        <v>45569</v>
      </c>
      <c r="C64" s="253">
        <f>MONTH(B64)</f>
        <v>10</v>
      </c>
      <c r="D64" s="253"/>
      <c r="E64" s="253"/>
      <c r="F64" s="253"/>
      <c r="G64" s="253"/>
      <c r="H64">
        <f t="shared" ref="H64:H127" si="18">G64-D64</f>
        <v>0</v>
      </c>
      <c r="I64">
        <f>(D64+G64)/2</f>
        <v>0</v>
      </c>
      <c r="M64">
        <f>MONTH(N64)</f>
        <v>10</v>
      </c>
      <c r="N64" s="240">
        <v>45566</v>
      </c>
      <c r="O64" s="240">
        <v>45596</v>
      </c>
      <c r="P64" s="1">
        <f>_xlfn.DAYS(O64,N64)+1</f>
        <v>31</v>
      </c>
      <c r="Q64" s="2" t="e">
        <f>AVERAGEIF($C$64:$C$214,M64,$D$64:$D$214)</f>
        <v>#DIV/0!</v>
      </c>
      <c r="R64" s="2">
        <f>AVERAGEIF($C$64:$C$214,M64,$H$64:$H$214)</f>
        <v>0</v>
      </c>
      <c r="S64" s="2" t="e">
        <f>AVERAGEIF($C$64:$C$214,M64,$G$64:$G$214)</f>
        <v>#DIV/0!</v>
      </c>
      <c r="T64" s="2">
        <f>AVERAGEIF($C$64:$C$214,M64,$I$64:$I$214)</f>
        <v>0</v>
      </c>
      <c r="U64" s="3">
        <f>T64/31</f>
        <v>0</v>
      </c>
      <c r="V64" s="1">
        <f>C7+(E36+C8)/12</f>
        <v>2412139.0866666664</v>
      </c>
      <c r="W64" s="3">
        <f>(E19+E26+E32+C42)/12</f>
        <v>784338.33333333337</v>
      </c>
      <c r="X64" s="3">
        <f t="shared" ref="X64:X68" si="19">V64+W64</f>
        <v>3196477.42</v>
      </c>
      <c r="Y64" s="1" t="e">
        <f t="shared" ref="Y64:Y65" si="20">X64/(T64/31)/P64</f>
        <v>#DIV/0!</v>
      </c>
      <c r="Z64" s="264" t="e">
        <f>S64/$G$62</f>
        <v>#DIV/0!</v>
      </c>
    </row>
    <row r="65" spans="2:26" ht="15.6" x14ac:dyDescent="0.3">
      <c r="B65" s="255">
        <f t="shared" si="17"/>
        <v>45570</v>
      </c>
      <c r="C65" s="253">
        <f t="shared" ref="C65:C128" si="21">MONTH(B65)</f>
        <v>10</v>
      </c>
      <c r="D65" s="253"/>
      <c r="E65" s="253"/>
      <c r="F65" s="253"/>
      <c r="G65" s="253"/>
      <c r="H65">
        <f t="shared" si="18"/>
        <v>0</v>
      </c>
      <c r="I65">
        <f t="shared" ref="I65:I128" si="22">(D65+G65)/2</f>
        <v>0</v>
      </c>
      <c r="M65">
        <f>MONTH(N65)</f>
        <v>11</v>
      </c>
      <c r="N65" s="240">
        <f>O64+1</f>
        <v>45597</v>
      </c>
      <c r="O65" s="240">
        <f>EOMONTH(N65,0.5)</f>
        <v>45626</v>
      </c>
      <c r="P65" s="1">
        <f>_xlfn.DAYS(O65,N65)+1</f>
        <v>30</v>
      </c>
      <c r="Q65" s="2" t="e">
        <f>AVERAGEIF($C$64:$C$214,M65,$D$64:$D$214)</f>
        <v>#DIV/0!</v>
      </c>
      <c r="R65" s="2">
        <f>AVERAGEIF($C$64:$C$214,M65,$H$64:$H$214)</f>
        <v>0</v>
      </c>
      <c r="S65" s="2" t="e">
        <f>AVERAGEIF($C$64:$C$214,M65,$G$64:$G$214)</f>
        <v>#DIV/0!</v>
      </c>
      <c r="T65" s="2">
        <f t="shared" ref="T65" si="23">AVERAGEIF($C$64:$C$214,M65,$I$64:$I$214)</f>
        <v>0</v>
      </c>
      <c r="U65" s="3">
        <f t="shared" ref="U65:U68" si="24">T65/31</f>
        <v>0</v>
      </c>
      <c r="V65" s="1">
        <f>V64</f>
        <v>2412139.0866666664</v>
      </c>
      <c r="W65" s="3">
        <f>W64</f>
        <v>784338.33333333337</v>
      </c>
      <c r="X65" s="3">
        <f t="shared" si="19"/>
        <v>3196477.42</v>
      </c>
      <c r="Y65" s="1" t="e">
        <f t="shared" si="20"/>
        <v>#DIV/0!</v>
      </c>
      <c r="Z65" s="264" t="e">
        <f>S65/$G$62</f>
        <v>#DIV/0!</v>
      </c>
    </row>
    <row r="66" spans="2:26" ht="15.6" x14ac:dyDescent="0.3">
      <c r="B66" s="255">
        <f t="shared" si="17"/>
        <v>45571</v>
      </c>
      <c r="C66" s="253">
        <f t="shared" si="21"/>
        <v>10</v>
      </c>
      <c r="D66" s="253"/>
      <c r="E66" s="253"/>
      <c r="F66" s="253"/>
      <c r="G66" s="253"/>
      <c r="H66">
        <f t="shared" si="18"/>
        <v>0</v>
      </c>
      <c r="I66">
        <f t="shared" si="22"/>
        <v>0</v>
      </c>
      <c r="M66">
        <f>MONTH(N66)</f>
        <v>12</v>
      </c>
      <c r="N66" s="240">
        <f>O65+1</f>
        <v>45627</v>
      </c>
      <c r="O66" s="240">
        <f>EOMONTH(N66,0.5)</f>
        <v>45657</v>
      </c>
      <c r="P66" s="1">
        <f>_xlfn.DAYS(O66,N66)+1</f>
        <v>31</v>
      </c>
      <c r="Q66" s="2" t="e">
        <f>AVERAGEIF($C$64:$C$214,M66,$D$64:$D$214)</f>
        <v>#DIV/0!</v>
      </c>
      <c r="R66" s="2">
        <f>AVERAGEIF($C$64:$C$214,M66,$H$64:$H$214)</f>
        <v>0</v>
      </c>
      <c r="S66" s="2">
        <f>AVERAGEIF($C$64:$C$214,M66,$G$64:$G$214)</f>
        <v>0</v>
      </c>
      <c r="T66" s="2">
        <f>AVERAGEIF($C$64:$C$211,M66,$I$64:$I$211)</f>
        <v>0</v>
      </c>
      <c r="U66" s="3">
        <f t="shared" si="24"/>
        <v>0</v>
      </c>
      <c r="V66" s="1">
        <f t="shared" ref="V66:W68" si="25">V65</f>
        <v>2412139.0866666664</v>
      </c>
      <c r="W66" s="3">
        <f t="shared" si="25"/>
        <v>784338.33333333337</v>
      </c>
      <c r="X66" s="3">
        <f t="shared" si="19"/>
        <v>3196477.42</v>
      </c>
      <c r="Y66" s="1" t="e">
        <f>X66/(T66/31)/P66</f>
        <v>#DIV/0!</v>
      </c>
      <c r="Z66" s="264">
        <f>S66/$G$62</f>
        <v>0</v>
      </c>
    </row>
    <row r="67" spans="2:26" ht="15.6" x14ac:dyDescent="0.3">
      <c r="B67" s="255">
        <f t="shared" si="17"/>
        <v>45572</v>
      </c>
      <c r="C67" s="253">
        <f t="shared" si="21"/>
        <v>10</v>
      </c>
      <c r="D67" s="253"/>
      <c r="E67" s="253"/>
      <c r="F67" s="253"/>
      <c r="G67" s="253"/>
      <c r="H67">
        <f t="shared" si="18"/>
        <v>0</v>
      </c>
      <c r="I67">
        <f t="shared" si="22"/>
        <v>0</v>
      </c>
      <c r="M67">
        <f>MONTH(N67)</f>
        <v>1</v>
      </c>
      <c r="N67" s="240">
        <f>O66+1</f>
        <v>45658</v>
      </c>
      <c r="O67" s="240">
        <f>EOMONTH(N67,0.5)</f>
        <v>45688</v>
      </c>
      <c r="P67" s="1">
        <f>_xlfn.DAYS(O67,N67)+1</f>
        <v>31</v>
      </c>
      <c r="Q67" s="2">
        <f>AVERAGEIF($C$64:$C$214,M67,$D$64:$D$214)</f>
        <v>118499.25806451614</v>
      </c>
      <c r="R67" s="2">
        <f>AVERAGEIF($C$64:$C$214,M67,$H$64:$H$214)</f>
        <v>-268.03225806451616</v>
      </c>
      <c r="S67" s="2">
        <f>AVERAGEIF($C$64:$C$214,M67,$G$64:$G$214)</f>
        <v>118231.22580645161</v>
      </c>
      <c r="T67" s="2">
        <f>AVERAGEIF($C$64:$C$211,M67,$I$64:$I$211)</f>
        <v>118365.24193548386</v>
      </c>
      <c r="U67" s="3">
        <f t="shared" si="24"/>
        <v>3818.2336108220602</v>
      </c>
      <c r="V67" s="1">
        <f t="shared" si="25"/>
        <v>2412139.0866666664</v>
      </c>
      <c r="W67" s="3">
        <f t="shared" si="25"/>
        <v>784338.33333333337</v>
      </c>
      <c r="X67" s="3">
        <f t="shared" si="19"/>
        <v>3196477.42</v>
      </c>
      <c r="Y67" s="1">
        <f t="shared" ref="Y67:Y68" si="26">X67/(T67/31)/P67</f>
        <v>27.005203282077279</v>
      </c>
      <c r="Z67" s="264">
        <f>S67/$G$62</f>
        <v>0.89944560861209755</v>
      </c>
    </row>
    <row r="68" spans="2:26" ht="15.6" x14ac:dyDescent="0.3">
      <c r="B68" s="255">
        <f t="shared" si="17"/>
        <v>45573</v>
      </c>
      <c r="C68" s="253">
        <f t="shared" si="21"/>
        <v>10</v>
      </c>
      <c r="D68" s="253"/>
      <c r="E68" s="253"/>
      <c r="F68" s="253"/>
      <c r="G68" s="253"/>
      <c r="H68">
        <f t="shared" si="18"/>
        <v>0</v>
      </c>
      <c r="I68">
        <f t="shared" si="22"/>
        <v>0</v>
      </c>
      <c r="M68">
        <f>MONTH(N68)</f>
        <v>2</v>
      </c>
      <c r="N68" s="240">
        <f>O67+1</f>
        <v>45689</v>
      </c>
      <c r="O68" s="240">
        <f>EOMONTH(N68,0.5)</f>
        <v>45716</v>
      </c>
      <c r="P68" s="1">
        <f>_xlfn.DAYS(O68,N68)+1</f>
        <v>28</v>
      </c>
      <c r="Q68" s="2">
        <f>AVERAGEIF($C$64:$C$214,M68,$D$64:$D$214)</f>
        <v>97527.21428571429</v>
      </c>
      <c r="R68" s="2">
        <f>AVERAGEIF($C$64:$C$214,M68,$H$64:$H$214)</f>
        <v>-1811.9285714285713</v>
      </c>
      <c r="S68" s="2">
        <f>AVERAGEIF($C$64:$C$214,M68,$G$64:$G$214)</f>
        <v>95715.28571428571</v>
      </c>
      <c r="T68" s="2">
        <f>AVERAGEIF($C$64:$C$211,M68,$I$64:$I$211)</f>
        <v>96621.25</v>
      </c>
      <c r="U68" s="3">
        <f t="shared" si="24"/>
        <v>3116.8145161290322</v>
      </c>
      <c r="V68" s="1">
        <f t="shared" si="25"/>
        <v>2412139.0866666664</v>
      </c>
      <c r="W68" s="3">
        <f t="shared" si="25"/>
        <v>784338.33333333337</v>
      </c>
      <c r="X68" s="3">
        <f t="shared" si="19"/>
        <v>3196477.42</v>
      </c>
      <c r="Y68" s="1">
        <f t="shared" si="26"/>
        <v>36.627109911861297</v>
      </c>
      <c r="Z68" s="264">
        <f>S68/$G$62</f>
        <v>0.72815529760048159</v>
      </c>
    </row>
    <row r="69" spans="2:26" ht="15.6" x14ac:dyDescent="0.3">
      <c r="B69" s="255">
        <f t="shared" si="17"/>
        <v>45574</v>
      </c>
      <c r="C69" s="253">
        <f t="shared" si="21"/>
        <v>10</v>
      </c>
      <c r="D69" s="253"/>
      <c r="E69" s="253"/>
      <c r="F69" s="253"/>
      <c r="G69" s="253"/>
      <c r="H69">
        <f t="shared" si="18"/>
        <v>0</v>
      </c>
      <c r="I69">
        <f t="shared" si="22"/>
        <v>0</v>
      </c>
      <c r="J69" s="240"/>
      <c r="K69" s="240"/>
      <c r="L69" s="1"/>
      <c r="M69" s="2"/>
      <c r="N69" s="2"/>
      <c r="O69" s="2"/>
      <c r="S69" s="3"/>
    </row>
    <row r="70" spans="2:26" ht="15.6" x14ac:dyDescent="0.3">
      <c r="B70" s="255">
        <f t="shared" si="17"/>
        <v>45575</v>
      </c>
      <c r="C70" s="253">
        <f t="shared" si="21"/>
        <v>10</v>
      </c>
      <c r="D70" s="253"/>
      <c r="E70" s="253"/>
      <c r="F70" s="253"/>
      <c r="G70" s="253"/>
      <c r="H70">
        <f t="shared" si="18"/>
        <v>0</v>
      </c>
      <c r="I70">
        <f t="shared" si="22"/>
        <v>0</v>
      </c>
    </row>
    <row r="71" spans="2:26" ht="15.6" x14ac:dyDescent="0.3">
      <c r="B71" s="255">
        <f t="shared" si="17"/>
        <v>45576</v>
      </c>
      <c r="C71" s="253">
        <f t="shared" si="21"/>
        <v>10</v>
      </c>
      <c r="D71" s="253"/>
      <c r="E71" s="253"/>
      <c r="F71" s="253"/>
      <c r="G71" s="253"/>
      <c r="H71">
        <f t="shared" si="18"/>
        <v>0</v>
      </c>
      <c r="I71">
        <f t="shared" si="22"/>
        <v>0</v>
      </c>
    </row>
    <row r="72" spans="2:26" ht="15.6" x14ac:dyDescent="0.3">
      <c r="B72" s="255">
        <f t="shared" si="17"/>
        <v>45577</v>
      </c>
      <c r="C72" s="253">
        <f t="shared" si="21"/>
        <v>10</v>
      </c>
      <c r="D72" s="253"/>
      <c r="E72" s="253"/>
      <c r="F72" s="253"/>
      <c r="G72" s="253"/>
      <c r="H72">
        <f t="shared" si="18"/>
        <v>0</v>
      </c>
      <c r="I72">
        <f t="shared" si="22"/>
        <v>0</v>
      </c>
    </row>
    <row r="73" spans="2:26" ht="15.6" x14ac:dyDescent="0.3">
      <c r="B73" s="255">
        <f t="shared" si="17"/>
        <v>45578</v>
      </c>
      <c r="C73" s="253">
        <f t="shared" si="21"/>
        <v>10</v>
      </c>
      <c r="D73" s="253"/>
      <c r="E73" s="253"/>
      <c r="F73" s="253"/>
      <c r="G73" s="253"/>
      <c r="H73">
        <f t="shared" si="18"/>
        <v>0</v>
      </c>
      <c r="I73">
        <f t="shared" si="22"/>
        <v>0</v>
      </c>
    </row>
    <row r="74" spans="2:26" ht="15.6" x14ac:dyDescent="0.3">
      <c r="B74" s="255">
        <f t="shared" si="17"/>
        <v>45579</v>
      </c>
      <c r="C74" s="253">
        <f t="shared" si="21"/>
        <v>10</v>
      </c>
      <c r="D74" s="253"/>
      <c r="E74" s="253"/>
      <c r="F74" s="253"/>
      <c r="G74" s="253"/>
      <c r="H74">
        <f t="shared" si="18"/>
        <v>0</v>
      </c>
      <c r="I74">
        <f t="shared" si="22"/>
        <v>0</v>
      </c>
    </row>
    <row r="75" spans="2:26" ht="15.6" x14ac:dyDescent="0.3">
      <c r="B75" s="255">
        <f t="shared" si="17"/>
        <v>45580</v>
      </c>
      <c r="C75" s="253">
        <f t="shared" si="21"/>
        <v>10</v>
      </c>
      <c r="D75" s="253"/>
      <c r="E75" s="253"/>
      <c r="F75" s="253"/>
      <c r="G75" s="253"/>
      <c r="H75">
        <f t="shared" si="18"/>
        <v>0</v>
      </c>
      <c r="I75">
        <f t="shared" si="22"/>
        <v>0</v>
      </c>
    </row>
    <row r="76" spans="2:26" ht="15.6" x14ac:dyDescent="0.3">
      <c r="B76" s="255">
        <f t="shared" si="17"/>
        <v>45581</v>
      </c>
      <c r="C76" s="253">
        <f t="shared" si="21"/>
        <v>10</v>
      </c>
      <c r="D76" s="253"/>
      <c r="E76" s="253"/>
      <c r="F76" s="253"/>
      <c r="G76" s="253"/>
      <c r="H76">
        <f t="shared" si="18"/>
        <v>0</v>
      </c>
      <c r="I76">
        <f t="shared" si="22"/>
        <v>0</v>
      </c>
    </row>
    <row r="77" spans="2:26" ht="15.6" x14ac:dyDescent="0.3">
      <c r="B77" s="255">
        <f t="shared" si="17"/>
        <v>45582</v>
      </c>
      <c r="C77" s="253">
        <f t="shared" si="21"/>
        <v>10</v>
      </c>
      <c r="D77" s="253"/>
      <c r="E77" s="253"/>
      <c r="F77" s="253"/>
      <c r="G77" s="253"/>
      <c r="H77">
        <f t="shared" si="18"/>
        <v>0</v>
      </c>
      <c r="I77">
        <f t="shared" si="22"/>
        <v>0</v>
      </c>
    </row>
    <row r="78" spans="2:26" ht="15.6" x14ac:dyDescent="0.3">
      <c r="B78" s="255">
        <f t="shared" si="17"/>
        <v>45583</v>
      </c>
      <c r="C78" s="253">
        <f t="shared" si="21"/>
        <v>10</v>
      </c>
      <c r="D78" s="253"/>
      <c r="E78" s="253"/>
      <c r="F78" s="253"/>
      <c r="G78" s="253"/>
      <c r="H78">
        <f t="shared" si="18"/>
        <v>0</v>
      </c>
      <c r="I78">
        <f t="shared" si="22"/>
        <v>0</v>
      </c>
    </row>
    <row r="79" spans="2:26" ht="15.6" x14ac:dyDescent="0.3">
      <c r="B79" s="255">
        <f t="shared" si="17"/>
        <v>45584</v>
      </c>
      <c r="C79" s="253">
        <f t="shared" si="21"/>
        <v>10</v>
      </c>
      <c r="D79" s="253"/>
      <c r="E79" s="253"/>
      <c r="F79" s="253"/>
      <c r="G79" s="253"/>
      <c r="H79">
        <f t="shared" si="18"/>
        <v>0</v>
      </c>
      <c r="I79">
        <f t="shared" si="22"/>
        <v>0</v>
      </c>
    </row>
    <row r="80" spans="2:26" ht="15.6" x14ac:dyDescent="0.3">
      <c r="B80" s="255">
        <f t="shared" si="17"/>
        <v>45585</v>
      </c>
      <c r="C80" s="253">
        <f t="shared" si="21"/>
        <v>10</v>
      </c>
      <c r="D80" s="253"/>
      <c r="E80" s="253"/>
      <c r="F80" s="253"/>
      <c r="G80" s="253"/>
      <c r="H80">
        <f t="shared" si="18"/>
        <v>0</v>
      </c>
      <c r="I80">
        <f t="shared" si="22"/>
        <v>0</v>
      </c>
    </row>
    <row r="81" spans="2:9" ht="15.6" x14ac:dyDescent="0.3">
      <c r="B81" s="255">
        <f t="shared" si="17"/>
        <v>45586</v>
      </c>
      <c r="C81" s="253">
        <f t="shared" si="21"/>
        <v>10</v>
      </c>
      <c r="D81" s="253"/>
      <c r="E81" s="253"/>
      <c r="F81" s="253"/>
      <c r="G81" s="253"/>
      <c r="H81">
        <f t="shared" si="18"/>
        <v>0</v>
      </c>
      <c r="I81">
        <f t="shared" si="22"/>
        <v>0</v>
      </c>
    </row>
    <row r="82" spans="2:9" ht="15.6" x14ac:dyDescent="0.3">
      <c r="B82" s="255">
        <f t="shared" si="17"/>
        <v>45587</v>
      </c>
      <c r="C82" s="253">
        <f t="shared" si="21"/>
        <v>10</v>
      </c>
      <c r="D82" s="253"/>
      <c r="E82" s="253"/>
      <c r="F82" s="253"/>
      <c r="G82" s="253"/>
      <c r="H82">
        <f t="shared" si="18"/>
        <v>0</v>
      </c>
      <c r="I82">
        <f t="shared" si="22"/>
        <v>0</v>
      </c>
    </row>
    <row r="83" spans="2:9" ht="15.6" x14ac:dyDescent="0.3">
      <c r="B83" s="255">
        <f t="shared" si="17"/>
        <v>45588</v>
      </c>
      <c r="C83" s="253">
        <f t="shared" si="21"/>
        <v>10</v>
      </c>
      <c r="D83" s="253"/>
      <c r="E83" s="253"/>
      <c r="F83" s="253"/>
      <c r="G83" s="253"/>
      <c r="H83">
        <f t="shared" si="18"/>
        <v>0</v>
      </c>
      <c r="I83">
        <f t="shared" si="22"/>
        <v>0</v>
      </c>
    </row>
    <row r="84" spans="2:9" ht="15.6" x14ac:dyDescent="0.3">
      <c r="B84" s="255">
        <f t="shared" si="17"/>
        <v>45589</v>
      </c>
      <c r="C84" s="253">
        <f t="shared" si="21"/>
        <v>10</v>
      </c>
      <c r="D84" s="253"/>
      <c r="E84" s="253"/>
      <c r="F84" s="253"/>
      <c r="G84" s="253"/>
      <c r="H84">
        <f t="shared" si="18"/>
        <v>0</v>
      </c>
      <c r="I84">
        <f t="shared" si="22"/>
        <v>0</v>
      </c>
    </row>
    <row r="85" spans="2:9" ht="15.6" x14ac:dyDescent="0.3">
      <c r="B85" s="255">
        <f t="shared" si="17"/>
        <v>45590</v>
      </c>
      <c r="C85" s="253">
        <f t="shared" si="21"/>
        <v>10</v>
      </c>
      <c r="D85" s="253"/>
      <c r="E85" s="253"/>
      <c r="F85" s="253"/>
      <c r="G85" s="253"/>
      <c r="H85">
        <f t="shared" si="18"/>
        <v>0</v>
      </c>
      <c r="I85">
        <f t="shared" si="22"/>
        <v>0</v>
      </c>
    </row>
    <row r="86" spans="2:9" ht="15.6" x14ac:dyDescent="0.3">
      <c r="B86" s="255">
        <f t="shared" si="17"/>
        <v>45591</v>
      </c>
      <c r="C86" s="253">
        <f t="shared" si="21"/>
        <v>10</v>
      </c>
      <c r="D86" s="253"/>
      <c r="E86" s="253"/>
      <c r="F86" s="253"/>
      <c r="G86" s="253"/>
      <c r="H86">
        <f t="shared" si="18"/>
        <v>0</v>
      </c>
      <c r="I86">
        <f t="shared" si="22"/>
        <v>0</v>
      </c>
    </row>
    <row r="87" spans="2:9" ht="15.6" x14ac:dyDescent="0.3">
      <c r="B87" s="255">
        <f t="shared" si="17"/>
        <v>45592</v>
      </c>
      <c r="C87" s="253">
        <f t="shared" si="21"/>
        <v>10</v>
      </c>
      <c r="D87" s="253"/>
      <c r="E87" s="253"/>
      <c r="F87" s="253"/>
      <c r="G87" s="253"/>
      <c r="H87">
        <f t="shared" si="18"/>
        <v>0</v>
      </c>
      <c r="I87">
        <f t="shared" si="22"/>
        <v>0</v>
      </c>
    </row>
    <row r="88" spans="2:9" ht="15.6" x14ac:dyDescent="0.3">
      <c r="B88" s="255">
        <f t="shared" si="17"/>
        <v>45593</v>
      </c>
      <c r="C88" s="253">
        <f t="shared" si="21"/>
        <v>10</v>
      </c>
      <c r="D88" s="253"/>
      <c r="E88" s="253"/>
      <c r="F88" s="253"/>
      <c r="G88" s="253"/>
      <c r="H88">
        <f t="shared" si="18"/>
        <v>0</v>
      </c>
      <c r="I88">
        <f t="shared" si="22"/>
        <v>0</v>
      </c>
    </row>
    <row r="89" spans="2:9" ht="15.6" x14ac:dyDescent="0.3">
      <c r="B89" s="255">
        <f t="shared" si="17"/>
        <v>45594</v>
      </c>
      <c r="C89" s="253">
        <f t="shared" si="21"/>
        <v>10</v>
      </c>
      <c r="D89" s="253"/>
      <c r="E89" s="253"/>
      <c r="F89" s="253"/>
      <c r="G89" s="253"/>
      <c r="H89">
        <f t="shared" si="18"/>
        <v>0</v>
      </c>
      <c r="I89">
        <f t="shared" si="22"/>
        <v>0</v>
      </c>
    </row>
    <row r="90" spans="2:9" ht="15.6" x14ac:dyDescent="0.3">
      <c r="B90" s="255">
        <f t="shared" si="17"/>
        <v>45595</v>
      </c>
      <c r="C90" s="253">
        <f t="shared" si="21"/>
        <v>10</v>
      </c>
      <c r="D90" s="253"/>
      <c r="E90" s="253"/>
      <c r="F90" s="253"/>
      <c r="G90" s="253"/>
      <c r="H90">
        <f t="shared" si="18"/>
        <v>0</v>
      </c>
      <c r="I90">
        <f t="shared" si="22"/>
        <v>0</v>
      </c>
    </row>
    <row r="91" spans="2:9" ht="15.6" x14ac:dyDescent="0.3">
      <c r="B91" s="255">
        <f t="shared" si="17"/>
        <v>45596</v>
      </c>
      <c r="C91" s="253">
        <f t="shared" si="21"/>
        <v>10</v>
      </c>
      <c r="D91" s="253"/>
      <c r="E91" s="253"/>
      <c r="F91" s="253"/>
      <c r="G91" s="253"/>
      <c r="H91">
        <f t="shared" si="18"/>
        <v>0</v>
      </c>
      <c r="I91">
        <f t="shared" si="22"/>
        <v>0</v>
      </c>
    </row>
    <row r="92" spans="2:9" ht="15.6" x14ac:dyDescent="0.3">
      <c r="B92" s="255">
        <f t="shared" si="17"/>
        <v>45597</v>
      </c>
      <c r="C92" s="253">
        <f t="shared" si="21"/>
        <v>11</v>
      </c>
      <c r="D92" s="253"/>
      <c r="E92" s="253"/>
      <c r="F92" s="253"/>
      <c r="G92" s="253"/>
      <c r="H92">
        <f t="shared" si="18"/>
        <v>0</v>
      </c>
      <c r="I92">
        <f t="shared" si="22"/>
        <v>0</v>
      </c>
    </row>
    <row r="93" spans="2:9" ht="15.6" x14ac:dyDescent="0.3">
      <c r="B93" s="255">
        <f t="shared" si="17"/>
        <v>45598</v>
      </c>
      <c r="C93" s="253">
        <f t="shared" si="21"/>
        <v>11</v>
      </c>
      <c r="D93" s="253"/>
      <c r="E93" s="253"/>
      <c r="F93" s="253"/>
      <c r="G93" s="253"/>
      <c r="H93">
        <f t="shared" si="18"/>
        <v>0</v>
      </c>
      <c r="I93">
        <f t="shared" si="22"/>
        <v>0</v>
      </c>
    </row>
    <row r="94" spans="2:9" ht="15.6" x14ac:dyDescent="0.3">
      <c r="B94" s="255">
        <f t="shared" si="17"/>
        <v>45599</v>
      </c>
      <c r="C94" s="253">
        <f t="shared" si="21"/>
        <v>11</v>
      </c>
      <c r="D94" s="253"/>
      <c r="E94" s="253"/>
      <c r="F94" s="253"/>
      <c r="G94" s="253"/>
      <c r="H94">
        <f t="shared" si="18"/>
        <v>0</v>
      </c>
      <c r="I94">
        <f t="shared" si="22"/>
        <v>0</v>
      </c>
    </row>
    <row r="95" spans="2:9" ht="15.6" x14ac:dyDescent="0.3">
      <c r="B95" s="255">
        <f t="shared" si="17"/>
        <v>45600</v>
      </c>
      <c r="C95" s="253">
        <f t="shared" si="21"/>
        <v>11</v>
      </c>
      <c r="D95" s="253"/>
      <c r="E95" s="253"/>
      <c r="F95" s="253"/>
      <c r="G95" s="253"/>
      <c r="H95">
        <f t="shared" si="18"/>
        <v>0</v>
      </c>
      <c r="I95">
        <f t="shared" si="22"/>
        <v>0</v>
      </c>
    </row>
    <row r="96" spans="2:9" ht="15.6" x14ac:dyDescent="0.3">
      <c r="B96" s="255">
        <f t="shared" si="17"/>
        <v>45601</v>
      </c>
      <c r="C96" s="253">
        <f t="shared" si="21"/>
        <v>11</v>
      </c>
      <c r="D96" s="253"/>
      <c r="E96" s="253"/>
      <c r="F96" s="253"/>
      <c r="G96" s="253"/>
      <c r="H96">
        <f t="shared" si="18"/>
        <v>0</v>
      </c>
      <c r="I96">
        <f t="shared" si="22"/>
        <v>0</v>
      </c>
    </row>
    <row r="97" spans="2:9" ht="15.6" x14ac:dyDescent="0.3">
      <c r="B97" s="255">
        <f t="shared" si="17"/>
        <v>45602</v>
      </c>
      <c r="C97" s="253">
        <f t="shared" si="21"/>
        <v>11</v>
      </c>
      <c r="D97" s="253"/>
      <c r="E97" s="253"/>
      <c r="F97" s="253"/>
      <c r="G97" s="253"/>
      <c r="H97">
        <f t="shared" si="18"/>
        <v>0</v>
      </c>
      <c r="I97">
        <f t="shared" si="22"/>
        <v>0</v>
      </c>
    </row>
    <row r="98" spans="2:9" ht="15.6" x14ac:dyDescent="0.3">
      <c r="B98" s="255">
        <f t="shared" si="17"/>
        <v>45603</v>
      </c>
      <c r="C98" s="253">
        <f t="shared" si="21"/>
        <v>11</v>
      </c>
      <c r="D98" s="253"/>
      <c r="E98" s="253"/>
      <c r="F98" s="253"/>
      <c r="G98" s="253"/>
      <c r="H98">
        <f t="shared" si="18"/>
        <v>0</v>
      </c>
      <c r="I98">
        <f t="shared" si="22"/>
        <v>0</v>
      </c>
    </row>
    <row r="99" spans="2:9" ht="15.6" x14ac:dyDescent="0.3">
      <c r="B99" s="255">
        <f t="shared" si="17"/>
        <v>45604</v>
      </c>
      <c r="C99" s="253">
        <f t="shared" si="21"/>
        <v>11</v>
      </c>
      <c r="D99" s="253"/>
      <c r="E99" s="253"/>
      <c r="F99" s="253"/>
      <c r="G99" s="253"/>
      <c r="H99">
        <f t="shared" si="18"/>
        <v>0</v>
      </c>
      <c r="I99">
        <f t="shared" si="22"/>
        <v>0</v>
      </c>
    </row>
    <row r="100" spans="2:9" ht="15.6" x14ac:dyDescent="0.3">
      <c r="B100" s="255">
        <f t="shared" si="17"/>
        <v>45605</v>
      </c>
      <c r="C100" s="253">
        <f t="shared" si="21"/>
        <v>11</v>
      </c>
      <c r="D100" s="253"/>
      <c r="E100" s="253"/>
      <c r="F100" s="253"/>
      <c r="G100" s="253"/>
      <c r="H100">
        <f t="shared" si="18"/>
        <v>0</v>
      </c>
      <c r="I100">
        <f t="shared" si="22"/>
        <v>0</v>
      </c>
    </row>
    <row r="101" spans="2:9" ht="15.6" x14ac:dyDescent="0.3">
      <c r="B101" s="255">
        <f t="shared" si="17"/>
        <v>45606</v>
      </c>
      <c r="C101" s="253">
        <f t="shared" si="21"/>
        <v>11</v>
      </c>
      <c r="D101" s="253"/>
      <c r="E101" s="253"/>
      <c r="F101" s="253"/>
      <c r="G101" s="253"/>
      <c r="H101">
        <f t="shared" si="18"/>
        <v>0</v>
      </c>
      <c r="I101">
        <f t="shared" si="22"/>
        <v>0</v>
      </c>
    </row>
    <row r="102" spans="2:9" ht="15.6" x14ac:dyDescent="0.3">
      <c r="B102" s="255">
        <f t="shared" si="17"/>
        <v>45607</v>
      </c>
      <c r="C102" s="253">
        <f t="shared" si="21"/>
        <v>11</v>
      </c>
      <c r="D102" s="253"/>
      <c r="E102" s="253"/>
      <c r="F102" s="253"/>
      <c r="G102" s="253"/>
      <c r="H102">
        <f t="shared" si="18"/>
        <v>0</v>
      </c>
      <c r="I102">
        <f t="shared" si="22"/>
        <v>0</v>
      </c>
    </row>
    <row r="103" spans="2:9" ht="15.6" x14ac:dyDescent="0.3">
      <c r="B103" s="255">
        <f t="shared" si="17"/>
        <v>45608</v>
      </c>
      <c r="C103" s="253">
        <f t="shared" si="21"/>
        <v>11</v>
      </c>
      <c r="D103" s="253"/>
      <c r="E103" s="253"/>
      <c r="F103" s="253"/>
      <c r="G103" s="253"/>
      <c r="H103">
        <f t="shared" si="18"/>
        <v>0</v>
      </c>
      <c r="I103">
        <f t="shared" si="22"/>
        <v>0</v>
      </c>
    </row>
    <row r="104" spans="2:9" ht="15.6" x14ac:dyDescent="0.3">
      <c r="B104" s="255">
        <f t="shared" si="17"/>
        <v>45609</v>
      </c>
      <c r="C104" s="253">
        <f t="shared" si="21"/>
        <v>11</v>
      </c>
      <c r="D104" s="253"/>
      <c r="E104" s="253"/>
      <c r="F104" s="253"/>
      <c r="G104" s="253"/>
      <c r="H104">
        <f t="shared" si="18"/>
        <v>0</v>
      </c>
      <c r="I104">
        <f t="shared" si="22"/>
        <v>0</v>
      </c>
    </row>
    <row r="105" spans="2:9" ht="15.6" x14ac:dyDescent="0.3">
      <c r="B105" s="255">
        <f t="shared" si="17"/>
        <v>45610</v>
      </c>
      <c r="C105" s="253">
        <f t="shared" si="21"/>
        <v>11</v>
      </c>
      <c r="D105" s="253"/>
      <c r="E105" s="253"/>
      <c r="F105" s="253"/>
      <c r="G105" s="253"/>
      <c r="H105">
        <f t="shared" si="18"/>
        <v>0</v>
      </c>
      <c r="I105">
        <f t="shared" si="22"/>
        <v>0</v>
      </c>
    </row>
    <row r="106" spans="2:9" ht="15.6" x14ac:dyDescent="0.3">
      <c r="B106" s="255">
        <f t="shared" si="17"/>
        <v>45611</v>
      </c>
      <c r="C106" s="253">
        <f t="shared" si="21"/>
        <v>11</v>
      </c>
      <c r="D106" s="253"/>
      <c r="E106" s="253"/>
      <c r="F106" s="253"/>
      <c r="G106" s="253"/>
      <c r="H106">
        <f t="shared" si="18"/>
        <v>0</v>
      </c>
      <c r="I106">
        <f t="shared" si="22"/>
        <v>0</v>
      </c>
    </row>
    <row r="107" spans="2:9" ht="15.6" x14ac:dyDescent="0.3">
      <c r="B107" s="255">
        <f t="shared" si="17"/>
        <v>45612</v>
      </c>
      <c r="C107" s="253">
        <f t="shared" si="21"/>
        <v>11</v>
      </c>
      <c r="D107" s="253"/>
      <c r="E107" s="253"/>
      <c r="F107" s="253"/>
      <c r="G107" s="253"/>
      <c r="H107">
        <f t="shared" si="18"/>
        <v>0</v>
      </c>
      <c r="I107">
        <f t="shared" si="22"/>
        <v>0</v>
      </c>
    </row>
    <row r="108" spans="2:9" ht="15.6" x14ac:dyDescent="0.3">
      <c r="B108" s="255">
        <f t="shared" si="17"/>
        <v>45613</v>
      </c>
      <c r="C108" s="253">
        <f t="shared" si="21"/>
        <v>11</v>
      </c>
      <c r="D108" s="253"/>
      <c r="E108" s="253"/>
      <c r="F108" s="253"/>
      <c r="G108" s="253"/>
      <c r="H108">
        <f t="shared" si="18"/>
        <v>0</v>
      </c>
      <c r="I108">
        <f t="shared" si="22"/>
        <v>0</v>
      </c>
    </row>
    <row r="109" spans="2:9" ht="15.6" x14ac:dyDescent="0.3">
      <c r="B109" s="255">
        <f t="shared" si="17"/>
        <v>45614</v>
      </c>
      <c r="C109" s="253">
        <f t="shared" si="21"/>
        <v>11</v>
      </c>
      <c r="D109" s="253"/>
      <c r="E109" s="253"/>
      <c r="F109" s="253"/>
      <c r="G109" s="253"/>
      <c r="H109">
        <f t="shared" si="18"/>
        <v>0</v>
      </c>
      <c r="I109">
        <f t="shared" si="22"/>
        <v>0</v>
      </c>
    </row>
    <row r="110" spans="2:9" ht="15.6" x14ac:dyDescent="0.3">
      <c r="B110" s="255">
        <f t="shared" si="17"/>
        <v>45615</v>
      </c>
      <c r="C110" s="253">
        <f t="shared" si="21"/>
        <v>11</v>
      </c>
      <c r="D110" s="253"/>
      <c r="E110" s="253"/>
      <c r="F110" s="253"/>
      <c r="G110" s="253"/>
      <c r="H110">
        <f t="shared" si="18"/>
        <v>0</v>
      </c>
      <c r="I110">
        <f t="shared" si="22"/>
        <v>0</v>
      </c>
    </row>
    <row r="111" spans="2:9" ht="15.6" x14ac:dyDescent="0.3">
      <c r="B111" s="255">
        <f t="shared" si="17"/>
        <v>45616</v>
      </c>
      <c r="C111" s="253">
        <f t="shared" si="21"/>
        <v>11</v>
      </c>
      <c r="D111" s="253"/>
      <c r="E111" s="253"/>
      <c r="F111" s="253"/>
      <c r="G111" s="253"/>
      <c r="H111">
        <f t="shared" si="18"/>
        <v>0</v>
      </c>
      <c r="I111">
        <f t="shared" si="22"/>
        <v>0</v>
      </c>
    </row>
    <row r="112" spans="2:9" ht="15.6" x14ac:dyDescent="0.3">
      <c r="B112" s="255">
        <f t="shared" si="17"/>
        <v>45617</v>
      </c>
      <c r="C112" s="253">
        <f t="shared" si="21"/>
        <v>11</v>
      </c>
      <c r="D112" s="253"/>
      <c r="E112" s="253"/>
      <c r="F112" s="253"/>
      <c r="G112" s="253"/>
      <c r="H112">
        <f t="shared" si="18"/>
        <v>0</v>
      </c>
      <c r="I112">
        <f t="shared" si="22"/>
        <v>0</v>
      </c>
    </row>
    <row r="113" spans="2:9" ht="15.6" x14ac:dyDescent="0.3">
      <c r="B113" s="255">
        <f t="shared" si="17"/>
        <v>45618</v>
      </c>
      <c r="C113" s="253">
        <f t="shared" si="21"/>
        <v>11</v>
      </c>
      <c r="D113" s="253"/>
      <c r="E113" s="253"/>
      <c r="F113" s="253"/>
      <c r="G113" s="253"/>
      <c r="H113">
        <f t="shared" si="18"/>
        <v>0</v>
      </c>
      <c r="I113">
        <f t="shared" si="22"/>
        <v>0</v>
      </c>
    </row>
    <row r="114" spans="2:9" ht="15.6" x14ac:dyDescent="0.3">
      <c r="B114" s="255">
        <f t="shared" si="17"/>
        <v>45619</v>
      </c>
      <c r="C114" s="253">
        <f t="shared" si="21"/>
        <v>11</v>
      </c>
      <c r="D114" s="253"/>
      <c r="E114" s="253"/>
      <c r="F114" s="253"/>
      <c r="G114" s="253"/>
      <c r="H114">
        <f t="shared" si="18"/>
        <v>0</v>
      </c>
      <c r="I114">
        <f t="shared" si="22"/>
        <v>0</v>
      </c>
    </row>
    <row r="115" spans="2:9" ht="15.6" x14ac:dyDescent="0.3">
      <c r="B115" s="255">
        <f t="shared" si="17"/>
        <v>45620</v>
      </c>
      <c r="C115" s="253">
        <f t="shared" si="21"/>
        <v>11</v>
      </c>
      <c r="D115" s="253"/>
      <c r="E115" s="253"/>
      <c r="F115" s="253"/>
      <c r="G115" s="253"/>
      <c r="H115">
        <f t="shared" si="18"/>
        <v>0</v>
      </c>
      <c r="I115">
        <f t="shared" si="22"/>
        <v>0</v>
      </c>
    </row>
    <row r="116" spans="2:9" ht="15.6" x14ac:dyDescent="0.3">
      <c r="B116" s="255">
        <f t="shared" si="17"/>
        <v>45621</v>
      </c>
      <c r="C116" s="253">
        <f t="shared" si="21"/>
        <v>11</v>
      </c>
      <c r="D116" s="253"/>
      <c r="E116" s="253"/>
      <c r="F116" s="253"/>
      <c r="G116" s="253"/>
      <c r="H116">
        <f t="shared" si="18"/>
        <v>0</v>
      </c>
      <c r="I116">
        <f t="shared" si="22"/>
        <v>0</v>
      </c>
    </row>
    <row r="117" spans="2:9" ht="15.6" x14ac:dyDescent="0.3">
      <c r="B117" s="255">
        <f t="shared" si="17"/>
        <v>45622</v>
      </c>
      <c r="C117" s="253">
        <f t="shared" si="21"/>
        <v>11</v>
      </c>
      <c r="D117" s="253"/>
      <c r="E117" s="253"/>
      <c r="F117" s="253"/>
      <c r="G117" s="253"/>
      <c r="H117">
        <f t="shared" si="18"/>
        <v>0</v>
      </c>
      <c r="I117">
        <f t="shared" si="22"/>
        <v>0</v>
      </c>
    </row>
    <row r="118" spans="2:9" ht="15.6" x14ac:dyDescent="0.3">
      <c r="B118" s="255">
        <f t="shared" si="17"/>
        <v>45623</v>
      </c>
      <c r="C118" s="253">
        <f t="shared" si="21"/>
        <v>11</v>
      </c>
      <c r="D118" s="253"/>
      <c r="E118" s="253"/>
      <c r="F118" s="253"/>
      <c r="G118" s="253"/>
      <c r="H118">
        <f t="shared" si="18"/>
        <v>0</v>
      </c>
      <c r="I118">
        <f t="shared" si="22"/>
        <v>0</v>
      </c>
    </row>
    <row r="119" spans="2:9" ht="15.6" x14ac:dyDescent="0.3">
      <c r="B119" s="255">
        <f t="shared" si="17"/>
        <v>45624</v>
      </c>
      <c r="C119" s="253">
        <f t="shared" si="21"/>
        <v>11</v>
      </c>
      <c r="D119" s="253"/>
      <c r="E119" s="253"/>
      <c r="F119" s="253"/>
      <c r="G119" s="253"/>
      <c r="H119">
        <f t="shared" si="18"/>
        <v>0</v>
      </c>
      <c r="I119">
        <f t="shared" si="22"/>
        <v>0</v>
      </c>
    </row>
    <row r="120" spans="2:9" ht="15.6" x14ac:dyDescent="0.3">
      <c r="B120" s="255">
        <f t="shared" si="17"/>
        <v>45625</v>
      </c>
      <c r="C120" s="253">
        <f t="shared" si="21"/>
        <v>11</v>
      </c>
      <c r="D120" s="253"/>
      <c r="E120" s="253"/>
      <c r="F120" s="253"/>
      <c r="G120" s="253"/>
      <c r="H120">
        <f t="shared" si="18"/>
        <v>0</v>
      </c>
      <c r="I120">
        <f t="shared" si="22"/>
        <v>0</v>
      </c>
    </row>
    <row r="121" spans="2:9" ht="15.6" x14ac:dyDescent="0.3">
      <c r="B121" s="255">
        <f t="shared" si="17"/>
        <v>45626</v>
      </c>
      <c r="C121" s="253">
        <f t="shared" si="21"/>
        <v>11</v>
      </c>
      <c r="D121" s="253"/>
      <c r="E121" s="253"/>
      <c r="F121" s="253"/>
      <c r="G121" s="253"/>
      <c r="H121">
        <f t="shared" si="18"/>
        <v>0</v>
      </c>
      <c r="I121">
        <f t="shared" si="22"/>
        <v>0</v>
      </c>
    </row>
    <row r="122" spans="2:9" ht="15.6" x14ac:dyDescent="0.3">
      <c r="B122" s="255">
        <f t="shared" si="17"/>
        <v>45627</v>
      </c>
      <c r="C122" s="253">
        <f t="shared" si="21"/>
        <v>12</v>
      </c>
      <c r="D122" s="253"/>
      <c r="E122" s="253"/>
      <c r="F122" s="253"/>
      <c r="G122" s="253"/>
      <c r="H122">
        <f t="shared" si="18"/>
        <v>0</v>
      </c>
      <c r="I122">
        <f t="shared" si="22"/>
        <v>0</v>
      </c>
    </row>
    <row r="123" spans="2:9" ht="15.6" x14ac:dyDescent="0.3">
      <c r="B123" s="255">
        <f t="shared" si="17"/>
        <v>45628</v>
      </c>
      <c r="C123" s="253">
        <f t="shared" si="21"/>
        <v>12</v>
      </c>
      <c r="D123" s="253"/>
      <c r="E123" s="253"/>
      <c r="F123" s="253"/>
      <c r="G123" s="253"/>
      <c r="H123">
        <f t="shared" si="18"/>
        <v>0</v>
      </c>
      <c r="I123">
        <f t="shared" si="22"/>
        <v>0</v>
      </c>
    </row>
    <row r="124" spans="2:9" ht="15.6" x14ac:dyDescent="0.3">
      <c r="B124" s="255">
        <f t="shared" si="17"/>
        <v>45629</v>
      </c>
      <c r="C124" s="253">
        <f t="shared" si="21"/>
        <v>12</v>
      </c>
      <c r="D124" s="253"/>
      <c r="E124" s="253"/>
      <c r="F124" s="253"/>
      <c r="G124" s="253"/>
      <c r="H124">
        <f t="shared" si="18"/>
        <v>0</v>
      </c>
      <c r="I124">
        <f t="shared" si="22"/>
        <v>0</v>
      </c>
    </row>
    <row r="125" spans="2:9" ht="15.6" x14ac:dyDescent="0.3">
      <c r="B125" s="255">
        <f t="shared" si="17"/>
        <v>45630</v>
      </c>
      <c r="C125" s="253">
        <f t="shared" si="21"/>
        <v>12</v>
      </c>
      <c r="D125" s="253"/>
      <c r="E125" s="253"/>
      <c r="F125" s="253"/>
      <c r="G125" s="253"/>
      <c r="H125">
        <f t="shared" si="18"/>
        <v>0</v>
      </c>
      <c r="I125">
        <f t="shared" si="22"/>
        <v>0</v>
      </c>
    </row>
    <row r="126" spans="2:9" ht="15.6" x14ac:dyDescent="0.3">
      <c r="B126" s="255">
        <f t="shared" si="17"/>
        <v>45631</v>
      </c>
      <c r="C126" s="253">
        <f t="shared" si="21"/>
        <v>12</v>
      </c>
      <c r="D126" s="253"/>
      <c r="E126" s="253"/>
      <c r="F126" s="253"/>
      <c r="G126" s="253"/>
      <c r="H126">
        <f t="shared" si="18"/>
        <v>0</v>
      </c>
      <c r="I126">
        <f t="shared" si="22"/>
        <v>0</v>
      </c>
    </row>
    <row r="127" spans="2:9" ht="15.6" x14ac:dyDescent="0.3">
      <c r="B127" s="255">
        <f t="shared" si="17"/>
        <v>45632</v>
      </c>
      <c r="C127" s="253">
        <f t="shared" si="21"/>
        <v>12</v>
      </c>
      <c r="D127" s="253"/>
      <c r="E127" s="253"/>
      <c r="F127" s="253"/>
      <c r="G127" s="253"/>
      <c r="H127">
        <f t="shared" si="18"/>
        <v>0</v>
      </c>
      <c r="I127">
        <f t="shared" si="22"/>
        <v>0</v>
      </c>
    </row>
    <row r="128" spans="2:9" ht="15.6" x14ac:dyDescent="0.3">
      <c r="B128" s="255">
        <f t="shared" ref="B128:B152" si="27">B129-1</f>
        <v>45633</v>
      </c>
      <c r="C128" s="253">
        <f t="shared" si="21"/>
        <v>12</v>
      </c>
      <c r="D128" s="253"/>
      <c r="E128" s="253"/>
      <c r="F128" s="253"/>
      <c r="G128" s="253"/>
      <c r="H128">
        <f t="shared" ref="H128:H183" si="28">G128-D128</f>
        <v>0</v>
      </c>
      <c r="I128">
        <f t="shared" si="22"/>
        <v>0</v>
      </c>
    </row>
    <row r="129" spans="2:9" ht="15.6" x14ac:dyDescent="0.3">
      <c r="B129" s="255">
        <f t="shared" si="27"/>
        <v>45634</v>
      </c>
      <c r="C129" s="253">
        <f t="shared" ref="C129:C192" si="29">MONTH(B129)</f>
        <v>12</v>
      </c>
      <c r="D129" s="253"/>
      <c r="E129" s="253"/>
      <c r="F129" s="253"/>
      <c r="G129" s="253"/>
      <c r="H129">
        <f t="shared" si="28"/>
        <v>0</v>
      </c>
      <c r="I129">
        <f t="shared" ref="I129:I192" si="30">(D129+G129)/2</f>
        <v>0</v>
      </c>
    </row>
    <row r="130" spans="2:9" ht="15.6" x14ac:dyDescent="0.3">
      <c r="B130" s="255">
        <f t="shared" si="27"/>
        <v>45635</v>
      </c>
      <c r="C130" s="253">
        <f t="shared" si="29"/>
        <v>12</v>
      </c>
      <c r="D130" s="253"/>
      <c r="E130" s="253"/>
      <c r="F130" s="253"/>
      <c r="G130" s="253"/>
      <c r="H130">
        <f t="shared" si="28"/>
        <v>0</v>
      </c>
      <c r="I130">
        <f t="shared" si="30"/>
        <v>0</v>
      </c>
    </row>
    <row r="131" spans="2:9" ht="15.6" x14ac:dyDescent="0.3">
      <c r="B131" s="255">
        <f t="shared" si="27"/>
        <v>45636</v>
      </c>
      <c r="C131" s="253">
        <f t="shared" si="29"/>
        <v>12</v>
      </c>
      <c r="D131" s="253"/>
      <c r="E131" s="253"/>
      <c r="F131" s="253"/>
      <c r="G131" s="253"/>
      <c r="H131">
        <f t="shared" si="28"/>
        <v>0</v>
      </c>
      <c r="I131">
        <f t="shared" si="30"/>
        <v>0</v>
      </c>
    </row>
    <row r="132" spans="2:9" ht="15.6" x14ac:dyDescent="0.3">
      <c r="B132" s="255">
        <f t="shared" si="27"/>
        <v>45637</v>
      </c>
      <c r="C132" s="253">
        <f t="shared" si="29"/>
        <v>12</v>
      </c>
      <c r="D132" s="253"/>
      <c r="E132" s="253"/>
      <c r="F132" s="253"/>
      <c r="G132" s="253"/>
      <c r="H132">
        <f t="shared" si="28"/>
        <v>0</v>
      </c>
      <c r="I132">
        <f t="shared" si="30"/>
        <v>0</v>
      </c>
    </row>
    <row r="133" spans="2:9" ht="15.6" x14ac:dyDescent="0.3">
      <c r="B133" s="255">
        <f t="shared" si="27"/>
        <v>45638</v>
      </c>
      <c r="C133" s="253">
        <f t="shared" si="29"/>
        <v>12</v>
      </c>
      <c r="D133" s="253"/>
      <c r="E133" s="253"/>
      <c r="F133" s="253"/>
      <c r="G133" s="253"/>
      <c r="H133">
        <f t="shared" si="28"/>
        <v>0</v>
      </c>
      <c r="I133">
        <f t="shared" si="30"/>
        <v>0</v>
      </c>
    </row>
    <row r="134" spans="2:9" ht="15.6" x14ac:dyDescent="0.3">
      <c r="B134" s="255">
        <f t="shared" si="27"/>
        <v>45639</v>
      </c>
      <c r="C134" s="253">
        <f t="shared" si="29"/>
        <v>12</v>
      </c>
      <c r="D134" s="253"/>
      <c r="E134" s="253"/>
      <c r="F134" s="253"/>
      <c r="G134" s="253"/>
      <c r="H134">
        <f t="shared" si="28"/>
        <v>0</v>
      </c>
      <c r="I134">
        <f t="shared" si="30"/>
        <v>0</v>
      </c>
    </row>
    <row r="135" spans="2:9" ht="15.6" x14ac:dyDescent="0.3">
      <c r="B135" s="255">
        <f t="shared" si="27"/>
        <v>45640</v>
      </c>
      <c r="C135" s="253">
        <f t="shared" si="29"/>
        <v>12</v>
      </c>
      <c r="D135" s="253"/>
      <c r="E135" s="253"/>
      <c r="F135" s="253"/>
      <c r="G135" s="253"/>
      <c r="H135">
        <f t="shared" si="28"/>
        <v>0</v>
      </c>
      <c r="I135">
        <f t="shared" si="30"/>
        <v>0</v>
      </c>
    </row>
    <row r="136" spans="2:9" ht="15.6" x14ac:dyDescent="0.3">
      <c r="B136" s="255">
        <f t="shared" si="27"/>
        <v>45641</v>
      </c>
      <c r="C136" s="253">
        <f t="shared" si="29"/>
        <v>12</v>
      </c>
      <c r="D136" s="253"/>
      <c r="E136" s="253"/>
      <c r="F136" s="253"/>
      <c r="G136" s="253"/>
      <c r="H136">
        <f t="shared" si="28"/>
        <v>0</v>
      </c>
      <c r="I136">
        <f t="shared" si="30"/>
        <v>0</v>
      </c>
    </row>
    <row r="137" spans="2:9" ht="15.6" x14ac:dyDescent="0.3">
      <c r="B137" s="255">
        <f t="shared" si="27"/>
        <v>45642</v>
      </c>
      <c r="C137" s="253">
        <f t="shared" si="29"/>
        <v>12</v>
      </c>
      <c r="D137" s="253"/>
      <c r="E137" s="253"/>
      <c r="F137" s="253"/>
      <c r="G137" s="253"/>
      <c r="H137">
        <f t="shared" si="28"/>
        <v>0</v>
      </c>
      <c r="I137">
        <f t="shared" si="30"/>
        <v>0</v>
      </c>
    </row>
    <row r="138" spans="2:9" ht="15.6" x14ac:dyDescent="0.3">
      <c r="B138" s="255">
        <f t="shared" si="27"/>
        <v>45643</v>
      </c>
      <c r="C138" s="253">
        <f t="shared" si="29"/>
        <v>12</v>
      </c>
      <c r="D138" s="253"/>
      <c r="E138" s="253"/>
      <c r="F138" s="253"/>
      <c r="G138" s="253"/>
      <c r="H138">
        <f t="shared" si="28"/>
        <v>0</v>
      </c>
      <c r="I138">
        <f t="shared" si="30"/>
        <v>0</v>
      </c>
    </row>
    <row r="139" spans="2:9" ht="15.6" x14ac:dyDescent="0.3">
      <c r="B139" s="255">
        <f t="shared" si="27"/>
        <v>45644</v>
      </c>
      <c r="C139" s="253">
        <f t="shared" si="29"/>
        <v>12</v>
      </c>
      <c r="D139" s="253"/>
      <c r="E139" s="253"/>
      <c r="F139" s="253"/>
      <c r="G139" s="253"/>
      <c r="H139">
        <f t="shared" si="28"/>
        <v>0</v>
      </c>
      <c r="I139">
        <f t="shared" si="30"/>
        <v>0</v>
      </c>
    </row>
    <row r="140" spans="2:9" ht="15.6" x14ac:dyDescent="0.3">
      <c r="B140" s="255">
        <f t="shared" si="27"/>
        <v>45645</v>
      </c>
      <c r="C140" s="253">
        <f t="shared" si="29"/>
        <v>12</v>
      </c>
      <c r="D140" s="253"/>
      <c r="E140" s="253"/>
      <c r="F140" s="253"/>
      <c r="G140" s="253"/>
      <c r="H140">
        <f t="shared" si="28"/>
        <v>0</v>
      </c>
      <c r="I140">
        <f t="shared" si="30"/>
        <v>0</v>
      </c>
    </row>
    <row r="141" spans="2:9" ht="15.6" x14ac:dyDescent="0.3">
      <c r="B141" s="255">
        <f t="shared" si="27"/>
        <v>45646</v>
      </c>
      <c r="C141" s="253">
        <f t="shared" si="29"/>
        <v>12</v>
      </c>
      <c r="D141" s="253"/>
      <c r="E141" s="253"/>
      <c r="F141" s="253"/>
      <c r="G141" s="253"/>
      <c r="H141">
        <f t="shared" si="28"/>
        <v>0</v>
      </c>
      <c r="I141">
        <f t="shared" si="30"/>
        <v>0</v>
      </c>
    </row>
    <row r="142" spans="2:9" ht="15.6" x14ac:dyDescent="0.3">
      <c r="B142" s="255">
        <f t="shared" si="27"/>
        <v>45647</v>
      </c>
      <c r="C142" s="253">
        <f t="shared" si="29"/>
        <v>12</v>
      </c>
      <c r="D142" s="253"/>
      <c r="E142" s="253"/>
      <c r="F142" s="253"/>
      <c r="G142" s="253"/>
      <c r="H142">
        <f t="shared" si="28"/>
        <v>0</v>
      </c>
      <c r="I142">
        <f t="shared" si="30"/>
        <v>0</v>
      </c>
    </row>
    <row r="143" spans="2:9" ht="15.6" x14ac:dyDescent="0.3">
      <c r="B143" s="255">
        <f t="shared" si="27"/>
        <v>45648</v>
      </c>
      <c r="C143" s="253">
        <f t="shared" si="29"/>
        <v>12</v>
      </c>
      <c r="D143" s="253"/>
      <c r="E143" s="253"/>
      <c r="F143" s="253"/>
      <c r="G143" s="253"/>
      <c r="H143">
        <f t="shared" si="28"/>
        <v>0</v>
      </c>
      <c r="I143">
        <f t="shared" si="30"/>
        <v>0</v>
      </c>
    </row>
    <row r="144" spans="2:9" ht="15.6" x14ac:dyDescent="0.3">
      <c r="B144" s="255">
        <f t="shared" si="27"/>
        <v>45649</v>
      </c>
      <c r="C144" s="253">
        <f t="shared" si="29"/>
        <v>12</v>
      </c>
      <c r="D144" s="253"/>
      <c r="E144" s="253"/>
      <c r="F144" s="253"/>
      <c r="G144" s="253"/>
      <c r="H144">
        <f t="shared" si="28"/>
        <v>0</v>
      </c>
      <c r="I144">
        <f t="shared" si="30"/>
        <v>0</v>
      </c>
    </row>
    <row r="145" spans="2:9" ht="15.6" x14ac:dyDescent="0.3">
      <c r="B145" s="255">
        <f t="shared" si="27"/>
        <v>45650</v>
      </c>
      <c r="C145" s="253">
        <f t="shared" si="29"/>
        <v>12</v>
      </c>
      <c r="D145" s="253"/>
      <c r="E145" s="253"/>
      <c r="F145" s="253"/>
      <c r="G145" s="253"/>
      <c r="H145">
        <f t="shared" si="28"/>
        <v>0</v>
      </c>
      <c r="I145">
        <f t="shared" si="30"/>
        <v>0</v>
      </c>
    </row>
    <row r="146" spans="2:9" ht="15.6" x14ac:dyDescent="0.3">
      <c r="B146" s="255">
        <f t="shared" si="27"/>
        <v>45651</v>
      </c>
      <c r="C146" s="253">
        <f t="shared" si="29"/>
        <v>12</v>
      </c>
      <c r="D146" s="253"/>
      <c r="E146" s="253"/>
      <c r="F146" s="253"/>
      <c r="G146" s="253"/>
      <c r="H146">
        <f t="shared" si="28"/>
        <v>0</v>
      </c>
      <c r="I146">
        <f t="shared" si="30"/>
        <v>0</v>
      </c>
    </row>
    <row r="147" spans="2:9" ht="15.6" x14ac:dyDescent="0.3">
      <c r="B147" s="255">
        <f t="shared" si="27"/>
        <v>45652</v>
      </c>
      <c r="C147" s="253">
        <f t="shared" si="29"/>
        <v>12</v>
      </c>
      <c r="D147" s="253"/>
      <c r="E147" s="253"/>
      <c r="F147" s="253"/>
      <c r="G147" s="253"/>
      <c r="H147">
        <f t="shared" si="28"/>
        <v>0</v>
      </c>
      <c r="I147">
        <f t="shared" si="30"/>
        <v>0</v>
      </c>
    </row>
    <row r="148" spans="2:9" ht="15.6" x14ac:dyDescent="0.3">
      <c r="B148" s="255">
        <f t="shared" si="27"/>
        <v>45653</v>
      </c>
      <c r="C148" s="253">
        <f t="shared" si="29"/>
        <v>12</v>
      </c>
      <c r="D148" s="253"/>
      <c r="E148" s="253"/>
      <c r="F148" s="253"/>
      <c r="G148" s="253"/>
      <c r="H148">
        <f t="shared" si="28"/>
        <v>0</v>
      </c>
      <c r="I148">
        <f t="shared" si="30"/>
        <v>0</v>
      </c>
    </row>
    <row r="149" spans="2:9" ht="15.6" x14ac:dyDescent="0.3">
      <c r="B149" s="255">
        <f t="shared" si="27"/>
        <v>45654</v>
      </c>
      <c r="C149" s="253">
        <f t="shared" si="29"/>
        <v>12</v>
      </c>
      <c r="D149" s="253"/>
      <c r="E149" s="253"/>
      <c r="F149" s="253"/>
      <c r="G149" s="253"/>
      <c r="H149">
        <f t="shared" si="28"/>
        <v>0</v>
      </c>
      <c r="I149">
        <f t="shared" si="30"/>
        <v>0</v>
      </c>
    </row>
    <row r="150" spans="2:9" ht="15.6" x14ac:dyDescent="0.3">
      <c r="B150" s="255">
        <f t="shared" si="27"/>
        <v>45655</v>
      </c>
      <c r="C150" s="253">
        <f t="shared" si="29"/>
        <v>12</v>
      </c>
      <c r="D150" s="253"/>
      <c r="E150" s="253"/>
      <c r="F150" s="253"/>
      <c r="G150" s="253"/>
      <c r="H150">
        <f t="shared" si="28"/>
        <v>0</v>
      </c>
      <c r="I150">
        <f t="shared" si="30"/>
        <v>0</v>
      </c>
    </row>
    <row r="151" spans="2:9" ht="15.6" x14ac:dyDescent="0.3">
      <c r="B151" s="255">
        <f t="shared" si="27"/>
        <v>45656</v>
      </c>
      <c r="C151" s="253">
        <f t="shared" si="29"/>
        <v>12</v>
      </c>
      <c r="D151" s="253"/>
      <c r="E151" s="253"/>
      <c r="F151" s="253"/>
      <c r="G151" s="253"/>
      <c r="H151">
        <f t="shared" si="28"/>
        <v>0</v>
      </c>
      <c r="I151">
        <f t="shared" si="30"/>
        <v>0</v>
      </c>
    </row>
    <row r="152" spans="2:9" ht="15.6" x14ac:dyDescent="0.3">
      <c r="B152" s="255">
        <f t="shared" si="27"/>
        <v>45657</v>
      </c>
      <c r="C152" s="253">
        <f t="shared" si="29"/>
        <v>12</v>
      </c>
      <c r="D152" s="256"/>
      <c r="E152" s="256"/>
      <c r="F152" s="256"/>
      <c r="G152" s="256">
        <v>0</v>
      </c>
      <c r="H152">
        <f t="shared" si="28"/>
        <v>0</v>
      </c>
      <c r="I152">
        <f t="shared" si="30"/>
        <v>0</v>
      </c>
    </row>
    <row r="153" spans="2:9" ht="15.6" x14ac:dyDescent="0.3">
      <c r="B153" s="255">
        <f t="shared" ref="B153:B181" si="31">B154-1</f>
        <v>45658</v>
      </c>
      <c r="C153" s="256">
        <f t="shared" si="29"/>
        <v>1</v>
      </c>
      <c r="D153" s="256">
        <f t="shared" ref="D153:D182" si="32">G153+F153-E153</f>
        <v>131874</v>
      </c>
      <c r="E153" s="256">
        <v>11436</v>
      </c>
      <c r="F153" s="256">
        <v>23786</v>
      </c>
      <c r="G153" s="256">
        <f t="shared" ref="G153:G182" si="33">D154</f>
        <v>119524</v>
      </c>
      <c r="H153">
        <f t="shared" si="28"/>
        <v>-12350</v>
      </c>
      <c r="I153">
        <f t="shared" si="30"/>
        <v>125699</v>
      </c>
    </row>
    <row r="154" spans="2:9" ht="15.6" x14ac:dyDescent="0.3">
      <c r="B154" s="255">
        <f t="shared" si="31"/>
        <v>45659</v>
      </c>
      <c r="C154" s="256">
        <f t="shared" si="29"/>
        <v>1</v>
      </c>
      <c r="D154" s="256">
        <f t="shared" si="32"/>
        <v>119524</v>
      </c>
      <c r="E154" s="256">
        <v>12019</v>
      </c>
      <c r="F154" s="256">
        <v>10141</v>
      </c>
      <c r="G154" s="256">
        <f t="shared" si="33"/>
        <v>121402</v>
      </c>
      <c r="H154">
        <f t="shared" si="28"/>
        <v>1878</v>
      </c>
      <c r="I154">
        <f t="shared" si="30"/>
        <v>120463</v>
      </c>
    </row>
    <row r="155" spans="2:9" ht="15.6" x14ac:dyDescent="0.3">
      <c r="B155" s="255">
        <f t="shared" si="31"/>
        <v>45660</v>
      </c>
      <c r="C155" s="256">
        <f t="shared" si="29"/>
        <v>1</v>
      </c>
      <c r="D155" s="256">
        <f t="shared" si="32"/>
        <v>121402</v>
      </c>
      <c r="E155" s="256">
        <v>13981</v>
      </c>
      <c r="F155" s="256">
        <v>13019</v>
      </c>
      <c r="G155" s="256">
        <f t="shared" si="33"/>
        <v>122364</v>
      </c>
      <c r="H155">
        <f t="shared" si="28"/>
        <v>962</v>
      </c>
      <c r="I155">
        <f t="shared" si="30"/>
        <v>121883</v>
      </c>
    </row>
    <row r="156" spans="2:9" ht="15.6" x14ac:dyDescent="0.3">
      <c r="B156" s="255">
        <f t="shared" si="31"/>
        <v>45661</v>
      </c>
      <c r="C156" s="256">
        <f t="shared" si="29"/>
        <v>1</v>
      </c>
      <c r="D156" s="256">
        <f t="shared" si="32"/>
        <v>122364</v>
      </c>
      <c r="E156" s="256">
        <v>14067</v>
      </c>
      <c r="F156" s="256">
        <v>14063</v>
      </c>
      <c r="G156" s="256">
        <f t="shared" si="33"/>
        <v>122368</v>
      </c>
      <c r="H156">
        <f t="shared" si="28"/>
        <v>4</v>
      </c>
      <c r="I156">
        <f t="shared" si="30"/>
        <v>122366</v>
      </c>
    </row>
    <row r="157" spans="2:9" ht="15.6" x14ac:dyDescent="0.3">
      <c r="B157" s="255">
        <f t="shared" si="31"/>
        <v>45662</v>
      </c>
      <c r="C157" s="256">
        <f t="shared" si="29"/>
        <v>1</v>
      </c>
      <c r="D157" s="256">
        <f t="shared" si="32"/>
        <v>122368</v>
      </c>
      <c r="E157" s="256">
        <v>14237</v>
      </c>
      <c r="F157" s="256">
        <v>11089</v>
      </c>
      <c r="G157" s="256">
        <f t="shared" si="33"/>
        <v>125516</v>
      </c>
      <c r="H157">
        <f t="shared" si="28"/>
        <v>3148</v>
      </c>
      <c r="I157">
        <f t="shared" si="30"/>
        <v>123942</v>
      </c>
    </row>
    <row r="158" spans="2:9" ht="15.6" x14ac:dyDescent="0.3">
      <c r="B158" s="255">
        <f t="shared" si="31"/>
        <v>45663</v>
      </c>
      <c r="C158" s="256">
        <f t="shared" si="29"/>
        <v>1</v>
      </c>
      <c r="D158" s="256">
        <f t="shared" si="32"/>
        <v>125516</v>
      </c>
      <c r="E158" s="256">
        <v>1583</v>
      </c>
      <c r="F158" s="256">
        <v>6970</v>
      </c>
      <c r="G158" s="256">
        <f t="shared" si="33"/>
        <v>120129</v>
      </c>
      <c r="H158">
        <f t="shared" si="28"/>
        <v>-5387</v>
      </c>
      <c r="I158">
        <f t="shared" si="30"/>
        <v>122822.5</v>
      </c>
    </row>
    <row r="159" spans="2:9" ht="15.6" x14ac:dyDescent="0.3">
      <c r="B159" s="255">
        <f t="shared" si="31"/>
        <v>45664</v>
      </c>
      <c r="C159" s="256">
        <f t="shared" si="29"/>
        <v>1</v>
      </c>
      <c r="D159" s="256">
        <f t="shared" si="32"/>
        <v>120129</v>
      </c>
      <c r="E159" s="256">
        <v>14679</v>
      </c>
      <c r="F159" s="256">
        <v>10950</v>
      </c>
      <c r="G159" s="256">
        <f t="shared" si="33"/>
        <v>123858</v>
      </c>
      <c r="H159">
        <f t="shared" si="28"/>
        <v>3729</v>
      </c>
      <c r="I159">
        <f t="shared" si="30"/>
        <v>121993.5</v>
      </c>
    </row>
    <row r="160" spans="2:9" ht="15.6" x14ac:dyDescent="0.3">
      <c r="B160" s="255">
        <f t="shared" si="31"/>
        <v>45665</v>
      </c>
      <c r="C160" s="256">
        <f t="shared" si="29"/>
        <v>1</v>
      </c>
      <c r="D160" s="256">
        <f t="shared" si="32"/>
        <v>123858</v>
      </c>
      <c r="E160" s="256">
        <v>14260</v>
      </c>
      <c r="F160" s="256">
        <v>19132</v>
      </c>
      <c r="G160" s="256">
        <f t="shared" si="33"/>
        <v>118986</v>
      </c>
      <c r="H160">
        <f t="shared" si="28"/>
        <v>-4872</v>
      </c>
      <c r="I160">
        <f t="shared" si="30"/>
        <v>121422</v>
      </c>
    </row>
    <row r="161" spans="2:9" ht="15.6" x14ac:dyDescent="0.3">
      <c r="B161" s="255">
        <f t="shared" si="31"/>
        <v>45666</v>
      </c>
      <c r="C161" s="256">
        <f t="shared" si="29"/>
        <v>1</v>
      </c>
      <c r="D161" s="256">
        <f t="shared" si="32"/>
        <v>118986</v>
      </c>
      <c r="E161" s="256">
        <v>14231</v>
      </c>
      <c r="F161" s="256">
        <v>18418</v>
      </c>
      <c r="G161" s="256">
        <f t="shared" si="33"/>
        <v>114799</v>
      </c>
      <c r="H161">
        <f t="shared" si="28"/>
        <v>-4187</v>
      </c>
      <c r="I161">
        <f t="shared" si="30"/>
        <v>116892.5</v>
      </c>
    </row>
    <row r="162" spans="2:9" ht="15.6" x14ac:dyDescent="0.3">
      <c r="B162" s="255">
        <f t="shared" si="31"/>
        <v>45667</v>
      </c>
      <c r="C162" s="256">
        <f t="shared" si="29"/>
        <v>1</v>
      </c>
      <c r="D162" s="256">
        <f t="shared" si="32"/>
        <v>114799</v>
      </c>
      <c r="E162" s="256">
        <v>14231</v>
      </c>
      <c r="F162" s="256">
        <v>13514</v>
      </c>
      <c r="G162" s="256">
        <f t="shared" si="33"/>
        <v>115516</v>
      </c>
      <c r="H162">
        <f t="shared" si="28"/>
        <v>717</v>
      </c>
      <c r="I162">
        <f t="shared" si="30"/>
        <v>115157.5</v>
      </c>
    </row>
    <row r="163" spans="2:9" ht="15.6" x14ac:dyDescent="0.3">
      <c r="B163" s="255">
        <f t="shared" si="31"/>
        <v>45668</v>
      </c>
      <c r="C163" s="256">
        <f t="shared" si="29"/>
        <v>1</v>
      </c>
      <c r="D163" s="256">
        <f t="shared" si="32"/>
        <v>115516</v>
      </c>
      <c r="E163" s="256">
        <v>13506</v>
      </c>
      <c r="F163" s="256">
        <v>18346</v>
      </c>
      <c r="G163" s="256">
        <f t="shared" si="33"/>
        <v>110676</v>
      </c>
      <c r="H163">
        <f t="shared" si="28"/>
        <v>-4840</v>
      </c>
      <c r="I163">
        <f t="shared" si="30"/>
        <v>113096</v>
      </c>
    </row>
    <row r="164" spans="2:9" ht="15.6" x14ac:dyDescent="0.3">
      <c r="B164" s="255">
        <f t="shared" si="31"/>
        <v>45669</v>
      </c>
      <c r="C164" s="256">
        <f t="shared" si="29"/>
        <v>1</v>
      </c>
      <c r="D164" s="256">
        <f t="shared" si="32"/>
        <v>110676</v>
      </c>
      <c r="E164" s="256">
        <v>13829</v>
      </c>
      <c r="F164" s="256">
        <v>13144</v>
      </c>
      <c r="G164" s="256">
        <f t="shared" si="33"/>
        <v>111361</v>
      </c>
      <c r="H164">
        <f t="shared" si="28"/>
        <v>685</v>
      </c>
      <c r="I164">
        <f t="shared" si="30"/>
        <v>111018.5</v>
      </c>
    </row>
    <row r="165" spans="2:9" ht="15.6" x14ac:dyDescent="0.3">
      <c r="B165" s="255">
        <f t="shared" si="31"/>
        <v>45670</v>
      </c>
      <c r="C165" s="256">
        <f t="shared" si="29"/>
        <v>1</v>
      </c>
      <c r="D165" s="256">
        <f t="shared" si="32"/>
        <v>111361</v>
      </c>
      <c r="E165" s="256">
        <v>13755</v>
      </c>
      <c r="F165" s="256">
        <v>9238</v>
      </c>
      <c r="G165" s="256">
        <f t="shared" si="33"/>
        <v>115878</v>
      </c>
      <c r="H165">
        <f t="shared" si="28"/>
        <v>4517</v>
      </c>
      <c r="I165">
        <f t="shared" si="30"/>
        <v>113619.5</v>
      </c>
    </row>
    <row r="166" spans="2:9" ht="15.6" x14ac:dyDescent="0.3">
      <c r="B166" s="255">
        <f t="shared" si="31"/>
        <v>45671</v>
      </c>
      <c r="C166" s="256">
        <f t="shared" si="29"/>
        <v>1</v>
      </c>
      <c r="D166" s="256">
        <f t="shared" si="32"/>
        <v>115878</v>
      </c>
      <c r="E166" s="256">
        <v>14002</v>
      </c>
      <c r="F166" s="256">
        <v>14725</v>
      </c>
      <c r="G166" s="256">
        <f t="shared" si="33"/>
        <v>115155</v>
      </c>
      <c r="H166">
        <f t="shared" si="28"/>
        <v>-723</v>
      </c>
      <c r="I166">
        <f t="shared" si="30"/>
        <v>115516.5</v>
      </c>
    </row>
    <row r="167" spans="2:9" ht="15.6" x14ac:dyDescent="0.3">
      <c r="B167" s="255">
        <f t="shared" si="31"/>
        <v>45672</v>
      </c>
      <c r="C167" s="256">
        <f t="shared" si="29"/>
        <v>1</v>
      </c>
      <c r="D167" s="256">
        <f t="shared" si="32"/>
        <v>115155</v>
      </c>
      <c r="E167" s="256">
        <v>14209</v>
      </c>
      <c r="F167" s="256">
        <v>16427</v>
      </c>
      <c r="G167" s="256">
        <f t="shared" si="33"/>
        <v>112937</v>
      </c>
      <c r="H167">
        <f t="shared" si="28"/>
        <v>-2218</v>
      </c>
      <c r="I167">
        <f t="shared" si="30"/>
        <v>114046</v>
      </c>
    </row>
    <row r="168" spans="2:9" ht="15.6" x14ac:dyDescent="0.3">
      <c r="B168" s="255">
        <f t="shared" si="31"/>
        <v>45673</v>
      </c>
      <c r="C168" s="256">
        <f t="shared" si="29"/>
        <v>1</v>
      </c>
      <c r="D168" s="256">
        <f t="shared" si="32"/>
        <v>112937</v>
      </c>
      <c r="E168" s="256">
        <v>13781</v>
      </c>
      <c r="F168" s="256">
        <v>20739</v>
      </c>
      <c r="G168" s="256">
        <f t="shared" si="33"/>
        <v>105979</v>
      </c>
      <c r="H168">
        <f t="shared" si="28"/>
        <v>-6958</v>
      </c>
      <c r="I168">
        <f t="shared" si="30"/>
        <v>109458</v>
      </c>
    </row>
    <row r="169" spans="2:9" ht="15.6" x14ac:dyDescent="0.3">
      <c r="B169" s="255">
        <f t="shared" si="31"/>
        <v>45674</v>
      </c>
      <c r="C169" s="256">
        <f t="shared" si="29"/>
        <v>1</v>
      </c>
      <c r="D169" s="256">
        <f t="shared" si="32"/>
        <v>105979</v>
      </c>
      <c r="E169" s="256">
        <v>12601</v>
      </c>
      <c r="F169" s="256">
        <v>12501</v>
      </c>
      <c r="G169" s="256">
        <f t="shared" si="33"/>
        <v>106079</v>
      </c>
      <c r="H169">
        <f t="shared" si="28"/>
        <v>100</v>
      </c>
      <c r="I169">
        <f t="shared" si="30"/>
        <v>106029</v>
      </c>
    </row>
    <row r="170" spans="2:9" ht="15.6" x14ac:dyDescent="0.3">
      <c r="B170" s="255">
        <f t="shared" si="31"/>
        <v>45675</v>
      </c>
      <c r="C170" s="256">
        <f t="shared" si="29"/>
        <v>1</v>
      </c>
      <c r="D170" s="256">
        <f t="shared" si="32"/>
        <v>106079</v>
      </c>
      <c r="E170" s="256">
        <v>12617</v>
      </c>
      <c r="F170" s="256">
        <v>12058</v>
      </c>
      <c r="G170" s="256">
        <f t="shared" si="33"/>
        <v>106638</v>
      </c>
      <c r="H170">
        <f t="shared" si="28"/>
        <v>559</v>
      </c>
      <c r="I170">
        <f t="shared" si="30"/>
        <v>106358.5</v>
      </c>
    </row>
    <row r="171" spans="2:9" ht="15.6" x14ac:dyDescent="0.3">
      <c r="B171" s="255">
        <f t="shared" si="31"/>
        <v>45676</v>
      </c>
      <c r="C171" s="256">
        <f t="shared" si="29"/>
        <v>1</v>
      </c>
      <c r="D171" s="256">
        <f t="shared" si="32"/>
        <v>106638</v>
      </c>
      <c r="E171" s="256">
        <v>13561</v>
      </c>
      <c r="F171" s="256">
        <v>10079</v>
      </c>
      <c r="G171" s="256">
        <f t="shared" si="33"/>
        <v>110120</v>
      </c>
      <c r="H171">
        <f t="shared" si="28"/>
        <v>3482</v>
      </c>
      <c r="I171">
        <f t="shared" si="30"/>
        <v>108379</v>
      </c>
    </row>
    <row r="172" spans="2:9" ht="15.6" x14ac:dyDescent="0.3">
      <c r="B172" s="255">
        <f t="shared" si="31"/>
        <v>45677</v>
      </c>
      <c r="C172" s="256">
        <f t="shared" si="29"/>
        <v>1</v>
      </c>
      <c r="D172" s="256">
        <f t="shared" si="32"/>
        <v>110120</v>
      </c>
      <c r="E172" s="256">
        <v>12462</v>
      </c>
      <c r="F172" s="256">
        <v>7093</v>
      </c>
      <c r="G172" s="256">
        <f t="shared" si="33"/>
        <v>115489</v>
      </c>
      <c r="H172">
        <f t="shared" si="28"/>
        <v>5369</v>
      </c>
      <c r="I172">
        <f t="shared" si="30"/>
        <v>112804.5</v>
      </c>
    </row>
    <row r="173" spans="2:9" ht="15.6" x14ac:dyDescent="0.3">
      <c r="B173" s="255">
        <f t="shared" si="31"/>
        <v>45678</v>
      </c>
      <c r="C173" s="256">
        <f t="shared" si="29"/>
        <v>1</v>
      </c>
      <c r="D173" s="256">
        <f t="shared" si="32"/>
        <v>115489</v>
      </c>
      <c r="E173" s="256">
        <v>14075</v>
      </c>
      <c r="F173" s="256">
        <v>9105</v>
      </c>
      <c r="G173" s="256">
        <f t="shared" si="33"/>
        <v>120459</v>
      </c>
      <c r="H173">
        <f t="shared" si="28"/>
        <v>4970</v>
      </c>
      <c r="I173">
        <f t="shared" si="30"/>
        <v>117974</v>
      </c>
    </row>
    <row r="174" spans="2:9" ht="15.6" x14ac:dyDescent="0.3">
      <c r="B174" s="255">
        <f t="shared" si="31"/>
        <v>45679</v>
      </c>
      <c r="C174" s="256">
        <f t="shared" si="29"/>
        <v>1</v>
      </c>
      <c r="D174" s="256">
        <f t="shared" si="32"/>
        <v>120459</v>
      </c>
      <c r="E174" s="256">
        <v>13731</v>
      </c>
      <c r="F174" s="256">
        <v>12555</v>
      </c>
      <c r="G174" s="256">
        <f t="shared" si="33"/>
        <v>121635</v>
      </c>
      <c r="H174">
        <f t="shared" si="28"/>
        <v>1176</v>
      </c>
      <c r="I174">
        <f t="shared" si="30"/>
        <v>121047</v>
      </c>
    </row>
    <row r="175" spans="2:9" ht="15.6" x14ac:dyDescent="0.3">
      <c r="B175" s="255">
        <f t="shared" si="31"/>
        <v>45680</v>
      </c>
      <c r="C175" s="256">
        <f t="shared" si="29"/>
        <v>1</v>
      </c>
      <c r="D175" s="256">
        <f t="shared" si="32"/>
        <v>121635</v>
      </c>
      <c r="E175" s="256">
        <v>14167</v>
      </c>
      <c r="F175" s="256">
        <v>11131</v>
      </c>
      <c r="G175" s="256">
        <f t="shared" si="33"/>
        <v>124671</v>
      </c>
      <c r="H175">
        <f t="shared" si="28"/>
        <v>3036</v>
      </c>
      <c r="I175">
        <f t="shared" si="30"/>
        <v>123153</v>
      </c>
    </row>
    <row r="176" spans="2:9" ht="15.6" x14ac:dyDescent="0.3">
      <c r="B176" s="255">
        <f t="shared" si="31"/>
        <v>45681</v>
      </c>
      <c r="C176" s="256">
        <f t="shared" si="29"/>
        <v>1</v>
      </c>
      <c r="D176" s="256">
        <f t="shared" si="32"/>
        <v>124671</v>
      </c>
      <c r="E176" s="256">
        <v>13354</v>
      </c>
      <c r="F176" s="256">
        <v>20240</v>
      </c>
      <c r="G176" s="256">
        <f t="shared" si="33"/>
        <v>117785</v>
      </c>
      <c r="H176">
        <f t="shared" si="28"/>
        <v>-6886</v>
      </c>
      <c r="I176">
        <f t="shared" si="30"/>
        <v>121228</v>
      </c>
    </row>
    <row r="177" spans="2:9" ht="15.6" x14ac:dyDescent="0.3">
      <c r="B177" s="255">
        <f t="shared" si="31"/>
        <v>45682</v>
      </c>
      <c r="C177" s="256">
        <f t="shared" si="29"/>
        <v>1</v>
      </c>
      <c r="D177" s="256">
        <f t="shared" si="32"/>
        <v>117785</v>
      </c>
      <c r="E177" s="256">
        <v>12710</v>
      </c>
      <c r="F177" s="256">
        <v>10819</v>
      </c>
      <c r="G177" s="256">
        <f t="shared" si="33"/>
        <v>119676</v>
      </c>
      <c r="H177">
        <f t="shared" si="28"/>
        <v>1891</v>
      </c>
      <c r="I177">
        <f t="shared" si="30"/>
        <v>118730.5</v>
      </c>
    </row>
    <row r="178" spans="2:9" ht="15.6" x14ac:dyDescent="0.3">
      <c r="B178" s="255">
        <f t="shared" si="31"/>
        <v>45683</v>
      </c>
      <c r="C178" s="256">
        <f t="shared" si="29"/>
        <v>1</v>
      </c>
      <c r="D178" s="256">
        <f t="shared" si="32"/>
        <v>119676</v>
      </c>
      <c r="E178" s="256">
        <v>13180</v>
      </c>
      <c r="F178" s="256">
        <v>8716</v>
      </c>
      <c r="G178" s="256">
        <f t="shared" si="33"/>
        <v>124140</v>
      </c>
      <c r="H178">
        <f t="shared" si="28"/>
        <v>4464</v>
      </c>
      <c r="I178">
        <f t="shared" si="30"/>
        <v>121908</v>
      </c>
    </row>
    <row r="179" spans="2:9" ht="15.6" x14ac:dyDescent="0.3">
      <c r="B179" s="255">
        <f t="shared" si="31"/>
        <v>45684</v>
      </c>
      <c r="C179" s="256">
        <f t="shared" si="29"/>
        <v>1</v>
      </c>
      <c r="D179" s="256">
        <f t="shared" si="32"/>
        <v>124140</v>
      </c>
      <c r="E179" s="256">
        <v>13591</v>
      </c>
      <c r="F179" s="256">
        <v>12919</v>
      </c>
      <c r="G179" s="256">
        <f t="shared" si="33"/>
        <v>124812</v>
      </c>
      <c r="H179">
        <f t="shared" si="28"/>
        <v>672</v>
      </c>
      <c r="I179">
        <f t="shared" si="30"/>
        <v>124476</v>
      </c>
    </row>
    <row r="180" spans="2:9" ht="15.6" x14ac:dyDescent="0.3">
      <c r="B180" s="255">
        <f t="shared" si="31"/>
        <v>45685</v>
      </c>
      <c r="C180" s="256">
        <f t="shared" si="29"/>
        <v>1</v>
      </c>
      <c r="D180" s="256">
        <f t="shared" si="32"/>
        <v>124812</v>
      </c>
      <c r="E180" s="256">
        <v>13491</v>
      </c>
      <c r="F180" s="256">
        <v>12919</v>
      </c>
      <c r="G180" s="256">
        <f t="shared" si="33"/>
        <v>125384</v>
      </c>
      <c r="H180">
        <f t="shared" si="28"/>
        <v>572</v>
      </c>
      <c r="I180">
        <f t="shared" si="30"/>
        <v>125098</v>
      </c>
    </row>
    <row r="181" spans="2:9" ht="15.6" x14ac:dyDescent="0.3">
      <c r="B181" s="255">
        <f t="shared" si="31"/>
        <v>45686</v>
      </c>
      <c r="C181" s="256">
        <f t="shared" si="29"/>
        <v>1</v>
      </c>
      <c r="D181" s="256">
        <f t="shared" si="32"/>
        <v>125384</v>
      </c>
      <c r="E181" s="256">
        <v>13454</v>
      </c>
      <c r="F181" s="256">
        <v>14136</v>
      </c>
      <c r="G181" s="256">
        <f t="shared" si="33"/>
        <v>124702</v>
      </c>
      <c r="H181">
        <f t="shared" si="28"/>
        <v>-682</v>
      </c>
      <c r="I181">
        <f t="shared" si="30"/>
        <v>125043</v>
      </c>
    </row>
    <row r="182" spans="2:9" ht="15.6" x14ac:dyDescent="0.3">
      <c r="B182" s="255">
        <f>B183-1</f>
        <v>45687</v>
      </c>
      <c r="C182" s="256">
        <f t="shared" si="29"/>
        <v>1</v>
      </c>
      <c r="D182" s="256">
        <f t="shared" si="32"/>
        <v>124702</v>
      </c>
      <c r="E182" s="256">
        <v>14215</v>
      </c>
      <c r="F182" s="256">
        <v>15352</v>
      </c>
      <c r="G182" s="256">
        <f t="shared" si="33"/>
        <v>123565</v>
      </c>
      <c r="H182">
        <f t="shared" si="28"/>
        <v>-1137</v>
      </c>
      <c r="I182">
        <f t="shared" si="30"/>
        <v>124133.5</v>
      </c>
    </row>
    <row r="183" spans="2:9" ht="15.6" x14ac:dyDescent="0.3">
      <c r="B183" s="255">
        <v>45688</v>
      </c>
      <c r="C183" s="256">
        <f t="shared" si="29"/>
        <v>1</v>
      </c>
      <c r="D183" s="256">
        <f>G183+F183-E183</f>
        <v>123565</v>
      </c>
      <c r="E183" s="256">
        <v>0</v>
      </c>
      <c r="F183" s="256">
        <v>0</v>
      </c>
      <c r="G183" s="256">
        <f>D184</f>
        <v>123565</v>
      </c>
      <c r="H183">
        <f t="shared" si="28"/>
        <v>0</v>
      </c>
      <c r="I183">
        <f t="shared" si="30"/>
        <v>123565</v>
      </c>
    </row>
    <row r="184" spans="2:9" ht="15.6" x14ac:dyDescent="0.3">
      <c r="B184" s="257">
        <v>45689</v>
      </c>
      <c r="C184" s="256">
        <f t="shared" si="29"/>
        <v>2</v>
      </c>
      <c r="D184" s="258">
        <v>123565</v>
      </c>
      <c r="E184" s="268">
        <v>9021</v>
      </c>
      <c r="F184" s="268">
        <v>8385</v>
      </c>
      <c r="G184" s="258">
        <f t="shared" ref="G184:G211" si="34">D184+E184-F184</f>
        <v>124201</v>
      </c>
      <c r="H184">
        <f>G184-D184</f>
        <v>636</v>
      </c>
      <c r="I184">
        <f t="shared" si="30"/>
        <v>123883</v>
      </c>
    </row>
    <row r="185" spans="2:9" ht="15.6" x14ac:dyDescent="0.3">
      <c r="B185" s="257">
        <v>45690</v>
      </c>
      <c r="C185" s="256">
        <f t="shared" si="29"/>
        <v>2</v>
      </c>
      <c r="D185" s="258">
        <f t="shared" ref="D185:D211" si="35">G184</f>
        <v>124201</v>
      </c>
      <c r="E185" s="268">
        <v>9641</v>
      </c>
      <c r="F185" s="268">
        <v>5828</v>
      </c>
      <c r="G185" s="258">
        <f t="shared" si="34"/>
        <v>128014</v>
      </c>
      <c r="H185">
        <f t="shared" ref="H185:H211" si="36">G185-D185</f>
        <v>3813</v>
      </c>
      <c r="I185">
        <f t="shared" si="30"/>
        <v>126107.5</v>
      </c>
    </row>
    <row r="186" spans="2:9" ht="15.6" x14ac:dyDescent="0.3">
      <c r="B186" s="257">
        <v>45691</v>
      </c>
      <c r="C186" s="256">
        <f t="shared" si="29"/>
        <v>2</v>
      </c>
      <c r="D186" s="258">
        <f t="shared" si="35"/>
        <v>128014</v>
      </c>
      <c r="E186" s="268">
        <v>9573</v>
      </c>
      <c r="F186" s="268">
        <v>6138</v>
      </c>
      <c r="G186" s="258">
        <f t="shared" si="34"/>
        <v>131449</v>
      </c>
      <c r="H186">
        <f t="shared" si="36"/>
        <v>3435</v>
      </c>
      <c r="I186">
        <f t="shared" si="30"/>
        <v>129731.5</v>
      </c>
    </row>
    <row r="187" spans="2:9" ht="15.6" x14ac:dyDescent="0.3">
      <c r="B187" s="257">
        <v>45692</v>
      </c>
      <c r="C187" s="256">
        <f t="shared" si="29"/>
        <v>2</v>
      </c>
      <c r="D187" s="258">
        <f t="shared" si="35"/>
        <v>131449</v>
      </c>
      <c r="E187" s="268">
        <v>9804</v>
      </c>
      <c r="F187" s="268">
        <v>10269</v>
      </c>
      <c r="G187" s="258">
        <f t="shared" si="34"/>
        <v>130984</v>
      </c>
      <c r="H187">
        <f t="shared" si="36"/>
        <v>-465</v>
      </c>
      <c r="I187">
        <f t="shared" si="30"/>
        <v>131216.5</v>
      </c>
    </row>
    <row r="188" spans="2:9" ht="15.6" x14ac:dyDescent="0.3">
      <c r="B188" s="257">
        <v>45693</v>
      </c>
      <c r="C188" s="256">
        <f t="shared" si="29"/>
        <v>2</v>
      </c>
      <c r="D188" s="258">
        <f t="shared" si="35"/>
        <v>130984</v>
      </c>
      <c r="E188" s="268">
        <v>9041</v>
      </c>
      <c r="F188" s="268">
        <v>14224</v>
      </c>
      <c r="G188" s="258">
        <f t="shared" si="34"/>
        <v>125801</v>
      </c>
      <c r="H188">
        <f t="shared" si="36"/>
        <v>-5183</v>
      </c>
      <c r="I188">
        <f t="shared" si="30"/>
        <v>128392.5</v>
      </c>
    </row>
    <row r="189" spans="2:9" ht="15.6" x14ac:dyDescent="0.3">
      <c r="B189" s="257">
        <v>45694</v>
      </c>
      <c r="C189" s="256">
        <f t="shared" si="29"/>
        <v>2</v>
      </c>
      <c r="D189" s="258">
        <f t="shared" si="35"/>
        <v>125801</v>
      </c>
      <c r="E189" s="268">
        <v>8837</v>
      </c>
      <c r="F189" s="268">
        <v>6090</v>
      </c>
      <c r="G189" s="258">
        <f t="shared" si="34"/>
        <v>128548</v>
      </c>
      <c r="H189">
        <f t="shared" si="36"/>
        <v>2747</v>
      </c>
      <c r="I189">
        <f t="shared" si="30"/>
        <v>127174.5</v>
      </c>
    </row>
    <row r="190" spans="2:9" ht="15.6" x14ac:dyDescent="0.3">
      <c r="B190" s="257">
        <v>45695</v>
      </c>
      <c r="C190" s="256">
        <f t="shared" si="29"/>
        <v>2</v>
      </c>
      <c r="D190" s="258">
        <f t="shared" si="35"/>
        <v>128548</v>
      </c>
      <c r="E190" s="268">
        <v>9052</v>
      </c>
      <c r="F190" s="268">
        <v>16961</v>
      </c>
      <c r="G190" s="258">
        <f t="shared" si="34"/>
        <v>120639</v>
      </c>
      <c r="H190">
        <f t="shared" si="36"/>
        <v>-7909</v>
      </c>
      <c r="I190">
        <f t="shared" si="30"/>
        <v>124593.5</v>
      </c>
    </row>
    <row r="191" spans="2:9" ht="15.6" x14ac:dyDescent="0.3">
      <c r="B191" s="257">
        <v>45696</v>
      </c>
      <c r="C191" s="256">
        <f t="shared" si="29"/>
        <v>2</v>
      </c>
      <c r="D191" s="258">
        <f t="shared" si="35"/>
        <v>120639</v>
      </c>
      <c r="E191" s="268">
        <v>9805</v>
      </c>
      <c r="F191" s="268">
        <v>17765</v>
      </c>
      <c r="G191" s="258">
        <f t="shared" si="34"/>
        <v>112679</v>
      </c>
      <c r="H191">
        <f t="shared" si="36"/>
        <v>-7960</v>
      </c>
      <c r="I191">
        <f t="shared" si="30"/>
        <v>116659</v>
      </c>
    </row>
    <row r="192" spans="2:9" ht="15.6" x14ac:dyDescent="0.3">
      <c r="B192" s="257">
        <v>45697</v>
      </c>
      <c r="C192" s="256">
        <f t="shared" si="29"/>
        <v>2</v>
      </c>
      <c r="D192" s="258">
        <f t="shared" si="35"/>
        <v>112679</v>
      </c>
      <c r="E192" s="268">
        <v>8618</v>
      </c>
      <c r="F192" s="268">
        <v>11968</v>
      </c>
      <c r="G192" s="258">
        <f t="shared" si="34"/>
        <v>109329</v>
      </c>
      <c r="H192">
        <f t="shared" si="36"/>
        <v>-3350</v>
      </c>
      <c r="I192">
        <f t="shared" si="30"/>
        <v>111004</v>
      </c>
    </row>
    <row r="193" spans="2:9" ht="15.6" x14ac:dyDescent="0.3">
      <c r="B193" s="257">
        <v>45698</v>
      </c>
      <c r="C193" s="256">
        <f t="shared" ref="C193:C211" si="37">MONTH(B193)</f>
        <v>2</v>
      </c>
      <c r="D193" s="258">
        <f t="shared" si="35"/>
        <v>109329</v>
      </c>
      <c r="E193" s="268">
        <v>9234</v>
      </c>
      <c r="F193" s="268">
        <v>13647</v>
      </c>
      <c r="G193" s="258">
        <f t="shared" si="34"/>
        <v>104916</v>
      </c>
      <c r="H193">
        <f t="shared" si="36"/>
        <v>-4413</v>
      </c>
      <c r="I193">
        <f t="shared" ref="I193:I211" si="38">(D193+G193)/2</f>
        <v>107122.5</v>
      </c>
    </row>
    <row r="194" spans="2:9" ht="15.6" x14ac:dyDescent="0.3">
      <c r="B194" s="257">
        <v>45699</v>
      </c>
      <c r="C194" s="256">
        <f t="shared" si="37"/>
        <v>2</v>
      </c>
      <c r="D194" s="258">
        <f t="shared" si="35"/>
        <v>104916</v>
      </c>
      <c r="E194" s="268">
        <v>8896</v>
      </c>
      <c r="F194" s="268">
        <v>10172</v>
      </c>
      <c r="G194" s="258">
        <f t="shared" si="34"/>
        <v>103640</v>
      </c>
      <c r="H194">
        <f t="shared" si="36"/>
        <v>-1276</v>
      </c>
      <c r="I194">
        <f t="shared" si="38"/>
        <v>104278</v>
      </c>
    </row>
    <row r="195" spans="2:9" ht="15.6" x14ac:dyDescent="0.3">
      <c r="B195" s="257">
        <v>45700</v>
      </c>
      <c r="C195" s="256">
        <f t="shared" si="37"/>
        <v>2</v>
      </c>
      <c r="D195" s="258">
        <f t="shared" si="35"/>
        <v>103640</v>
      </c>
      <c r="E195" s="268">
        <v>9889</v>
      </c>
      <c r="F195" s="268">
        <v>11215</v>
      </c>
      <c r="G195" s="258">
        <f t="shared" si="34"/>
        <v>102314</v>
      </c>
      <c r="H195">
        <f t="shared" si="36"/>
        <v>-1326</v>
      </c>
      <c r="I195">
        <f t="shared" si="38"/>
        <v>102977</v>
      </c>
    </row>
    <row r="196" spans="2:9" ht="15.6" x14ac:dyDescent="0.3">
      <c r="B196" s="257">
        <v>45701</v>
      </c>
      <c r="C196" s="256">
        <f t="shared" si="37"/>
        <v>2</v>
      </c>
      <c r="D196" s="258">
        <f t="shared" si="35"/>
        <v>102314</v>
      </c>
      <c r="E196" s="268">
        <v>9172</v>
      </c>
      <c r="F196" s="268">
        <v>11734</v>
      </c>
      <c r="G196" s="258">
        <f t="shared" si="34"/>
        <v>99752</v>
      </c>
      <c r="H196">
        <f t="shared" si="36"/>
        <v>-2562</v>
      </c>
      <c r="I196">
        <f t="shared" si="38"/>
        <v>101033</v>
      </c>
    </row>
    <row r="197" spans="2:9" ht="15.6" x14ac:dyDescent="0.3">
      <c r="B197" s="257">
        <v>45702</v>
      </c>
      <c r="C197" s="256">
        <f t="shared" si="37"/>
        <v>2</v>
      </c>
      <c r="D197" s="258">
        <f t="shared" si="35"/>
        <v>99752</v>
      </c>
      <c r="E197" s="268">
        <v>9437</v>
      </c>
      <c r="F197" s="268">
        <v>10013</v>
      </c>
      <c r="G197" s="258">
        <f t="shared" si="34"/>
        <v>99176</v>
      </c>
      <c r="H197">
        <f t="shared" si="36"/>
        <v>-576</v>
      </c>
      <c r="I197">
        <f t="shared" si="38"/>
        <v>99464</v>
      </c>
    </row>
    <row r="198" spans="2:9" ht="15.6" x14ac:dyDescent="0.3">
      <c r="B198" s="257">
        <v>45703</v>
      </c>
      <c r="C198" s="256">
        <f t="shared" si="37"/>
        <v>2</v>
      </c>
      <c r="D198" s="258">
        <f t="shared" si="35"/>
        <v>99176</v>
      </c>
      <c r="E198" s="268">
        <v>9140</v>
      </c>
      <c r="F198" s="268">
        <v>12009</v>
      </c>
      <c r="G198" s="258">
        <f t="shared" si="34"/>
        <v>96307</v>
      </c>
      <c r="H198">
        <f t="shared" si="36"/>
        <v>-2869</v>
      </c>
      <c r="I198">
        <f t="shared" si="38"/>
        <v>97741.5</v>
      </c>
    </row>
    <row r="199" spans="2:9" ht="15.6" x14ac:dyDescent="0.3">
      <c r="B199" s="257">
        <v>45704</v>
      </c>
      <c r="C199" s="256">
        <f t="shared" si="37"/>
        <v>2</v>
      </c>
      <c r="D199" s="258">
        <f t="shared" si="35"/>
        <v>96307</v>
      </c>
      <c r="E199" s="268">
        <v>9226</v>
      </c>
      <c r="F199" s="268">
        <v>9721</v>
      </c>
      <c r="G199" s="258">
        <f t="shared" si="34"/>
        <v>95812</v>
      </c>
      <c r="H199">
        <f t="shared" si="36"/>
        <v>-495</v>
      </c>
      <c r="I199">
        <f t="shared" si="38"/>
        <v>96059.5</v>
      </c>
    </row>
    <row r="200" spans="2:9" ht="15.6" x14ac:dyDescent="0.3">
      <c r="B200" s="257">
        <v>45705</v>
      </c>
      <c r="C200" s="256">
        <f t="shared" si="37"/>
        <v>2</v>
      </c>
      <c r="D200" s="258">
        <f t="shared" si="35"/>
        <v>95812</v>
      </c>
      <c r="E200" s="268">
        <v>9486</v>
      </c>
      <c r="F200" s="268">
        <v>17901</v>
      </c>
      <c r="G200" s="258">
        <f t="shared" si="34"/>
        <v>87397</v>
      </c>
      <c r="H200">
        <f t="shared" si="36"/>
        <v>-8415</v>
      </c>
      <c r="I200">
        <f t="shared" si="38"/>
        <v>91604.5</v>
      </c>
    </row>
    <row r="201" spans="2:9" ht="15.6" x14ac:dyDescent="0.3">
      <c r="B201" s="257">
        <v>45706</v>
      </c>
      <c r="C201" s="256">
        <f t="shared" si="37"/>
        <v>2</v>
      </c>
      <c r="D201" s="258">
        <f t="shared" si="35"/>
        <v>87397</v>
      </c>
      <c r="E201" s="268">
        <v>9983</v>
      </c>
      <c r="F201" s="268">
        <v>17576</v>
      </c>
      <c r="G201" s="258">
        <f t="shared" si="34"/>
        <v>79804</v>
      </c>
      <c r="H201">
        <f t="shared" si="36"/>
        <v>-7593</v>
      </c>
      <c r="I201">
        <f t="shared" si="38"/>
        <v>83600.5</v>
      </c>
    </row>
    <row r="202" spans="2:9" ht="15.6" x14ac:dyDescent="0.3">
      <c r="B202" s="257">
        <v>45707</v>
      </c>
      <c r="C202" s="256">
        <f t="shared" si="37"/>
        <v>2</v>
      </c>
      <c r="D202" s="258">
        <f t="shared" si="35"/>
        <v>79804</v>
      </c>
      <c r="E202" s="268">
        <v>9977</v>
      </c>
      <c r="F202" s="268">
        <v>17546</v>
      </c>
      <c r="G202" s="258">
        <f t="shared" si="34"/>
        <v>72235</v>
      </c>
      <c r="H202">
        <f t="shared" si="36"/>
        <v>-7569</v>
      </c>
      <c r="I202">
        <f t="shared" si="38"/>
        <v>76019.5</v>
      </c>
    </row>
    <row r="203" spans="2:9" ht="15.6" x14ac:dyDescent="0.3">
      <c r="B203" s="257">
        <v>45708</v>
      </c>
      <c r="C203" s="256">
        <f t="shared" si="37"/>
        <v>2</v>
      </c>
      <c r="D203" s="258">
        <f t="shared" si="35"/>
        <v>72235</v>
      </c>
      <c r="E203" s="268">
        <v>9077</v>
      </c>
      <c r="F203" s="268">
        <v>19033</v>
      </c>
      <c r="G203" s="258">
        <f t="shared" si="34"/>
        <v>62279</v>
      </c>
      <c r="H203">
        <f t="shared" si="36"/>
        <v>-9956</v>
      </c>
      <c r="I203">
        <f t="shared" si="38"/>
        <v>67257</v>
      </c>
    </row>
    <row r="204" spans="2:9" ht="15.6" x14ac:dyDescent="0.3">
      <c r="B204" s="257">
        <v>45709</v>
      </c>
      <c r="C204" s="256">
        <f t="shared" si="37"/>
        <v>2</v>
      </c>
      <c r="D204" s="258">
        <f t="shared" si="35"/>
        <v>62279</v>
      </c>
      <c r="E204" s="268">
        <v>9714</v>
      </c>
      <c r="F204" s="268">
        <v>8564</v>
      </c>
      <c r="G204" s="258">
        <f t="shared" si="34"/>
        <v>63429</v>
      </c>
      <c r="H204">
        <f t="shared" si="36"/>
        <v>1150</v>
      </c>
      <c r="I204">
        <f t="shared" si="38"/>
        <v>62854</v>
      </c>
    </row>
    <row r="205" spans="2:9" ht="15.6" x14ac:dyDescent="0.3">
      <c r="B205" s="257">
        <v>45710</v>
      </c>
      <c r="C205" s="256">
        <f t="shared" si="37"/>
        <v>2</v>
      </c>
      <c r="D205" s="258">
        <f t="shared" si="35"/>
        <v>63429</v>
      </c>
      <c r="E205" s="268">
        <v>8348</v>
      </c>
      <c r="F205" s="268">
        <v>7440</v>
      </c>
      <c r="G205" s="258">
        <f t="shared" si="34"/>
        <v>64337</v>
      </c>
      <c r="H205">
        <f t="shared" si="36"/>
        <v>908</v>
      </c>
      <c r="I205">
        <f t="shared" si="38"/>
        <v>63883</v>
      </c>
    </row>
    <row r="206" spans="2:9" ht="15.6" x14ac:dyDescent="0.3">
      <c r="B206" s="257">
        <v>45711</v>
      </c>
      <c r="C206" s="256">
        <f t="shared" si="37"/>
        <v>2</v>
      </c>
      <c r="D206" s="258">
        <f t="shared" si="35"/>
        <v>64337</v>
      </c>
      <c r="E206" s="268">
        <v>8804</v>
      </c>
      <c r="F206" s="268">
        <v>310</v>
      </c>
      <c r="G206" s="258">
        <f t="shared" si="34"/>
        <v>72831</v>
      </c>
      <c r="H206">
        <f t="shared" si="36"/>
        <v>8494</v>
      </c>
      <c r="I206">
        <f t="shared" si="38"/>
        <v>68584</v>
      </c>
    </row>
    <row r="207" spans="2:9" ht="15.6" x14ac:dyDescent="0.3">
      <c r="B207" s="257">
        <v>45712</v>
      </c>
      <c r="C207" s="256">
        <f t="shared" si="37"/>
        <v>2</v>
      </c>
      <c r="D207" s="258">
        <f t="shared" si="35"/>
        <v>72831</v>
      </c>
      <c r="E207" s="269"/>
      <c r="F207" s="268"/>
      <c r="G207" s="258">
        <f t="shared" si="34"/>
        <v>72831</v>
      </c>
      <c r="H207">
        <f t="shared" si="36"/>
        <v>0</v>
      </c>
      <c r="I207">
        <f t="shared" si="38"/>
        <v>72831</v>
      </c>
    </row>
    <row r="208" spans="2:9" ht="15.6" x14ac:dyDescent="0.3">
      <c r="B208" s="257">
        <v>45713</v>
      </c>
      <c r="C208" s="256">
        <f t="shared" si="37"/>
        <v>2</v>
      </c>
      <c r="D208" s="258">
        <f t="shared" si="35"/>
        <v>72831</v>
      </c>
      <c r="E208" s="268"/>
      <c r="F208" s="268"/>
      <c r="G208" s="258">
        <f t="shared" si="34"/>
        <v>72831</v>
      </c>
      <c r="H208">
        <f t="shared" si="36"/>
        <v>0</v>
      </c>
      <c r="I208">
        <f t="shared" si="38"/>
        <v>72831</v>
      </c>
    </row>
    <row r="209" spans="2:9" ht="15.6" x14ac:dyDescent="0.3">
      <c r="B209" s="257">
        <v>45714</v>
      </c>
      <c r="C209" s="256">
        <f t="shared" si="37"/>
        <v>2</v>
      </c>
      <c r="D209" s="258">
        <f t="shared" si="35"/>
        <v>72831</v>
      </c>
      <c r="E209" s="268"/>
      <c r="F209" s="268"/>
      <c r="G209" s="258">
        <f t="shared" si="34"/>
        <v>72831</v>
      </c>
      <c r="H209">
        <f t="shared" si="36"/>
        <v>0</v>
      </c>
      <c r="I209">
        <f t="shared" si="38"/>
        <v>72831</v>
      </c>
    </row>
    <row r="210" spans="2:9" ht="15.6" x14ac:dyDescent="0.3">
      <c r="B210" s="257">
        <v>45715</v>
      </c>
      <c r="C210" s="256">
        <f t="shared" si="37"/>
        <v>2</v>
      </c>
      <c r="D210" s="258">
        <f t="shared" si="35"/>
        <v>72831</v>
      </c>
      <c r="E210" s="268"/>
      <c r="F210" s="268"/>
      <c r="G210" s="258">
        <f t="shared" si="34"/>
        <v>72831</v>
      </c>
      <c r="H210">
        <f t="shared" si="36"/>
        <v>0</v>
      </c>
      <c r="I210">
        <f t="shared" si="38"/>
        <v>72831</v>
      </c>
    </row>
    <row r="211" spans="2:9" ht="15.6" x14ac:dyDescent="0.3">
      <c r="B211" s="257">
        <v>45716</v>
      </c>
      <c r="C211" s="256">
        <f t="shared" si="37"/>
        <v>2</v>
      </c>
      <c r="D211" s="258">
        <f t="shared" si="35"/>
        <v>72831</v>
      </c>
      <c r="E211" s="268"/>
      <c r="F211" s="268"/>
      <c r="G211" s="258">
        <f t="shared" si="34"/>
        <v>72831</v>
      </c>
      <c r="H211">
        <f t="shared" si="36"/>
        <v>0</v>
      </c>
      <c r="I211">
        <f t="shared" si="38"/>
        <v>72831</v>
      </c>
    </row>
    <row r="212" spans="2:9" x14ac:dyDescent="0.3">
      <c r="B212" s="259" t="s">
        <v>488</v>
      </c>
      <c r="C212" s="259"/>
      <c r="D212" s="258">
        <f>SUM(E184:E211)</f>
        <v>213775</v>
      </c>
      <c r="E212" s="270">
        <f>SUM(F184:F211)</f>
        <v>264509</v>
      </c>
      <c r="F212" s="69"/>
    </row>
  </sheetData>
  <mergeCells count="1">
    <mergeCell ref="B1:E1"/>
  </mergeCells>
  <phoneticPr fontId="10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C8CF-D916-43DE-B305-024DEB4438B2}">
  <sheetPr>
    <tabColor rgb="FFFFFF00"/>
  </sheetPr>
  <dimension ref="A1:Y215"/>
  <sheetViews>
    <sheetView topLeftCell="A33" zoomScale="94" workbookViewId="0">
      <selection activeCell="W72" sqref="W72"/>
    </sheetView>
  </sheetViews>
  <sheetFormatPr defaultRowHeight="14.4" x14ac:dyDescent="0.3"/>
  <cols>
    <col min="2" max="2" width="26.6640625" bestFit="1" customWidth="1"/>
    <col min="3" max="3" width="14.6640625" bestFit="1" customWidth="1"/>
    <col min="4" max="4" width="20.6640625" bestFit="1" customWidth="1"/>
    <col min="5" max="5" width="14.77734375" bestFit="1" customWidth="1"/>
    <col min="6" max="6" width="10.6640625" customWidth="1"/>
    <col min="7" max="7" width="26.6640625" bestFit="1" customWidth="1"/>
    <col min="8" max="8" width="7.88671875" bestFit="1" customWidth="1"/>
    <col min="9" max="9" width="26.6640625" bestFit="1" customWidth="1"/>
    <col min="10" max="11" width="10.77734375" bestFit="1" customWidth="1"/>
    <col min="12" max="12" width="10" bestFit="1" customWidth="1"/>
    <col min="13" max="14" width="10.77734375" bestFit="1" customWidth="1"/>
    <col min="15" max="15" width="10.44140625" bestFit="1" customWidth="1"/>
    <col min="16" max="16" width="11.88671875" bestFit="1" customWidth="1"/>
    <col min="17" max="17" width="13" bestFit="1" customWidth="1"/>
    <col min="18" max="19" width="14.6640625" bestFit="1" customWidth="1"/>
    <col min="20" max="20" width="9.33203125" bestFit="1" customWidth="1"/>
    <col min="21" max="22" width="13" bestFit="1" customWidth="1"/>
    <col min="23" max="23" width="14.6640625" bestFit="1" customWidth="1"/>
  </cols>
  <sheetData>
    <row r="1" spans="1:9" ht="15" thickBot="1" x14ac:dyDescent="0.35">
      <c r="B1" s="320" t="s">
        <v>281</v>
      </c>
      <c r="C1" s="321"/>
      <c r="D1" s="321"/>
      <c r="E1" s="322"/>
      <c r="G1" s="6" t="s">
        <v>280</v>
      </c>
      <c r="H1" s="6"/>
      <c r="I1" s="6"/>
    </row>
    <row r="2" spans="1:9" x14ac:dyDescent="0.3">
      <c r="B2" t="s">
        <v>196</v>
      </c>
      <c r="C2" s="59">
        <v>261597.18</v>
      </c>
      <c r="D2" t="s">
        <v>66</v>
      </c>
      <c r="G2" t="s">
        <v>268</v>
      </c>
      <c r="H2">
        <v>1</v>
      </c>
      <c r="I2" t="s">
        <v>24</v>
      </c>
    </row>
    <row r="3" spans="1:9" x14ac:dyDescent="0.3">
      <c r="B3" t="s">
        <v>305</v>
      </c>
      <c r="C3" s="59">
        <f>2.9*10^5/31</f>
        <v>9354.8387096774186</v>
      </c>
      <c r="D3" t="s">
        <v>208</v>
      </c>
      <c r="G3" t="s">
        <v>304</v>
      </c>
      <c r="H3">
        <f>365/H2</f>
        <v>365</v>
      </c>
      <c r="I3" t="s">
        <v>306</v>
      </c>
    </row>
    <row r="4" spans="1:9" x14ac:dyDescent="0.3">
      <c r="G4" s="37"/>
      <c r="H4" s="2"/>
      <c r="I4" s="2"/>
    </row>
    <row r="5" spans="1:9" x14ac:dyDescent="0.3">
      <c r="A5">
        <v>1</v>
      </c>
      <c r="B5" s="6" t="s">
        <v>290</v>
      </c>
      <c r="G5" s="37"/>
      <c r="H5" s="2"/>
    </row>
    <row r="6" spans="1:9" x14ac:dyDescent="0.3">
      <c r="B6" t="s">
        <v>197</v>
      </c>
      <c r="C6">
        <v>23</v>
      </c>
      <c r="D6" t="s">
        <v>198</v>
      </c>
    </row>
    <row r="7" spans="1:9" x14ac:dyDescent="0.3">
      <c r="B7" t="s">
        <v>199</v>
      </c>
      <c r="C7" s="2">
        <f>C6*C2*1.18</f>
        <v>7099747.4651999995</v>
      </c>
      <c r="D7" t="s">
        <v>200</v>
      </c>
      <c r="G7" s="37"/>
    </row>
    <row r="8" spans="1:9" x14ac:dyDescent="0.3">
      <c r="B8" t="s">
        <v>203</v>
      </c>
      <c r="C8" s="2">
        <f>C7*3</f>
        <v>21299242.395599999</v>
      </c>
      <c r="D8" t="s">
        <v>201</v>
      </c>
      <c r="G8" s="3"/>
    </row>
    <row r="9" spans="1:9" x14ac:dyDescent="0.3">
      <c r="B9" t="s">
        <v>202</v>
      </c>
      <c r="C9" s="2">
        <f>C7*12</f>
        <v>85196969.582399994</v>
      </c>
      <c r="D9" t="s">
        <v>204</v>
      </c>
      <c r="G9" s="3"/>
    </row>
    <row r="10" spans="1:9" x14ac:dyDescent="0.3">
      <c r="B10" t="s">
        <v>205</v>
      </c>
      <c r="C10" s="22">
        <v>0.05</v>
      </c>
    </row>
    <row r="11" spans="1:9" x14ac:dyDescent="0.3">
      <c r="B11" t="s">
        <v>389</v>
      </c>
      <c r="C11">
        <v>3</v>
      </c>
      <c r="D11" t="s">
        <v>0</v>
      </c>
    </row>
    <row r="13" spans="1:9" x14ac:dyDescent="0.3">
      <c r="A13">
        <v>2</v>
      </c>
      <c r="B13" s="6" t="s">
        <v>282</v>
      </c>
    </row>
    <row r="14" spans="1:9" x14ac:dyDescent="0.3">
      <c r="B14" t="s">
        <v>283</v>
      </c>
      <c r="D14" t="s">
        <v>288</v>
      </c>
      <c r="E14" t="s">
        <v>289</v>
      </c>
    </row>
    <row r="15" spans="1:9" x14ac:dyDescent="0.3">
      <c r="B15" t="s">
        <v>284</v>
      </c>
      <c r="C15">
        <v>2</v>
      </c>
      <c r="D15">
        <v>15000</v>
      </c>
      <c r="E15" s="2">
        <f>D15*C15*12</f>
        <v>360000</v>
      </c>
    </row>
    <row r="16" spans="1:9" x14ac:dyDescent="0.3">
      <c r="B16" t="s">
        <v>285</v>
      </c>
      <c r="C16">
        <v>3</v>
      </c>
      <c r="D16">
        <v>50000</v>
      </c>
      <c r="E16" s="2">
        <f t="shared" ref="E16:E18" si="0">D16*C16*12</f>
        <v>1800000</v>
      </c>
    </row>
    <row r="17" spans="1:5" x14ac:dyDescent="0.3">
      <c r="B17" t="s">
        <v>286</v>
      </c>
      <c r="C17">
        <v>4</v>
      </c>
      <c r="D17">
        <v>15000</v>
      </c>
      <c r="E17" s="2">
        <f t="shared" si="0"/>
        <v>720000</v>
      </c>
    </row>
    <row r="18" spans="1:5" ht="15" thickBot="1" x14ac:dyDescent="0.35">
      <c r="B18" t="s">
        <v>287</v>
      </c>
      <c r="C18">
        <v>23</v>
      </c>
      <c r="D18">
        <v>12000</v>
      </c>
      <c r="E18" s="2">
        <f t="shared" si="0"/>
        <v>3312000</v>
      </c>
    </row>
    <row r="19" spans="1:5" ht="15" thickBot="1" x14ac:dyDescent="0.35">
      <c r="B19" s="7" t="s">
        <v>2</v>
      </c>
      <c r="C19" s="8"/>
      <c r="D19" s="8"/>
      <c r="E19" s="14">
        <f>SUM(E15:E18)</f>
        <v>6192000</v>
      </c>
    </row>
    <row r="20" spans="1:5" x14ac:dyDescent="0.3">
      <c r="B20" t="s">
        <v>117</v>
      </c>
      <c r="E20" s="22">
        <v>0.05</v>
      </c>
    </row>
    <row r="21" spans="1:5" x14ac:dyDescent="0.3">
      <c r="E21" s="22"/>
    </row>
    <row r="22" spans="1:5" x14ac:dyDescent="0.3">
      <c r="A22">
        <v>3</v>
      </c>
      <c r="B22" s="6" t="s">
        <v>291</v>
      </c>
      <c r="D22" t="s">
        <v>295</v>
      </c>
      <c r="E22" t="s">
        <v>289</v>
      </c>
    </row>
    <row r="23" spans="1:5" x14ac:dyDescent="0.3">
      <c r="B23" t="s">
        <v>292</v>
      </c>
      <c r="C23">
        <v>1</v>
      </c>
      <c r="D23" s="2">
        <v>5000</v>
      </c>
      <c r="E23" s="2">
        <f>D23*C23*12</f>
        <v>60000</v>
      </c>
    </row>
    <row r="24" spans="1:5" x14ac:dyDescent="0.3">
      <c r="B24" t="s">
        <v>293</v>
      </c>
      <c r="D24" s="2">
        <f>100000/12</f>
        <v>8333.3333333333339</v>
      </c>
      <c r="E24" s="2">
        <f>D24*12</f>
        <v>100000</v>
      </c>
    </row>
    <row r="25" spans="1:5" ht="15" thickBot="1" x14ac:dyDescent="0.35">
      <c r="B25" t="s">
        <v>294</v>
      </c>
      <c r="C25">
        <v>1</v>
      </c>
      <c r="D25" s="2">
        <v>1500</v>
      </c>
      <c r="E25" s="2">
        <f>D25*C25*12</f>
        <v>18000</v>
      </c>
    </row>
    <row r="26" spans="1:5" ht="15" thickBot="1" x14ac:dyDescent="0.35">
      <c r="B26" s="7" t="s">
        <v>2</v>
      </c>
      <c r="C26" s="11"/>
      <c r="D26" s="11"/>
      <c r="E26" s="10">
        <f>SUM(E23:E25)</f>
        <v>178000</v>
      </c>
    </row>
    <row r="28" spans="1:5" x14ac:dyDescent="0.3">
      <c r="A28">
        <v>4</v>
      </c>
      <c r="B28" s="6" t="s">
        <v>296</v>
      </c>
    </row>
    <row r="29" spans="1:5" x14ac:dyDescent="0.3">
      <c r="B29" s="106" t="s">
        <v>290</v>
      </c>
    </row>
    <row r="30" spans="1:5" x14ac:dyDescent="0.3">
      <c r="B30" t="s">
        <v>297</v>
      </c>
      <c r="C30">
        <v>7</v>
      </c>
      <c r="D30" s="3">
        <v>138702.5</v>
      </c>
      <c r="E30" s="3">
        <f>C30*D30*12</f>
        <v>11651010</v>
      </c>
    </row>
    <row r="31" spans="1:5" ht="15" thickBot="1" x14ac:dyDescent="0.35">
      <c r="B31" t="s">
        <v>301</v>
      </c>
      <c r="C31">
        <v>2</v>
      </c>
      <c r="D31" s="3">
        <v>50000</v>
      </c>
      <c r="E31" s="3">
        <f>C31*D31*12</f>
        <v>1200000</v>
      </c>
    </row>
    <row r="32" spans="1:5" ht="15" thickBot="1" x14ac:dyDescent="0.35">
      <c r="B32" s="7" t="s">
        <v>128</v>
      </c>
      <c r="C32" s="8"/>
      <c r="D32" s="9"/>
      <c r="E32" s="10">
        <f>SUM(E30:E31)</f>
        <v>12851010</v>
      </c>
    </row>
    <row r="33" spans="1:17" x14ac:dyDescent="0.3">
      <c r="B33" s="106" t="s">
        <v>300</v>
      </c>
    </row>
    <row r="34" spans="1:17" x14ac:dyDescent="0.3">
      <c r="B34" t="s">
        <v>298</v>
      </c>
      <c r="C34">
        <v>7</v>
      </c>
      <c r="D34" s="105">
        <f>392044*1.18</f>
        <v>462611.92</v>
      </c>
      <c r="E34" s="1">
        <f>C34*D34</f>
        <v>3238283.44</v>
      </c>
    </row>
    <row r="35" spans="1:17" ht="15" thickBot="1" x14ac:dyDescent="0.35">
      <c r="B35" t="s">
        <v>299</v>
      </c>
      <c r="C35">
        <v>7</v>
      </c>
      <c r="D35" s="1">
        <f>16500*1.18</f>
        <v>19470</v>
      </c>
      <c r="E35" s="1">
        <f>C35*D35</f>
        <v>136290</v>
      </c>
    </row>
    <row r="36" spans="1:17" ht="15" thickBot="1" x14ac:dyDescent="0.35">
      <c r="B36" s="7" t="s">
        <v>128</v>
      </c>
      <c r="C36" s="8"/>
      <c r="D36" s="8"/>
      <c r="E36" s="14">
        <f>E34+E35</f>
        <v>3374573.44</v>
      </c>
    </row>
    <row r="38" spans="1:17" x14ac:dyDescent="0.3">
      <c r="A38">
        <v>5</v>
      </c>
      <c r="B38" s="6" t="s">
        <v>377</v>
      </c>
    </row>
    <row r="39" spans="1:17" x14ac:dyDescent="0.3">
      <c r="B39" t="s">
        <v>378</v>
      </c>
      <c r="C39">
        <v>15</v>
      </c>
      <c r="D39" t="s">
        <v>386</v>
      </c>
    </row>
    <row r="40" spans="1:17" x14ac:dyDescent="0.3">
      <c r="B40" t="s">
        <v>385</v>
      </c>
      <c r="C40">
        <f>10000*1.18</f>
        <v>11800</v>
      </c>
      <c r="D40" t="s">
        <v>384</v>
      </c>
    </row>
    <row r="41" spans="1:17" ht="15" thickBot="1" x14ac:dyDescent="0.35">
      <c r="B41" t="s">
        <v>379</v>
      </c>
      <c r="C41">
        <v>350</v>
      </c>
      <c r="D41" t="s">
        <v>24</v>
      </c>
    </row>
    <row r="42" spans="1:17" ht="15" thickBot="1" x14ac:dyDescent="0.35">
      <c r="B42" s="7" t="s">
        <v>48</v>
      </c>
      <c r="C42" s="128">
        <f>C39*C40*C41</f>
        <v>61950000</v>
      </c>
      <c r="D42" s="15" t="s">
        <v>204</v>
      </c>
    </row>
    <row r="43" spans="1:17" x14ac:dyDescent="0.3">
      <c r="B43" t="s">
        <v>211</v>
      </c>
      <c r="C43" s="22">
        <v>0.03</v>
      </c>
    </row>
    <row r="44" spans="1:17" ht="15" thickBot="1" x14ac:dyDescent="0.35"/>
    <row r="45" spans="1:17" ht="15" thickBot="1" x14ac:dyDescent="0.35">
      <c r="B45" s="7" t="s">
        <v>269</v>
      </c>
      <c r="C45" s="8">
        <v>1</v>
      </c>
      <c r="D45" s="8">
        <f>IFERROR(IF(C45+1&lt;=$C$11,C45+1,"-"),"-")</f>
        <v>2</v>
      </c>
      <c r="E45" s="8">
        <f t="shared" ref="E45:Q45" si="1">IFERROR(IF(D45+1&lt;=$C$11,D45+1,"-"),"-")</f>
        <v>3</v>
      </c>
      <c r="F45" s="8" t="str">
        <f t="shared" si="1"/>
        <v>-</v>
      </c>
      <c r="G45" s="8" t="str">
        <f t="shared" si="1"/>
        <v>-</v>
      </c>
      <c r="H45" s="8" t="str">
        <f t="shared" si="1"/>
        <v>-</v>
      </c>
      <c r="I45" s="8" t="str">
        <f t="shared" si="1"/>
        <v>-</v>
      </c>
      <c r="J45" s="8" t="str">
        <f t="shared" si="1"/>
        <v>-</v>
      </c>
      <c r="K45" s="8" t="str">
        <f t="shared" si="1"/>
        <v>-</v>
      </c>
      <c r="L45" s="8" t="str">
        <f t="shared" si="1"/>
        <v>-</v>
      </c>
      <c r="M45" s="8" t="str">
        <f t="shared" si="1"/>
        <v>-</v>
      </c>
      <c r="N45" s="8" t="str">
        <f t="shared" si="1"/>
        <v>-</v>
      </c>
      <c r="O45" s="8" t="str">
        <f t="shared" si="1"/>
        <v>-</v>
      </c>
      <c r="P45" s="8" t="str">
        <f t="shared" si="1"/>
        <v>-</v>
      </c>
      <c r="Q45" s="8" t="str">
        <f t="shared" si="1"/>
        <v>-</v>
      </c>
    </row>
    <row r="46" spans="1:17" x14ac:dyDescent="0.3">
      <c r="B46" t="s">
        <v>206</v>
      </c>
      <c r="C46" s="3">
        <f>C9/10^7</f>
        <v>8.5196969582399991</v>
      </c>
      <c r="D46" s="3">
        <f>IF(D45="-",0,C46*(1+$C$10))</f>
        <v>8.9456818061519989</v>
      </c>
      <c r="E46" s="3">
        <f t="shared" ref="E46:Q46" si="2">IF(E45="-",0,D46*(1+$C$10))</f>
        <v>9.3929658964596001</v>
      </c>
      <c r="F46" s="3">
        <f t="shared" si="2"/>
        <v>0</v>
      </c>
      <c r="G46" s="3">
        <f t="shared" si="2"/>
        <v>0</v>
      </c>
      <c r="H46" s="3">
        <f t="shared" si="2"/>
        <v>0</v>
      </c>
      <c r="I46" s="3">
        <f t="shared" si="2"/>
        <v>0</v>
      </c>
      <c r="J46" s="3">
        <f t="shared" si="2"/>
        <v>0</v>
      </c>
      <c r="K46" s="3">
        <f t="shared" si="2"/>
        <v>0</v>
      </c>
      <c r="L46" s="3">
        <f t="shared" si="2"/>
        <v>0</v>
      </c>
      <c r="M46" s="3">
        <f t="shared" si="2"/>
        <v>0</v>
      </c>
      <c r="N46" s="3">
        <f t="shared" si="2"/>
        <v>0</v>
      </c>
      <c r="O46" s="3">
        <f t="shared" si="2"/>
        <v>0</v>
      </c>
      <c r="P46" s="3">
        <f t="shared" si="2"/>
        <v>0</v>
      </c>
      <c r="Q46" s="3">
        <f t="shared" si="2"/>
        <v>0</v>
      </c>
    </row>
    <row r="47" spans="1:17" x14ac:dyDescent="0.3">
      <c r="B47" t="s">
        <v>207</v>
      </c>
      <c r="C47" s="1">
        <f>C8/10^7</f>
        <v>2.1299242395599998</v>
      </c>
      <c r="D47" s="1">
        <f t="shared" ref="D47" si="3">IF(AND(D45=$C$11,E45="-"),-$C$47,0)</f>
        <v>0</v>
      </c>
      <c r="E47" s="1">
        <f>IF(AND(E45=$C$11,F45="-"),-$C$47,0)</f>
        <v>-2.1299242395599998</v>
      </c>
      <c r="F47" s="1">
        <f t="shared" ref="F47:Q47" si="4">IF(AND(F45=$C$11,G45="-"),-$C$47,0)</f>
        <v>0</v>
      </c>
      <c r="G47" s="1">
        <f t="shared" si="4"/>
        <v>0</v>
      </c>
      <c r="H47" s="1">
        <f t="shared" si="4"/>
        <v>0</v>
      </c>
      <c r="I47" s="1">
        <f t="shared" si="4"/>
        <v>0</v>
      </c>
      <c r="J47" s="1">
        <f t="shared" si="4"/>
        <v>0</v>
      </c>
      <c r="K47" s="1">
        <f t="shared" si="4"/>
        <v>0</v>
      </c>
      <c r="L47" s="1">
        <f t="shared" si="4"/>
        <v>0</v>
      </c>
      <c r="M47" s="1">
        <f t="shared" si="4"/>
        <v>0</v>
      </c>
      <c r="N47" s="1">
        <f t="shared" si="4"/>
        <v>0</v>
      </c>
      <c r="O47" s="1">
        <f t="shared" si="4"/>
        <v>0</v>
      </c>
      <c r="P47" s="1">
        <f t="shared" si="4"/>
        <v>0</v>
      </c>
      <c r="Q47" s="1">
        <f t="shared" si="4"/>
        <v>0</v>
      </c>
    </row>
    <row r="48" spans="1:17" x14ac:dyDescent="0.3">
      <c r="B48" s="6" t="s">
        <v>128</v>
      </c>
      <c r="C48" s="3">
        <f>C46+C47</f>
        <v>10.649621197799998</v>
      </c>
      <c r="D48" s="3">
        <f t="shared" ref="D48:M48" si="5">D46+D47</f>
        <v>8.9456818061519989</v>
      </c>
      <c r="E48" s="3">
        <f t="shared" si="5"/>
        <v>7.2630416568996008</v>
      </c>
      <c r="F48" s="3">
        <f t="shared" si="5"/>
        <v>0</v>
      </c>
      <c r="G48" s="3">
        <f t="shared" si="5"/>
        <v>0</v>
      </c>
      <c r="H48" s="3">
        <f t="shared" si="5"/>
        <v>0</v>
      </c>
      <c r="I48" s="3">
        <f t="shared" si="5"/>
        <v>0</v>
      </c>
      <c r="J48" s="3">
        <f t="shared" si="5"/>
        <v>0</v>
      </c>
      <c r="K48" s="3">
        <f t="shared" si="5"/>
        <v>0</v>
      </c>
      <c r="L48" s="3">
        <f t="shared" si="5"/>
        <v>0</v>
      </c>
      <c r="M48" s="3">
        <f t="shared" si="5"/>
        <v>0</v>
      </c>
      <c r="N48" s="3">
        <f>N46+Q47</f>
        <v>0</v>
      </c>
      <c r="O48" s="3">
        <f t="shared" ref="O48:Q48" si="6">O46+O47</f>
        <v>0</v>
      </c>
      <c r="P48" s="3">
        <f t="shared" si="6"/>
        <v>0</v>
      </c>
      <c r="Q48" s="3">
        <f t="shared" si="6"/>
        <v>0</v>
      </c>
    </row>
    <row r="49" spans="2:25" x14ac:dyDescent="0.3">
      <c r="B49" s="6" t="s">
        <v>166</v>
      </c>
      <c r="C49" s="89">
        <f>28660*12/10^7</f>
        <v>3.4391999999999999E-2</v>
      </c>
      <c r="D49" s="89">
        <f>IF(D45="-",0,C49*(1+1%))</f>
        <v>3.4735919999999997E-2</v>
      </c>
      <c r="E49" s="89">
        <f t="shared" ref="E49:Q49" si="7">IF(E45="-",0,D49*(1+1%))</f>
        <v>3.5083279199999998E-2</v>
      </c>
      <c r="F49" s="89">
        <f t="shared" si="7"/>
        <v>0</v>
      </c>
      <c r="G49" s="89">
        <f t="shared" si="7"/>
        <v>0</v>
      </c>
      <c r="H49" s="89">
        <f t="shared" si="7"/>
        <v>0</v>
      </c>
      <c r="I49" s="89">
        <f t="shared" si="7"/>
        <v>0</v>
      </c>
      <c r="J49" s="89">
        <f t="shared" si="7"/>
        <v>0</v>
      </c>
      <c r="K49" s="89">
        <f t="shared" si="7"/>
        <v>0</v>
      </c>
      <c r="L49" s="89">
        <f t="shared" si="7"/>
        <v>0</v>
      </c>
      <c r="M49" s="89">
        <f t="shared" si="7"/>
        <v>0</v>
      </c>
      <c r="N49" s="89">
        <f t="shared" si="7"/>
        <v>0</v>
      </c>
      <c r="O49" s="89">
        <f t="shared" si="7"/>
        <v>0</v>
      </c>
      <c r="P49" s="89">
        <f t="shared" si="7"/>
        <v>0</v>
      </c>
      <c r="Q49" s="89">
        <f t="shared" si="7"/>
        <v>0</v>
      </c>
    </row>
    <row r="50" spans="2:25" x14ac:dyDescent="0.3">
      <c r="B50" s="6" t="s">
        <v>51</v>
      </c>
      <c r="C50" s="89">
        <f>E19/10^7</f>
        <v>0.61919999999999997</v>
      </c>
      <c r="D50" s="89">
        <f>IF(D45="-",0,C50*(1+$E$20))</f>
        <v>0.65015999999999996</v>
      </c>
      <c r="E50" s="89">
        <f t="shared" ref="E50:Q50" si="8">IF(E45="-",0,D50*(1+$E$20))</f>
        <v>0.68266799999999994</v>
      </c>
      <c r="F50" s="89">
        <f t="shared" si="8"/>
        <v>0</v>
      </c>
      <c r="G50" s="89">
        <f t="shared" si="8"/>
        <v>0</v>
      </c>
      <c r="H50" s="89">
        <f t="shared" si="8"/>
        <v>0</v>
      </c>
      <c r="I50" s="89">
        <f t="shared" si="8"/>
        <v>0</v>
      </c>
      <c r="J50" s="89">
        <f t="shared" si="8"/>
        <v>0</v>
      </c>
      <c r="K50" s="89">
        <f t="shared" si="8"/>
        <v>0</v>
      </c>
      <c r="L50" s="89">
        <f t="shared" si="8"/>
        <v>0</v>
      </c>
      <c r="M50" s="89">
        <f t="shared" si="8"/>
        <v>0</v>
      </c>
      <c r="N50" s="89">
        <f t="shared" si="8"/>
        <v>0</v>
      </c>
      <c r="O50" s="89">
        <f t="shared" si="8"/>
        <v>0</v>
      </c>
      <c r="P50" s="89">
        <f t="shared" si="8"/>
        <v>0</v>
      </c>
      <c r="Q50" s="89">
        <f t="shared" si="8"/>
        <v>0</v>
      </c>
    </row>
    <row r="51" spans="2:25" x14ac:dyDescent="0.3">
      <c r="B51" s="6" t="s">
        <v>84</v>
      </c>
      <c r="C51" s="89">
        <f>(E23+E24+E25)/10^7</f>
        <v>1.78E-2</v>
      </c>
      <c r="D51" s="89">
        <f>IF(D45="-",0,$E$25*1.02/10^7)</f>
        <v>1.836E-3</v>
      </c>
      <c r="E51" s="89">
        <f t="shared" ref="E51:Q51" si="9">IF(E45="-",0,$E$25*1.02/10^7)</f>
        <v>1.836E-3</v>
      </c>
      <c r="F51" s="89">
        <f t="shared" si="9"/>
        <v>0</v>
      </c>
      <c r="G51" s="89">
        <f t="shared" si="9"/>
        <v>0</v>
      </c>
      <c r="H51" s="89">
        <f t="shared" si="9"/>
        <v>0</v>
      </c>
      <c r="I51" s="89">
        <f t="shared" si="9"/>
        <v>0</v>
      </c>
      <c r="J51" s="89">
        <f t="shared" si="9"/>
        <v>0</v>
      </c>
      <c r="K51" s="89">
        <f t="shared" si="9"/>
        <v>0</v>
      </c>
      <c r="L51" s="89">
        <f t="shared" si="9"/>
        <v>0</v>
      </c>
      <c r="M51" s="89">
        <f t="shared" si="9"/>
        <v>0</v>
      </c>
      <c r="N51" s="89">
        <f t="shared" si="9"/>
        <v>0</v>
      </c>
      <c r="O51" s="89">
        <f t="shared" si="9"/>
        <v>0</v>
      </c>
      <c r="P51" s="89">
        <f t="shared" si="9"/>
        <v>0</v>
      </c>
      <c r="Q51" s="89">
        <f t="shared" si="9"/>
        <v>0</v>
      </c>
    </row>
    <row r="52" spans="2:25" x14ac:dyDescent="0.3">
      <c r="B52" s="6" t="str">
        <f>B28</f>
        <v>Machineries</v>
      </c>
      <c r="C52" s="89">
        <f>(E36+E31)/10^7+E30/10^7</f>
        <v>1.6225583439999998</v>
      </c>
      <c r="D52" s="89">
        <f>IF(D45="-",0,(E30+E31)/10^7*1.01)</f>
        <v>1.2979520100000002</v>
      </c>
      <c r="E52" s="89">
        <f>IF(E45="-",0,D52*1.01)</f>
        <v>1.3109315301000002</v>
      </c>
      <c r="F52" s="89">
        <f t="shared" ref="F52:Q52" si="10">IF(F45="-",0,(G30+G31)/10^7*1.01)</f>
        <v>0</v>
      </c>
      <c r="G52" s="89">
        <f t="shared" si="10"/>
        <v>0</v>
      </c>
      <c r="H52" s="89">
        <f t="shared" si="10"/>
        <v>0</v>
      </c>
      <c r="I52" s="89">
        <f t="shared" si="10"/>
        <v>0</v>
      </c>
      <c r="J52" s="89">
        <f t="shared" si="10"/>
        <v>0</v>
      </c>
      <c r="K52" s="89">
        <f t="shared" si="10"/>
        <v>0</v>
      </c>
      <c r="L52" s="89">
        <f t="shared" si="10"/>
        <v>0</v>
      </c>
      <c r="M52" s="89">
        <f t="shared" si="10"/>
        <v>0</v>
      </c>
      <c r="N52" s="89">
        <f t="shared" si="10"/>
        <v>0</v>
      </c>
      <c r="O52" s="89">
        <f t="shared" si="10"/>
        <v>0</v>
      </c>
      <c r="P52" s="89">
        <f t="shared" si="10"/>
        <v>0</v>
      </c>
      <c r="Q52" s="89">
        <f t="shared" si="10"/>
        <v>0</v>
      </c>
    </row>
    <row r="53" spans="2:25" ht="15" thickBot="1" x14ac:dyDescent="0.35">
      <c r="B53" s="6" t="s">
        <v>383</v>
      </c>
      <c r="C53" s="89">
        <f>C42/10^7</f>
        <v>6.1950000000000003</v>
      </c>
      <c r="D53" s="89">
        <f>IF(D45="-",0,C53*(1+$C$43))</f>
        <v>6.3808500000000006</v>
      </c>
      <c r="E53" s="89">
        <f t="shared" ref="E53:Q53" si="11">IF(E45="-",0,D53*(1+$C$43))</f>
        <v>6.5722755000000008</v>
      </c>
      <c r="F53" s="89">
        <f t="shared" si="11"/>
        <v>0</v>
      </c>
      <c r="G53" s="89">
        <f t="shared" si="11"/>
        <v>0</v>
      </c>
      <c r="H53" s="89">
        <f t="shared" si="11"/>
        <v>0</v>
      </c>
      <c r="I53" s="89">
        <f t="shared" si="11"/>
        <v>0</v>
      </c>
      <c r="J53" s="89">
        <f t="shared" si="11"/>
        <v>0</v>
      </c>
      <c r="K53" s="89">
        <f t="shared" si="11"/>
        <v>0</v>
      </c>
      <c r="L53" s="89">
        <f t="shared" si="11"/>
        <v>0</v>
      </c>
      <c r="M53" s="89">
        <f t="shared" si="11"/>
        <v>0</v>
      </c>
      <c r="N53" s="89">
        <f t="shared" si="11"/>
        <v>0</v>
      </c>
      <c r="O53" s="89">
        <f t="shared" si="11"/>
        <v>0</v>
      </c>
      <c r="P53" s="89">
        <f t="shared" si="11"/>
        <v>0</v>
      </c>
      <c r="Q53" s="89">
        <f t="shared" si="11"/>
        <v>0</v>
      </c>
    </row>
    <row r="54" spans="2:25" ht="15" thickBot="1" x14ac:dyDescent="0.35">
      <c r="B54" s="7" t="s">
        <v>48</v>
      </c>
      <c r="C54" s="9">
        <f>C48+C49+C50+C51+C52+C53</f>
        <v>19.138571541799998</v>
      </c>
      <c r="D54" s="9">
        <f t="shared" ref="D54:Q54" si="12">D48+D49+D50+D51+D52+D53</f>
        <v>17.311215736152</v>
      </c>
      <c r="E54" s="9">
        <f t="shared" si="12"/>
        <v>15.865835966199601</v>
      </c>
      <c r="F54" s="9">
        <f t="shared" si="12"/>
        <v>0</v>
      </c>
      <c r="G54" s="9">
        <f t="shared" si="12"/>
        <v>0</v>
      </c>
      <c r="H54" s="9">
        <f t="shared" si="12"/>
        <v>0</v>
      </c>
      <c r="I54" s="9">
        <f t="shared" si="12"/>
        <v>0</v>
      </c>
      <c r="J54" s="9">
        <f t="shared" si="12"/>
        <v>0</v>
      </c>
      <c r="K54" s="9">
        <f t="shared" si="12"/>
        <v>0</v>
      </c>
      <c r="L54" s="9">
        <f t="shared" si="12"/>
        <v>0</v>
      </c>
      <c r="M54" s="9">
        <f t="shared" si="12"/>
        <v>0</v>
      </c>
      <c r="N54" s="9">
        <f t="shared" si="12"/>
        <v>0</v>
      </c>
      <c r="O54" s="9">
        <f t="shared" si="12"/>
        <v>0</v>
      </c>
      <c r="P54" s="9">
        <f t="shared" si="12"/>
        <v>0</v>
      </c>
      <c r="Q54" s="9">
        <f t="shared" si="12"/>
        <v>0</v>
      </c>
    </row>
    <row r="55" spans="2:25" ht="15" thickBot="1" x14ac:dyDescent="0.35"/>
    <row r="56" spans="2:25" ht="15" thickBot="1" x14ac:dyDescent="0.35">
      <c r="B56" s="7" t="s">
        <v>270</v>
      </c>
      <c r="C56" s="49">
        <f t="shared" ref="C56:Q56" si="13">(C54/($C$3*$H$3))*10^7</f>
        <v>56.050611034085968</v>
      </c>
      <c r="D56" s="49">
        <f t="shared" si="13"/>
        <v>50.698884064309119</v>
      </c>
      <c r="E56" s="49">
        <f t="shared" si="13"/>
        <v>46.465839863220374</v>
      </c>
      <c r="F56" s="49">
        <f t="shared" si="13"/>
        <v>0</v>
      </c>
      <c r="G56" s="49">
        <f t="shared" si="13"/>
        <v>0</v>
      </c>
      <c r="H56" s="49">
        <f t="shared" si="13"/>
        <v>0</v>
      </c>
      <c r="I56" s="49">
        <f t="shared" si="13"/>
        <v>0</v>
      </c>
      <c r="J56" s="49">
        <f t="shared" si="13"/>
        <v>0</v>
      </c>
      <c r="K56" s="49">
        <f t="shared" si="13"/>
        <v>0</v>
      </c>
      <c r="L56" s="49">
        <f t="shared" si="13"/>
        <v>0</v>
      </c>
      <c r="M56" s="49">
        <f t="shared" si="13"/>
        <v>0</v>
      </c>
      <c r="N56" s="49">
        <f t="shared" si="13"/>
        <v>0</v>
      </c>
      <c r="O56" s="49">
        <f t="shared" si="13"/>
        <v>0</v>
      </c>
      <c r="P56" s="49">
        <f t="shared" si="13"/>
        <v>0</v>
      </c>
      <c r="Q56" s="49">
        <f t="shared" si="13"/>
        <v>0</v>
      </c>
    </row>
    <row r="57" spans="2:25" ht="15" thickBot="1" x14ac:dyDescent="0.35">
      <c r="B57" s="7"/>
      <c r="C57" s="49"/>
      <c r="D57" s="4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</row>
    <row r="58" spans="2:25" ht="15" thickBot="1" x14ac:dyDescent="0.35">
      <c r="B58" s="7" t="s">
        <v>271</v>
      </c>
      <c r="C58" s="49">
        <f>AVERAGE(C56:E56)</f>
        <v>51.071778320538492</v>
      </c>
      <c r="D58" s="15" t="s">
        <v>266</v>
      </c>
    </row>
    <row r="59" spans="2:25" ht="15" thickBot="1" x14ac:dyDescent="0.35">
      <c r="B59" s="7"/>
      <c r="C59" s="9"/>
      <c r="D59" s="15"/>
    </row>
    <row r="62" spans="2:25" x14ac:dyDescent="0.3">
      <c r="B62" t="s">
        <v>437</v>
      </c>
    </row>
    <row r="63" spans="2:25" x14ac:dyDescent="0.3">
      <c r="G63">
        <f>MAX(G65:G215)</f>
        <v>286681</v>
      </c>
      <c r="R63" s="37">
        <f>SUM(R65:R69)</f>
        <v>1245453.5245007679</v>
      </c>
      <c r="W63" s="37">
        <f>SUM(W65:W69)</f>
        <v>79600748.090833336</v>
      </c>
      <c r="X63" s="3">
        <f>AVERAGE(X65:X70)</f>
        <v>67.409817180307698</v>
      </c>
    </row>
    <row r="64" spans="2:25" ht="28.8" x14ac:dyDescent="0.3">
      <c r="B64" s="249" t="s">
        <v>471</v>
      </c>
      <c r="C64" s="249" t="s">
        <v>5</v>
      </c>
      <c r="D64" s="249" t="s">
        <v>435</v>
      </c>
      <c r="E64" s="249" t="s">
        <v>472</v>
      </c>
      <c r="F64" s="249" t="s">
        <v>473</v>
      </c>
      <c r="G64" s="249" t="s">
        <v>436</v>
      </c>
      <c r="H64" s="249" t="s">
        <v>474</v>
      </c>
      <c r="I64" s="272" t="s">
        <v>495</v>
      </c>
      <c r="M64" s="250" t="s">
        <v>475</v>
      </c>
      <c r="N64" s="250" t="s">
        <v>476</v>
      </c>
      <c r="O64" s="250" t="s">
        <v>15</v>
      </c>
      <c r="P64" s="250" t="s">
        <v>435</v>
      </c>
      <c r="Q64" s="250" t="s">
        <v>477</v>
      </c>
      <c r="R64" s="250" t="s">
        <v>436</v>
      </c>
      <c r="S64" s="250" t="s">
        <v>494</v>
      </c>
      <c r="T64" s="250" t="s">
        <v>481</v>
      </c>
      <c r="U64" s="250" t="s">
        <v>535</v>
      </c>
      <c r="V64" s="250" t="s">
        <v>479</v>
      </c>
      <c r="W64" s="250" t="s">
        <v>2</v>
      </c>
      <c r="X64" s="250" t="s">
        <v>267</v>
      </c>
      <c r="Y64" s="250" t="s">
        <v>438</v>
      </c>
    </row>
    <row r="65" spans="2:25" x14ac:dyDescent="0.3">
      <c r="B65" s="241">
        <v>45566</v>
      </c>
      <c r="C65" s="251">
        <f>MONTH(B65)</f>
        <v>10</v>
      </c>
      <c r="D65" s="242">
        <v>252271</v>
      </c>
      <c r="E65" s="243">
        <v>3224</v>
      </c>
      <c r="F65" s="243">
        <v>5859</v>
      </c>
      <c r="G65" s="244">
        <f>D65+E65-F65</f>
        <v>249636</v>
      </c>
      <c r="H65" s="245">
        <f t="shared" ref="H65:H128" si="14">G65-D65</f>
        <v>-2635</v>
      </c>
      <c r="I65" s="2">
        <f>(D65+G65)/2</f>
        <v>250953.5</v>
      </c>
      <c r="L65">
        <f>MONTH(M65)</f>
        <v>10</v>
      </c>
      <c r="M65" s="240">
        <v>45566</v>
      </c>
      <c r="N65" s="240">
        <v>45596</v>
      </c>
      <c r="O65" s="1">
        <f t="shared" ref="O65:O70" si="15">_xlfn.DAYS(N65,M65)+1</f>
        <v>31</v>
      </c>
      <c r="P65" s="2">
        <f>AVERAGEIF($C$65:$C$215,L65,$D$65:$D$215)</f>
        <v>244840.5806451613</v>
      </c>
      <c r="Q65" s="2">
        <f>AVERAGEIF($C$65:$C$215,L65,$H$65:$H$215)</f>
        <v>764.70967741935488</v>
      </c>
      <c r="R65" s="2">
        <f>AVERAGEIF($C$65:$C$215,$L65,$G$65:$G$215)</f>
        <v>245605.29032258064</v>
      </c>
      <c r="S65" s="2">
        <f>AVERAGEIF($C$65:$C$215,$L65,$I$65:$I$215)</f>
        <v>245222.93548387097</v>
      </c>
      <c r="T65" s="3">
        <f>S65/31</f>
        <v>7910.4172736732571</v>
      </c>
      <c r="U65" s="37">
        <f>C7+(C8+E36)/12</f>
        <v>9155898.7848333325</v>
      </c>
      <c r="V65" s="3">
        <f>(E19+E26+E32+C42)/12</f>
        <v>6764250.833333333</v>
      </c>
      <c r="W65" s="3">
        <f t="shared" ref="W65:W70" si="16">U65+V65</f>
        <v>15920149.618166666</v>
      </c>
      <c r="X65" s="3">
        <f>W65/(S65/31)/O65</f>
        <v>64.921128143063854</v>
      </c>
      <c r="Y65" s="5">
        <f t="shared" ref="Y65:Y71" si="17">R65/$G$63</f>
        <v>0.85671980466993147</v>
      </c>
    </row>
    <row r="66" spans="2:25" x14ac:dyDescent="0.3">
      <c r="B66" s="241">
        <v>45567</v>
      </c>
      <c r="C66" s="251">
        <f t="shared" ref="C66:C129" si="18">MONTH(B66)</f>
        <v>10</v>
      </c>
      <c r="D66" s="242">
        <f>G65</f>
        <v>249636</v>
      </c>
      <c r="E66" s="243">
        <v>11284</v>
      </c>
      <c r="F66" s="243">
        <v>9083</v>
      </c>
      <c r="G66" s="244">
        <f t="shared" ref="G66:G129" si="19">D66+E66-F66</f>
        <v>251837</v>
      </c>
      <c r="H66" s="245">
        <f t="shared" si="14"/>
        <v>2201</v>
      </c>
      <c r="I66" s="2">
        <f t="shared" ref="I66:I129" si="20">(D66+G66)/2</f>
        <v>250736.5</v>
      </c>
      <c r="L66">
        <f>MONTH(M66)</f>
        <v>11</v>
      </c>
      <c r="M66" s="240">
        <f>N65+1</f>
        <v>45597</v>
      </c>
      <c r="N66" s="240">
        <f>EOMONTH(M66,0.5)</f>
        <v>45626</v>
      </c>
      <c r="O66" s="1">
        <f t="shared" si="15"/>
        <v>30</v>
      </c>
      <c r="P66" s="2">
        <f>AVERAGEIF($C$65:$C$215,L66,$D$65:$D$215)</f>
        <v>265209.53333333333</v>
      </c>
      <c r="Q66" s="2">
        <f>AVERAGEIF($C$65:$C$215,L66,$H$65:$H$215)</f>
        <v>-2426.6666666666665</v>
      </c>
      <c r="R66" s="2">
        <f>AVERAGEIF($C$65:$C$215,L66,$G$65:$G$215)</f>
        <v>262782.86666666664</v>
      </c>
      <c r="S66" s="2">
        <f t="shared" ref="S66:S69" si="21">AVERAGEIF($C$65:$C$215,$L66,$I$65:$I$215)</f>
        <v>263996.2</v>
      </c>
      <c r="T66" s="3">
        <f t="shared" ref="T66:T70" si="22">S66/31</f>
        <v>8516.0064516129041</v>
      </c>
      <c r="U66" s="2">
        <f>U65</f>
        <v>9155898.7848333325</v>
      </c>
      <c r="V66" s="3">
        <f>V65</f>
        <v>6764250.833333333</v>
      </c>
      <c r="W66" s="3">
        <f t="shared" si="16"/>
        <v>15920149.618166666</v>
      </c>
      <c r="X66" s="3">
        <f t="shared" ref="X66:X70" si="23">W66/(S66/31)/O66</f>
        <v>62.31461389256949</v>
      </c>
      <c r="Y66" s="5">
        <f t="shared" si="17"/>
        <v>0.91663858667531728</v>
      </c>
    </row>
    <row r="67" spans="2:25" x14ac:dyDescent="0.3">
      <c r="B67" s="241">
        <v>45568</v>
      </c>
      <c r="C67" s="251">
        <f t="shared" si="18"/>
        <v>10</v>
      </c>
      <c r="D67" s="242">
        <f t="shared" ref="D67:D130" si="24">G66</f>
        <v>251837</v>
      </c>
      <c r="E67" s="243">
        <v>13454</v>
      </c>
      <c r="F67" s="243">
        <v>7223</v>
      </c>
      <c r="G67" s="244">
        <f t="shared" si="19"/>
        <v>258068</v>
      </c>
      <c r="H67" s="245">
        <f t="shared" si="14"/>
        <v>6231</v>
      </c>
      <c r="I67" s="2">
        <f t="shared" si="20"/>
        <v>254952.5</v>
      </c>
      <c r="L67">
        <f>MONTH(M67)</f>
        <v>12</v>
      </c>
      <c r="M67" s="240">
        <f>N66+1</f>
        <v>45627</v>
      </c>
      <c r="N67" s="240">
        <f>EOMONTH(M67,0.5)</f>
        <v>45657</v>
      </c>
      <c r="O67" s="1">
        <f t="shared" si="15"/>
        <v>31</v>
      </c>
      <c r="P67" s="2">
        <f>AVERAGEIF($C$65:$C$215,L67,$D$65:$D$215)</f>
        <v>236016.74193548388</v>
      </c>
      <c r="Q67" s="2">
        <f>AVERAGEIF($C$65:$C$215,L67,$H$65:$H$215)</f>
        <v>1390.9032258064517</v>
      </c>
      <c r="R67" s="2">
        <f>AVERAGEIF($C$65:$C$215,L67,$G$65:$G$215)</f>
        <v>237407.64516129033</v>
      </c>
      <c r="S67" s="2">
        <f t="shared" si="21"/>
        <v>236712.19354838709</v>
      </c>
      <c r="T67" s="3">
        <f t="shared" si="22"/>
        <v>7635.8772112382931</v>
      </c>
      <c r="U67" s="2">
        <f t="shared" ref="U67:V70" si="25">U66</f>
        <v>9155898.7848333325</v>
      </c>
      <c r="V67" s="3">
        <f t="shared" si="25"/>
        <v>6764250.833333333</v>
      </c>
      <c r="W67" s="3">
        <f t="shared" si="16"/>
        <v>15920149.618166666</v>
      </c>
      <c r="X67" s="3">
        <f t="shared" si="23"/>
        <v>67.255300115802342</v>
      </c>
      <c r="Y67" s="5">
        <f t="shared" si="17"/>
        <v>0.82812479781112225</v>
      </c>
    </row>
    <row r="68" spans="2:25" x14ac:dyDescent="0.3">
      <c r="B68" s="241">
        <v>45569</v>
      </c>
      <c r="C68" s="251">
        <f t="shared" si="18"/>
        <v>10</v>
      </c>
      <c r="D68" s="242">
        <f t="shared" si="24"/>
        <v>258068</v>
      </c>
      <c r="E68" s="243">
        <v>13609</v>
      </c>
      <c r="F68" s="243">
        <v>4464</v>
      </c>
      <c r="G68" s="244">
        <f t="shared" si="19"/>
        <v>267213</v>
      </c>
      <c r="H68" s="245">
        <f t="shared" si="14"/>
        <v>9145</v>
      </c>
      <c r="I68" s="2">
        <f t="shared" si="20"/>
        <v>262640.5</v>
      </c>
      <c r="L68">
        <f>MONTH(M68)</f>
        <v>1</v>
      </c>
      <c r="M68" s="240">
        <f>N67+1</f>
        <v>45658</v>
      </c>
      <c r="N68" s="240">
        <f>EOMONTH(M68,0.5)</f>
        <v>45688</v>
      </c>
      <c r="O68" s="1">
        <f t="shared" si="15"/>
        <v>31</v>
      </c>
      <c r="P68" s="2">
        <f>AVERAGEIF($C$65:$C$215,L68,$D$65:$D$215)</f>
        <v>250909.54838709679</v>
      </c>
      <c r="Q68" s="2">
        <f>AVERAGEIF($C$65:$C$215,L68,$H$65:$H$215)</f>
        <v>310.70967741935482</v>
      </c>
      <c r="R68" s="2">
        <f>AVERAGEIF($C$65:$C$215,L68,$G$65:$G$215)</f>
        <v>251220.25806451612</v>
      </c>
      <c r="S68" s="2">
        <f t="shared" si="21"/>
        <v>251064.90322580645</v>
      </c>
      <c r="T68" s="3">
        <f t="shared" si="22"/>
        <v>8098.8678459937564</v>
      </c>
      <c r="U68" s="2">
        <f t="shared" si="25"/>
        <v>9155898.7848333325</v>
      </c>
      <c r="V68" s="3">
        <f t="shared" si="25"/>
        <v>6764250.833333333</v>
      </c>
      <c r="W68" s="3">
        <f t="shared" si="16"/>
        <v>15920149.618166666</v>
      </c>
      <c r="X68" s="3">
        <f t="shared" si="23"/>
        <v>63.410494312891551</v>
      </c>
      <c r="Y68" s="5">
        <f t="shared" si="17"/>
        <v>0.87630592213825165</v>
      </c>
    </row>
    <row r="69" spans="2:25" x14ac:dyDescent="0.3">
      <c r="B69" s="241">
        <v>45570</v>
      </c>
      <c r="C69" s="251">
        <f t="shared" si="18"/>
        <v>10</v>
      </c>
      <c r="D69" s="242">
        <f t="shared" si="24"/>
        <v>267213</v>
      </c>
      <c r="E69" s="243">
        <v>8804</v>
      </c>
      <c r="F69" s="243">
        <v>8463</v>
      </c>
      <c r="G69" s="244">
        <f t="shared" si="19"/>
        <v>267554</v>
      </c>
      <c r="H69" s="245">
        <f t="shared" si="14"/>
        <v>341</v>
      </c>
      <c r="I69" s="2">
        <f t="shared" si="20"/>
        <v>267383.5</v>
      </c>
      <c r="L69">
        <f>MONTH(M69)</f>
        <v>2</v>
      </c>
      <c r="M69" s="240">
        <f>N68+1</f>
        <v>45689</v>
      </c>
      <c r="N69" s="240">
        <f>EOMONTH(M69,0.5)</f>
        <v>45716</v>
      </c>
      <c r="O69" s="1">
        <f t="shared" si="15"/>
        <v>28</v>
      </c>
      <c r="P69" s="2">
        <f>AVERAGEIF($C$65:$C$215,L69,$D$65:$D$215)</f>
        <v>249451.14285714287</v>
      </c>
      <c r="Q69" s="2">
        <f>AVERAGEIF($C$65:$C$215,L69,$H$65:$H$215)</f>
        <v>-1013.6785714285714</v>
      </c>
      <c r="R69" s="2">
        <f>AVERAGEIF($C$65:$C$215,L69,$G$65:$G$215)</f>
        <v>248437.46428571429</v>
      </c>
      <c r="S69" s="2">
        <f t="shared" si="21"/>
        <v>248944.30357142858</v>
      </c>
      <c r="T69" s="3">
        <f t="shared" si="22"/>
        <v>8030.4614055299544</v>
      </c>
      <c r="U69" s="2">
        <f t="shared" si="25"/>
        <v>9155898.7848333325</v>
      </c>
      <c r="V69" s="3">
        <f t="shared" si="25"/>
        <v>6764250.833333333</v>
      </c>
      <c r="W69" s="3">
        <f t="shared" si="16"/>
        <v>15920149.618166666</v>
      </c>
      <c r="X69" s="3">
        <f t="shared" si="23"/>
        <v>70.802503538071463</v>
      </c>
      <c r="Y69" s="5">
        <f t="shared" si="17"/>
        <v>0.86659898732638119</v>
      </c>
    </row>
    <row r="70" spans="2:25" x14ac:dyDescent="0.3">
      <c r="B70" s="241">
        <v>45571</v>
      </c>
      <c r="C70" s="251">
        <f t="shared" si="18"/>
        <v>10</v>
      </c>
      <c r="D70" s="242">
        <f t="shared" si="24"/>
        <v>267554</v>
      </c>
      <c r="E70" s="243">
        <v>961</v>
      </c>
      <c r="F70" s="243">
        <v>7440</v>
      </c>
      <c r="G70" s="244">
        <f t="shared" si="19"/>
        <v>261075</v>
      </c>
      <c r="H70" s="245">
        <f t="shared" si="14"/>
        <v>-6479</v>
      </c>
      <c r="I70" s="2">
        <f t="shared" si="20"/>
        <v>264314.5</v>
      </c>
      <c r="J70" s="240"/>
      <c r="K70" s="240"/>
      <c r="L70" s="1">
        <v>3</v>
      </c>
      <c r="M70" s="240">
        <v>45717</v>
      </c>
      <c r="N70" s="240">
        <v>45747</v>
      </c>
      <c r="O70" s="1">
        <f t="shared" si="15"/>
        <v>31</v>
      </c>
      <c r="P70" s="2">
        <v>227544</v>
      </c>
      <c r="Q70" s="2">
        <f>R70-P70</f>
        <v>-34781</v>
      </c>
      <c r="R70" s="2">
        <f>190624+2139</f>
        <v>192763</v>
      </c>
      <c r="S70" s="37">
        <f>AVERAGE(R70,P70)</f>
        <v>210153.5</v>
      </c>
      <c r="T70" s="3">
        <f t="shared" si="22"/>
        <v>6779.1451612903229</v>
      </c>
      <c r="U70" s="2">
        <f t="shared" si="25"/>
        <v>9155898.7848333325</v>
      </c>
      <c r="V70" s="3">
        <f t="shared" si="25"/>
        <v>6764250.833333333</v>
      </c>
      <c r="W70" s="3">
        <f t="shared" si="16"/>
        <v>15920149.618166666</v>
      </c>
      <c r="X70" s="3">
        <f t="shared" si="23"/>
        <v>75.754863079447489</v>
      </c>
      <c r="Y70" s="5">
        <f t="shared" si="17"/>
        <v>0.67239544999494216</v>
      </c>
    </row>
    <row r="71" spans="2:25" x14ac:dyDescent="0.3">
      <c r="B71" s="241">
        <v>45572</v>
      </c>
      <c r="C71" s="251">
        <f t="shared" si="18"/>
        <v>10</v>
      </c>
      <c r="D71" s="242">
        <f t="shared" si="24"/>
        <v>261075</v>
      </c>
      <c r="E71" s="243">
        <v>3596</v>
      </c>
      <c r="F71" s="243">
        <v>9672</v>
      </c>
      <c r="G71" s="244">
        <f t="shared" si="19"/>
        <v>254999</v>
      </c>
      <c r="H71" s="245">
        <f t="shared" si="14"/>
        <v>-6076</v>
      </c>
      <c r="I71" s="2">
        <f t="shared" si="20"/>
        <v>258037</v>
      </c>
      <c r="R71" s="37"/>
      <c r="Y71" s="5">
        <f t="shared" si="17"/>
        <v>0</v>
      </c>
    </row>
    <row r="72" spans="2:25" x14ac:dyDescent="0.3">
      <c r="B72" s="241">
        <v>45573</v>
      </c>
      <c r="C72" s="251">
        <f t="shared" si="18"/>
        <v>10</v>
      </c>
      <c r="D72" s="242">
        <f t="shared" si="24"/>
        <v>254999</v>
      </c>
      <c r="E72" s="243">
        <v>5627</v>
      </c>
      <c r="F72" s="243">
        <v>10540</v>
      </c>
      <c r="G72" s="244">
        <f t="shared" si="19"/>
        <v>250086</v>
      </c>
      <c r="H72" s="245">
        <f t="shared" si="14"/>
        <v>-4913</v>
      </c>
      <c r="I72" s="2">
        <f t="shared" si="20"/>
        <v>252542.5</v>
      </c>
    </row>
    <row r="73" spans="2:25" x14ac:dyDescent="0.3">
      <c r="B73" s="241">
        <v>45574</v>
      </c>
      <c r="C73" s="251">
        <f t="shared" si="18"/>
        <v>10</v>
      </c>
      <c r="D73" s="242">
        <f t="shared" si="24"/>
        <v>250086</v>
      </c>
      <c r="E73" s="243">
        <v>10258</v>
      </c>
      <c r="F73" s="243">
        <v>15020</v>
      </c>
      <c r="G73" s="244">
        <f t="shared" si="19"/>
        <v>245324</v>
      </c>
      <c r="H73" s="245">
        <f t="shared" si="14"/>
        <v>-4762</v>
      </c>
      <c r="I73" s="2">
        <f t="shared" si="20"/>
        <v>247705</v>
      </c>
    </row>
    <row r="74" spans="2:25" x14ac:dyDescent="0.3">
      <c r="B74" s="241">
        <v>45575</v>
      </c>
      <c r="C74" s="251">
        <f t="shared" si="18"/>
        <v>10</v>
      </c>
      <c r="D74" s="242">
        <f t="shared" si="24"/>
        <v>245324</v>
      </c>
      <c r="E74" s="243">
        <v>8804</v>
      </c>
      <c r="F74" s="243">
        <v>10168</v>
      </c>
      <c r="G74" s="244">
        <f t="shared" si="19"/>
        <v>243960</v>
      </c>
      <c r="H74" s="245">
        <f t="shared" si="14"/>
        <v>-1364</v>
      </c>
      <c r="I74" s="2">
        <f t="shared" si="20"/>
        <v>244642</v>
      </c>
    </row>
    <row r="75" spans="2:25" x14ac:dyDescent="0.3">
      <c r="B75" s="241">
        <v>45576</v>
      </c>
      <c r="C75" s="251">
        <f t="shared" si="18"/>
        <v>10</v>
      </c>
      <c r="D75" s="242">
        <f t="shared" si="24"/>
        <v>243960</v>
      </c>
      <c r="E75" s="243">
        <v>4309</v>
      </c>
      <c r="F75" s="243">
        <v>8060</v>
      </c>
      <c r="G75" s="244">
        <f t="shared" si="19"/>
        <v>240209</v>
      </c>
      <c r="H75" s="245">
        <f t="shared" si="14"/>
        <v>-3751</v>
      </c>
      <c r="I75" s="2">
        <f t="shared" si="20"/>
        <v>242084.5</v>
      </c>
    </row>
    <row r="76" spans="2:25" x14ac:dyDescent="0.3">
      <c r="B76" s="241">
        <v>45577</v>
      </c>
      <c r="C76" s="251">
        <f t="shared" si="18"/>
        <v>10</v>
      </c>
      <c r="D76" s="242">
        <f t="shared" si="24"/>
        <v>240209</v>
      </c>
      <c r="E76" s="243">
        <v>2604</v>
      </c>
      <c r="F76" s="243">
        <v>13361</v>
      </c>
      <c r="G76" s="244">
        <f t="shared" si="19"/>
        <v>229452</v>
      </c>
      <c r="H76" s="245">
        <f t="shared" si="14"/>
        <v>-10757</v>
      </c>
      <c r="I76" s="2">
        <f t="shared" si="20"/>
        <v>234830.5</v>
      </c>
    </row>
    <row r="77" spans="2:25" x14ac:dyDescent="0.3">
      <c r="B77" s="241">
        <v>45578</v>
      </c>
      <c r="C77" s="251">
        <f t="shared" si="18"/>
        <v>10</v>
      </c>
      <c r="D77" s="242">
        <f t="shared" si="24"/>
        <v>229452</v>
      </c>
      <c r="E77" s="243">
        <v>6386</v>
      </c>
      <c r="F77" s="243">
        <v>10385</v>
      </c>
      <c r="G77" s="244">
        <f t="shared" si="19"/>
        <v>225453</v>
      </c>
      <c r="H77" s="245">
        <f t="shared" si="14"/>
        <v>-3999</v>
      </c>
      <c r="I77" s="2">
        <f t="shared" si="20"/>
        <v>227452.5</v>
      </c>
    </row>
    <row r="78" spans="2:25" x14ac:dyDescent="0.3">
      <c r="B78" s="241">
        <v>45579</v>
      </c>
      <c r="C78" s="251">
        <f t="shared" si="18"/>
        <v>10</v>
      </c>
      <c r="D78" s="242">
        <f t="shared" si="24"/>
        <v>225453</v>
      </c>
      <c r="E78" s="243">
        <v>5053</v>
      </c>
      <c r="F78" s="243">
        <v>12462</v>
      </c>
      <c r="G78" s="244">
        <f t="shared" si="19"/>
        <v>218044</v>
      </c>
      <c r="H78" s="245">
        <f t="shared" si="14"/>
        <v>-7409</v>
      </c>
      <c r="I78" s="2">
        <f t="shared" si="20"/>
        <v>221748.5</v>
      </c>
    </row>
    <row r="79" spans="2:25" x14ac:dyDescent="0.3">
      <c r="B79" s="241">
        <v>45580</v>
      </c>
      <c r="C79" s="251">
        <f t="shared" si="18"/>
        <v>10</v>
      </c>
      <c r="D79" s="242">
        <f t="shared" si="24"/>
        <v>218044</v>
      </c>
      <c r="E79" s="243">
        <v>4092</v>
      </c>
      <c r="F79" s="243">
        <v>11346</v>
      </c>
      <c r="G79" s="244">
        <f t="shared" si="19"/>
        <v>210790</v>
      </c>
      <c r="H79" s="245">
        <f t="shared" si="14"/>
        <v>-7254</v>
      </c>
      <c r="I79" s="2">
        <f t="shared" si="20"/>
        <v>214417</v>
      </c>
    </row>
    <row r="80" spans="2:25" x14ac:dyDescent="0.3">
      <c r="B80" s="241">
        <v>45581</v>
      </c>
      <c r="C80" s="251">
        <f t="shared" si="18"/>
        <v>10</v>
      </c>
      <c r="D80" s="242">
        <f t="shared" si="24"/>
        <v>210790</v>
      </c>
      <c r="E80" s="243">
        <v>16113</v>
      </c>
      <c r="F80" s="243">
        <v>7626</v>
      </c>
      <c r="G80" s="244">
        <f t="shared" si="19"/>
        <v>219277</v>
      </c>
      <c r="H80" s="245">
        <f t="shared" si="14"/>
        <v>8487</v>
      </c>
      <c r="I80" s="2">
        <f t="shared" si="20"/>
        <v>215033.5</v>
      </c>
    </row>
    <row r="81" spans="2:9" x14ac:dyDescent="0.3">
      <c r="B81" s="241">
        <v>45582</v>
      </c>
      <c r="C81" s="251">
        <f t="shared" si="18"/>
        <v>10</v>
      </c>
      <c r="D81" s="242">
        <f t="shared" si="24"/>
        <v>219277</v>
      </c>
      <c r="E81" s="243">
        <v>12245</v>
      </c>
      <c r="F81" s="243">
        <v>10974</v>
      </c>
      <c r="G81" s="244">
        <f t="shared" si="19"/>
        <v>220548</v>
      </c>
      <c r="H81" s="245">
        <f t="shared" si="14"/>
        <v>1271</v>
      </c>
      <c r="I81" s="2">
        <f t="shared" si="20"/>
        <v>219912.5</v>
      </c>
    </row>
    <row r="82" spans="2:9" x14ac:dyDescent="0.3">
      <c r="B82" s="246">
        <v>45583</v>
      </c>
      <c r="C82" s="251">
        <f t="shared" si="18"/>
        <v>10</v>
      </c>
      <c r="D82" s="242">
        <f t="shared" si="24"/>
        <v>220548</v>
      </c>
      <c r="E82" s="247">
        <v>14446</v>
      </c>
      <c r="F82" s="247">
        <v>11966</v>
      </c>
      <c r="G82" s="244">
        <f t="shared" si="19"/>
        <v>223028</v>
      </c>
      <c r="H82" s="245">
        <f t="shared" si="14"/>
        <v>2480</v>
      </c>
      <c r="I82" s="2">
        <f t="shared" si="20"/>
        <v>221788</v>
      </c>
    </row>
    <row r="83" spans="2:9" x14ac:dyDescent="0.3">
      <c r="B83" s="241">
        <v>45584</v>
      </c>
      <c r="C83" s="251">
        <f t="shared" si="18"/>
        <v>10</v>
      </c>
      <c r="D83" s="242">
        <f t="shared" si="24"/>
        <v>223028</v>
      </c>
      <c r="E83" s="243">
        <v>12769</v>
      </c>
      <c r="F83" s="243">
        <v>9337</v>
      </c>
      <c r="G83" s="244">
        <f t="shared" si="19"/>
        <v>226460</v>
      </c>
      <c r="H83" s="245">
        <f t="shared" si="14"/>
        <v>3432</v>
      </c>
      <c r="I83" s="2">
        <f t="shared" si="20"/>
        <v>224744</v>
      </c>
    </row>
    <row r="84" spans="2:9" x14ac:dyDescent="0.3">
      <c r="B84" s="241">
        <v>45585</v>
      </c>
      <c r="C84" s="251">
        <f t="shared" si="18"/>
        <v>10</v>
      </c>
      <c r="D84" s="242">
        <f t="shared" si="24"/>
        <v>226460</v>
      </c>
      <c r="E84" s="243">
        <v>9548</v>
      </c>
      <c r="F84" s="243">
        <v>5394</v>
      </c>
      <c r="G84" s="244">
        <f t="shared" si="19"/>
        <v>230614</v>
      </c>
      <c r="H84" s="245">
        <f t="shared" si="14"/>
        <v>4154</v>
      </c>
      <c r="I84" s="2">
        <f t="shared" si="20"/>
        <v>228537</v>
      </c>
    </row>
    <row r="85" spans="2:9" x14ac:dyDescent="0.3">
      <c r="B85" s="241">
        <v>45586</v>
      </c>
      <c r="C85" s="251">
        <f t="shared" si="18"/>
        <v>10</v>
      </c>
      <c r="D85" s="242">
        <f t="shared" si="24"/>
        <v>230614</v>
      </c>
      <c r="E85" s="243">
        <v>11129</v>
      </c>
      <c r="F85" s="243">
        <v>10788</v>
      </c>
      <c r="G85" s="244">
        <f t="shared" si="19"/>
        <v>230955</v>
      </c>
      <c r="H85" s="245">
        <f t="shared" si="14"/>
        <v>341</v>
      </c>
      <c r="I85" s="2">
        <f t="shared" si="20"/>
        <v>230784.5</v>
      </c>
    </row>
    <row r="86" spans="2:9" x14ac:dyDescent="0.3">
      <c r="B86" s="241">
        <v>45587</v>
      </c>
      <c r="C86" s="251">
        <f t="shared" si="18"/>
        <v>10</v>
      </c>
      <c r="D86" s="242">
        <f t="shared" si="24"/>
        <v>230955</v>
      </c>
      <c r="E86" s="243">
        <v>9393</v>
      </c>
      <c r="F86" s="243">
        <v>7502</v>
      </c>
      <c r="G86" s="244">
        <f t="shared" si="19"/>
        <v>232846</v>
      </c>
      <c r="H86" s="245">
        <f t="shared" si="14"/>
        <v>1891</v>
      </c>
      <c r="I86" s="2">
        <f t="shared" si="20"/>
        <v>231900.5</v>
      </c>
    </row>
    <row r="87" spans="2:9" x14ac:dyDescent="0.3">
      <c r="B87" s="241">
        <v>45588</v>
      </c>
      <c r="C87" s="251">
        <f t="shared" si="18"/>
        <v>10</v>
      </c>
      <c r="D87" s="242">
        <f t="shared" si="24"/>
        <v>232846</v>
      </c>
      <c r="E87" s="243">
        <v>11811</v>
      </c>
      <c r="F87" s="243">
        <v>4774</v>
      </c>
      <c r="G87" s="244">
        <f t="shared" si="19"/>
        <v>239883</v>
      </c>
      <c r="H87" s="245">
        <f t="shared" si="14"/>
        <v>7037</v>
      </c>
      <c r="I87" s="2">
        <f t="shared" si="20"/>
        <v>236364.5</v>
      </c>
    </row>
    <row r="88" spans="2:9" x14ac:dyDescent="0.3">
      <c r="B88" s="241">
        <v>45589</v>
      </c>
      <c r="C88" s="251">
        <f t="shared" si="18"/>
        <v>10</v>
      </c>
      <c r="D88" s="242">
        <f t="shared" si="24"/>
        <v>239883</v>
      </c>
      <c r="E88" s="243">
        <v>14880</v>
      </c>
      <c r="F88" s="243">
        <v>8287</v>
      </c>
      <c r="G88" s="244">
        <f t="shared" si="19"/>
        <v>246476</v>
      </c>
      <c r="H88" s="245">
        <f t="shared" si="14"/>
        <v>6593</v>
      </c>
      <c r="I88" s="2">
        <f t="shared" si="20"/>
        <v>243179.5</v>
      </c>
    </row>
    <row r="89" spans="2:9" x14ac:dyDescent="0.3">
      <c r="B89" s="241">
        <v>45590</v>
      </c>
      <c r="C89" s="251">
        <f t="shared" si="18"/>
        <v>10</v>
      </c>
      <c r="D89" s="242">
        <f t="shared" si="24"/>
        <v>246476</v>
      </c>
      <c r="E89" s="243">
        <v>14601</v>
      </c>
      <c r="F89" s="243">
        <v>10602</v>
      </c>
      <c r="G89" s="244">
        <f t="shared" si="19"/>
        <v>250475</v>
      </c>
      <c r="H89" s="245">
        <f t="shared" si="14"/>
        <v>3999</v>
      </c>
      <c r="I89" s="2">
        <f t="shared" si="20"/>
        <v>248475.5</v>
      </c>
    </row>
    <row r="90" spans="2:9" x14ac:dyDescent="0.3">
      <c r="B90" s="241">
        <v>45591</v>
      </c>
      <c r="C90" s="251">
        <f t="shared" si="18"/>
        <v>10</v>
      </c>
      <c r="D90" s="242">
        <f t="shared" si="24"/>
        <v>250475</v>
      </c>
      <c r="E90" s="243">
        <v>14725</v>
      </c>
      <c r="F90" s="243">
        <v>3999</v>
      </c>
      <c r="G90" s="244">
        <f t="shared" si="19"/>
        <v>261201</v>
      </c>
      <c r="H90" s="245">
        <f t="shared" si="14"/>
        <v>10726</v>
      </c>
      <c r="I90" s="2">
        <f t="shared" si="20"/>
        <v>255838</v>
      </c>
    </row>
    <row r="91" spans="2:9" x14ac:dyDescent="0.3">
      <c r="B91" s="241">
        <v>45592</v>
      </c>
      <c r="C91" s="251">
        <f t="shared" si="18"/>
        <v>10</v>
      </c>
      <c r="D91" s="242">
        <f t="shared" si="24"/>
        <v>261201</v>
      </c>
      <c r="E91" s="243">
        <v>6541</v>
      </c>
      <c r="F91" s="243">
        <v>5394</v>
      </c>
      <c r="G91" s="244">
        <f t="shared" si="19"/>
        <v>262348</v>
      </c>
      <c r="H91" s="245">
        <f t="shared" si="14"/>
        <v>1147</v>
      </c>
      <c r="I91" s="2">
        <f t="shared" si="20"/>
        <v>261774.5</v>
      </c>
    </row>
    <row r="92" spans="2:9" x14ac:dyDescent="0.3">
      <c r="B92" s="241">
        <v>45593</v>
      </c>
      <c r="C92" s="251">
        <f t="shared" si="18"/>
        <v>10</v>
      </c>
      <c r="D92" s="242">
        <f t="shared" si="24"/>
        <v>262348</v>
      </c>
      <c r="E92" s="243">
        <v>11408</v>
      </c>
      <c r="F92" s="243">
        <v>4030</v>
      </c>
      <c r="G92" s="244">
        <f t="shared" si="19"/>
        <v>269726</v>
      </c>
      <c r="H92" s="245">
        <f t="shared" si="14"/>
        <v>7378</v>
      </c>
      <c r="I92" s="2">
        <f t="shared" si="20"/>
        <v>266037</v>
      </c>
    </row>
    <row r="93" spans="2:9" x14ac:dyDescent="0.3">
      <c r="B93" s="241">
        <v>45594</v>
      </c>
      <c r="C93" s="251">
        <f t="shared" si="18"/>
        <v>10</v>
      </c>
      <c r="D93" s="242">
        <f t="shared" si="24"/>
        <v>269726</v>
      </c>
      <c r="E93" s="243">
        <v>10261</v>
      </c>
      <c r="F93" s="243">
        <v>5332</v>
      </c>
      <c r="G93" s="244">
        <f t="shared" si="19"/>
        <v>274655</v>
      </c>
      <c r="H93" s="245">
        <f t="shared" si="14"/>
        <v>4929</v>
      </c>
      <c r="I93" s="2">
        <f t="shared" si="20"/>
        <v>272190.5</v>
      </c>
    </row>
    <row r="94" spans="2:9" x14ac:dyDescent="0.3">
      <c r="B94" s="241">
        <v>45595</v>
      </c>
      <c r="C94" s="251">
        <f t="shared" si="18"/>
        <v>10</v>
      </c>
      <c r="D94" s="242">
        <f t="shared" si="24"/>
        <v>274655</v>
      </c>
      <c r="E94" s="243">
        <v>8039</v>
      </c>
      <c r="F94" s="243">
        <v>7099</v>
      </c>
      <c r="G94" s="244">
        <f t="shared" si="19"/>
        <v>275595</v>
      </c>
      <c r="H94" s="245">
        <f t="shared" si="14"/>
        <v>940</v>
      </c>
      <c r="I94" s="2">
        <f t="shared" si="20"/>
        <v>275125</v>
      </c>
    </row>
    <row r="95" spans="2:9" x14ac:dyDescent="0.3">
      <c r="B95" s="241">
        <v>45596</v>
      </c>
      <c r="C95" s="251">
        <f t="shared" si="18"/>
        <v>10</v>
      </c>
      <c r="D95" s="242">
        <f t="shared" si="24"/>
        <v>275595</v>
      </c>
      <c r="E95" s="243">
        <v>992</v>
      </c>
      <c r="F95" s="243">
        <v>610</v>
      </c>
      <c r="G95" s="244">
        <f t="shared" si="19"/>
        <v>275977</v>
      </c>
      <c r="H95" s="245">
        <f t="shared" si="14"/>
        <v>382</v>
      </c>
      <c r="I95" s="2">
        <f t="shared" si="20"/>
        <v>275786</v>
      </c>
    </row>
    <row r="96" spans="2:9" x14ac:dyDescent="0.3">
      <c r="B96" s="246">
        <v>45597</v>
      </c>
      <c r="C96" s="251">
        <f t="shared" si="18"/>
        <v>11</v>
      </c>
      <c r="D96" s="242">
        <f>G95</f>
        <v>275977</v>
      </c>
      <c r="E96" s="247">
        <v>14632</v>
      </c>
      <c r="F96" s="247">
        <v>11067</v>
      </c>
      <c r="G96" s="244">
        <f t="shared" si="19"/>
        <v>279542</v>
      </c>
      <c r="H96" s="245">
        <f t="shared" si="14"/>
        <v>3565</v>
      </c>
      <c r="I96" s="2">
        <f t="shared" si="20"/>
        <v>277759.5</v>
      </c>
    </row>
    <row r="97" spans="2:9" x14ac:dyDescent="0.3">
      <c r="B97" s="246">
        <v>45598</v>
      </c>
      <c r="C97" s="251">
        <f t="shared" si="18"/>
        <v>11</v>
      </c>
      <c r="D97" s="242">
        <f t="shared" si="24"/>
        <v>279542</v>
      </c>
      <c r="E97" s="247">
        <v>8153</v>
      </c>
      <c r="F97" s="247">
        <v>9207</v>
      </c>
      <c r="G97" s="244">
        <f t="shared" si="19"/>
        <v>278488</v>
      </c>
      <c r="H97" s="245">
        <f t="shared" si="14"/>
        <v>-1054</v>
      </c>
      <c r="I97" s="2">
        <f t="shared" si="20"/>
        <v>279015</v>
      </c>
    </row>
    <row r="98" spans="2:9" x14ac:dyDescent="0.3">
      <c r="B98" s="246">
        <v>45599</v>
      </c>
      <c r="C98" s="251">
        <f t="shared" si="18"/>
        <v>11</v>
      </c>
      <c r="D98" s="242">
        <f t="shared" si="24"/>
        <v>278488</v>
      </c>
      <c r="E98" s="247">
        <v>12152</v>
      </c>
      <c r="F98" s="247">
        <v>9145</v>
      </c>
      <c r="G98" s="244">
        <f t="shared" si="19"/>
        <v>281495</v>
      </c>
      <c r="H98" s="245">
        <f t="shared" si="14"/>
        <v>3007</v>
      </c>
      <c r="I98" s="2">
        <f t="shared" si="20"/>
        <v>279991.5</v>
      </c>
    </row>
    <row r="99" spans="2:9" x14ac:dyDescent="0.3">
      <c r="B99" s="246">
        <v>45600</v>
      </c>
      <c r="C99" s="251">
        <f t="shared" si="18"/>
        <v>11</v>
      </c>
      <c r="D99" s="242">
        <f t="shared" si="24"/>
        <v>281495</v>
      </c>
      <c r="E99" s="247">
        <v>5022</v>
      </c>
      <c r="F99" s="247">
        <v>10540</v>
      </c>
      <c r="G99" s="244">
        <f t="shared" si="19"/>
        <v>275977</v>
      </c>
      <c r="H99" s="245">
        <f t="shared" si="14"/>
        <v>-5518</v>
      </c>
      <c r="I99" s="2">
        <f t="shared" si="20"/>
        <v>278736</v>
      </c>
    </row>
    <row r="100" spans="2:9" x14ac:dyDescent="0.3">
      <c r="B100" s="246">
        <v>45601</v>
      </c>
      <c r="C100" s="251">
        <f t="shared" si="18"/>
        <v>11</v>
      </c>
      <c r="D100" s="242">
        <f t="shared" si="24"/>
        <v>275977</v>
      </c>
      <c r="E100" s="247">
        <v>6324</v>
      </c>
      <c r="F100" s="247">
        <v>10416</v>
      </c>
      <c r="G100" s="244">
        <f t="shared" si="19"/>
        <v>271885</v>
      </c>
      <c r="H100" s="245">
        <f t="shared" si="14"/>
        <v>-4092</v>
      </c>
      <c r="I100" s="2">
        <f t="shared" si="20"/>
        <v>273931</v>
      </c>
    </row>
    <row r="101" spans="2:9" x14ac:dyDescent="0.3">
      <c r="B101" s="246">
        <v>45602</v>
      </c>
      <c r="C101" s="251">
        <f t="shared" si="18"/>
        <v>11</v>
      </c>
      <c r="D101" s="242">
        <f t="shared" si="24"/>
        <v>271885</v>
      </c>
      <c r="E101" s="247">
        <v>9765</v>
      </c>
      <c r="F101" s="247">
        <v>9062</v>
      </c>
      <c r="G101" s="244">
        <f t="shared" si="19"/>
        <v>272588</v>
      </c>
      <c r="H101" s="245">
        <f t="shared" si="14"/>
        <v>703</v>
      </c>
      <c r="I101" s="2">
        <f t="shared" si="20"/>
        <v>272236.5</v>
      </c>
    </row>
    <row r="102" spans="2:9" x14ac:dyDescent="0.3">
      <c r="B102" s="246">
        <v>45603</v>
      </c>
      <c r="C102" s="251">
        <f t="shared" si="18"/>
        <v>11</v>
      </c>
      <c r="D102" s="242">
        <f t="shared" si="24"/>
        <v>272588</v>
      </c>
      <c r="E102" s="247">
        <v>10218</v>
      </c>
      <c r="F102" s="247">
        <v>14694</v>
      </c>
      <c r="G102" s="244">
        <f t="shared" si="19"/>
        <v>268112</v>
      </c>
      <c r="H102" s="245">
        <f t="shared" si="14"/>
        <v>-4476</v>
      </c>
      <c r="I102" s="2">
        <f t="shared" si="20"/>
        <v>270350</v>
      </c>
    </row>
    <row r="103" spans="2:9" x14ac:dyDescent="0.3">
      <c r="B103" s="246">
        <v>45604</v>
      </c>
      <c r="C103" s="251">
        <f t="shared" si="18"/>
        <v>11</v>
      </c>
      <c r="D103" s="242">
        <f t="shared" si="24"/>
        <v>268112</v>
      </c>
      <c r="E103" s="247">
        <v>3906</v>
      </c>
      <c r="F103" s="247">
        <v>4464</v>
      </c>
      <c r="G103" s="244">
        <f t="shared" si="19"/>
        <v>267554</v>
      </c>
      <c r="H103" s="245">
        <f t="shared" si="14"/>
        <v>-558</v>
      </c>
      <c r="I103" s="2">
        <f t="shared" si="20"/>
        <v>267833</v>
      </c>
    </row>
    <row r="104" spans="2:9" x14ac:dyDescent="0.3">
      <c r="B104" s="246">
        <v>45605</v>
      </c>
      <c r="C104" s="251">
        <f t="shared" si="18"/>
        <v>11</v>
      </c>
      <c r="D104" s="242">
        <f t="shared" si="24"/>
        <v>267554</v>
      </c>
      <c r="E104" s="247">
        <v>11129</v>
      </c>
      <c r="F104" s="247">
        <v>2356</v>
      </c>
      <c r="G104" s="244">
        <f t="shared" si="19"/>
        <v>276327</v>
      </c>
      <c r="H104" s="245">
        <f t="shared" si="14"/>
        <v>8773</v>
      </c>
      <c r="I104" s="2">
        <f t="shared" si="20"/>
        <v>271940.5</v>
      </c>
    </row>
    <row r="105" spans="2:9" x14ac:dyDescent="0.3">
      <c r="B105" s="246">
        <v>45606</v>
      </c>
      <c r="C105" s="251">
        <f t="shared" si="18"/>
        <v>11</v>
      </c>
      <c r="D105" s="242">
        <f t="shared" si="24"/>
        <v>276327</v>
      </c>
      <c r="E105" s="247">
        <v>0</v>
      </c>
      <c r="F105" s="247">
        <v>1240</v>
      </c>
      <c r="G105" s="244">
        <f t="shared" si="19"/>
        <v>275087</v>
      </c>
      <c r="H105" s="245">
        <f t="shared" si="14"/>
        <v>-1240</v>
      </c>
      <c r="I105" s="2">
        <f t="shared" si="20"/>
        <v>275707</v>
      </c>
    </row>
    <row r="106" spans="2:9" x14ac:dyDescent="0.3">
      <c r="B106" s="246">
        <v>45607</v>
      </c>
      <c r="C106" s="251">
        <f t="shared" si="18"/>
        <v>11</v>
      </c>
      <c r="D106" s="242">
        <f t="shared" si="24"/>
        <v>275087</v>
      </c>
      <c r="E106" s="247">
        <v>10044</v>
      </c>
      <c r="F106" s="247">
        <v>2790</v>
      </c>
      <c r="G106" s="244">
        <f t="shared" si="19"/>
        <v>282341</v>
      </c>
      <c r="H106" s="245">
        <f t="shared" si="14"/>
        <v>7254</v>
      </c>
      <c r="I106" s="2">
        <f t="shared" si="20"/>
        <v>278714</v>
      </c>
    </row>
    <row r="107" spans="2:9" x14ac:dyDescent="0.3">
      <c r="B107" s="246">
        <v>45608</v>
      </c>
      <c r="C107" s="251">
        <f t="shared" si="18"/>
        <v>11</v>
      </c>
      <c r="D107" s="242">
        <f t="shared" si="24"/>
        <v>282341</v>
      </c>
      <c r="E107" s="247">
        <v>0</v>
      </c>
      <c r="F107" s="247">
        <v>8792</v>
      </c>
      <c r="G107" s="244">
        <f t="shared" si="19"/>
        <v>273549</v>
      </c>
      <c r="H107" s="245">
        <f t="shared" si="14"/>
        <v>-8792</v>
      </c>
      <c r="I107" s="2">
        <f t="shared" si="20"/>
        <v>277945</v>
      </c>
    </row>
    <row r="108" spans="2:9" x14ac:dyDescent="0.3">
      <c r="B108" s="246">
        <v>45609</v>
      </c>
      <c r="C108" s="251">
        <f t="shared" si="18"/>
        <v>11</v>
      </c>
      <c r="D108" s="242">
        <f t="shared" si="24"/>
        <v>273549</v>
      </c>
      <c r="E108" s="247">
        <v>10137</v>
      </c>
      <c r="F108" s="247">
        <v>4743</v>
      </c>
      <c r="G108" s="244">
        <f t="shared" si="19"/>
        <v>278943</v>
      </c>
      <c r="H108" s="245">
        <f t="shared" si="14"/>
        <v>5394</v>
      </c>
      <c r="I108" s="2">
        <f t="shared" si="20"/>
        <v>276246</v>
      </c>
    </row>
    <row r="109" spans="2:9" x14ac:dyDescent="0.3">
      <c r="B109" s="246">
        <v>45610</v>
      </c>
      <c r="C109" s="251">
        <f t="shared" si="18"/>
        <v>11</v>
      </c>
      <c r="D109" s="242">
        <f t="shared" si="24"/>
        <v>278943</v>
      </c>
      <c r="E109" s="247">
        <v>6696</v>
      </c>
      <c r="F109" s="247">
        <v>3658</v>
      </c>
      <c r="G109" s="244">
        <f t="shared" si="19"/>
        <v>281981</v>
      </c>
      <c r="H109" s="245">
        <f t="shared" si="14"/>
        <v>3038</v>
      </c>
      <c r="I109" s="2">
        <f t="shared" si="20"/>
        <v>280462</v>
      </c>
    </row>
    <row r="110" spans="2:9" x14ac:dyDescent="0.3">
      <c r="B110" s="246">
        <v>45611</v>
      </c>
      <c r="C110" s="251">
        <f t="shared" si="18"/>
        <v>11</v>
      </c>
      <c r="D110" s="242">
        <f t="shared" si="24"/>
        <v>281981</v>
      </c>
      <c r="E110" s="247">
        <v>6417</v>
      </c>
      <c r="F110" s="247">
        <v>9313</v>
      </c>
      <c r="G110" s="244">
        <f t="shared" si="19"/>
        <v>279085</v>
      </c>
      <c r="H110" s="245">
        <f t="shared" si="14"/>
        <v>-2896</v>
      </c>
      <c r="I110" s="2">
        <f t="shared" si="20"/>
        <v>280533</v>
      </c>
    </row>
    <row r="111" spans="2:9" x14ac:dyDescent="0.3">
      <c r="B111" s="246">
        <v>45612</v>
      </c>
      <c r="C111" s="251">
        <f t="shared" si="18"/>
        <v>11</v>
      </c>
      <c r="D111" s="242">
        <f t="shared" si="24"/>
        <v>279085</v>
      </c>
      <c r="E111" s="247">
        <v>8029</v>
      </c>
      <c r="F111" s="247">
        <v>5610</v>
      </c>
      <c r="G111" s="244">
        <f t="shared" si="19"/>
        <v>281504</v>
      </c>
      <c r="H111" s="245">
        <f t="shared" si="14"/>
        <v>2419</v>
      </c>
      <c r="I111" s="2">
        <f t="shared" si="20"/>
        <v>280294.5</v>
      </c>
    </row>
    <row r="112" spans="2:9" x14ac:dyDescent="0.3">
      <c r="B112" s="246">
        <v>45613</v>
      </c>
      <c r="C112" s="251">
        <f t="shared" si="18"/>
        <v>11</v>
      </c>
      <c r="D112" s="242">
        <f t="shared" si="24"/>
        <v>281504</v>
      </c>
      <c r="E112" s="247">
        <v>7192</v>
      </c>
      <c r="F112" s="247">
        <v>2015</v>
      </c>
      <c r="G112" s="244">
        <f t="shared" si="19"/>
        <v>286681</v>
      </c>
      <c r="H112" s="245">
        <f t="shared" si="14"/>
        <v>5177</v>
      </c>
      <c r="I112" s="2">
        <f t="shared" si="20"/>
        <v>284092.5</v>
      </c>
    </row>
    <row r="113" spans="2:9" x14ac:dyDescent="0.3">
      <c r="B113" s="246">
        <v>45614</v>
      </c>
      <c r="C113" s="251">
        <f t="shared" si="18"/>
        <v>11</v>
      </c>
      <c r="D113" s="242">
        <f t="shared" si="24"/>
        <v>286681</v>
      </c>
      <c r="E113" s="247">
        <v>1736</v>
      </c>
      <c r="F113" s="247">
        <v>7254</v>
      </c>
      <c r="G113" s="244">
        <f t="shared" si="19"/>
        <v>281163</v>
      </c>
      <c r="H113" s="245">
        <f t="shared" si="14"/>
        <v>-5518</v>
      </c>
      <c r="I113" s="2">
        <f t="shared" si="20"/>
        <v>283922</v>
      </c>
    </row>
    <row r="114" spans="2:9" x14ac:dyDescent="0.3">
      <c r="B114" s="246">
        <v>45615</v>
      </c>
      <c r="C114" s="251">
        <f t="shared" si="18"/>
        <v>11</v>
      </c>
      <c r="D114" s="242">
        <f t="shared" si="24"/>
        <v>281163</v>
      </c>
      <c r="E114" s="247">
        <v>9083</v>
      </c>
      <c r="F114" s="247">
        <v>11780</v>
      </c>
      <c r="G114" s="244">
        <f t="shared" si="19"/>
        <v>278466</v>
      </c>
      <c r="H114" s="245">
        <f t="shared" si="14"/>
        <v>-2697</v>
      </c>
      <c r="I114" s="2">
        <f t="shared" si="20"/>
        <v>279814.5</v>
      </c>
    </row>
    <row r="115" spans="2:9" x14ac:dyDescent="0.3">
      <c r="B115" s="246">
        <v>45616</v>
      </c>
      <c r="C115" s="251">
        <f t="shared" si="18"/>
        <v>11</v>
      </c>
      <c r="D115" s="242">
        <f t="shared" si="24"/>
        <v>278466</v>
      </c>
      <c r="E115" s="247">
        <v>8370</v>
      </c>
      <c r="F115" s="247">
        <v>15813</v>
      </c>
      <c r="G115" s="244">
        <f t="shared" si="19"/>
        <v>271023</v>
      </c>
      <c r="H115" s="245">
        <f t="shared" si="14"/>
        <v>-7443</v>
      </c>
      <c r="I115" s="2">
        <f t="shared" si="20"/>
        <v>274744.5</v>
      </c>
    </row>
    <row r="116" spans="2:9" x14ac:dyDescent="0.3">
      <c r="B116" s="246">
        <v>45617</v>
      </c>
      <c r="C116" s="251">
        <f t="shared" si="18"/>
        <v>11</v>
      </c>
      <c r="D116" s="242">
        <f t="shared" si="24"/>
        <v>271023</v>
      </c>
      <c r="E116" s="247">
        <v>10602</v>
      </c>
      <c r="F116" s="247">
        <v>17329</v>
      </c>
      <c r="G116" s="244">
        <f t="shared" si="19"/>
        <v>264296</v>
      </c>
      <c r="H116" s="245">
        <f t="shared" si="14"/>
        <v>-6727</v>
      </c>
      <c r="I116" s="2">
        <f t="shared" si="20"/>
        <v>267659.5</v>
      </c>
    </row>
    <row r="117" spans="2:9" x14ac:dyDescent="0.3">
      <c r="B117" s="246">
        <v>45618</v>
      </c>
      <c r="C117" s="251">
        <f t="shared" si="18"/>
        <v>11</v>
      </c>
      <c r="D117" s="242">
        <f t="shared" si="24"/>
        <v>264296</v>
      </c>
      <c r="E117" s="247">
        <v>4588</v>
      </c>
      <c r="F117" s="247">
        <v>15766</v>
      </c>
      <c r="G117" s="244">
        <f t="shared" si="19"/>
        <v>253118</v>
      </c>
      <c r="H117" s="245">
        <f t="shared" si="14"/>
        <v>-11178</v>
      </c>
      <c r="I117" s="2">
        <f t="shared" si="20"/>
        <v>258707</v>
      </c>
    </row>
    <row r="118" spans="2:9" x14ac:dyDescent="0.3">
      <c r="B118" s="246">
        <v>45619</v>
      </c>
      <c r="C118" s="251">
        <f t="shared" si="18"/>
        <v>11</v>
      </c>
      <c r="D118" s="242">
        <f t="shared" si="24"/>
        <v>253118</v>
      </c>
      <c r="E118" s="247">
        <v>9393</v>
      </c>
      <c r="F118" s="247">
        <v>13330</v>
      </c>
      <c r="G118" s="244">
        <f t="shared" si="19"/>
        <v>249181</v>
      </c>
      <c r="H118" s="245">
        <f t="shared" si="14"/>
        <v>-3937</v>
      </c>
      <c r="I118" s="2">
        <f t="shared" si="20"/>
        <v>251149.5</v>
      </c>
    </row>
    <row r="119" spans="2:9" x14ac:dyDescent="0.3">
      <c r="B119" s="246">
        <v>45620</v>
      </c>
      <c r="C119" s="251">
        <f t="shared" si="18"/>
        <v>11</v>
      </c>
      <c r="D119" s="242">
        <f t="shared" si="24"/>
        <v>249181</v>
      </c>
      <c r="E119" s="247">
        <v>1240</v>
      </c>
      <c r="F119" s="247">
        <v>8773</v>
      </c>
      <c r="G119" s="244">
        <f t="shared" si="19"/>
        <v>241648</v>
      </c>
      <c r="H119" s="245">
        <f t="shared" si="14"/>
        <v>-7533</v>
      </c>
      <c r="I119" s="2">
        <f t="shared" si="20"/>
        <v>245414.5</v>
      </c>
    </row>
    <row r="120" spans="2:9" x14ac:dyDescent="0.3">
      <c r="B120" s="246">
        <v>45621</v>
      </c>
      <c r="C120" s="251">
        <f t="shared" si="18"/>
        <v>11</v>
      </c>
      <c r="D120" s="242">
        <f t="shared" si="24"/>
        <v>241648</v>
      </c>
      <c r="E120" s="247">
        <v>5394</v>
      </c>
      <c r="F120" s="247">
        <v>9362</v>
      </c>
      <c r="G120" s="244">
        <f t="shared" si="19"/>
        <v>237680</v>
      </c>
      <c r="H120" s="245">
        <f t="shared" si="14"/>
        <v>-3968</v>
      </c>
      <c r="I120" s="2">
        <f t="shared" si="20"/>
        <v>239664</v>
      </c>
    </row>
    <row r="121" spans="2:9" x14ac:dyDescent="0.3">
      <c r="B121" s="246">
        <v>45622</v>
      </c>
      <c r="C121" s="251">
        <f t="shared" si="18"/>
        <v>11</v>
      </c>
      <c r="D121" s="242">
        <f t="shared" si="24"/>
        <v>237680</v>
      </c>
      <c r="E121" s="247">
        <v>7905</v>
      </c>
      <c r="F121" s="247">
        <v>12431</v>
      </c>
      <c r="G121" s="244">
        <f t="shared" si="19"/>
        <v>233154</v>
      </c>
      <c r="H121" s="245">
        <f t="shared" si="14"/>
        <v>-4526</v>
      </c>
      <c r="I121" s="2">
        <f t="shared" si="20"/>
        <v>235417</v>
      </c>
    </row>
    <row r="122" spans="2:9" x14ac:dyDescent="0.3">
      <c r="B122" s="246">
        <v>45623</v>
      </c>
      <c r="C122" s="251">
        <f t="shared" si="18"/>
        <v>11</v>
      </c>
      <c r="D122" s="242">
        <f t="shared" si="24"/>
        <v>233154</v>
      </c>
      <c r="E122" s="247">
        <v>9114</v>
      </c>
      <c r="F122" s="247">
        <v>13702</v>
      </c>
      <c r="G122" s="244">
        <f t="shared" si="19"/>
        <v>228566</v>
      </c>
      <c r="H122" s="245">
        <f t="shared" si="14"/>
        <v>-4588</v>
      </c>
      <c r="I122" s="2">
        <f t="shared" si="20"/>
        <v>230860</v>
      </c>
    </row>
    <row r="123" spans="2:9" x14ac:dyDescent="0.3">
      <c r="B123" s="246">
        <v>45624</v>
      </c>
      <c r="C123" s="251">
        <f t="shared" si="18"/>
        <v>11</v>
      </c>
      <c r="D123" s="242">
        <f t="shared" si="24"/>
        <v>228566</v>
      </c>
      <c r="E123" s="247">
        <v>8029</v>
      </c>
      <c r="F123" s="247">
        <v>15345</v>
      </c>
      <c r="G123" s="244">
        <f t="shared" si="19"/>
        <v>221250</v>
      </c>
      <c r="H123" s="245">
        <f t="shared" si="14"/>
        <v>-7316</v>
      </c>
      <c r="I123" s="2">
        <f t="shared" si="20"/>
        <v>224908</v>
      </c>
    </row>
    <row r="124" spans="2:9" x14ac:dyDescent="0.3">
      <c r="B124" s="246">
        <v>45625</v>
      </c>
      <c r="C124" s="251">
        <f t="shared" si="18"/>
        <v>11</v>
      </c>
      <c r="D124" s="242">
        <f t="shared" si="24"/>
        <v>221250</v>
      </c>
      <c r="E124" s="247">
        <v>2697</v>
      </c>
      <c r="F124" s="247">
        <v>14322</v>
      </c>
      <c r="G124" s="244">
        <f t="shared" si="19"/>
        <v>209625</v>
      </c>
      <c r="H124" s="245">
        <f t="shared" si="14"/>
        <v>-11625</v>
      </c>
      <c r="I124" s="2">
        <f t="shared" si="20"/>
        <v>215437.5</v>
      </c>
    </row>
    <row r="125" spans="2:9" x14ac:dyDescent="0.3">
      <c r="B125" s="246">
        <v>45626</v>
      </c>
      <c r="C125" s="251">
        <f t="shared" si="18"/>
        <v>11</v>
      </c>
      <c r="D125" s="242">
        <f t="shared" si="24"/>
        <v>209625</v>
      </c>
      <c r="E125" s="247">
        <v>6727</v>
      </c>
      <c r="F125" s="247">
        <v>13175</v>
      </c>
      <c r="G125" s="244">
        <f t="shared" si="19"/>
        <v>203177</v>
      </c>
      <c r="H125" s="245">
        <f t="shared" si="14"/>
        <v>-6448</v>
      </c>
      <c r="I125" s="2">
        <f t="shared" si="20"/>
        <v>206401</v>
      </c>
    </row>
    <row r="126" spans="2:9" x14ac:dyDescent="0.3">
      <c r="B126" s="241">
        <v>45627</v>
      </c>
      <c r="C126" s="251">
        <f t="shared" si="18"/>
        <v>12</v>
      </c>
      <c r="D126" s="242">
        <f t="shared" si="24"/>
        <v>203177</v>
      </c>
      <c r="E126" s="243">
        <v>12059</v>
      </c>
      <c r="F126" s="243">
        <v>8619</v>
      </c>
      <c r="G126" s="244">
        <f t="shared" si="19"/>
        <v>206617</v>
      </c>
      <c r="H126" s="245">
        <f t="shared" si="14"/>
        <v>3440</v>
      </c>
      <c r="I126" s="2">
        <f t="shared" si="20"/>
        <v>204897</v>
      </c>
    </row>
    <row r="127" spans="2:9" x14ac:dyDescent="0.3">
      <c r="B127" s="241">
        <v>45628</v>
      </c>
      <c r="C127" s="251">
        <f t="shared" si="18"/>
        <v>12</v>
      </c>
      <c r="D127" s="242">
        <f t="shared" si="24"/>
        <v>206617</v>
      </c>
      <c r="E127" s="243">
        <v>8866</v>
      </c>
      <c r="F127" s="243">
        <v>4119</v>
      </c>
      <c r="G127" s="244">
        <f t="shared" si="19"/>
        <v>211364</v>
      </c>
      <c r="H127" s="245">
        <f t="shared" si="14"/>
        <v>4747</v>
      </c>
      <c r="I127" s="2">
        <f t="shared" si="20"/>
        <v>208990.5</v>
      </c>
    </row>
    <row r="128" spans="2:9" x14ac:dyDescent="0.3">
      <c r="B128" s="241">
        <v>45629</v>
      </c>
      <c r="C128" s="251">
        <f t="shared" si="18"/>
        <v>12</v>
      </c>
      <c r="D128" s="242">
        <f t="shared" si="24"/>
        <v>211364</v>
      </c>
      <c r="E128" s="243">
        <v>12183</v>
      </c>
      <c r="F128" s="243">
        <v>4433</v>
      </c>
      <c r="G128" s="244">
        <f t="shared" si="19"/>
        <v>219114</v>
      </c>
      <c r="H128" s="245">
        <f t="shared" si="14"/>
        <v>7750</v>
      </c>
      <c r="I128" s="2">
        <f t="shared" si="20"/>
        <v>215239</v>
      </c>
    </row>
    <row r="129" spans="2:9" x14ac:dyDescent="0.3">
      <c r="B129" s="241">
        <v>45630</v>
      </c>
      <c r="C129" s="251">
        <f t="shared" si="18"/>
        <v>12</v>
      </c>
      <c r="D129" s="242">
        <f t="shared" si="24"/>
        <v>219114</v>
      </c>
      <c r="E129" s="243">
        <v>8432</v>
      </c>
      <c r="F129" s="243">
        <v>3094</v>
      </c>
      <c r="G129" s="244">
        <f t="shared" si="19"/>
        <v>224452</v>
      </c>
      <c r="H129" s="245">
        <f t="shared" ref="H129:H187" si="26">G129-D129</f>
        <v>5338</v>
      </c>
      <c r="I129" s="2">
        <f t="shared" si="20"/>
        <v>221783</v>
      </c>
    </row>
    <row r="130" spans="2:9" x14ac:dyDescent="0.3">
      <c r="B130" s="241">
        <v>45631</v>
      </c>
      <c r="C130" s="251">
        <f t="shared" ref="C130:C193" si="27">MONTH(B130)</f>
        <v>12</v>
      </c>
      <c r="D130" s="242">
        <f t="shared" si="24"/>
        <v>224452</v>
      </c>
      <c r="E130" s="243">
        <v>11129</v>
      </c>
      <c r="F130" s="243">
        <v>8848</v>
      </c>
      <c r="G130" s="244">
        <f t="shared" ref="G130:G193" si="28">D130+E130-F130</f>
        <v>226733</v>
      </c>
      <c r="H130" s="245">
        <f t="shared" si="26"/>
        <v>2281</v>
      </c>
      <c r="I130" s="2">
        <f t="shared" ref="I130:I193" si="29">(D130+G130)/2</f>
        <v>225592.5</v>
      </c>
    </row>
    <row r="131" spans="2:9" x14ac:dyDescent="0.3">
      <c r="B131" s="241">
        <v>45632</v>
      </c>
      <c r="C131" s="251">
        <f t="shared" si="27"/>
        <v>12</v>
      </c>
      <c r="D131" s="242">
        <f t="shared" ref="D131:D194" si="30">G130</f>
        <v>226733</v>
      </c>
      <c r="E131" s="243">
        <v>10664</v>
      </c>
      <c r="F131" s="243">
        <v>8835</v>
      </c>
      <c r="G131" s="244">
        <f t="shared" si="28"/>
        <v>228562</v>
      </c>
      <c r="H131" s="245">
        <f t="shared" si="26"/>
        <v>1829</v>
      </c>
      <c r="I131" s="2">
        <f t="shared" si="29"/>
        <v>227647.5</v>
      </c>
    </row>
    <row r="132" spans="2:9" x14ac:dyDescent="0.3">
      <c r="B132" s="241">
        <v>45633</v>
      </c>
      <c r="C132" s="251">
        <f t="shared" si="27"/>
        <v>12</v>
      </c>
      <c r="D132" s="242">
        <f t="shared" si="30"/>
        <v>228562</v>
      </c>
      <c r="E132" s="243">
        <v>16946</v>
      </c>
      <c r="F132" s="243">
        <v>5890</v>
      </c>
      <c r="G132" s="244">
        <f t="shared" si="28"/>
        <v>239618</v>
      </c>
      <c r="H132" s="245">
        <f t="shared" si="26"/>
        <v>11056</v>
      </c>
      <c r="I132" s="2">
        <f t="shared" si="29"/>
        <v>234090</v>
      </c>
    </row>
    <row r="133" spans="2:9" x14ac:dyDescent="0.3">
      <c r="B133" s="241">
        <v>45634</v>
      </c>
      <c r="C133" s="251">
        <f t="shared" si="27"/>
        <v>12</v>
      </c>
      <c r="D133" s="242">
        <f t="shared" si="30"/>
        <v>239618</v>
      </c>
      <c r="E133" s="243">
        <v>8773</v>
      </c>
      <c r="F133" s="243">
        <v>5270</v>
      </c>
      <c r="G133" s="244">
        <f t="shared" si="28"/>
        <v>243121</v>
      </c>
      <c r="H133" s="245">
        <f t="shared" si="26"/>
        <v>3503</v>
      </c>
      <c r="I133" s="2">
        <f t="shared" si="29"/>
        <v>241369.5</v>
      </c>
    </row>
    <row r="134" spans="2:9" x14ac:dyDescent="0.3">
      <c r="B134" s="241">
        <v>45635</v>
      </c>
      <c r="C134" s="251">
        <f t="shared" si="27"/>
        <v>12</v>
      </c>
      <c r="D134" s="242">
        <f t="shared" si="30"/>
        <v>243121</v>
      </c>
      <c r="E134" s="243">
        <v>13733</v>
      </c>
      <c r="F134" s="243">
        <v>14415</v>
      </c>
      <c r="G134" s="244">
        <f t="shared" si="28"/>
        <v>242439</v>
      </c>
      <c r="H134" s="245">
        <f t="shared" si="26"/>
        <v>-682</v>
      </c>
      <c r="I134" s="2">
        <f t="shared" si="29"/>
        <v>242780</v>
      </c>
    </row>
    <row r="135" spans="2:9" x14ac:dyDescent="0.3">
      <c r="B135" s="241">
        <v>45636</v>
      </c>
      <c r="C135" s="251">
        <f t="shared" si="27"/>
        <v>12</v>
      </c>
      <c r="D135" s="242">
        <f t="shared" si="30"/>
        <v>242439</v>
      </c>
      <c r="E135" s="243">
        <v>15841</v>
      </c>
      <c r="F135" s="243">
        <v>14198</v>
      </c>
      <c r="G135" s="244">
        <f t="shared" si="28"/>
        <v>244082</v>
      </c>
      <c r="H135" s="245">
        <f t="shared" si="26"/>
        <v>1643</v>
      </c>
      <c r="I135" s="2">
        <f t="shared" si="29"/>
        <v>243260.5</v>
      </c>
    </row>
    <row r="136" spans="2:9" x14ac:dyDescent="0.3">
      <c r="B136" s="241">
        <v>45637</v>
      </c>
      <c r="C136" s="251">
        <f t="shared" si="27"/>
        <v>12</v>
      </c>
      <c r="D136" s="242">
        <f t="shared" si="30"/>
        <v>244082</v>
      </c>
      <c r="E136" s="243">
        <v>11982</v>
      </c>
      <c r="F136" s="243">
        <v>13962</v>
      </c>
      <c r="G136" s="244">
        <f t="shared" si="28"/>
        <v>242102</v>
      </c>
      <c r="H136" s="245">
        <f t="shared" si="26"/>
        <v>-1980</v>
      </c>
      <c r="I136" s="2">
        <f t="shared" si="29"/>
        <v>243092</v>
      </c>
    </row>
    <row r="137" spans="2:9" x14ac:dyDescent="0.3">
      <c r="B137" s="241">
        <v>45638</v>
      </c>
      <c r="C137" s="251">
        <f t="shared" si="27"/>
        <v>12</v>
      </c>
      <c r="D137" s="242">
        <f t="shared" si="30"/>
        <v>242102</v>
      </c>
      <c r="E137" s="243">
        <v>14787</v>
      </c>
      <c r="F137" s="243">
        <v>15841</v>
      </c>
      <c r="G137" s="244">
        <f t="shared" si="28"/>
        <v>241048</v>
      </c>
      <c r="H137" s="245">
        <f t="shared" si="26"/>
        <v>-1054</v>
      </c>
      <c r="I137" s="2">
        <f t="shared" si="29"/>
        <v>241575</v>
      </c>
    </row>
    <row r="138" spans="2:9" x14ac:dyDescent="0.3">
      <c r="B138" s="241">
        <v>45639</v>
      </c>
      <c r="C138" s="251">
        <f t="shared" si="27"/>
        <v>12</v>
      </c>
      <c r="D138" s="242">
        <f t="shared" si="30"/>
        <v>241048</v>
      </c>
      <c r="E138" s="243">
        <v>11723</v>
      </c>
      <c r="F138" s="243">
        <v>12834</v>
      </c>
      <c r="G138" s="244">
        <f t="shared" si="28"/>
        <v>239937</v>
      </c>
      <c r="H138" s="245">
        <f t="shared" si="26"/>
        <v>-1111</v>
      </c>
      <c r="I138" s="2">
        <f t="shared" si="29"/>
        <v>240492.5</v>
      </c>
    </row>
    <row r="139" spans="2:9" x14ac:dyDescent="0.3">
      <c r="B139" s="241">
        <v>45640</v>
      </c>
      <c r="C139" s="251">
        <f t="shared" si="27"/>
        <v>12</v>
      </c>
      <c r="D139" s="242">
        <f t="shared" si="30"/>
        <v>239937</v>
      </c>
      <c r="E139" s="243">
        <v>11532</v>
      </c>
      <c r="F139" s="243">
        <v>10695</v>
      </c>
      <c r="G139" s="244">
        <f t="shared" si="28"/>
        <v>240774</v>
      </c>
      <c r="H139" s="245">
        <f t="shared" si="26"/>
        <v>837</v>
      </c>
      <c r="I139" s="2">
        <f t="shared" si="29"/>
        <v>240355.5</v>
      </c>
    </row>
    <row r="140" spans="2:9" x14ac:dyDescent="0.3">
      <c r="B140" s="241">
        <v>45641</v>
      </c>
      <c r="C140" s="251">
        <f t="shared" si="27"/>
        <v>12</v>
      </c>
      <c r="D140" s="242">
        <f t="shared" si="30"/>
        <v>240774</v>
      </c>
      <c r="E140" s="243">
        <v>12028</v>
      </c>
      <c r="F140" s="243">
        <v>9238</v>
      </c>
      <c r="G140" s="244">
        <f t="shared" si="28"/>
        <v>243564</v>
      </c>
      <c r="H140" s="245">
        <f t="shared" si="26"/>
        <v>2790</v>
      </c>
      <c r="I140" s="2">
        <f t="shared" si="29"/>
        <v>242169</v>
      </c>
    </row>
    <row r="141" spans="2:9" x14ac:dyDescent="0.3">
      <c r="B141" s="241">
        <v>45642</v>
      </c>
      <c r="C141" s="251">
        <f t="shared" si="27"/>
        <v>12</v>
      </c>
      <c r="D141" s="242">
        <f t="shared" si="30"/>
        <v>243564</v>
      </c>
      <c r="E141" s="243">
        <v>13629</v>
      </c>
      <c r="F141" s="243">
        <v>9765</v>
      </c>
      <c r="G141" s="244">
        <f t="shared" si="28"/>
        <v>247428</v>
      </c>
      <c r="H141" s="245">
        <f t="shared" si="26"/>
        <v>3864</v>
      </c>
      <c r="I141" s="2">
        <f t="shared" si="29"/>
        <v>245496</v>
      </c>
    </row>
    <row r="142" spans="2:9" x14ac:dyDescent="0.3">
      <c r="B142" s="241">
        <v>45643</v>
      </c>
      <c r="C142" s="251">
        <f t="shared" si="27"/>
        <v>12</v>
      </c>
      <c r="D142" s="242">
        <f t="shared" si="30"/>
        <v>247428</v>
      </c>
      <c r="E142" s="243">
        <v>12028</v>
      </c>
      <c r="F142" s="243">
        <v>14513</v>
      </c>
      <c r="G142" s="244">
        <f t="shared" si="28"/>
        <v>244943</v>
      </c>
      <c r="H142" s="245">
        <f t="shared" si="26"/>
        <v>-2485</v>
      </c>
      <c r="I142" s="2">
        <f t="shared" si="29"/>
        <v>246185.5</v>
      </c>
    </row>
    <row r="143" spans="2:9" x14ac:dyDescent="0.3">
      <c r="B143" s="241">
        <v>45644</v>
      </c>
      <c r="C143" s="251">
        <f t="shared" si="27"/>
        <v>12</v>
      </c>
      <c r="D143" s="242">
        <f t="shared" si="30"/>
        <v>244943</v>
      </c>
      <c r="E143" s="243">
        <v>12648</v>
      </c>
      <c r="F143" s="243">
        <v>19468</v>
      </c>
      <c r="G143" s="244">
        <f t="shared" si="28"/>
        <v>238123</v>
      </c>
      <c r="H143" s="245">
        <f t="shared" si="26"/>
        <v>-6820</v>
      </c>
      <c r="I143" s="2">
        <f t="shared" si="29"/>
        <v>241533</v>
      </c>
    </row>
    <row r="144" spans="2:9" x14ac:dyDescent="0.3">
      <c r="B144" s="241">
        <v>45645</v>
      </c>
      <c r="C144" s="251">
        <f t="shared" si="27"/>
        <v>12</v>
      </c>
      <c r="D144" s="242">
        <f t="shared" si="30"/>
        <v>238123</v>
      </c>
      <c r="E144" s="243">
        <v>18445</v>
      </c>
      <c r="F144" s="243">
        <v>16058</v>
      </c>
      <c r="G144" s="244">
        <f t="shared" si="28"/>
        <v>240510</v>
      </c>
      <c r="H144" s="245">
        <f t="shared" si="26"/>
        <v>2387</v>
      </c>
      <c r="I144" s="2">
        <f t="shared" si="29"/>
        <v>239316.5</v>
      </c>
    </row>
    <row r="145" spans="2:9" x14ac:dyDescent="0.3">
      <c r="B145" s="241">
        <v>45646</v>
      </c>
      <c r="C145" s="251">
        <f t="shared" si="27"/>
        <v>12</v>
      </c>
      <c r="D145" s="242">
        <f t="shared" si="30"/>
        <v>240510</v>
      </c>
      <c r="E145" s="243">
        <v>8401</v>
      </c>
      <c r="F145" s="243">
        <v>18073</v>
      </c>
      <c r="G145" s="244">
        <f t="shared" si="28"/>
        <v>230838</v>
      </c>
      <c r="H145" s="245">
        <f t="shared" si="26"/>
        <v>-9672</v>
      </c>
      <c r="I145" s="2">
        <f t="shared" si="29"/>
        <v>235674</v>
      </c>
    </row>
    <row r="146" spans="2:9" x14ac:dyDescent="0.3">
      <c r="B146" s="246">
        <v>45647</v>
      </c>
      <c r="C146" s="251">
        <f t="shared" si="27"/>
        <v>12</v>
      </c>
      <c r="D146" s="242">
        <f t="shared" si="30"/>
        <v>230838</v>
      </c>
      <c r="E146" s="247">
        <v>19396</v>
      </c>
      <c r="F146" s="247">
        <v>15996</v>
      </c>
      <c r="G146" s="244">
        <f t="shared" si="28"/>
        <v>234238</v>
      </c>
      <c r="H146" s="245">
        <f t="shared" si="26"/>
        <v>3400</v>
      </c>
      <c r="I146" s="2">
        <f t="shared" si="29"/>
        <v>232538</v>
      </c>
    </row>
    <row r="147" spans="2:9" x14ac:dyDescent="0.3">
      <c r="B147" s="241">
        <v>45648</v>
      </c>
      <c r="C147" s="251">
        <f t="shared" si="27"/>
        <v>12</v>
      </c>
      <c r="D147" s="242">
        <f t="shared" si="30"/>
        <v>234238</v>
      </c>
      <c r="E147" s="243">
        <v>9827</v>
      </c>
      <c r="F147" s="243">
        <v>13671</v>
      </c>
      <c r="G147" s="244">
        <f t="shared" si="28"/>
        <v>230394</v>
      </c>
      <c r="H147" s="245">
        <f t="shared" si="26"/>
        <v>-3844</v>
      </c>
      <c r="I147" s="2">
        <f t="shared" si="29"/>
        <v>232316</v>
      </c>
    </row>
    <row r="148" spans="2:9" x14ac:dyDescent="0.3">
      <c r="B148" s="241">
        <v>45649</v>
      </c>
      <c r="C148" s="251">
        <f t="shared" si="27"/>
        <v>12</v>
      </c>
      <c r="D148" s="242">
        <f t="shared" si="30"/>
        <v>230394</v>
      </c>
      <c r="E148" s="243">
        <v>23002</v>
      </c>
      <c r="F148" s="243">
        <v>14835</v>
      </c>
      <c r="G148" s="244">
        <f t="shared" si="28"/>
        <v>238561</v>
      </c>
      <c r="H148" s="245">
        <f t="shared" si="26"/>
        <v>8167</v>
      </c>
      <c r="I148" s="2">
        <f t="shared" si="29"/>
        <v>234477.5</v>
      </c>
    </row>
    <row r="149" spans="2:9" x14ac:dyDescent="0.3">
      <c r="B149" s="241">
        <v>45650</v>
      </c>
      <c r="C149" s="251">
        <f t="shared" si="27"/>
        <v>12</v>
      </c>
      <c r="D149" s="242">
        <f t="shared" si="30"/>
        <v>238561</v>
      </c>
      <c r="E149" s="243">
        <v>16740</v>
      </c>
      <c r="F149" s="243">
        <v>12245</v>
      </c>
      <c r="G149" s="244">
        <f t="shared" si="28"/>
        <v>243056</v>
      </c>
      <c r="H149" s="245">
        <f t="shared" si="26"/>
        <v>4495</v>
      </c>
      <c r="I149" s="2">
        <f t="shared" si="29"/>
        <v>240808.5</v>
      </c>
    </row>
    <row r="150" spans="2:9" x14ac:dyDescent="0.3">
      <c r="B150" s="241">
        <v>45651</v>
      </c>
      <c r="C150" s="251">
        <f t="shared" si="27"/>
        <v>12</v>
      </c>
      <c r="D150" s="242">
        <f t="shared" si="30"/>
        <v>243056</v>
      </c>
      <c r="E150" s="243">
        <v>10416</v>
      </c>
      <c r="F150" s="243">
        <v>11346</v>
      </c>
      <c r="G150" s="244">
        <f t="shared" si="28"/>
        <v>242126</v>
      </c>
      <c r="H150" s="245">
        <f t="shared" si="26"/>
        <v>-930</v>
      </c>
      <c r="I150" s="2">
        <f t="shared" si="29"/>
        <v>242591</v>
      </c>
    </row>
    <row r="151" spans="2:9" x14ac:dyDescent="0.3">
      <c r="B151" s="241">
        <v>45652</v>
      </c>
      <c r="C151" s="251">
        <f t="shared" si="27"/>
        <v>12</v>
      </c>
      <c r="D151" s="242">
        <f t="shared" si="30"/>
        <v>242126</v>
      </c>
      <c r="E151" s="243">
        <v>13288</v>
      </c>
      <c r="F151" s="243">
        <v>10691</v>
      </c>
      <c r="G151" s="244">
        <f t="shared" si="28"/>
        <v>244723</v>
      </c>
      <c r="H151" s="245">
        <f t="shared" si="26"/>
        <v>2597</v>
      </c>
      <c r="I151" s="2">
        <f t="shared" si="29"/>
        <v>243424.5</v>
      </c>
    </row>
    <row r="152" spans="2:9" x14ac:dyDescent="0.3">
      <c r="B152" s="241">
        <v>45653</v>
      </c>
      <c r="C152" s="251">
        <f t="shared" si="27"/>
        <v>12</v>
      </c>
      <c r="D152" s="242">
        <f t="shared" si="30"/>
        <v>244723</v>
      </c>
      <c r="E152" s="243">
        <v>13144</v>
      </c>
      <c r="F152" s="243">
        <v>15097</v>
      </c>
      <c r="G152" s="244">
        <f t="shared" si="28"/>
        <v>242770</v>
      </c>
      <c r="H152" s="245">
        <f t="shared" si="26"/>
        <v>-1953</v>
      </c>
      <c r="I152" s="2">
        <f t="shared" si="29"/>
        <v>243746.5</v>
      </c>
    </row>
    <row r="153" spans="2:9" x14ac:dyDescent="0.3">
      <c r="B153" s="241">
        <v>45654</v>
      </c>
      <c r="C153" s="251">
        <f t="shared" si="27"/>
        <v>12</v>
      </c>
      <c r="D153" s="242">
        <f t="shared" si="30"/>
        <v>242770</v>
      </c>
      <c r="E153" s="243">
        <v>11408</v>
      </c>
      <c r="F153" s="243">
        <v>10168</v>
      </c>
      <c r="G153" s="244">
        <f t="shared" si="28"/>
        <v>244010</v>
      </c>
      <c r="H153" s="245">
        <f t="shared" si="26"/>
        <v>1240</v>
      </c>
      <c r="I153" s="2">
        <f t="shared" si="29"/>
        <v>243390</v>
      </c>
    </row>
    <row r="154" spans="2:9" x14ac:dyDescent="0.3">
      <c r="B154" s="241">
        <v>45655</v>
      </c>
      <c r="C154" s="251">
        <f t="shared" si="27"/>
        <v>12</v>
      </c>
      <c r="D154" s="242">
        <f t="shared" si="30"/>
        <v>244010</v>
      </c>
      <c r="E154" s="243">
        <v>6541</v>
      </c>
      <c r="F154" s="243">
        <v>620</v>
      </c>
      <c r="G154" s="244">
        <f t="shared" si="28"/>
        <v>249931</v>
      </c>
      <c r="H154" s="245">
        <f t="shared" si="26"/>
        <v>5921</v>
      </c>
      <c r="I154" s="2">
        <f t="shared" si="29"/>
        <v>246970.5</v>
      </c>
    </row>
    <row r="155" spans="2:9" x14ac:dyDescent="0.3">
      <c r="B155" s="241">
        <v>45656</v>
      </c>
      <c r="C155" s="251">
        <f t="shared" si="27"/>
        <v>12</v>
      </c>
      <c r="D155" s="242">
        <f t="shared" si="30"/>
        <v>249931</v>
      </c>
      <c r="E155" s="243">
        <v>4464</v>
      </c>
      <c r="F155" s="243">
        <v>6231</v>
      </c>
      <c r="G155" s="244">
        <f t="shared" si="28"/>
        <v>248164</v>
      </c>
      <c r="H155" s="245">
        <f t="shared" si="26"/>
        <v>-1767</v>
      </c>
      <c r="I155" s="2">
        <f t="shared" si="29"/>
        <v>249047.5</v>
      </c>
    </row>
    <row r="156" spans="2:9" x14ac:dyDescent="0.3">
      <c r="B156" s="241">
        <v>45657</v>
      </c>
      <c r="C156" s="251">
        <f t="shared" si="27"/>
        <v>12</v>
      </c>
      <c r="D156" s="242">
        <f t="shared" si="30"/>
        <v>248164</v>
      </c>
      <c r="E156" s="243">
        <v>4588</v>
      </c>
      <c r="F156" s="243">
        <v>6457</v>
      </c>
      <c r="G156" s="244">
        <f t="shared" si="28"/>
        <v>246295</v>
      </c>
      <c r="H156" s="245">
        <f t="shared" si="26"/>
        <v>-1869</v>
      </c>
      <c r="I156" s="2">
        <f t="shared" si="29"/>
        <v>247229.5</v>
      </c>
    </row>
    <row r="157" spans="2:9" x14ac:dyDescent="0.3">
      <c r="B157" s="241">
        <v>45658</v>
      </c>
      <c r="C157" s="251">
        <f t="shared" si="27"/>
        <v>1</v>
      </c>
      <c r="D157" s="242">
        <f t="shared" si="30"/>
        <v>246295</v>
      </c>
      <c r="E157" s="243">
        <v>4960</v>
      </c>
      <c r="F157" s="243">
        <v>10974</v>
      </c>
      <c r="G157" s="244">
        <f t="shared" si="28"/>
        <v>240281</v>
      </c>
      <c r="H157" s="245">
        <f t="shared" si="26"/>
        <v>-6014</v>
      </c>
      <c r="I157" s="2">
        <f t="shared" si="29"/>
        <v>243288</v>
      </c>
    </row>
    <row r="158" spans="2:9" x14ac:dyDescent="0.3">
      <c r="B158" s="241">
        <v>45659</v>
      </c>
      <c r="C158" s="251">
        <f t="shared" si="27"/>
        <v>1</v>
      </c>
      <c r="D158" s="242">
        <f t="shared" si="30"/>
        <v>240281</v>
      </c>
      <c r="E158" s="243">
        <v>9858</v>
      </c>
      <c r="F158" s="243">
        <v>5213</v>
      </c>
      <c r="G158" s="244">
        <f t="shared" si="28"/>
        <v>244926</v>
      </c>
      <c r="H158" s="245">
        <f t="shared" si="26"/>
        <v>4645</v>
      </c>
      <c r="I158" s="2">
        <f t="shared" si="29"/>
        <v>242603.5</v>
      </c>
    </row>
    <row r="159" spans="2:9" x14ac:dyDescent="0.3">
      <c r="B159" s="241">
        <v>45660</v>
      </c>
      <c r="C159" s="251">
        <f t="shared" si="27"/>
        <v>1</v>
      </c>
      <c r="D159" s="242">
        <f t="shared" si="30"/>
        <v>244926</v>
      </c>
      <c r="E159" s="243">
        <v>11636</v>
      </c>
      <c r="F159" s="243">
        <v>6354</v>
      </c>
      <c r="G159" s="244">
        <f t="shared" si="28"/>
        <v>250208</v>
      </c>
      <c r="H159" s="245">
        <f t="shared" si="26"/>
        <v>5282</v>
      </c>
      <c r="I159" s="2">
        <f t="shared" si="29"/>
        <v>247567</v>
      </c>
    </row>
    <row r="160" spans="2:9" x14ac:dyDescent="0.3">
      <c r="B160" s="241">
        <v>45661</v>
      </c>
      <c r="C160" s="251">
        <f t="shared" si="27"/>
        <v>1</v>
      </c>
      <c r="D160" s="242">
        <f t="shared" si="30"/>
        <v>250208</v>
      </c>
      <c r="E160" s="243">
        <v>6386</v>
      </c>
      <c r="F160" s="243">
        <v>12420</v>
      </c>
      <c r="G160" s="244">
        <f t="shared" si="28"/>
        <v>244174</v>
      </c>
      <c r="H160" s="245">
        <f t="shared" si="26"/>
        <v>-6034</v>
      </c>
      <c r="I160" s="2">
        <f t="shared" si="29"/>
        <v>247191</v>
      </c>
    </row>
    <row r="161" spans="2:9" x14ac:dyDescent="0.3">
      <c r="B161" s="241">
        <v>45662</v>
      </c>
      <c r="C161" s="251">
        <f t="shared" si="27"/>
        <v>1</v>
      </c>
      <c r="D161" s="242">
        <f t="shared" si="30"/>
        <v>244174</v>
      </c>
      <c r="E161" s="243">
        <v>4898</v>
      </c>
      <c r="F161" s="243">
        <v>4061</v>
      </c>
      <c r="G161" s="244">
        <f t="shared" si="28"/>
        <v>245011</v>
      </c>
      <c r="H161" s="245">
        <f t="shared" si="26"/>
        <v>837</v>
      </c>
      <c r="I161" s="2">
        <f t="shared" si="29"/>
        <v>244592.5</v>
      </c>
    </row>
    <row r="162" spans="2:9" x14ac:dyDescent="0.3">
      <c r="B162" s="241">
        <v>45663</v>
      </c>
      <c r="C162" s="251">
        <f t="shared" si="27"/>
        <v>1</v>
      </c>
      <c r="D162" s="242">
        <f t="shared" si="30"/>
        <v>245011</v>
      </c>
      <c r="E162" s="243">
        <v>7316</v>
      </c>
      <c r="F162" s="243">
        <v>5761</v>
      </c>
      <c r="G162" s="244">
        <f t="shared" si="28"/>
        <v>246566</v>
      </c>
      <c r="H162" s="245">
        <f t="shared" si="26"/>
        <v>1555</v>
      </c>
      <c r="I162" s="2">
        <f t="shared" si="29"/>
        <v>245788.5</v>
      </c>
    </row>
    <row r="163" spans="2:9" x14ac:dyDescent="0.3">
      <c r="B163" s="241">
        <v>45664</v>
      </c>
      <c r="C163" s="251">
        <f t="shared" si="27"/>
        <v>1</v>
      </c>
      <c r="D163" s="242">
        <f t="shared" si="30"/>
        <v>246566</v>
      </c>
      <c r="E163" s="243">
        <v>4340</v>
      </c>
      <c r="F163" s="243">
        <v>7983</v>
      </c>
      <c r="G163" s="244">
        <f t="shared" si="28"/>
        <v>242923</v>
      </c>
      <c r="H163" s="245">
        <f t="shared" si="26"/>
        <v>-3643</v>
      </c>
      <c r="I163" s="2">
        <f t="shared" si="29"/>
        <v>244744.5</v>
      </c>
    </row>
    <row r="164" spans="2:9" x14ac:dyDescent="0.3">
      <c r="B164" s="241">
        <v>45665</v>
      </c>
      <c r="C164" s="251">
        <f t="shared" si="27"/>
        <v>1</v>
      </c>
      <c r="D164" s="242">
        <f t="shared" si="30"/>
        <v>242923</v>
      </c>
      <c r="E164" s="243">
        <v>8990</v>
      </c>
      <c r="F164" s="243">
        <v>12710</v>
      </c>
      <c r="G164" s="244">
        <f t="shared" si="28"/>
        <v>239203</v>
      </c>
      <c r="H164" s="245">
        <f t="shared" si="26"/>
        <v>-3720</v>
      </c>
      <c r="I164" s="2">
        <f t="shared" si="29"/>
        <v>241063</v>
      </c>
    </row>
    <row r="165" spans="2:9" x14ac:dyDescent="0.3">
      <c r="B165" s="241">
        <v>45666</v>
      </c>
      <c r="C165" s="251">
        <f t="shared" si="27"/>
        <v>1</v>
      </c>
      <c r="D165" s="242">
        <f t="shared" si="30"/>
        <v>239203</v>
      </c>
      <c r="E165" s="243">
        <v>7688</v>
      </c>
      <c r="F165" s="243">
        <v>9796</v>
      </c>
      <c r="G165" s="244">
        <f t="shared" si="28"/>
        <v>237095</v>
      </c>
      <c r="H165" s="245">
        <f t="shared" si="26"/>
        <v>-2108</v>
      </c>
      <c r="I165" s="2">
        <f t="shared" si="29"/>
        <v>238149</v>
      </c>
    </row>
    <row r="166" spans="2:9" x14ac:dyDescent="0.3">
      <c r="B166" s="241">
        <v>45667</v>
      </c>
      <c r="C166" s="251">
        <f t="shared" si="27"/>
        <v>1</v>
      </c>
      <c r="D166" s="242">
        <f t="shared" si="30"/>
        <v>237095</v>
      </c>
      <c r="E166" s="243">
        <v>11129</v>
      </c>
      <c r="F166" s="243">
        <v>5456</v>
      </c>
      <c r="G166" s="244">
        <f t="shared" si="28"/>
        <v>242768</v>
      </c>
      <c r="H166" s="245">
        <f t="shared" si="26"/>
        <v>5673</v>
      </c>
      <c r="I166" s="2">
        <f t="shared" si="29"/>
        <v>239931.5</v>
      </c>
    </row>
    <row r="167" spans="2:9" x14ac:dyDescent="0.3">
      <c r="B167" s="241">
        <v>45668</v>
      </c>
      <c r="C167" s="251">
        <f t="shared" si="27"/>
        <v>1</v>
      </c>
      <c r="D167" s="242">
        <f t="shared" si="30"/>
        <v>242768</v>
      </c>
      <c r="E167" s="243">
        <v>13144</v>
      </c>
      <c r="F167" s="243">
        <v>6975</v>
      </c>
      <c r="G167" s="244">
        <f t="shared" si="28"/>
        <v>248937</v>
      </c>
      <c r="H167" s="245">
        <f t="shared" si="26"/>
        <v>6169</v>
      </c>
      <c r="I167" s="2">
        <f t="shared" si="29"/>
        <v>245852.5</v>
      </c>
    </row>
    <row r="168" spans="2:9" x14ac:dyDescent="0.3">
      <c r="B168" s="241">
        <v>45669</v>
      </c>
      <c r="C168" s="251">
        <f t="shared" si="27"/>
        <v>1</v>
      </c>
      <c r="D168" s="242">
        <f t="shared" si="30"/>
        <v>248937</v>
      </c>
      <c r="E168" s="243">
        <v>6820</v>
      </c>
      <c r="F168" s="243">
        <v>1953</v>
      </c>
      <c r="G168" s="244">
        <f t="shared" si="28"/>
        <v>253804</v>
      </c>
      <c r="H168" s="245">
        <f t="shared" si="26"/>
        <v>4867</v>
      </c>
      <c r="I168" s="2">
        <f t="shared" si="29"/>
        <v>251370.5</v>
      </c>
    </row>
    <row r="169" spans="2:9" x14ac:dyDescent="0.3">
      <c r="B169" s="241">
        <v>45670</v>
      </c>
      <c r="C169" s="251">
        <f t="shared" si="27"/>
        <v>1</v>
      </c>
      <c r="D169" s="242">
        <f t="shared" si="30"/>
        <v>253804</v>
      </c>
      <c r="E169" s="243">
        <v>9424</v>
      </c>
      <c r="F169" s="243">
        <v>12865</v>
      </c>
      <c r="G169" s="244">
        <f t="shared" si="28"/>
        <v>250363</v>
      </c>
      <c r="H169" s="245">
        <f t="shared" si="26"/>
        <v>-3441</v>
      </c>
      <c r="I169" s="2">
        <f t="shared" si="29"/>
        <v>252083.5</v>
      </c>
    </row>
    <row r="170" spans="2:9" x14ac:dyDescent="0.3">
      <c r="B170" s="241">
        <v>45671</v>
      </c>
      <c r="C170" s="251">
        <f t="shared" si="27"/>
        <v>1</v>
      </c>
      <c r="D170" s="242">
        <f t="shared" si="30"/>
        <v>250363</v>
      </c>
      <c r="E170" s="243">
        <v>5332</v>
      </c>
      <c r="F170" s="243">
        <v>5146</v>
      </c>
      <c r="G170" s="244">
        <f t="shared" si="28"/>
        <v>250549</v>
      </c>
      <c r="H170" s="245">
        <f t="shared" si="26"/>
        <v>186</v>
      </c>
      <c r="I170" s="2">
        <f t="shared" si="29"/>
        <v>250456</v>
      </c>
    </row>
    <row r="171" spans="2:9" x14ac:dyDescent="0.3">
      <c r="B171" s="241">
        <v>45672</v>
      </c>
      <c r="C171" s="251">
        <f t="shared" si="27"/>
        <v>1</v>
      </c>
      <c r="D171" s="242">
        <f t="shared" si="30"/>
        <v>250549</v>
      </c>
      <c r="E171" s="243">
        <v>8494</v>
      </c>
      <c r="F171" s="243">
        <v>9114</v>
      </c>
      <c r="G171" s="244">
        <f t="shared" si="28"/>
        <v>249929</v>
      </c>
      <c r="H171" s="245">
        <f t="shared" si="26"/>
        <v>-620</v>
      </c>
      <c r="I171" s="2">
        <f t="shared" si="29"/>
        <v>250239</v>
      </c>
    </row>
    <row r="172" spans="2:9" x14ac:dyDescent="0.3">
      <c r="B172" s="241">
        <v>45673</v>
      </c>
      <c r="C172" s="251">
        <f t="shared" si="27"/>
        <v>1</v>
      </c>
      <c r="D172" s="242">
        <f t="shared" si="30"/>
        <v>249929</v>
      </c>
      <c r="E172" s="243">
        <v>12152</v>
      </c>
      <c r="F172" s="243">
        <v>14818</v>
      </c>
      <c r="G172" s="244">
        <f t="shared" si="28"/>
        <v>247263</v>
      </c>
      <c r="H172" s="245">
        <f t="shared" si="26"/>
        <v>-2666</v>
      </c>
      <c r="I172" s="2">
        <f t="shared" si="29"/>
        <v>248596</v>
      </c>
    </row>
    <row r="173" spans="2:9" x14ac:dyDescent="0.3">
      <c r="B173" s="241">
        <v>45674</v>
      </c>
      <c r="C173" s="251">
        <f t="shared" si="27"/>
        <v>1</v>
      </c>
      <c r="D173" s="242">
        <f t="shared" si="30"/>
        <v>247263</v>
      </c>
      <c r="E173" s="243">
        <v>11532</v>
      </c>
      <c r="F173" s="243">
        <v>9031</v>
      </c>
      <c r="G173" s="244">
        <f t="shared" si="28"/>
        <v>249764</v>
      </c>
      <c r="H173" s="245">
        <f t="shared" si="26"/>
        <v>2501</v>
      </c>
      <c r="I173" s="2">
        <f t="shared" si="29"/>
        <v>248513.5</v>
      </c>
    </row>
    <row r="174" spans="2:9" x14ac:dyDescent="0.3">
      <c r="B174" s="241">
        <v>45675</v>
      </c>
      <c r="C174" s="251">
        <f t="shared" si="27"/>
        <v>1</v>
      </c>
      <c r="D174" s="242">
        <f t="shared" si="30"/>
        <v>249764</v>
      </c>
      <c r="E174" s="243">
        <v>7068</v>
      </c>
      <c r="F174" s="243">
        <v>8043</v>
      </c>
      <c r="G174" s="244">
        <f t="shared" si="28"/>
        <v>248789</v>
      </c>
      <c r="H174" s="245">
        <f t="shared" si="26"/>
        <v>-975</v>
      </c>
      <c r="I174" s="2">
        <f t="shared" si="29"/>
        <v>249276.5</v>
      </c>
    </row>
    <row r="175" spans="2:9" x14ac:dyDescent="0.3">
      <c r="B175" s="241">
        <v>45676</v>
      </c>
      <c r="C175" s="251">
        <f t="shared" si="27"/>
        <v>1</v>
      </c>
      <c r="D175" s="242">
        <f t="shared" si="30"/>
        <v>248789</v>
      </c>
      <c r="E175" s="243">
        <v>11408</v>
      </c>
      <c r="F175" s="243">
        <v>6235</v>
      </c>
      <c r="G175" s="244">
        <f t="shared" si="28"/>
        <v>253962</v>
      </c>
      <c r="H175" s="245">
        <f t="shared" si="26"/>
        <v>5173</v>
      </c>
      <c r="I175" s="2">
        <f t="shared" si="29"/>
        <v>251375.5</v>
      </c>
    </row>
    <row r="176" spans="2:9" x14ac:dyDescent="0.3">
      <c r="B176" s="241">
        <v>45677</v>
      </c>
      <c r="C176" s="251">
        <f t="shared" si="27"/>
        <v>1</v>
      </c>
      <c r="D176" s="242">
        <f t="shared" si="30"/>
        <v>253962</v>
      </c>
      <c r="E176" s="243">
        <v>7688</v>
      </c>
      <c r="F176" s="243">
        <v>8401</v>
      </c>
      <c r="G176" s="244">
        <f t="shared" si="28"/>
        <v>253249</v>
      </c>
      <c r="H176" s="245">
        <f t="shared" si="26"/>
        <v>-713</v>
      </c>
      <c r="I176" s="2">
        <f t="shared" si="29"/>
        <v>253605.5</v>
      </c>
    </row>
    <row r="177" spans="2:9" x14ac:dyDescent="0.3">
      <c r="B177" s="246">
        <v>45678</v>
      </c>
      <c r="C177" s="251">
        <f t="shared" si="27"/>
        <v>1</v>
      </c>
      <c r="D177" s="242">
        <f t="shared" si="30"/>
        <v>253249</v>
      </c>
      <c r="E177" s="247">
        <v>9300</v>
      </c>
      <c r="F177" s="247">
        <v>8486</v>
      </c>
      <c r="G177" s="244">
        <f t="shared" si="28"/>
        <v>254063</v>
      </c>
      <c r="H177" s="245">
        <f t="shared" si="26"/>
        <v>814</v>
      </c>
      <c r="I177" s="2">
        <f t="shared" si="29"/>
        <v>253656</v>
      </c>
    </row>
    <row r="178" spans="2:9" x14ac:dyDescent="0.3">
      <c r="B178" s="241">
        <v>45679</v>
      </c>
      <c r="C178" s="251">
        <f t="shared" si="27"/>
        <v>1</v>
      </c>
      <c r="D178" s="242">
        <f t="shared" si="30"/>
        <v>254063</v>
      </c>
      <c r="E178" s="243">
        <v>11512</v>
      </c>
      <c r="F178" s="243">
        <v>4650</v>
      </c>
      <c r="G178" s="244">
        <f t="shared" si="28"/>
        <v>260925</v>
      </c>
      <c r="H178" s="245">
        <f t="shared" si="26"/>
        <v>6862</v>
      </c>
      <c r="I178" s="2">
        <f t="shared" si="29"/>
        <v>257494</v>
      </c>
    </row>
    <row r="179" spans="2:9" x14ac:dyDescent="0.3">
      <c r="B179" s="241">
        <v>45680</v>
      </c>
      <c r="C179" s="251">
        <f t="shared" si="27"/>
        <v>1</v>
      </c>
      <c r="D179" s="242">
        <f t="shared" si="30"/>
        <v>260925</v>
      </c>
      <c r="E179" s="243">
        <v>8184</v>
      </c>
      <c r="F179" s="243">
        <v>7130</v>
      </c>
      <c r="G179" s="244">
        <f t="shared" si="28"/>
        <v>261979</v>
      </c>
      <c r="H179" s="245">
        <f t="shared" si="26"/>
        <v>1054</v>
      </c>
      <c r="I179" s="2">
        <f t="shared" si="29"/>
        <v>261452</v>
      </c>
    </row>
    <row r="180" spans="2:9" x14ac:dyDescent="0.3">
      <c r="B180" s="241">
        <v>45681</v>
      </c>
      <c r="C180" s="251">
        <f t="shared" si="27"/>
        <v>1</v>
      </c>
      <c r="D180" s="242">
        <f t="shared" si="30"/>
        <v>261979</v>
      </c>
      <c r="E180" s="243">
        <v>8038</v>
      </c>
      <c r="F180" s="243">
        <v>6232</v>
      </c>
      <c r="G180" s="244">
        <f t="shared" si="28"/>
        <v>263785</v>
      </c>
      <c r="H180" s="245">
        <f t="shared" si="26"/>
        <v>1806</v>
      </c>
      <c r="I180" s="2">
        <f t="shared" si="29"/>
        <v>262882</v>
      </c>
    </row>
    <row r="181" spans="2:9" x14ac:dyDescent="0.3">
      <c r="B181" s="241">
        <v>45682</v>
      </c>
      <c r="C181" s="251">
        <f t="shared" si="27"/>
        <v>1</v>
      </c>
      <c r="D181" s="242">
        <f t="shared" si="30"/>
        <v>263785</v>
      </c>
      <c r="E181" s="243">
        <v>9424</v>
      </c>
      <c r="F181" s="243">
        <v>13752</v>
      </c>
      <c r="G181" s="244">
        <f t="shared" si="28"/>
        <v>259457</v>
      </c>
      <c r="H181" s="245">
        <f t="shared" si="26"/>
        <v>-4328</v>
      </c>
      <c r="I181" s="2">
        <f t="shared" si="29"/>
        <v>261621</v>
      </c>
    </row>
    <row r="182" spans="2:9" x14ac:dyDescent="0.3">
      <c r="B182" s="241">
        <v>45683</v>
      </c>
      <c r="C182" s="251">
        <f t="shared" si="27"/>
        <v>1</v>
      </c>
      <c r="D182" s="242">
        <f t="shared" si="30"/>
        <v>259457</v>
      </c>
      <c r="E182" s="243">
        <v>7316</v>
      </c>
      <c r="F182" s="243">
        <v>7595</v>
      </c>
      <c r="G182" s="244">
        <f t="shared" si="28"/>
        <v>259178</v>
      </c>
      <c r="H182" s="245">
        <f t="shared" si="26"/>
        <v>-279</v>
      </c>
      <c r="I182" s="2">
        <f t="shared" si="29"/>
        <v>259317.5</v>
      </c>
    </row>
    <row r="183" spans="2:9" x14ac:dyDescent="0.3">
      <c r="B183" s="241">
        <v>45684</v>
      </c>
      <c r="C183" s="251">
        <f t="shared" si="27"/>
        <v>1</v>
      </c>
      <c r="D183" s="242">
        <f t="shared" si="30"/>
        <v>259178</v>
      </c>
      <c r="E183" s="243">
        <v>12121</v>
      </c>
      <c r="F183" s="243">
        <v>9249</v>
      </c>
      <c r="G183" s="244">
        <f t="shared" si="28"/>
        <v>262050</v>
      </c>
      <c r="H183" s="245">
        <f t="shared" si="26"/>
        <v>2872</v>
      </c>
      <c r="I183" s="2">
        <f t="shared" si="29"/>
        <v>260614</v>
      </c>
    </row>
    <row r="184" spans="2:9" x14ac:dyDescent="0.3">
      <c r="B184" s="241">
        <v>45685</v>
      </c>
      <c r="C184" s="251">
        <f t="shared" si="27"/>
        <v>1</v>
      </c>
      <c r="D184" s="242">
        <f t="shared" si="30"/>
        <v>262050</v>
      </c>
      <c r="E184" s="243">
        <v>6448</v>
      </c>
      <c r="F184" s="243">
        <v>6026</v>
      </c>
      <c r="G184" s="244">
        <f t="shared" si="28"/>
        <v>262472</v>
      </c>
      <c r="H184" s="245">
        <f t="shared" si="26"/>
        <v>422</v>
      </c>
      <c r="I184" s="2">
        <f t="shared" si="29"/>
        <v>262261</v>
      </c>
    </row>
    <row r="185" spans="2:9" x14ac:dyDescent="0.3">
      <c r="B185" s="241">
        <v>45686</v>
      </c>
      <c r="C185" s="251">
        <f t="shared" si="27"/>
        <v>1</v>
      </c>
      <c r="D185" s="242">
        <f t="shared" si="30"/>
        <v>262472</v>
      </c>
      <c r="E185" s="243">
        <v>620</v>
      </c>
      <c r="F185" s="243">
        <v>10013</v>
      </c>
      <c r="G185" s="244">
        <f t="shared" si="28"/>
        <v>253079</v>
      </c>
      <c r="H185" s="245">
        <f t="shared" si="26"/>
        <v>-9393</v>
      </c>
      <c r="I185" s="2">
        <f t="shared" si="29"/>
        <v>257775.5</v>
      </c>
    </row>
    <row r="186" spans="2:9" x14ac:dyDescent="0.3">
      <c r="B186" s="241">
        <v>45687</v>
      </c>
      <c r="C186" s="251">
        <f t="shared" si="27"/>
        <v>1</v>
      </c>
      <c r="D186" s="242">
        <f t="shared" si="30"/>
        <v>253079</v>
      </c>
      <c r="E186" s="243">
        <v>12276</v>
      </c>
      <c r="F186" s="243">
        <v>10206</v>
      </c>
      <c r="G186" s="244">
        <f t="shared" si="28"/>
        <v>255149</v>
      </c>
      <c r="H186" s="245">
        <f t="shared" si="26"/>
        <v>2070</v>
      </c>
      <c r="I186" s="2">
        <f t="shared" si="29"/>
        <v>254114</v>
      </c>
    </row>
    <row r="187" spans="2:9" x14ac:dyDescent="0.3">
      <c r="B187" s="241">
        <v>45688</v>
      </c>
      <c r="C187" s="251">
        <f t="shared" si="27"/>
        <v>1</v>
      </c>
      <c r="D187" s="242">
        <f t="shared" si="30"/>
        <v>255149</v>
      </c>
      <c r="E187" s="243">
        <v>9796</v>
      </c>
      <c r="F187" s="243">
        <v>9018</v>
      </c>
      <c r="G187" s="244">
        <f t="shared" si="28"/>
        <v>255927</v>
      </c>
      <c r="H187" s="245">
        <f t="shared" si="26"/>
        <v>778</v>
      </c>
      <c r="I187" s="2">
        <f t="shared" si="29"/>
        <v>255538</v>
      </c>
    </row>
    <row r="188" spans="2:9" x14ac:dyDescent="0.3">
      <c r="B188" s="248">
        <v>45689</v>
      </c>
      <c r="C188" s="251">
        <f t="shared" si="27"/>
        <v>2</v>
      </c>
      <c r="D188" s="242">
        <f t="shared" si="30"/>
        <v>255927</v>
      </c>
      <c r="E188" s="244">
        <v>5704</v>
      </c>
      <c r="F188" s="244">
        <v>2908</v>
      </c>
      <c r="G188" s="244">
        <f t="shared" si="28"/>
        <v>258723</v>
      </c>
      <c r="H188" s="245">
        <f>G188-D188</f>
        <v>2796</v>
      </c>
      <c r="I188" s="2">
        <f t="shared" si="29"/>
        <v>257325</v>
      </c>
    </row>
    <row r="189" spans="2:9" x14ac:dyDescent="0.3">
      <c r="B189" s="248">
        <v>45690</v>
      </c>
      <c r="C189" s="251">
        <f t="shared" si="27"/>
        <v>2</v>
      </c>
      <c r="D189" s="242">
        <f t="shared" si="30"/>
        <v>258723</v>
      </c>
      <c r="E189" s="244">
        <v>7192</v>
      </c>
      <c r="F189" s="244">
        <v>1860</v>
      </c>
      <c r="G189" s="244">
        <f t="shared" si="28"/>
        <v>264055</v>
      </c>
      <c r="H189" s="245">
        <f t="shared" ref="H189:H215" si="31">G189-D189</f>
        <v>5332</v>
      </c>
      <c r="I189" s="2">
        <f t="shared" si="29"/>
        <v>261389</v>
      </c>
    </row>
    <row r="190" spans="2:9" x14ac:dyDescent="0.3">
      <c r="B190" s="248">
        <v>45691</v>
      </c>
      <c r="C190" s="251">
        <f t="shared" si="27"/>
        <v>2</v>
      </c>
      <c r="D190" s="242">
        <f t="shared" si="30"/>
        <v>264055</v>
      </c>
      <c r="E190" s="244">
        <v>8897</v>
      </c>
      <c r="F190" s="244">
        <v>10274</v>
      </c>
      <c r="G190" s="244">
        <f t="shared" si="28"/>
        <v>262678</v>
      </c>
      <c r="H190" s="245">
        <f t="shared" si="31"/>
        <v>-1377</v>
      </c>
      <c r="I190" s="2">
        <f t="shared" si="29"/>
        <v>263366.5</v>
      </c>
    </row>
    <row r="191" spans="2:9" x14ac:dyDescent="0.3">
      <c r="B191" s="248">
        <v>45692</v>
      </c>
      <c r="C191" s="251">
        <f t="shared" si="27"/>
        <v>2</v>
      </c>
      <c r="D191" s="242">
        <f t="shared" si="30"/>
        <v>262678</v>
      </c>
      <c r="E191" s="244">
        <v>15128</v>
      </c>
      <c r="F191" s="244">
        <v>19536</v>
      </c>
      <c r="G191" s="244">
        <f t="shared" si="28"/>
        <v>258270</v>
      </c>
      <c r="H191" s="245">
        <f t="shared" si="31"/>
        <v>-4408</v>
      </c>
      <c r="I191" s="2">
        <f t="shared" si="29"/>
        <v>260474</v>
      </c>
    </row>
    <row r="192" spans="2:9" x14ac:dyDescent="0.3">
      <c r="B192" s="248">
        <v>45693</v>
      </c>
      <c r="C192" s="251">
        <f t="shared" si="27"/>
        <v>2</v>
      </c>
      <c r="D192" s="242">
        <f t="shared" si="30"/>
        <v>258270</v>
      </c>
      <c r="E192" s="244">
        <v>10168</v>
      </c>
      <c r="F192" s="244">
        <v>11378</v>
      </c>
      <c r="G192" s="244">
        <f t="shared" si="28"/>
        <v>257060</v>
      </c>
      <c r="H192" s="245">
        <f t="shared" si="31"/>
        <v>-1210</v>
      </c>
      <c r="I192" s="2">
        <f t="shared" si="29"/>
        <v>257665</v>
      </c>
    </row>
    <row r="193" spans="2:9" x14ac:dyDescent="0.3">
      <c r="B193" s="248">
        <v>45694</v>
      </c>
      <c r="C193" s="251">
        <f t="shared" si="27"/>
        <v>2</v>
      </c>
      <c r="D193" s="242">
        <f t="shared" si="30"/>
        <v>257060</v>
      </c>
      <c r="E193" s="244">
        <v>11166</v>
      </c>
      <c r="F193" s="244">
        <v>11439</v>
      </c>
      <c r="G193" s="244">
        <f t="shared" si="28"/>
        <v>256787</v>
      </c>
      <c r="H193" s="245">
        <f t="shared" si="31"/>
        <v>-273</v>
      </c>
      <c r="I193" s="2">
        <f t="shared" si="29"/>
        <v>256923.5</v>
      </c>
    </row>
    <row r="194" spans="2:9" x14ac:dyDescent="0.3">
      <c r="B194" s="248">
        <v>45695</v>
      </c>
      <c r="C194" s="251">
        <f t="shared" ref="C194:C215" si="32">MONTH(B194)</f>
        <v>2</v>
      </c>
      <c r="D194" s="242">
        <f t="shared" si="30"/>
        <v>256787</v>
      </c>
      <c r="E194" s="244">
        <v>8866</v>
      </c>
      <c r="F194" s="244">
        <v>6337</v>
      </c>
      <c r="G194" s="244">
        <f t="shared" ref="G194:G215" si="33">D194+E194-F194</f>
        <v>259316</v>
      </c>
      <c r="H194" s="245">
        <f t="shared" si="31"/>
        <v>2529</v>
      </c>
      <c r="I194" s="2">
        <f t="shared" ref="I194:I215" si="34">(D194+G194)/2</f>
        <v>258051.5</v>
      </c>
    </row>
    <row r="195" spans="2:9" x14ac:dyDescent="0.3">
      <c r="B195" s="248">
        <v>45696</v>
      </c>
      <c r="C195" s="251">
        <f t="shared" si="32"/>
        <v>2</v>
      </c>
      <c r="D195" s="242">
        <f t="shared" ref="D195:D215" si="35">G194</f>
        <v>259316</v>
      </c>
      <c r="E195" s="244">
        <v>10396</v>
      </c>
      <c r="F195" s="244">
        <v>5742</v>
      </c>
      <c r="G195" s="244">
        <f t="shared" si="33"/>
        <v>263970</v>
      </c>
      <c r="H195" s="245">
        <f t="shared" si="31"/>
        <v>4654</v>
      </c>
      <c r="I195" s="2">
        <f t="shared" si="34"/>
        <v>261643</v>
      </c>
    </row>
    <row r="196" spans="2:9" x14ac:dyDescent="0.3">
      <c r="B196" s="248">
        <v>45697</v>
      </c>
      <c r="C196" s="251">
        <f t="shared" si="32"/>
        <v>2</v>
      </c>
      <c r="D196" s="242">
        <f t="shared" si="35"/>
        <v>263970</v>
      </c>
      <c r="E196" s="244">
        <v>3968</v>
      </c>
      <c r="F196" s="244">
        <v>2790</v>
      </c>
      <c r="G196" s="244">
        <f t="shared" si="33"/>
        <v>265148</v>
      </c>
      <c r="H196" s="245">
        <f t="shared" si="31"/>
        <v>1178</v>
      </c>
      <c r="I196" s="2">
        <f t="shared" si="34"/>
        <v>264559</v>
      </c>
    </row>
    <row r="197" spans="2:9" x14ac:dyDescent="0.3">
      <c r="B197" s="248">
        <v>45698</v>
      </c>
      <c r="C197" s="251">
        <f t="shared" si="32"/>
        <v>2</v>
      </c>
      <c r="D197" s="242">
        <f t="shared" si="35"/>
        <v>265148</v>
      </c>
      <c r="E197" s="244">
        <v>10416</v>
      </c>
      <c r="F197" s="244">
        <v>10075</v>
      </c>
      <c r="G197" s="244">
        <f t="shared" si="33"/>
        <v>265489</v>
      </c>
      <c r="H197" s="245">
        <f t="shared" si="31"/>
        <v>341</v>
      </c>
      <c r="I197" s="2">
        <f t="shared" si="34"/>
        <v>265318.5</v>
      </c>
    </row>
    <row r="198" spans="2:9" x14ac:dyDescent="0.3">
      <c r="B198" s="248">
        <v>45699</v>
      </c>
      <c r="C198" s="251">
        <f t="shared" si="32"/>
        <v>2</v>
      </c>
      <c r="D198" s="242">
        <f t="shared" si="35"/>
        <v>265489</v>
      </c>
      <c r="E198" s="244">
        <v>15455</v>
      </c>
      <c r="F198" s="244">
        <v>17785</v>
      </c>
      <c r="G198" s="244">
        <f t="shared" si="33"/>
        <v>263159</v>
      </c>
      <c r="H198" s="245">
        <f t="shared" si="31"/>
        <v>-2330</v>
      </c>
      <c r="I198" s="2">
        <f t="shared" si="34"/>
        <v>264324</v>
      </c>
    </row>
    <row r="199" spans="2:9" x14ac:dyDescent="0.3">
      <c r="B199" s="248">
        <v>45700</v>
      </c>
      <c r="C199" s="251">
        <f t="shared" si="32"/>
        <v>2</v>
      </c>
      <c r="D199" s="242">
        <f t="shared" si="35"/>
        <v>263159</v>
      </c>
      <c r="E199" s="244">
        <v>17701</v>
      </c>
      <c r="F199" s="244">
        <v>15469</v>
      </c>
      <c r="G199" s="244">
        <f t="shared" si="33"/>
        <v>265391</v>
      </c>
      <c r="H199" s="245">
        <f t="shared" si="31"/>
        <v>2232</v>
      </c>
      <c r="I199" s="2">
        <f t="shared" si="34"/>
        <v>264275</v>
      </c>
    </row>
    <row r="200" spans="2:9" x14ac:dyDescent="0.3">
      <c r="B200" s="248">
        <v>45701</v>
      </c>
      <c r="C200" s="251">
        <f t="shared" si="32"/>
        <v>2</v>
      </c>
      <c r="D200" s="242">
        <f t="shared" si="35"/>
        <v>265391</v>
      </c>
      <c r="E200" s="244">
        <v>8680</v>
      </c>
      <c r="F200" s="244">
        <v>7171</v>
      </c>
      <c r="G200" s="244">
        <f t="shared" si="33"/>
        <v>266900</v>
      </c>
      <c r="H200" s="245">
        <f t="shared" si="31"/>
        <v>1509</v>
      </c>
      <c r="I200" s="2">
        <f t="shared" si="34"/>
        <v>266145.5</v>
      </c>
    </row>
    <row r="201" spans="2:9" x14ac:dyDescent="0.3">
      <c r="B201" s="248">
        <v>45702</v>
      </c>
      <c r="C201" s="251">
        <f t="shared" si="32"/>
        <v>2</v>
      </c>
      <c r="D201" s="242">
        <f t="shared" si="35"/>
        <v>266900</v>
      </c>
      <c r="E201" s="244">
        <v>9788</v>
      </c>
      <c r="F201" s="244">
        <v>17701</v>
      </c>
      <c r="G201" s="244">
        <f t="shared" si="33"/>
        <v>258987</v>
      </c>
      <c r="H201" s="245">
        <f t="shared" si="31"/>
        <v>-7913</v>
      </c>
      <c r="I201" s="2">
        <f t="shared" si="34"/>
        <v>262943.5</v>
      </c>
    </row>
    <row r="202" spans="2:9" x14ac:dyDescent="0.3">
      <c r="B202" s="248">
        <v>45703</v>
      </c>
      <c r="C202" s="251">
        <f t="shared" si="32"/>
        <v>2</v>
      </c>
      <c r="D202" s="242">
        <f t="shared" si="35"/>
        <v>258987</v>
      </c>
      <c r="E202" s="244">
        <v>11160</v>
      </c>
      <c r="F202" s="244">
        <v>16712</v>
      </c>
      <c r="G202" s="244">
        <f t="shared" si="33"/>
        <v>253435</v>
      </c>
      <c r="H202" s="245">
        <f t="shared" si="31"/>
        <v>-5552</v>
      </c>
      <c r="I202" s="2">
        <f t="shared" si="34"/>
        <v>256211</v>
      </c>
    </row>
    <row r="203" spans="2:9" x14ac:dyDescent="0.3">
      <c r="B203" s="248">
        <v>45704</v>
      </c>
      <c r="C203" s="251">
        <f t="shared" si="32"/>
        <v>2</v>
      </c>
      <c r="D203" s="242">
        <f t="shared" si="35"/>
        <v>253435</v>
      </c>
      <c r="E203" s="244">
        <v>10788</v>
      </c>
      <c r="F203" s="244">
        <v>16760</v>
      </c>
      <c r="G203" s="244">
        <f t="shared" si="33"/>
        <v>247463</v>
      </c>
      <c r="H203" s="245">
        <f t="shared" si="31"/>
        <v>-5972</v>
      </c>
      <c r="I203" s="2">
        <f t="shared" si="34"/>
        <v>250449</v>
      </c>
    </row>
    <row r="204" spans="2:9" x14ac:dyDescent="0.3">
      <c r="B204" s="248">
        <v>45705</v>
      </c>
      <c r="C204" s="251">
        <f t="shared" si="32"/>
        <v>2</v>
      </c>
      <c r="D204" s="242">
        <f t="shared" si="35"/>
        <v>247463</v>
      </c>
      <c r="E204" s="244">
        <v>13039</v>
      </c>
      <c r="F204" s="244">
        <v>10683</v>
      </c>
      <c r="G204" s="244">
        <f t="shared" si="33"/>
        <v>249819</v>
      </c>
      <c r="H204" s="245">
        <f t="shared" si="31"/>
        <v>2356</v>
      </c>
      <c r="I204" s="2">
        <f t="shared" si="34"/>
        <v>248641</v>
      </c>
    </row>
    <row r="205" spans="2:9" x14ac:dyDescent="0.3">
      <c r="B205" s="248">
        <v>45706</v>
      </c>
      <c r="C205" s="251">
        <f t="shared" si="32"/>
        <v>2</v>
      </c>
      <c r="D205" s="242">
        <f t="shared" si="35"/>
        <v>249819</v>
      </c>
      <c r="E205" s="244">
        <v>11035</v>
      </c>
      <c r="F205" s="244">
        <v>18011</v>
      </c>
      <c r="G205" s="244">
        <f t="shared" si="33"/>
        <v>242843</v>
      </c>
      <c r="H205" s="245">
        <f t="shared" si="31"/>
        <v>-6976</v>
      </c>
      <c r="I205" s="2">
        <f t="shared" si="34"/>
        <v>246331</v>
      </c>
    </row>
    <row r="206" spans="2:9" x14ac:dyDescent="0.3">
      <c r="B206" s="248">
        <v>45707</v>
      </c>
      <c r="C206" s="251">
        <f t="shared" si="32"/>
        <v>2</v>
      </c>
      <c r="D206" s="242">
        <f t="shared" si="35"/>
        <v>242843</v>
      </c>
      <c r="E206" s="244">
        <v>18476</v>
      </c>
      <c r="F206" s="244">
        <v>13120</v>
      </c>
      <c r="G206" s="244">
        <f t="shared" si="33"/>
        <v>248199</v>
      </c>
      <c r="H206" s="245">
        <f t="shared" si="31"/>
        <v>5356</v>
      </c>
      <c r="I206" s="2">
        <f t="shared" si="34"/>
        <v>245521</v>
      </c>
    </row>
    <row r="207" spans="2:9" x14ac:dyDescent="0.3">
      <c r="B207" s="248">
        <v>45708</v>
      </c>
      <c r="C207" s="251">
        <f t="shared" si="32"/>
        <v>2</v>
      </c>
      <c r="D207" s="242">
        <f t="shared" si="35"/>
        <v>248199</v>
      </c>
      <c r="E207" s="244">
        <v>19096</v>
      </c>
      <c r="F207" s="244">
        <v>13051</v>
      </c>
      <c r="G207" s="244">
        <f t="shared" si="33"/>
        <v>254244</v>
      </c>
      <c r="H207" s="245">
        <f t="shared" si="31"/>
        <v>6045</v>
      </c>
      <c r="I207" s="2">
        <f t="shared" si="34"/>
        <v>251221.5</v>
      </c>
    </row>
    <row r="208" spans="2:9" x14ac:dyDescent="0.3">
      <c r="B208" s="248">
        <v>45709</v>
      </c>
      <c r="C208" s="251">
        <f t="shared" si="32"/>
        <v>2</v>
      </c>
      <c r="D208" s="242">
        <f t="shared" si="35"/>
        <v>254244</v>
      </c>
      <c r="E208" s="244">
        <v>9889</v>
      </c>
      <c r="F208" s="244">
        <v>28103</v>
      </c>
      <c r="G208" s="244">
        <f t="shared" si="33"/>
        <v>236030</v>
      </c>
      <c r="H208" s="245">
        <f t="shared" si="31"/>
        <v>-18214</v>
      </c>
      <c r="I208" s="2">
        <f t="shared" si="34"/>
        <v>245137</v>
      </c>
    </row>
    <row r="209" spans="2:9" x14ac:dyDescent="0.3">
      <c r="B209" s="248">
        <v>45710</v>
      </c>
      <c r="C209" s="251">
        <f t="shared" si="32"/>
        <v>2</v>
      </c>
      <c r="D209" s="242">
        <f t="shared" si="35"/>
        <v>236030</v>
      </c>
      <c r="E209" s="244">
        <v>14570</v>
      </c>
      <c r="F209" s="244">
        <v>22630</v>
      </c>
      <c r="G209" s="244">
        <f t="shared" si="33"/>
        <v>227970</v>
      </c>
      <c r="H209" s="245">
        <f t="shared" si="31"/>
        <v>-8060</v>
      </c>
      <c r="I209" s="2">
        <f t="shared" si="34"/>
        <v>232000</v>
      </c>
    </row>
    <row r="210" spans="2:9" x14ac:dyDescent="0.3">
      <c r="B210" s="248">
        <v>45711</v>
      </c>
      <c r="C210" s="251">
        <f t="shared" si="32"/>
        <v>2</v>
      </c>
      <c r="D210" s="242">
        <f t="shared" si="35"/>
        <v>227970</v>
      </c>
      <c r="E210" s="244">
        <v>4216</v>
      </c>
      <c r="F210" s="244">
        <v>9486</v>
      </c>
      <c r="G210" s="244">
        <f t="shared" si="33"/>
        <v>222700</v>
      </c>
      <c r="H210" s="245">
        <f t="shared" si="31"/>
        <v>-5270</v>
      </c>
      <c r="I210" s="2">
        <f t="shared" si="34"/>
        <v>225335</v>
      </c>
    </row>
    <row r="211" spans="2:9" x14ac:dyDescent="0.3">
      <c r="B211" s="248">
        <v>45712</v>
      </c>
      <c r="C211" s="251">
        <f t="shared" si="32"/>
        <v>2</v>
      </c>
      <c r="D211" s="242">
        <f t="shared" si="35"/>
        <v>222700</v>
      </c>
      <c r="E211" s="244">
        <v>2976</v>
      </c>
      <c r="F211" s="244">
        <v>9271</v>
      </c>
      <c r="G211" s="244">
        <f t="shared" si="33"/>
        <v>216405</v>
      </c>
      <c r="H211" s="245">
        <f t="shared" si="31"/>
        <v>-6295</v>
      </c>
      <c r="I211" s="2">
        <f t="shared" si="34"/>
        <v>219552.5</v>
      </c>
    </row>
    <row r="212" spans="2:9" x14ac:dyDescent="0.3">
      <c r="B212" s="248">
        <v>45713</v>
      </c>
      <c r="C212" s="251">
        <f t="shared" si="32"/>
        <v>2</v>
      </c>
      <c r="D212" s="242">
        <f t="shared" si="35"/>
        <v>216405</v>
      </c>
      <c r="E212" s="244">
        <v>4371</v>
      </c>
      <c r="F212" s="244">
        <v>6405</v>
      </c>
      <c r="G212" s="244">
        <f t="shared" si="33"/>
        <v>214371</v>
      </c>
      <c r="H212" s="245">
        <f t="shared" si="31"/>
        <v>-2034</v>
      </c>
      <c r="I212" s="2">
        <f t="shared" si="34"/>
        <v>215388</v>
      </c>
    </row>
    <row r="213" spans="2:9" x14ac:dyDescent="0.3">
      <c r="B213" s="248">
        <v>45714</v>
      </c>
      <c r="C213" s="251">
        <f t="shared" si="32"/>
        <v>2</v>
      </c>
      <c r="D213" s="242">
        <f t="shared" si="35"/>
        <v>214371</v>
      </c>
      <c r="E213" s="244">
        <v>10044</v>
      </c>
      <c r="F213" s="244">
        <v>2666</v>
      </c>
      <c r="G213" s="244">
        <f t="shared" si="33"/>
        <v>221749</v>
      </c>
      <c r="H213" s="245">
        <f t="shared" si="31"/>
        <v>7378</v>
      </c>
      <c r="I213" s="2">
        <f t="shared" si="34"/>
        <v>218060</v>
      </c>
    </row>
    <row r="214" spans="2:9" x14ac:dyDescent="0.3">
      <c r="B214" s="248">
        <v>45715</v>
      </c>
      <c r="C214" s="251">
        <f t="shared" si="32"/>
        <v>2</v>
      </c>
      <c r="D214" s="242">
        <f t="shared" si="35"/>
        <v>221749</v>
      </c>
      <c r="E214" s="244">
        <v>8432</v>
      </c>
      <c r="F214" s="244">
        <v>2637</v>
      </c>
      <c r="G214" s="244">
        <f t="shared" si="33"/>
        <v>227544</v>
      </c>
      <c r="H214" s="245">
        <f t="shared" si="31"/>
        <v>5795</v>
      </c>
      <c r="I214" s="2">
        <f t="shared" si="34"/>
        <v>224646.5</v>
      </c>
    </row>
    <row r="215" spans="2:9" x14ac:dyDescent="0.3">
      <c r="B215" s="248">
        <v>45716</v>
      </c>
      <c r="C215" s="251">
        <f t="shared" si="32"/>
        <v>2</v>
      </c>
      <c r="D215" s="242">
        <f t="shared" si="35"/>
        <v>227544</v>
      </c>
      <c r="E215" s="244"/>
      <c r="F215" s="244"/>
      <c r="G215" s="244">
        <f t="shared" si="33"/>
        <v>227544</v>
      </c>
      <c r="H215" s="245">
        <f t="shared" si="31"/>
        <v>0</v>
      </c>
      <c r="I215" s="2">
        <f t="shared" si="34"/>
        <v>227544</v>
      </c>
    </row>
  </sheetData>
  <mergeCells count="1">
    <mergeCell ref="B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5472-716E-4F7D-BAC7-B59073349A1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486C-3CCF-4D19-8CE7-92B22286F72B}">
  <sheetPr>
    <tabColor rgb="FFFFFF00"/>
  </sheetPr>
  <dimension ref="B1:W154"/>
  <sheetViews>
    <sheetView workbookViewId="0">
      <selection activeCell="O16" sqref="O16"/>
    </sheetView>
  </sheetViews>
  <sheetFormatPr defaultRowHeight="14.4" x14ac:dyDescent="0.3"/>
  <cols>
    <col min="2" max="2" width="11.44140625" bestFit="1" customWidth="1"/>
    <col min="3" max="3" width="11.44140625" customWidth="1"/>
    <col min="4" max="4" width="10.33203125" customWidth="1"/>
    <col min="7" max="7" width="11.33203125" bestFit="1" customWidth="1"/>
    <col min="9" max="9" width="11.33203125" bestFit="1" customWidth="1"/>
    <col min="10" max="11" width="10.33203125" bestFit="1" customWidth="1"/>
    <col min="12" max="12" width="10.33203125" customWidth="1"/>
    <col min="13" max="13" width="11.33203125" bestFit="1" customWidth="1"/>
    <col min="14" max="14" width="10.33203125" bestFit="1" customWidth="1"/>
    <col min="15" max="15" width="11.33203125" bestFit="1" customWidth="1"/>
    <col min="17" max="18" width="13.88671875" bestFit="1" customWidth="1"/>
    <col min="21" max="21" width="12.33203125" bestFit="1" customWidth="1"/>
    <col min="22" max="22" width="13.88671875" bestFit="1" customWidth="1"/>
  </cols>
  <sheetData>
    <row r="1" spans="2:23" x14ac:dyDescent="0.3">
      <c r="B1" t="s">
        <v>437</v>
      </c>
    </row>
    <row r="2" spans="2:23" x14ac:dyDescent="0.3">
      <c r="G2">
        <f>MAX(G4:G154)</f>
        <v>286681</v>
      </c>
      <c r="R2" s="37">
        <f>SUM(R4:R8)</f>
        <v>1245453.5245007679</v>
      </c>
      <c r="V2" s="37">
        <f>SUM(V4:V8)</f>
        <v>69319991.492666662</v>
      </c>
      <c r="W2" s="3">
        <f>AVERAGE(W4:W8)</f>
        <v>57.250118379717591</v>
      </c>
    </row>
    <row r="3" spans="2:23" ht="43.2" x14ac:dyDescent="0.3">
      <c r="B3" s="249" t="s">
        <v>471</v>
      </c>
      <c r="C3" s="249" t="s">
        <v>5</v>
      </c>
      <c r="D3" s="249" t="s">
        <v>435</v>
      </c>
      <c r="E3" s="249" t="s">
        <v>472</v>
      </c>
      <c r="F3" s="249" t="s">
        <v>473</v>
      </c>
      <c r="G3" s="249" t="s">
        <v>436</v>
      </c>
      <c r="H3" s="249" t="s">
        <v>474</v>
      </c>
      <c r="I3" s="272" t="s">
        <v>492</v>
      </c>
      <c r="M3" s="250" t="s">
        <v>475</v>
      </c>
      <c r="N3" s="250" t="s">
        <v>476</v>
      </c>
      <c r="O3" s="250" t="s">
        <v>15</v>
      </c>
      <c r="P3" s="250" t="s">
        <v>435</v>
      </c>
      <c r="Q3" s="250" t="s">
        <v>477</v>
      </c>
      <c r="R3" s="250" t="s">
        <v>436</v>
      </c>
      <c r="S3" s="250" t="s">
        <v>493</v>
      </c>
      <c r="T3" s="250" t="s">
        <v>478</v>
      </c>
      <c r="U3" s="250" t="s">
        <v>479</v>
      </c>
      <c r="V3" s="250" t="s">
        <v>2</v>
      </c>
      <c r="W3" s="250" t="s">
        <v>267</v>
      </c>
    </row>
    <row r="4" spans="2:23" x14ac:dyDescent="0.3">
      <c r="B4" s="241">
        <v>45566</v>
      </c>
      <c r="C4" s="251">
        <f>MONTH(B4)</f>
        <v>10</v>
      </c>
      <c r="D4" s="242">
        <v>252271</v>
      </c>
      <c r="E4" s="243">
        <v>3224</v>
      </c>
      <c r="F4" s="243">
        <v>5859</v>
      </c>
      <c r="G4" s="244">
        <f>D4+E4-F4</f>
        <v>249636</v>
      </c>
      <c r="H4" s="245">
        <f t="shared" ref="H4:H67" si="0">G4-D4</f>
        <v>-2635</v>
      </c>
      <c r="I4" s="2">
        <f>(D4+G4)/2</f>
        <v>250953.5</v>
      </c>
      <c r="L4">
        <f>MONTH(M4)</f>
        <v>10</v>
      </c>
      <c r="M4" s="240">
        <v>45566</v>
      </c>
      <c r="N4" s="240">
        <v>45596</v>
      </c>
      <c r="O4" s="1">
        <f>_xlfn.DAYS(N4,M4)+1</f>
        <v>31</v>
      </c>
      <c r="P4" s="2">
        <f>AVERAGEIF($C$4:$C$154,L4,$D$4:$D$154)</f>
        <v>244840.5806451613</v>
      </c>
      <c r="Q4" s="2">
        <f t="shared" ref="Q4:Q9" si="1">AVERAGEIF($C$4:$C$154,L4,$H$4:$H$154)</f>
        <v>764.70967741935488</v>
      </c>
      <c r="R4" s="2">
        <f>AVERAGEIF($C$4:$C$154,L4,$G$4:$G$154)</f>
        <v>245605.29032258064</v>
      </c>
      <c r="S4" s="2">
        <f>AVERAGEIF($C$4:$C$154,L4,$I$4:$I$154)</f>
        <v>245222.93548387097</v>
      </c>
      <c r="T4">
        <f>Inputs!F26</f>
        <v>7099747.4651999995</v>
      </c>
      <c r="U4" s="3">
        <f>('Kothur Reference'!E19+'Kothur Reference'!E26+'Kothur Reference'!E32+'Kothur Reference'!C42)/12</f>
        <v>6764250.833333333</v>
      </c>
      <c r="V4" s="3">
        <f>T4+U4</f>
        <v>13863998.298533332</v>
      </c>
      <c r="W4" s="3">
        <f>V4/(S4/31)/O4</f>
        <v>56.536303470868482</v>
      </c>
    </row>
    <row r="5" spans="2:23" x14ac:dyDescent="0.3">
      <c r="B5" s="241">
        <v>45567</v>
      </c>
      <c r="C5" s="251">
        <f t="shared" ref="C5:C68" si="2">MONTH(B5)</f>
        <v>10</v>
      </c>
      <c r="D5" s="242">
        <f>G4</f>
        <v>249636</v>
      </c>
      <c r="E5" s="243">
        <v>11284</v>
      </c>
      <c r="F5" s="243">
        <v>9083</v>
      </c>
      <c r="G5" s="244">
        <f t="shared" ref="G5:G67" si="3">D5+E5-F5</f>
        <v>251837</v>
      </c>
      <c r="H5" s="245">
        <f t="shared" si="0"/>
        <v>2201</v>
      </c>
      <c r="I5" s="2">
        <f t="shared" ref="I5:I68" si="4">(D5+G5)/2</f>
        <v>250736.5</v>
      </c>
      <c r="L5">
        <f t="shared" ref="L5:L9" si="5">MONTH(M5)</f>
        <v>11</v>
      </c>
      <c r="M5" s="240">
        <f>N4+1</f>
        <v>45597</v>
      </c>
      <c r="N5" s="240">
        <f>EOMONTH(M5,0.5)</f>
        <v>45626</v>
      </c>
      <c r="O5" s="1">
        <f t="shared" ref="O5:O9" si="6">_xlfn.DAYS(N5,M5)+1</f>
        <v>30</v>
      </c>
      <c r="P5" s="2">
        <f t="shared" ref="P5:P9" si="7">AVERAGEIF($C$4:$C$154,L5,$D$4:$D$154)</f>
        <v>265209.53333333333</v>
      </c>
      <c r="Q5" s="2">
        <f t="shared" si="1"/>
        <v>-2426.6666666666665</v>
      </c>
      <c r="R5" s="2">
        <f t="shared" ref="R5:R9" si="8">AVERAGEIF($C$4:$C$154,L5,$G$4:$G$154)</f>
        <v>262782.86666666664</v>
      </c>
      <c r="S5" s="2">
        <f t="shared" ref="S5:S8" si="9">AVERAGEIF($C$4:$C$154,L5,$I$4:$I$154)</f>
        <v>263996.2</v>
      </c>
      <c r="T5">
        <f>T4</f>
        <v>7099747.4651999995</v>
      </c>
      <c r="U5" s="3">
        <f>U4</f>
        <v>6764250.833333333</v>
      </c>
      <c r="V5" s="3">
        <f>T5+U5</f>
        <v>13863998.298533332</v>
      </c>
      <c r="W5" s="3">
        <f t="shared" ref="W5:W8" si="10">V5/(S5/31)/O5</f>
        <v>54.266431013594548</v>
      </c>
    </row>
    <row r="6" spans="2:23" x14ac:dyDescent="0.3">
      <c r="B6" s="241">
        <v>45568</v>
      </c>
      <c r="C6" s="251">
        <f t="shared" si="2"/>
        <v>10</v>
      </c>
      <c r="D6" s="242">
        <f t="shared" ref="D6:D68" si="11">G5</f>
        <v>251837</v>
      </c>
      <c r="E6" s="243">
        <v>13454</v>
      </c>
      <c r="F6" s="243">
        <v>7223</v>
      </c>
      <c r="G6" s="244">
        <f t="shared" si="3"/>
        <v>258068</v>
      </c>
      <c r="H6" s="245">
        <f t="shared" si="0"/>
        <v>6231</v>
      </c>
      <c r="I6" s="2">
        <f t="shared" si="4"/>
        <v>254952.5</v>
      </c>
      <c r="L6">
        <f t="shared" si="5"/>
        <v>12</v>
      </c>
      <c r="M6" s="240">
        <f t="shared" ref="M6:M9" si="12">N5+1</f>
        <v>45627</v>
      </c>
      <c r="N6" s="240">
        <f t="shared" ref="N6:N9" si="13">EOMONTH(M6,0.5)</f>
        <v>45657</v>
      </c>
      <c r="O6" s="1">
        <f t="shared" si="6"/>
        <v>31</v>
      </c>
      <c r="P6" s="2">
        <f t="shared" si="7"/>
        <v>236016.74193548388</v>
      </c>
      <c r="Q6" s="2">
        <f t="shared" si="1"/>
        <v>1390.9032258064517</v>
      </c>
      <c r="R6" s="2">
        <f t="shared" si="8"/>
        <v>237407.64516129033</v>
      </c>
      <c r="S6" s="2">
        <f t="shared" si="9"/>
        <v>236712.19354838709</v>
      </c>
      <c r="T6">
        <f t="shared" ref="T6:T8" si="14">T5</f>
        <v>7099747.4651999995</v>
      </c>
      <c r="U6" s="3">
        <f t="shared" ref="U6:U8" si="15">U5</f>
        <v>6764250.833333333</v>
      </c>
      <c r="V6" s="3">
        <f>T6+U6</f>
        <v>13863998.298533332</v>
      </c>
      <c r="W6" s="3">
        <f t="shared" si="10"/>
        <v>58.569007750330982</v>
      </c>
    </row>
    <row r="7" spans="2:23" x14ac:dyDescent="0.3">
      <c r="B7" s="241">
        <v>45569</v>
      </c>
      <c r="C7" s="251">
        <f t="shared" si="2"/>
        <v>10</v>
      </c>
      <c r="D7" s="242">
        <f t="shared" si="11"/>
        <v>258068</v>
      </c>
      <c r="E7" s="243">
        <v>13609</v>
      </c>
      <c r="F7" s="243">
        <v>4464</v>
      </c>
      <c r="G7" s="244">
        <f t="shared" si="3"/>
        <v>267213</v>
      </c>
      <c r="H7" s="245">
        <f t="shared" si="0"/>
        <v>9145</v>
      </c>
      <c r="I7" s="2">
        <f t="shared" si="4"/>
        <v>262640.5</v>
      </c>
      <c r="L7">
        <f t="shared" si="5"/>
        <v>1</v>
      </c>
      <c r="M7" s="240">
        <f t="shared" si="12"/>
        <v>45658</v>
      </c>
      <c r="N7" s="240">
        <f t="shared" si="13"/>
        <v>45688</v>
      </c>
      <c r="O7" s="1">
        <f t="shared" si="6"/>
        <v>31</v>
      </c>
      <c r="P7" s="2">
        <f t="shared" si="7"/>
        <v>250909.54838709679</v>
      </c>
      <c r="Q7" s="2">
        <f t="shared" si="1"/>
        <v>310.70967741935482</v>
      </c>
      <c r="R7" s="2">
        <f t="shared" si="8"/>
        <v>251220.25806451612</v>
      </c>
      <c r="S7" s="2">
        <f t="shared" si="9"/>
        <v>251064.90322580645</v>
      </c>
      <c r="T7">
        <f t="shared" si="14"/>
        <v>7099747.4651999995</v>
      </c>
      <c r="U7" s="3">
        <f t="shared" si="15"/>
        <v>6764250.833333333</v>
      </c>
      <c r="V7" s="3">
        <f>T7+U7</f>
        <v>13863998.298533332</v>
      </c>
      <c r="W7" s="3">
        <f t="shared" si="10"/>
        <v>55.220774072368549</v>
      </c>
    </row>
    <row r="8" spans="2:23" x14ac:dyDescent="0.3">
      <c r="B8" s="241">
        <v>45570</v>
      </c>
      <c r="C8" s="251">
        <f t="shared" si="2"/>
        <v>10</v>
      </c>
      <c r="D8" s="242">
        <f t="shared" si="11"/>
        <v>267213</v>
      </c>
      <c r="E8" s="243">
        <v>8804</v>
      </c>
      <c r="F8" s="243">
        <v>8463</v>
      </c>
      <c r="G8" s="244">
        <f t="shared" si="3"/>
        <v>267554</v>
      </c>
      <c r="H8" s="245">
        <f t="shared" si="0"/>
        <v>341</v>
      </c>
      <c r="I8" s="2">
        <f t="shared" si="4"/>
        <v>267383.5</v>
      </c>
      <c r="L8">
        <f t="shared" si="5"/>
        <v>2</v>
      </c>
      <c r="M8" s="240">
        <f t="shared" si="12"/>
        <v>45689</v>
      </c>
      <c r="N8" s="240">
        <f t="shared" si="13"/>
        <v>45716</v>
      </c>
      <c r="O8" s="1">
        <f t="shared" si="6"/>
        <v>28</v>
      </c>
      <c r="P8" s="2">
        <f t="shared" si="7"/>
        <v>249451.14285714287</v>
      </c>
      <c r="Q8" s="2">
        <f t="shared" si="1"/>
        <v>-1013.6785714285714</v>
      </c>
      <c r="R8" s="2">
        <f t="shared" si="8"/>
        <v>248437.46428571429</v>
      </c>
      <c r="S8" s="2">
        <f t="shared" si="9"/>
        <v>248944.30357142858</v>
      </c>
      <c r="T8">
        <f t="shared" si="14"/>
        <v>7099747.4651999995</v>
      </c>
      <c r="U8" s="3">
        <f t="shared" si="15"/>
        <v>6764250.833333333</v>
      </c>
      <c r="V8" s="3">
        <f>T8+U8</f>
        <v>13863998.298533332</v>
      </c>
      <c r="W8" s="3">
        <f t="shared" si="10"/>
        <v>61.65807559142543</v>
      </c>
    </row>
    <row r="9" spans="2:23" x14ac:dyDescent="0.3">
      <c r="B9" s="241">
        <v>45571</v>
      </c>
      <c r="C9" s="251">
        <f t="shared" si="2"/>
        <v>10</v>
      </c>
      <c r="D9" s="242">
        <f t="shared" si="11"/>
        <v>267554</v>
      </c>
      <c r="E9" s="243">
        <v>961</v>
      </c>
      <c r="F9" s="243">
        <v>7440</v>
      </c>
      <c r="G9" s="244">
        <f t="shared" si="3"/>
        <v>261075</v>
      </c>
      <c r="H9" s="245">
        <f t="shared" si="0"/>
        <v>-6479</v>
      </c>
      <c r="I9" s="2">
        <f t="shared" si="4"/>
        <v>264314.5</v>
      </c>
      <c r="L9">
        <f t="shared" si="5"/>
        <v>3</v>
      </c>
      <c r="M9" s="240">
        <f t="shared" si="12"/>
        <v>45717</v>
      </c>
      <c r="N9" s="240">
        <f t="shared" si="13"/>
        <v>45747</v>
      </c>
      <c r="O9" s="1">
        <f t="shared" si="6"/>
        <v>31</v>
      </c>
      <c r="P9" s="2" t="e">
        <f t="shared" si="7"/>
        <v>#DIV/0!</v>
      </c>
      <c r="Q9" s="2" t="e">
        <f t="shared" si="1"/>
        <v>#DIV/0!</v>
      </c>
      <c r="R9" s="2" t="e">
        <f t="shared" si="8"/>
        <v>#DIV/0!</v>
      </c>
      <c r="W9" s="3"/>
    </row>
    <row r="10" spans="2:23" x14ac:dyDescent="0.3">
      <c r="B10" s="241">
        <v>45572</v>
      </c>
      <c r="C10" s="251">
        <f t="shared" si="2"/>
        <v>10</v>
      </c>
      <c r="D10" s="242">
        <f t="shared" si="11"/>
        <v>261075</v>
      </c>
      <c r="E10" s="243">
        <v>3596</v>
      </c>
      <c r="F10" s="243">
        <v>9672</v>
      </c>
      <c r="G10" s="244">
        <f t="shared" si="3"/>
        <v>254999</v>
      </c>
      <c r="H10" s="245">
        <f t="shared" si="0"/>
        <v>-6076</v>
      </c>
      <c r="I10" s="2">
        <f t="shared" si="4"/>
        <v>258037</v>
      </c>
    </row>
    <row r="11" spans="2:23" x14ac:dyDescent="0.3">
      <c r="B11" s="241">
        <v>45573</v>
      </c>
      <c r="C11" s="251">
        <f t="shared" si="2"/>
        <v>10</v>
      </c>
      <c r="D11" s="242">
        <f t="shared" si="11"/>
        <v>254999</v>
      </c>
      <c r="E11" s="243">
        <v>5627</v>
      </c>
      <c r="F11" s="243">
        <v>10540</v>
      </c>
      <c r="G11" s="244">
        <f t="shared" si="3"/>
        <v>250086</v>
      </c>
      <c r="H11" s="245">
        <f t="shared" si="0"/>
        <v>-4913</v>
      </c>
      <c r="I11" s="2">
        <f t="shared" si="4"/>
        <v>252542.5</v>
      </c>
    </row>
    <row r="12" spans="2:23" x14ac:dyDescent="0.3">
      <c r="B12" s="241">
        <v>45574</v>
      </c>
      <c r="C12" s="251">
        <f t="shared" si="2"/>
        <v>10</v>
      </c>
      <c r="D12" s="242">
        <f t="shared" si="11"/>
        <v>250086</v>
      </c>
      <c r="E12" s="243">
        <v>10258</v>
      </c>
      <c r="F12" s="243">
        <v>15020</v>
      </c>
      <c r="G12" s="244">
        <f t="shared" si="3"/>
        <v>245324</v>
      </c>
      <c r="H12" s="245">
        <f t="shared" si="0"/>
        <v>-4762</v>
      </c>
      <c r="I12" s="2">
        <f t="shared" si="4"/>
        <v>247705</v>
      </c>
    </row>
    <row r="13" spans="2:23" x14ac:dyDescent="0.3">
      <c r="B13" s="241">
        <v>45575</v>
      </c>
      <c r="C13" s="251">
        <f t="shared" si="2"/>
        <v>10</v>
      </c>
      <c r="D13" s="242">
        <f t="shared" si="11"/>
        <v>245324</v>
      </c>
      <c r="E13" s="243">
        <v>8804</v>
      </c>
      <c r="F13" s="243">
        <v>10168</v>
      </c>
      <c r="G13" s="244">
        <f t="shared" si="3"/>
        <v>243960</v>
      </c>
      <c r="H13" s="245">
        <f t="shared" si="0"/>
        <v>-1364</v>
      </c>
      <c r="I13" s="2">
        <f t="shared" si="4"/>
        <v>244642</v>
      </c>
    </row>
    <row r="14" spans="2:23" x14ac:dyDescent="0.3">
      <c r="B14" s="241">
        <v>45576</v>
      </c>
      <c r="C14" s="251">
        <f t="shared" si="2"/>
        <v>10</v>
      </c>
      <c r="D14" s="242">
        <f t="shared" si="11"/>
        <v>243960</v>
      </c>
      <c r="E14" s="243">
        <v>4309</v>
      </c>
      <c r="F14" s="243">
        <v>8060</v>
      </c>
      <c r="G14" s="244">
        <f t="shared" si="3"/>
        <v>240209</v>
      </c>
      <c r="H14" s="245">
        <f t="shared" si="0"/>
        <v>-3751</v>
      </c>
      <c r="I14" s="2">
        <f t="shared" si="4"/>
        <v>242084.5</v>
      </c>
    </row>
    <row r="15" spans="2:23" x14ac:dyDescent="0.3">
      <c r="B15" s="241">
        <v>45577</v>
      </c>
      <c r="C15" s="251">
        <f t="shared" si="2"/>
        <v>10</v>
      </c>
      <c r="D15" s="242">
        <f t="shared" si="11"/>
        <v>240209</v>
      </c>
      <c r="E15" s="243">
        <v>2604</v>
      </c>
      <c r="F15" s="243">
        <v>13361</v>
      </c>
      <c r="G15" s="244">
        <f t="shared" si="3"/>
        <v>229452</v>
      </c>
      <c r="H15" s="245">
        <f t="shared" si="0"/>
        <v>-10757</v>
      </c>
      <c r="I15" s="2">
        <f t="shared" si="4"/>
        <v>234830.5</v>
      </c>
    </row>
    <row r="16" spans="2:23" x14ac:dyDescent="0.3">
      <c r="B16" s="241">
        <v>45578</v>
      </c>
      <c r="C16" s="251">
        <f t="shared" si="2"/>
        <v>10</v>
      </c>
      <c r="D16" s="242">
        <f t="shared" si="11"/>
        <v>229452</v>
      </c>
      <c r="E16" s="243">
        <v>6386</v>
      </c>
      <c r="F16" s="243">
        <v>10385</v>
      </c>
      <c r="G16" s="244">
        <f t="shared" si="3"/>
        <v>225453</v>
      </c>
      <c r="H16" s="245">
        <f t="shared" si="0"/>
        <v>-3999</v>
      </c>
      <c r="I16" s="2">
        <f t="shared" si="4"/>
        <v>227452.5</v>
      </c>
    </row>
    <row r="17" spans="2:9" x14ac:dyDescent="0.3">
      <c r="B17" s="241">
        <v>45579</v>
      </c>
      <c r="C17" s="251">
        <f t="shared" si="2"/>
        <v>10</v>
      </c>
      <c r="D17" s="242">
        <f t="shared" si="11"/>
        <v>225453</v>
      </c>
      <c r="E17" s="243">
        <v>5053</v>
      </c>
      <c r="F17" s="243">
        <v>12462</v>
      </c>
      <c r="G17" s="244">
        <f t="shared" si="3"/>
        <v>218044</v>
      </c>
      <c r="H17" s="245">
        <f t="shared" si="0"/>
        <v>-7409</v>
      </c>
      <c r="I17" s="2">
        <f t="shared" si="4"/>
        <v>221748.5</v>
      </c>
    </row>
    <row r="18" spans="2:9" x14ac:dyDescent="0.3">
      <c r="B18" s="241">
        <v>45580</v>
      </c>
      <c r="C18" s="251">
        <f t="shared" si="2"/>
        <v>10</v>
      </c>
      <c r="D18" s="242">
        <f t="shared" si="11"/>
        <v>218044</v>
      </c>
      <c r="E18" s="243">
        <v>4092</v>
      </c>
      <c r="F18" s="243">
        <v>11346</v>
      </c>
      <c r="G18" s="244">
        <f t="shared" si="3"/>
        <v>210790</v>
      </c>
      <c r="H18" s="245">
        <f t="shared" si="0"/>
        <v>-7254</v>
      </c>
      <c r="I18" s="2">
        <f t="shared" si="4"/>
        <v>214417</v>
      </c>
    </row>
    <row r="19" spans="2:9" x14ac:dyDescent="0.3">
      <c r="B19" s="241">
        <v>45581</v>
      </c>
      <c r="C19" s="251">
        <f t="shared" si="2"/>
        <v>10</v>
      </c>
      <c r="D19" s="242">
        <f t="shared" si="11"/>
        <v>210790</v>
      </c>
      <c r="E19" s="243">
        <v>16113</v>
      </c>
      <c r="F19" s="243">
        <v>7626</v>
      </c>
      <c r="G19" s="244">
        <f t="shared" si="3"/>
        <v>219277</v>
      </c>
      <c r="H19" s="245">
        <f t="shared" si="0"/>
        <v>8487</v>
      </c>
      <c r="I19" s="2">
        <f t="shared" si="4"/>
        <v>215033.5</v>
      </c>
    </row>
    <row r="20" spans="2:9" x14ac:dyDescent="0.3">
      <c r="B20" s="241">
        <v>45582</v>
      </c>
      <c r="C20" s="251">
        <f t="shared" si="2"/>
        <v>10</v>
      </c>
      <c r="D20" s="242">
        <f t="shared" si="11"/>
        <v>219277</v>
      </c>
      <c r="E20" s="243">
        <v>12245</v>
      </c>
      <c r="F20" s="243">
        <v>10974</v>
      </c>
      <c r="G20" s="244">
        <f t="shared" si="3"/>
        <v>220548</v>
      </c>
      <c r="H20" s="245">
        <f t="shared" si="0"/>
        <v>1271</v>
      </c>
      <c r="I20" s="2">
        <f t="shared" si="4"/>
        <v>219912.5</v>
      </c>
    </row>
    <row r="21" spans="2:9" x14ac:dyDescent="0.3">
      <c r="B21" s="246">
        <v>45583</v>
      </c>
      <c r="C21" s="251">
        <f t="shared" si="2"/>
        <v>10</v>
      </c>
      <c r="D21" s="242">
        <f t="shared" si="11"/>
        <v>220548</v>
      </c>
      <c r="E21" s="247">
        <v>14446</v>
      </c>
      <c r="F21" s="247">
        <v>11966</v>
      </c>
      <c r="G21" s="244">
        <f t="shared" si="3"/>
        <v>223028</v>
      </c>
      <c r="H21" s="245">
        <f t="shared" si="0"/>
        <v>2480</v>
      </c>
      <c r="I21" s="2">
        <f t="shared" si="4"/>
        <v>221788</v>
      </c>
    </row>
    <row r="22" spans="2:9" x14ac:dyDescent="0.3">
      <c r="B22" s="241">
        <v>45584</v>
      </c>
      <c r="C22" s="251">
        <f t="shared" si="2"/>
        <v>10</v>
      </c>
      <c r="D22" s="242">
        <f t="shared" si="11"/>
        <v>223028</v>
      </c>
      <c r="E22" s="243">
        <v>12769</v>
      </c>
      <c r="F22" s="243">
        <v>9337</v>
      </c>
      <c r="G22" s="244">
        <f t="shared" si="3"/>
        <v>226460</v>
      </c>
      <c r="H22" s="245">
        <f t="shared" si="0"/>
        <v>3432</v>
      </c>
      <c r="I22" s="2">
        <f t="shared" si="4"/>
        <v>224744</v>
      </c>
    </row>
    <row r="23" spans="2:9" x14ac:dyDescent="0.3">
      <c r="B23" s="241">
        <v>45585</v>
      </c>
      <c r="C23" s="251">
        <f t="shared" si="2"/>
        <v>10</v>
      </c>
      <c r="D23" s="242">
        <f t="shared" si="11"/>
        <v>226460</v>
      </c>
      <c r="E23" s="243">
        <v>9548</v>
      </c>
      <c r="F23" s="243">
        <v>5394</v>
      </c>
      <c r="G23" s="244">
        <f t="shared" si="3"/>
        <v>230614</v>
      </c>
      <c r="H23" s="245">
        <f t="shared" si="0"/>
        <v>4154</v>
      </c>
      <c r="I23" s="2">
        <f t="shared" si="4"/>
        <v>228537</v>
      </c>
    </row>
    <row r="24" spans="2:9" x14ac:dyDescent="0.3">
      <c r="B24" s="241">
        <v>45586</v>
      </c>
      <c r="C24" s="251">
        <f t="shared" si="2"/>
        <v>10</v>
      </c>
      <c r="D24" s="242">
        <f t="shared" si="11"/>
        <v>230614</v>
      </c>
      <c r="E24" s="243">
        <v>11129</v>
      </c>
      <c r="F24" s="243">
        <v>10788</v>
      </c>
      <c r="G24" s="244">
        <f t="shared" si="3"/>
        <v>230955</v>
      </c>
      <c r="H24" s="245">
        <f t="shared" si="0"/>
        <v>341</v>
      </c>
      <c r="I24" s="2">
        <f t="shared" si="4"/>
        <v>230784.5</v>
      </c>
    </row>
    <row r="25" spans="2:9" x14ac:dyDescent="0.3">
      <c r="B25" s="241">
        <v>45587</v>
      </c>
      <c r="C25" s="251">
        <f t="shared" si="2"/>
        <v>10</v>
      </c>
      <c r="D25" s="242">
        <f t="shared" si="11"/>
        <v>230955</v>
      </c>
      <c r="E25" s="243">
        <v>9393</v>
      </c>
      <c r="F25" s="243">
        <v>7502</v>
      </c>
      <c r="G25" s="244">
        <f t="shared" si="3"/>
        <v>232846</v>
      </c>
      <c r="H25" s="245">
        <f t="shared" si="0"/>
        <v>1891</v>
      </c>
      <c r="I25" s="2">
        <f t="shared" si="4"/>
        <v>231900.5</v>
      </c>
    </row>
    <row r="26" spans="2:9" x14ac:dyDescent="0.3">
      <c r="B26" s="241">
        <v>45588</v>
      </c>
      <c r="C26" s="251">
        <f t="shared" si="2"/>
        <v>10</v>
      </c>
      <c r="D26" s="242">
        <f t="shared" si="11"/>
        <v>232846</v>
      </c>
      <c r="E26" s="243">
        <v>11811</v>
      </c>
      <c r="F26" s="243">
        <v>4774</v>
      </c>
      <c r="G26" s="244">
        <f t="shared" si="3"/>
        <v>239883</v>
      </c>
      <c r="H26" s="245">
        <f t="shared" si="0"/>
        <v>7037</v>
      </c>
      <c r="I26" s="2">
        <f t="shared" si="4"/>
        <v>236364.5</v>
      </c>
    </row>
    <row r="27" spans="2:9" x14ac:dyDescent="0.3">
      <c r="B27" s="241">
        <v>45589</v>
      </c>
      <c r="C27" s="251">
        <f t="shared" si="2"/>
        <v>10</v>
      </c>
      <c r="D27" s="242">
        <f t="shared" si="11"/>
        <v>239883</v>
      </c>
      <c r="E27" s="243">
        <v>14880</v>
      </c>
      <c r="F27" s="243">
        <v>8287</v>
      </c>
      <c r="G27" s="244">
        <f t="shared" si="3"/>
        <v>246476</v>
      </c>
      <c r="H27" s="245">
        <f t="shared" si="0"/>
        <v>6593</v>
      </c>
      <c r="I27" s="2">
        <f t="shared" si="4"/>
        <v>243179.5</v>
      </c>
    </row>
    <row r="28" spans="2:9" x14ac:dyDescent="0.3">
      <c r="B28" s="241">
        <v>45590</v>
      </c>
      <c r="C28" s="251">
        <f t="shared" si="2"/>
        <v>10</v>
      </c>
      <c r="D28" s="242">
        <f t="shared" si="11"/>
        <v>246476</v>
      </c>
      <c r="E28" s="243">
        <v>14601</v>
      </c>
      <c r="F28" s="243">
        <v>10602</v>
      </c>
      <c r="G28" s="244">
        <f t="shared" si="3"/>
        <v>250475</v>
      </c>
      <c r="H28" s="245">
        <f t="shared" si="0"/>
        <v>3999</v>
      </c>
      <c r="I28" s="2">
        <f t="shared" si="4"/>
        <v>248475.5</v>
      </c>
    </row>
    <row r="29" spans="2:9" x14ac:dyDescent="0.3">
      <c r="B29" s="241">
        <v>45591</v>
      </c>
      <c r="C29" s="251">
        <f t="shared" si="2"/>
        <v>10</v>
      </c>
      <c r="D29" s="242">
        <f t="shared" si="11"/>
        <v>250475</v>
      </c>
      <c r="E29" s="243">
        <v>14725</v>
      </c>
      <c r="F29" s="243">
        <v>3999</v>
      </c>
      <c r="G29" s="244">
        <f t="shared" si="3"/>
        <v>261201</v>
      </c>
      <c r="H29" s="245">
        <f t="shared" si="0"/>
        <v>10726</v>
      </c>
      <c r="I29" s="2">
        <f t="shared" si="4"/>
        <v>255838</v>
      </c>
    </row>
    <row r="30" spans="2:9" x14ac:dyDescent="0.3">
      <c r="B30" s="241">
        <v>45592</v>
      </c>
      <c r="C30" s="251">
        <f t="shared" si="2"/>
        <v>10</v>
      </c>
      <c r="D30" s="242">
        <f t="shared" si="11"/>
        <v>261201</v>
      </c>
      <c r="E30" s="243">
        <v>6541</v>
      </c>
      <c r="F30" s="243">
        <v>5394</v>
      </c>
      <c r="G30" s="244">
        <f t="shared" si="3"/>
        <v>262348</v>
      </c>
      <c r="H30" s="245">
        <f t="shared" si="0"/>
        <v>1147</v>
      </c>
      <c r="I30" s="2">
        <f t="shared" si="4"/>
        <v>261774.5</v>
      </c>
    </row>
    <row r="31" spans="2:9" x14ac:dyDescent="0.3">
      <c r="B31" s="241">
        <v>45593</v>
      </c>
      <c r="C31" s="251">
        <f t="shared" si="2"/>
        <v>10</v>
      </c>
      <c r="D31" s="242">
        <f t="shared" si="11"/>
        <v>262348</v>
      </c>
      <c r="E31" s="243">
        <v>11408</v>
      </c>
      <c r="F31" s="243">
        <v>4030</v>
      </c>
      <c r="G31" s="244">
        <f t="shared" si="3"/>
        <v>269726</v>
      </c>
      <c r="H31" s="245">
        <f t="shared" si="0"/>
        <v>7378</v>
      </c>
      <c r="I31" s="2">
        <f t="shared" si="4"/>
        <v>266037</v>
      </c>
    </row>
    <row r="32" spans="2:9" x14ac:dyDescent="0.3">
      <c r="B32" s="241">
        <v>45594</v>
      </c>
      <c r="C32" s="251">
        <f t="shared" si="2"/>
        <v>10</v>
      </c>
      <c r="D32" s="242">
        <f t="shared" si="11"/>
        <v>269726</v>
      </c>
      <c r="E32" s="243">
        <v>10261</v>
      </c>
      <c r="F32" s="243">
        <v>5332</v>
      </c>
      <c r="G32" s="244">
        <f t="shared" si="3"/>
        <v>274655</v>
      </c>
      <c r="H32" s="245">
        <f t="shared" si="0"/>
        <v>4929</v>
      </c>
      <c r="I32" s="2">
        <f t="shared" si="4"/>
        <v>272190.5</v>
      </c>
    </row>
    <row r="33" spans="2:9" x14ac:dyDescent="0.3">
      <c r="B33" s="241">
        <v>45595</v>
      </c>
      <c r="C33" s="251">
        <f t="shared" si="2"/>
        <v>10</v>
      </c>
      <c r="D33" s="242">
        <f t="shared" si="11"/>
        <v>274655</v>
      </c>
      <c r="E33" s="243">
        <v>8039</v>
      </c>
      <c r="F33" s="243">
        <v>7099</v>
      </c>
      <c r="G33" s="244">
        <f t="shared" si="3"/>
        <v>275595</v>
      </c>
      <c r="H33" s="245">
        <f t="shared" si="0"/>
        <v>940</v>
      </c>
      <c r="I33" s="2">
        <f t="shared" si="4"/>
        <v>275125</v>
      </c>
    </row>
    <row r="34" spans="2:9" x14ac:dyDescent="0.3">
      <c r="B34" s="241">
        <v>45596</v>
      </c>
      <c r="C34" s="251">
        <f t="shared" si="2"/>
        <v>10</v>
      </c>
      <c r="D34" s="242">
        <f t="shared" si="11"/>
        <v>275595</v>
      </c>
      <c r="E34" s="243">
        <v>992</v>
      </c>
      <c r="F34" s="243">
        <v>610</v>
      </c>
      <c r="G34" s="244">
        <f t="shared" si="3"/>
        <v>275977</v>
      </c>
      <c r="H34" s="245">
        <f t="shared" si="0"/>
        <v>382</v>
      </c>
      <c r="I34" s="2">
        <f t="shared" si="4"/>
        <v>275786</v>
      </c>
    </row>
    <row r="35" spans="2:9" x14ac:dyDescent="0.3">
      <c r="B35" s="246">
        <v>45597</v>
      </c>
      <c r="C35" s="251">
        <f t="shared" si="2"/>
        <v>11</v>
      </c>
      <c r="D35" s="242">
        <f>G34</f>
        <v>275977</v>
      </c>
      <c r="E35" s="247">
        <v>14632</v>
      </c>
      <c r="F35" s="247">
        <v>11067</v>
      </c>
      <c r="G35" s="244">
        <f t="shared" si="3"/>
        <v>279542</v>
      </c>
      <c r="H35" s="245">
        <f t="shared" si="0"/>
        <v>3565</v>
      </c>
      <c r="I35" s="2">
        <f t="shared" si="4"/>
        <v>277759.5</v>
      </c>
    </row>
    <row r="36" spans="2:9" x14ac:dyDescent="0.3">
      <c r="B36" s="246">
        <v>45598</v>
      </c>
      <c r="C36" s="251">
        <f t="shared" si="2"/>
        <v>11</v>
      </c>
      <c r="D36" s="242">
        <f t="shared" si="11"/>
        <v>279542</v>
      </c>
      <c r="E36" s="247">
        <v>8153</v>
      </c>
      <c r="F36" s="247">
        <v>9207</v>
      </c>
      <c r="G36" s="244">
        <f t="shared" si="3"/>
        <v>278488</v>
      </c>
      <c r="H36" s="245">
        <f t="shared" si="0"/>
        <v>-1054</v>
      </c>
      <c r="I36" s="2">
        <f t="shared" si="4"/>
        <v>279015</v>
      </c>
    </row>
    <row r="37" spans="2:9" x14ac:dyDescent="0.3">
      <c r="B37" s="246">
        <v>45599</v>
      </c>
      <c r="C37" s="251">
        <f t="shared" si="2"/>
        <v>11</v>
      </c>
      <c r="D37" s="242">
        <f t="shared" si="11"/>
        <v>278488</v>
      </c>
      <c r="E37" s="247">
        <v>12152</v>
      </c>
      <c r="F37" s="247">
        <v>9145</v>
      </c>
      <c r="G37" s="244">
        <f t="shared" si="3"/>
        <v>281495</v>
      </c>
      <c r="H37" s="245">
        <f t="shared" si="0"/>
        <v>3007</v>
      </c>
      <c r="I37" s="2">
        <f t="shared" si="4"/>
        <v>279991.5</v>
      </c>
    </row>
    <row r="38" spans="2:9" x14ac:dyDescent="0.3">
      <c r="B38" s="246">
        <v>45600</v>
      </c>
      <c r="C38" s="251">
        <f t="shared" si="2"/>
        <v>11</v>
      </c>
      <c r="D38" s="242">
        <f t="shared" si="11"/>
        <v>281495</v>
      </c>
      <c r="E38" s="247">
        <v>5022</v>
      </c>
      <c r="F38" s="247">
        <v>10540</v>
      </c>
      <c r="G38" s="244">
        <f t="shared" si="3"/>
        <v>275977</v>
      </c>
      <c r="H38" s="245">
        <f t="shared" si="0"/>
        <v>-5518</v>
      </c>
      <c r="I38" s="2">
        <f t="shared" si="4"/>
        <v>278736</v>
      </c>
    </row>
    <row r="39" spans="2:9" x14ac:dyDescent="0.3">
      <c r="B39" s="246">
        <v>45601</v>
      </c>
      <c r="C39" s="251">
        <f t="shared" si="2"/>
        <v>11</v>
      </c>
      <c r="D39" s="242">
        <f t="shared" si="11"/>
        <v>275977</v>
      </c>
      <c r="E39" s="247">
        <v>6324</v>
      </c>
      <c r="F39" s="247">
        <v>10416</v>
      </c>
      <c r="G39" s="244">
        <f t="shared" si="3"/>
        <v>271885</v>
      </c>
      <c r="H39" s="245">
        <f t="shared" si="0"/>
        <v>-4092</v>
      </c>
      <c r="I39" s="2">
        <f t="shared" si="4"/>
        <v>273931</v>
      </c>
    </row>
    <row r="40" spans="2:9" x14ac:dyDescent="0.3">
      <c r="B40" s="246">
        <v>45602</v>
      </c>
      <c r="C40" s="251">
        <f t="shared" si="2"/>
        <v>11</v>
      </c>
      <c r="D40" s="242">
        <f t="shared" si="11"/>
        <v>271885</v>
      </c>
      <c r="E40" s="247">
        <v>9765</v>
      </c>
      <c r="F40" s="247">
        <v>9062</v>
      </c>
      <c r="G40" s="244">
        <f t="shared" si="3"/>
        <v>272588</v>
      </c>
      <c r="H40" s="245">
        <f t="shared" si="0"/>
        <v>703</v>
      </c>
      <c r="I40" s="2">
        <f t="shared" si="4"/>
        <v>272236.5</v>
      </c>
    </row>
    <row r="41" spans="2:9" x14ac:dyDescent="0.3">
      <c r="B41" s="246">
        <v>45603</v>
      </c>
      <c r="C41" s="251">
        <f t="shared" si="2"/>
        <v>11</v>
      </c>
      <c r="D41" s="242">
        <f t="shared" si="11"/>
        <v>272588</v>
      </c>
      <c r="E41" s="247">
        <v>10218</v>
      </c>
      <c r="F41" s="247">
        <v>14694</v>
      </c>
      <c r="G41" s="244">
        <f t="shared" si="3"/>
        <v>268112</v>
      </c>
      <c r="H41" s="245">
        <f t="shared" si="0"/>
        <v>-4476</v>
      </c>
      <c r="I41" s="2">
        <f t="shared" si="4"/>
        <v>270350</v>
      </c>
    </row>
    <row r="42" spans="2:9" x14ac:dyDescent="0.3">
      <c r="B42" s="246">
        <v>45604</v>
      </c>
      <c r="C42" s="251">
        <f t="shared" si="2"/>
        <v>11</v>
      </c>
      <c r="D42" s="242">
        <f t="shared" si="11"/>
        <v>268112</v>
      </c>
      <c r="E42" s="247">
        <v>3906</v>
      </c>
      <c r="F42" s="247">
        <v>4464</v>
      </c>
      <c r="G42" s="244">
        <f t="shared" si="3"/>
        <v>267554</v>
      </c>
      <c r="H42" s="245">
        <f t="shared" si="0"/>
        <v>-558</v>
      </c>
      <c r="I42" s="2">
        <f t="shared" si="4"/>
        <v>267833</v>
      </c>
    </row>
    <row r="43" spans="2:9" x14ac:dyDescent="0.3">
      <c r="B43" s="246">
        <v>45605</v>
      </c>
      <c r="C43" s="251">
        <f t="shared" si="2"/>
        <v>11</v>
      </c>
      <c r="D43" s="242">
        <f t="shared" si="11"/>
        <v>267554</v>
      </c>
      <c r="E43" s="247">
        <v>11129</v>
      </c>
      <c r="F43" s="247">
        <v>2356</v>
      </c>
      <c r="G43" s="244">
        <f t="shared" si="3"/>
        <v>276327</v>
      </c>
      <c r="H43" s="245">
        <f t="shared" si="0"/>
        <v>8773</v>
      </c>
      <c r="I43" s="2">
        <f t="shared" si="4"/>
        <v>271940.5</v>
      </c>
    </row>
    <row r="44" spans="2:9" x14ac:dyDescent="0.3">
      <c r="B44" s="246">
        <v>45606</v>
      </c>
      <c r="C44" s="251">
        <f t="shared" si="2"/>
        <v>11</v>
      </c>
      <c r="D44" s="242">
        <f t="shared" si="11"/>
        <v>276327</v>
      </c>
      <c r="E44" s="247">
        <v>0</v>
      </c>
      <c r="F44" s="247">
        <v>1240</v>
      </c>
      <c r="G44" s="244">
        <f t="shared" si="3"/>
        <v>275087</v>
      </c>
      <c r="H44" s="245">
        <f t="shared" si="0"/>
        <v>-1240</v>
      </c>
      <c r="I44" s="2">
        <f t="shared" si="4"/>
        <v>275707</v>
      </c>
    </row>
    <row r="45" spans="2:9" x14ac:dyDescent="0.3">
      <c r="B45" s="246">
        <v>45607</v>
      </c>
      <c r="C45" s="251">
        <f t="shared" si="2"/>
        <v>11</v>
      </c>
      <c r="D45" s="242">
        <f t="shared" si="11"/>
        <v>275087</v>
      </c>
      <c r="E45" s="247">
        <v>10044</v>
      </c>
      <c r="F45" s="247">
        <v>2790</v>
      </c>
      <c r="G45" s="244">
        <f t="shared" si="3"/>
        <v>282341</v>
      </c>
      <c r="H45" s="245">
        <f t="shared" si="0"/>
        <v>7254</v>
      </c>
      <c r="I45" s="2">
        <f t="shared" si="4"/>
        <v>278714</v>
      </c>
    </row>
    <row r="46" spans="2:9" x14ac:dyDescent="0.3">
      <c r="B46" s="246">
        <v>45608</v>
      </c>
      <c r="C46" s="251">
        <f t="shared" si="2"/>
        <v>11</v>
      </c>
      <c r="D46" s="242">
        <f t="shared" si="11"/>
        <v>282341</v>
      </c>
      <c r="E46" s="247">
        <v>0</v>
      </c>
      <c r="F46" s="247">
        <v>8792</v>
      </c>
      <c r="G46" s="244">
        <f t="shared" si="3"/>
        <v>273549</v>
      </c>
      <c r="H46" s="245">
        <f t="shared" si="0"/>
        <v>-8792</v>
      </c>
      <c r="I46" s="2">
        <f t="shared" si="4"/>
        <v>277945</v>
      </c>
    </row>
    <row r="47" spans="2:9" x14ac:dyDescent="0.3">
      <c r="B47" s="246">
        <v>45609</v>
      </c>
      <c r="C47" s="251">
        <f t="shared" si="2"/>
        <v>11</v>
      </c>
      <c r="D47" s="242">
        <f t="shared" si="11"/>
        <v>273549</v>
      </c>
      <c r="E47" s="247">
        <v>10137</v>
      </c>
      <c r="F47" s="247">
        <v>4743</v>
      </c>
      <c r="G47" s="244">
        <f t="shared" si="3"/>
        <v>278943</v>
      </c>
      <c r="H47" s="245">
        <f t="shared" si="0"/>
        <v>5394</v>
      </c>
      <c r="I47" s="2">
        <f t="shared" si="4"/>
        <v>276246</v>
      </c>
    </row>
    <row r="48" spans="2:9" x14ac:dyDescent="0.3">
      <c r="B48" s="246">
        <v>45610</v>
      </c>
      <c r="C48" s="251">
        <f t="shared" si="2"/>
        <v>11</v>
      </c>
      <c r="D48" s="242">
        <f t="shared" si="11"/>
        <v>278943</v>
      </c>
      <c r="E48" s="247">
        <v>6696</v>
      </c>
      <c r="F48" s="247">
        <v>3658</v>
      </c>
      <c r="G48" s="244">
        <f t="shared" si="3"/>
        <v>281981</v>
      </c>
      <c r="H48" s="245">
        <f t="shared" si="0"/>
        <v>3038</v>
      </c>
      <c r="I48" s="2">
        <f t="shared" si="4"/>
        <v>280462</v>
      </c>
    </row>
    <row r="49" spans="2:9" x14ac:dyDescent="0.3">
      <c r="B49" s="246">
        <v>45611</v>
      </c>
      <c r="C49" s="251">
        <f t="shared" si="2"/>
        <v>11</v>
      </c>
      <c r="D49" s="242">
        <f t="shared" si="11"/>
        <v>281981</v>
      </c>
      <c r="E49" s="247">
        <v>6417</v>
      </c>
      <c r="F49" s="247">
        <v>9313</v>
      </c>
      <c r="G49" s="244">
        <f t="shared" si="3"/>
        <v>279085</v>
      </c>
      <c r="H49" s="245">
        <f t="shared" si="0"/>
        <v>-2896</v>
      </c>
      <c r="I49" s="2">
        <f t="shared" si="4"/>
        <v>280533</v>
      </c>
    </row>
    <row r="50" spans="2:9" x14ac:dyDescent="0.3">
      <c r="B50" s="246">
        <v>45612</v>
      </c>
      <c r="C50" s="251">
        <f t="shared" si="2"/>
        <v>11</v>
      </c>
      <c r="D50" s="242">
        <f t="shared" si="11"/>
        <v>279085</v>
      </c>
      <c r="E50" s="247">
        <v>8029</v>
      </c>
      <c r="F50" s="247">
        <v>5610</v>
      </c>
      <c r="G50" s="244">
        <f t="shared" si="3"/>
        <v>281504</v>
      </c>
      <c r="H50" s="245">
        <f t="shared" si="0"/>
        <v>2419</v>
      </c>
      <c r="I50" s="2">
        <f t="shared" si="4"/>
        <v>280294.5</v>
      </c>
    </row>
    <row r="51" spans="2:9" x14ac:dyDescent="0.3">
      <c r="B51" s="246">
        <v>45613</v>
      </c>
      <c r="C51" s="251">
        <f t="shared" si="2"/>
        <v>11</v>
      </c>
      <c r="D51" s="242">
        <f t="shared" si="11"/>
        <v>281504</v>
      </c>
      <c r="E51" s="247">
        <v>7192</v>
      </c>
      <c r="F51" s="247">
        <v>2015</v>
      </c>
      <c r="G51" s="244">
        <f t="shared" si="3"/>
        <v>286681</v>
      </c>
      <c r="H51" s="245">
        <f t="shared" si="0"/>
        <v>5177</v>
      </c>
      <c r="I51" s="2">
        <f t="shared" si="4"/>
        <v>284092.5</v>
      </c>
    </row>
    <row r="52" spans="2:9" x14ac:dyDescent="0.3">
      <c r="B52" s="246">
        <v>45614</v>
      </c>
      <c r="C52" s="251">
        <f t="shared" si="2"/>
        <v>11</v>
      </c>
      <c r="D52" s="242">
        <f t="shared" si="11"/>
        <v>286681</v>
      </c>
      <c r="E52" s="247">
        <v>1736</v>
      </c>
      <c r="F52" s="247">
        <v>7254</v>
      </c>
      <c r="G52" s="244">
        <f t="shared" si="3"/>
        <v>281163</v>
      </c>
      <c r="H52" s="245">
        <f t="shared" si="0"/>
        <v>-5518</v>
      </c>
      <c r="I52" s="2">
        <f t="shared" si="4"/>
        <v>283922</v>
      </c>
    </row>
    <row r="53" spans="2:9" x14ac:dyDescent="0.3">
      <c r="B53" s="246">
        <v>45615</v>
      </c>
      <c r="C53" s="251">
        <f t="shared" si="2"/>
        <v>11</v>
      </c>
      <c r="D53" s="242">
        <f t="shared" si="11"/>
        <v>281163</v>
      </c>
      <c r="E53" s="247">
        <v>9083</v>
      </c>
      <c r="F53" s="247">
        <v>11780</v>
      </c>
      <c r="G53" s="244">
        <f t="shared" si="3"/>
        <v>278466</v>
      </c>
      <c r="H53" s="245">
        <f t="shared" si="0"/>
        <v>-2697</v>
      </c>
      <c r="I53" s="2">
        <f t="shared" si="4"/>
        <v>279814.5</v>
      </c>
    </row>
    <row r="54" spans="2:9" x14ac:dyDescent="0.3">
      <c r="B54" s="246">
        <v>45616</v>
      </c>
      <c r="C54" s="251">
        <f t="shared" si="2"/>
        <v>11</v>
      </c>
      <c r="D54" s="242">
        <f t="shared" si="11"/>
        <v>278466</v>
      </c>
      <c r="E54" s="247">
        <v>8370</v>
      </c>
      <c r="F54" s="247">
        <v>15813</v>
      </c>
      <c r="G54" s="244">
        <f t="shared" si="3"/>
        <v>271023</v>
      </c>
      <c r="H54" s="245">
        <f t="shared" si="0"/>
        <v>-7443</v>
      </c>
      <c r="I54" s="2">
        <f t="shared" si="4"/>
        <v>274744.5</v>
      </c>
    </row>
    <row r="55" spans="2:9" x14ac:dyDescent="0.3">
      <c r="B55" s="246">
        <v>45617</v>
      </c>
      <c r="C55" s="251">
        <f t="shared" si="2"/>
        <v>11</v>
      </c>
      <c r="D55" s="242">
        <f t="shared" si="11"/>
        <v>271023</v>
      </c>
      <c r="E55" s="247">
        <v>10602</v>
      </c>
      <c r="F55" s="247">
        <v>17329</v>
      </c>
      <c r="G55" s="244">
        <f t="shared" si="3"/>
        <v>264296</v>
      </c>
      <c r="H55" s="245">
        <f t="shared" si="0"/>
        <v>-6727</v>
      </c>
      <c r="I55" s="2">
        <f t="shared" si="4"/>
        <v>267659.5</v>
      </c>
    </row>
    <row r="56" spans="2:9" x14ac:dyDescent="0.3">
      <c r="B56" s="246">
        <v>45618</v>
      </c>
      <c r="C56" s="251">
        <f t="shared" si="2"/>
        <v>11</v>
      </c>
      <c r="D56" s="242">
        <f t="shared" si="11"/>
        <v>264296</v>
      </c>
      <c r="E56" s="247">
        <v>4588</v>
      </c>
      <c r="F56" s="247">
        <v>15766</v>
      </c>
      <c r="G56" s="244">
        <f t="shared" si="3"/>
        <v>253118</v>
      </c>
      <c r="H56" s="245">
        <f t="shared" si="0"/>
        <v>-11178</v>
      </c>
      <c r="I56" s="2">
        <f t="shared" si="4"/>
        <v>258707</v>
      </c>
    </row>
    <row r="57" spans="2:9" x14ac:dyDescent="0.3">
      <c r="B57" s="246">
        <v>45619</v>
      </c>
      <c r="C57" s="251">
        <f t="shared" si="2"/>
        <v>11</v>
      </c>
      <c r="D57" s="242">
        <f t="shared" si="11"/>
        <v>253118</v>
      </c>
      <c r="E57" s="247">
        <v>9393</v>
      </c>
      <c r="F57" s="247">
        <v>13330</v>
      </c>
      <c r="G57" s="244">
        <f t="shared" si="3"/>
        <v>249181</v>
      </c>
      <c r="H57" s="245">
        <f t="shared" si="0"/>
        <v>-3937</v>
      </c>
      <c r="I57" s="2">
        <f t="shared" si="4"/>
        <v>251149.5</v>
      </c>
    </row>
    <row r="58" spans="2:9" x14ac:dyDescent="0.3">
      <c r="B58" s="246">
        <v>45620</v>
      </c>
      <c r="C58" s="251">
        <f t="shared" si="2"/>
        <v>11</v>
      </c>
      <c r="D58" s="242">
        <f t="shared" si="11"/>
        <v>249181</v>
      </c>
      <c r="E58" s="247">
        <v>1240</v>
      </c>
      <c r="F58" s="247">
        <v>8773</v>
      </c>
      <c r="G58" s="244">
        <f t="shared" si="3"/>
        <v>241648</v>
      </c>
      <c r="H58" s="245">
        <f t="shared" si="0"/>
        <v>-7533</v>
      </c>
      <c r="I58" s="2">
        <f t="shared" si="4"/>
        <v>245414.5</v>
      </c>
    </row>
    <row r="59" spans="2:9" x14ac:dyDescent="0.3">
      <c r="B59" s="246">
        <v>45621</v>
      </c>
      <c r="C59" s="251">
        <f t="shared" si="2"/>
        <v>11</v>
      </c>
      <c r="D59" s="242">
        <f t="shared" si="11"/>
        <v>241648</v>
      </c>
      <c r="E59" s="247">
        <v>5394</v>
      </c>
      <c r="F59" s="247">
        <v>9362</v>
      </c>
      <c r="G59" s="244">
        <f t="shared" si="3"/>
        <v>237680</v>
      </c>
      <c r="H59" s="245">
        <f t="shared" si="0"/>
        <v>-3968</v>
      </c>
      <c r="I59" s="2">
        <f t="shared" si="4"/>
        <v>239664</v>
      </c>
    </row>
    <row r="60" spans="2:9" x14ac:dyDescent="0.3">
      <c r="B60" s="246">
        <v>45622</v>
      </c>
      <c r="C60" s="251">
        <f t="shared" si="2"/>
        <v>11</v>
      </c>
      <c r="D60" s="242">
        <f t="shared" si="11"/>
        <v>237680</v>
      </c>
      <c r="E60" s="247">
        <v>7905</v>
      </c>
      <c r="F60" s="247">
        <v>12431</v>
      </c>
      <c r="G60" s="244">
        <f t="shared" si="3"/>
        <v>233154</v>
      </c>
      <c r="H60" s="245">
        <f t="shared" si="0"/>
        <v>-4526</v>
      </c>
      <c r="I60" s="2">
        <f t="shared" si="4"/>
        <v>235417</v>
      </c>
    </row>
    <row r="61" spans="2:9" x14ac:dyDescent="0.3">
      <c r="B61" s="246">
        <v>45623</v>
      </c>
      <c r="C61" s="251">
        <f t="shared" si="2"/>
        <v>11</v>
      </c>
      <c r="D61" s="242">
        <f t="shared" si="11"/>
        <v>233154</v>
      </c>
      <c r="E61" s="247">
        <v>9114</v>
      </c>
      <c r="F61" s="247">
        <v>13702</v>
      </c>
      <c r="G61" s="244">
        <f t="shared" si="3"/>
        <v>228566</v>
      </c>
      <c r="H61" s="245">
        <f t="shared" si="0"/>
        <v>-4588</v>
      </c>
      <c r="I61" s="2">
        <f t="shared" si="4"/>
        <v>230860</v>
      </c>
    </row>
    <row r="62" spans="2:9" x14ac:dyDescent="0.3">
      <c r="B62" s="246">
        <v>45624</v>
      </c>
      <c r="C62" s="251">
        <f t="shared" si="2"/>
        <v>11</v>
      </c>
      <c r="D62" s="242">
        <f t="shared" si="11"/>
        <v>228566</v>
      </c>
      <c r="E62" s="247">
        <v>8029</v>
      </c>
      <c r="F62" s="247">
        <v>15345</v>
      </c>
      <c r="G62" s="244">
        <f t="shared" si="3"/>
        <v>221250</v>
      </c>
      <c r="H62" s="245">
        <f t="shared" si="0"/>
        <v>-7316</v>
      </c>
      <c r="I62" s="2">
        <f t="shared" si="4"/>
        <v>224908</v>
      </c>
    </row>
    <row r="63" spans="2:9" x14ac:dyDescent="0.3">
      <c r="B63" s="246">
        <v>45625</v>
      </c>
      <c r="C63" s="251">
        <f t="shared" si="2"/>
        <v>11</v>
      </c>
      <c r="D63" s="242">
        <f t="shared" si="11"/>
        <v>221250</v>
      </c>
      <c r="E63" s="247">
        <v>2697</v>
      </c>
      <c r="F63" s="247">
        <v>14322</v>
      </c>
      <c r="G63" s="244">
        <f t="shared" si="3"/>
        <v>209625</v>
      </c>
      <c r="H63" s="245">
        <f t="shared" si="0"/>
        <v>-11625</v>
      </c>
      <c r="I63" s="2">
        <f t="shared" si="4"/>
        <v>215437.5</v>
      </c>
    </row>
    <row r="64" spans="2:9" x14ac:dyDescent="0.3">
      <c r="B64" s="246">
        <v>45626</v>
      </c>
      <c r="C64" s="251">
        <f t="shared" si="2"/>
        <v>11</v>
      </c>
      <c r="D64" s="242">
        <f t="shared" si="11"/>
        <v>209625</v>
      </c>
      <c r="E64" s="247">
        <v>6727</v>
      </c>
      <c r="F64" s="247">
        <v>13175</v>
      </c>
      <c r="G64" s="244">
        <f t="shared" si="3"/>
        <v>203177</v>
      </c>
      <c r="H64" s="245">
        <f t="shared" si="0"/>
        <v>-6448</v>
      </c>
      <c r="I64" s="2">
        <f t="shared" si="4"/>
        <v>206401</v>
      </c>
    </row>
    <row r="65" spans="2:9" x14ac:dyDescent="0.3">
      <c r="B65" s="241">
        <v>45627</v>
      </c>
      <c r="C65" s="251">
        <f t="shared" si="2"/>
        <v>12</v>
      </c>
      <c r="D65" s="242">
        <f t="shared" si="11"/>
        <v>203177</v>
      </c>
      <c r="E65" s="243">
        <v>12059</v>
      </c>
      <c r="F65" s="243">
        <v>8619</v>
      </c>
      <c r="G65" s="244">
        <f t="shared" si="3"/>
        <v>206617</v>
      </c>
      <c r="H65" s="245">
        <f t="shared" si="0"/>
        <v>3440</v>
      </c>
      <c r="I65" s="2">
        <f t="shared" si="4"/>
        <v>204897</v>
      </c>
    </row>
    <row r="66" spans="2:9" x14ac:dyDescent="0.3">
      <c r="B66" s="241">
        <v>45628</v>
      </c>
      <c r="C66" s="251">
        <f t="shared" si="2"/>
        <v>12</v>
      </c>
      <c r="D66" s="242">
        <f t="shared" si="11"/>
        <v>206617</v>
      </c>
      <c r="E66" s="243">
        <v>8866</v>
      </c>
      <c r="F66" s="243">
        <v>4119</v>
      </c>
      <c r="G66" s="244">
        <f t="shared" si="3"/>
        <v>211364</v>
      </c>
      <c r="H66" s="245">
        <f t="shared" si="0"/>
        <v>4747</v>
      </c>
      <c r="I66" s="2">
        <f t="shared" si="4"/>
        <v>208990.5</v>
      </c>
    </row>
    <row r="67" spans="2:9" x14ac:dyDescent="0.3">
      <c r="B67" s="241">
        <v>45629</v>
      </c>
      <c r="C67" s="251">
        <f t="shared" si="2"/>
        <v>12</v>
      </c>
      <c r="D67" s="242">
        <f t="shared" si="11"/>
        <v>211364</v>
      </c>
      <c r="E67" s="243">
        <v>12183</v>
      </c>
      <c r="F67" s="243">
        <v>4433</v>
      </c>
      <c r="G67" s="244">
        <f t="shared" si="3"/>
        <v>219114</v>
      </c>
      <c r="H67" s="245">
        <f t="shared" si="0"/>
        <v>7750</v>
      </c>
      <c r="I67" s="2">
        <f t="shared" si="4"/>
        <v>215239</v>
      </c>
    </row>
    <row r="68" spans="2:9" x14ac:dyDescent="0.3">
      <c r="B68" s="241">
        <v>45630</v>
      </c>
      <c r="C68" s="251">
        <f t="shared" si="2"/>
        <v>12</v>
      </c>
      <c r="D68" s="242">
        <f t="shared" si="11"/>
        <v>219114</v>
      </c>
      <c r="E68" s="243">
        <v>8432</v>
      </c>
      <c r="F68" s="243">
        <v>3094</v>
      </c>
      <c r="G68" s="244">
        <f t="shared" ref="G68:G131" si="16">D68+E68-F68</f>
        <v>224452</v>
      </c>
      <c r="H68" s="245">
        <f t="shared" ref="H68:H126" si="17">G68-D68</f>
        <v>5338</v>
      </c>
      <c r="I68" s="2">
        <f t="shared" si="4"/>
        <v>221783</v>
      </c>
    </row>
    <row r="69" spans="2:9" x14ac:dyDescent="0.3">
      <c r="B69" s="241">
        <v>45631</v>
      </c>
      <c r="C69" s="251">
        <f t="shared" ref="C69:C132" si="18">MONTH(B69)</f>
        <v>12</v>
      </c>
      <c r="D69" s="242">
        <f t="shared" ref="D69:D132" si="19">G68</f>
        <v>224452</v>
      </c>
      <c r="E69" s="243">
        <v>11129</v>
      </c>
      <c r="F69" s="243">
        <v>8848</v>
      </c>
      <c r="G69" s="244">
        <f t="shared" si="16"/>
        <v>226733</v>
      </c>
      <c r="H69" s="245">
        <f t="shared" si="17"/>
        <v>2281</v>
      </c>
      <c r="I69" s="2">
        <f t="shared" ref="I69:I132" si="20">(D69+G69)/2</f>
        <v>225592.5</v>
      </c>
    </row>
    <row r="70" spans="2:9" x14ac:dyDescent="0.3">
      <c r="B70" s="241">
        <v>45632</v>
      </c>
      <c r="C70" s="251">
        <f t="shared" si="18"/>
        <v>12</v>
      </c>
      <c r="D70" s="242">
        <f t="shared" si="19"/>
        <v>226733</v>
      </c>
      <c r="E70" s="243">
        <v>10664</v>
      </c>
      <c r="F70" s="243">
        <v>8835</v>
      </c>
      <c r="G70" s="244">
        <f t="shared" si="16"/>
        <v>228562</v>
      </c>
      <c r="H70" s="245">
        <f t="shared" si="17"/>
        <v>1829</v>
      </c>
      <c r="I70" s="2">
        <f t="shared" si="20"/>
        <v>227647.5</v>
      </c>
    </row>
    <row r="71" spans="2:9" x14ac:dyDescent="0.3">
      <c r="B71" s="241">
        <v>45633</v>
      </c>
      <c r="C71" s="251">
        <f t="shared" si="18"/>
        <v>12</v>
      </c>
      <c r="D71" s="242">
        <f t="shared" si="19"/>
        <v>228562</v>
      </c>
      <c r="E71" s="243">
        <v>16946</v>
      </c>
      <c r="F71" s="243">
        <v>5890</v>
      </c>
      <c r="G71" s="244">
        <f t="shared" si="16"/>
        <v>239618</v>
      </c>
      <c r="H71" s="245">
        <f t="shared" si="17"/>
        <v>11056</v>
      </c>
      <c r="I71" s="2">
        <f t="shared" si="20"/>
        <v>234090</v>
      </c>
    </row>
    <row r="72" spans="2:9" x14ac:dyDescent="0.3">
      <c r="B72" s="241">
        <v>45634</v>
      </c>
      <c r="C72" s="251">
        <f t="shared" si="18"/>
        <v>12</v>
      </c>
      <c r="D72" s="242">
        <f t="shared" si="19"/>
        <v>239618</v>
      </c>
      <c r="E72" s="243">
        <v>8773</v>
      </c>
      <c r="F72" s="243">
        <v>5270</v>
      </c>
      <c r="G72" s="244">
        <f t="shared" si="16"/>
        <v>243121</v>
      </c>
      <c r="H72" s="245">
        <f t="shared" si="17"/>
        <v>3503</v>
      </c>
      <c r="I72" s="2">
        <f t="shared" si="20"/>
        <v>241369.5</v>
      </c>
    </row>
    <row r="73" spans="2:9" x14ac:dyDescent="0.3">
      <c r="B73" s="241">
        <v>45635</v>
      </c>
      <c r="C73" s="251">
        <f t="shared" si="18"/>
        <v>12</v>
      </c>
      <c r="D73" s="242">
        <f t="shared" si="19"/>
        <v>243121</v>
      </c>
      <c r="E73" s="243">
        <v>13733</v>
      </c>
      <c r="F73" s="243">
        <v>14415</v>
      </c>
      <c r="G73" s="244">
        <f t="shared" si="16"/>
        <v>242439</v>
      </c>
      <c r="H73" s="245">
        <f t="shared" si="17"/>
        <v>-682</v>
      </c>
      <c r="I73" s="2">
        <f t="shared" si="20"/>
        <v>242780</v>
      </c>
    </row>
    <row r="74" spans="2:9" x14ac:dyDescent="0.3">
      <c r="B74" s="241">
        <v>45636</v>
      </c>
      <c r="C74" s="251">
        <f t="shared" si="18"/>
        <v>12</v>
      </c>
      <c r="D74" s="242">
        <f t="shared" si="19"/>
        <v>242439</v>
      </c>
      <c r="E74" s="243">
        <v>15841</v>
      </c>
      <c r="F74" s="243">
        <v>14198</v>
      </c>
      <c r="G74" s="244">
        <f t="shared" si="16"/>
        <v>244082</v>
      </c>
      <c r="H74" s="245">
        <f t="shared" si="17"/>
        <v>1643</v>
      </c>
      <c r="I74" s="2">
        <f t="shared" si="20"/>
        <v>243260.5</v>
      </c>
    </row>
    <row r="75" spans="2:9" x14ac:dyDescent="0.3">
      <c r="B75" s="241">
        <v>45637</v>
      </c>
      <c r="C75" s="251">
        <f t="shared" si="18"/>
        <v>12</v>
      </c>
      <c r="D75" s="242">
        <f t="shared" si="19"/>
        <v>244082</v>
      </c>
      <c r="E75" s="243">
        <v>11982</v>
      </c>
      <c r="F75" s="243">
        <v>13962</v>
      </c>
      <c r="G75" s="244">
        <f t="shared" si="16"/>
        <v>242102</v>
      </c>
      <c r="H75" s="245">
        <f t="shared" si="17"/>
        <v>-1980</v>
      </c>
      <c r="I75" s="2">
        <f t="shared" si="20"/>
        <v>243092</v>
      </c>
    </row>
    <row r="76" spans="2:9" x14ac:dyDescent="0.3">
      <c r="B76" s="241">
        <v>45638</v>
      </c>
      <c r="C76" s="251">
        <f t="shared" si="18"/>
        <v>12</v>
      </c>
      <c r="D76" s="242">
        <f t="shared" si="19"/>
        <v>242102</v>
      </c>
      <c r="E76" s="243">
        <v>14787</v>
      </c>
      <c r="F76" s="243">
        <v>15841</v>
      </c>
      <c r="G76" s="244">
        <f t="shared" si="16"/>
        <v>241048</v>
      </c>
      <c r="H76" s="245">
        <f t="shared" si="17"/>
        <v>-1054</v>
      </c>
      <c r="I76" s="2">
        <f t="shared" si="20"/>
        <v>241575</v>
      </c>
    </row>
    <row r="77" spans="2:9" x14ac:dyDescent="0.3">
      <c r="B77" s="241">
        <v>45639</v>
      </c>
      <c r="C77" s="251">
        <f t="shared" si="18"/>
        <v>12</v>
      </c>
      <c r="D77" s="242">
        <f t="shared" si="19"/>
        <v>241048</v>
      </c>
      <c r="E77" s="243">
        <v>11723</v>
      </c>
      <c r="F77" s="243">
        <v>12834</v>
      </c>
      <c r="G77" s="244">
        <f t="shared" si="16"/>
        <v>239937</v>
      </c>
      <c r="H77" s="245">
        <f t="shared" si="17"/>
        <v>-1111</v>
      </c>
      <c r="I77" s="2">
        <f t="shared" si="20"/>
        <v>240492.5</v>
      </c>
    </row>
    <row r="78" spans="2:9" x14ac:dyDescent="0.3">
      <c r="B78" s="241">
        <v>45640</v>
      </c>
      <c r="C78" s="251">
        <f t="shared" si="18"/>
        <v>12</v>
      </c>
      <c r="D78" s="242">
        <f t="shared" si="19"/>
        <v>239937</v>
      </c>
      <c r="E78" s="243">
        <v>11532</v>
      </c>
      <c r="F78" s="243">
        <v>10695</v>
      </c>
      <c r="G78" s="244">
        <f t="shared" si="16"/>
        <v>240774</v>
      </c>
      <c r="H78" s="245">
        <f t="shared" si="17"/>
        <v>837</v>
      </c>
      <c r="I78" s="2">
        <f t="shared" si="20"/>
        <v>240355.5</v>
      </c>
    </row>
    <row r="79" spans="2:9" x14ac:dyDescent="0.3">
      <c r="B79" s="241">
        <v>45641</v>
      </c>
      <c r="C79" s="251">
        <f t="shared" si="18"/>
        <v>12</v>
      </c>
      <c r="D79" s="242">
        <f t="shared" si="19"/>
        <v>240774</v>
      </c>
      <c r="E79" s="243">
        <v>12028</v>
      </c>
      <c r="F79" s="243">
        <v>9238</v>
      </c>
      <c r="G79" s="244">
        <f t="shared" si="16"/>
        <v>243564</v>
      </c>
      <c r="H79" s="245">
        <f t="shared" si="17"/>
        <v>2790</v>
      </c>
      <c r="I79" s="2">
        <f t="shared" si="20"/>
        <v>242169</v>
      </c>
    </row>
    <row r="80" spans="2:9" x14ac:dyDescent="0.3">
      <c r="B80" s="241">
        <v>45642</v>
      </c>
      <c r="C80" s="251">
        <f t="shared" si="18"/>
        <v>12</v>
      </c>
      <c r="D80" s="242">
        <f t="shared" si="19"/>
        <v>243564</v>
      </c>
      <c r="E80" s="243">
        <v>13629</v>
      </c>
      <c r="F80" s="243">
        <v>9765</v>
      </c>
      <c r="G80" s="244">
        <f t="shared" si="16"/>
        <v>247428</v>
      </c>
      <c r="H80" s="245">
        <f t="shared" si="17"/>
        <v>3864</v>
      </c>
      <c r="I80" s="2">
        <f t="shared" si="20"/>
        <v>245496</v>
      </c>
    </row>
    <row r="81" spans="2:9" x14ac:dyDescent="0.3">
      <c r="B81" s="241">
        <v>45643</v>
      </c>
      <c r="C81" s="251">
        <f t="shared" si="18"/>
        <v>12</v>
      </c>
      <c r="D81" s="242">
        <f t="shared" si="19"/>
        <v>247428</v>
      </c>
      <c r="E81" s="243">
        <v>12028</v>
      </c>
      <c r="F81" s="243">
        <v>14513</v>
      </c>
      <c r="G81" s="244">
        <f t="shared" si="16"/>
        <v>244943</v>
      </c>
      <c r="H81" s="245">
        <f t="shared" si="17"/>
        <v>-2485</v>
      </c>
      <c r="I81" s="2">
        <f t="shared" si="20"/>
        <v>246185.5</v>
      </c>
    </row>
    <row r="82" spans="2:9" x14ac:dyDescent="0.3">
      <c r="B82" s="241">
        <v>45644</v>
      </c>
      <c r="C82" s="251">
        <f t="shared" si="18"/>
        <v>12</v>
      </c>
      <c r="D82" s="242">
        <f t="shared" si="19"/>
        <v>244943</v>
      </c>
      <c r="E82" s="243">
        <v>12648</v>
      </c>
      <c r="F82" s="243">
        <v>19468</v>
      </c>
      <c r="G82" s="244">
        <f t="shared" si="16"/>
        <v>238123</v>
      </c>
      <c r="H82" s="245">
        <f t="shared" si="17"/>
        <v>-6820</v>
      </c>
      <c r="I82" s="2">
        <f t="shared" si="20"/>
        <v>241533</v>
      </c>
    </row>
    <row r="83" spans="2:9" x14ac:dyDescent="0.3">
      <c r="B83" s="241">
        <v>45645</v>
      </c>
      <c r="C83" s="251">
        <f t="shared" si="18"/>
        <v>12</v>
      </c>
      <c r="D83" s="242">
        <f t="shared" si="19"/>
        <v>238123</v>
      </c>
      <c r="E83" s="243">
        <v>18445</v>
      </c>
      <c r="F83" s="243">
        <v>16058</v>
      </c>
      <c r="G83" s="244">
        <f t="shared" si="16"/>
        <v>240510</v>
      </c>
      <c r="H83" s="245">
        <f t="shared" si="17"/>
        <v>2387</v>
      </c>
      <c r="I83" s="2">
        <f t="shared" si="20"/>
        <v>239316.5</v>
      </c>
    </row>
    <row r="84" spans="2:9" x14ac:dyDescent="0.3">
      <c r="B84" s="241">
        <v>45646</v>
      </c>
      <c r="C84" s="251">
        <f t="shared" si="18"/>
        <v>12</v>
      </c>
      <c r="D84" s="242">
        <f t="shared" si="19"/>
        <v>240510</v>
      </c>
      <c r="E84" s="243">
        <v>8401</v>
      </c>
      <c r="F84" s="243">
        <v>18073</v>
      </c>
      <c r="G84" s="244">
        <f t="shared" si="16"/>
        <v>230838</v>
      </c>
      <c r="H84" s="245">
        <f t="shared" si="17"/>
        <v>-9672</v>
      </c>
      <c r="I84" s="2">
        <f t="shared" si="20"/>
        <v>235674</v>
      </c>
    </row>
    <row r="85" spans="2:9" x14ac:dyDescent="0.3">
      <c r="B85" s="246">
        <v>45647</v>
      </c>
      <c r="C85" s="251">
        <f t="shared" si="18"/>
        <v>12</v>
      </c>
      <c r="D85" s="242">
        <f t="shared" si="19"/>
        <v>230838</v>
      </c>
      <c r="E85" s="247">
        <v>19396</v>
      </c>
      <c r="F85" s="247">
        <v>15996</v>
      </c>
      <c r="G85" s="244">
        <f t="shared" si="16"/>
        <v>234238</v>
      </c>
      <c r="H85" s="245">
        <f t="shared" si="17"/>
        <v>3400</v>
      </c>
      <c r="I85" s="2">
        <f t="shared" si="20"/>
        <v>232538</v>
      </c>
    </row>
    <row r="86" spans="2:9" x14ac:dyDescent="0.3">
      <c r="B86" s="241">
        <v>45648</v>
      </c>
      <c r="C86" s="251">
        <f t="shared" si="18"/>
        <v>12</v>
      </c>
      <c r="D86" s="242">
        <f t="shared" si="19"/>
        <v>234238</v>
      </c>
      <c r="E86" s="243">
        <v>9827</v>
      </c>
      <c r="F86" s="243">
        <v>13671</v>
      </c>
      <c r="G86" s="244">
        <f t="shared" si="16"/>
        <v>230394</v>
      </c>
      <c r="H86" s="245">
        <f t="shared" si="17"/>
        <v>-3844</v>
      </c>
      <c r="I86" s="2">
        <f t="shared" si="20"/>
        <v>232316</v>
      </c>
    </row>
    <row r="87" spans="2:9" x14ac:dyDescent="0.3">
      <c r="B87" s="241">
        <v>45649</v>
      </c>
      <c r="C87" s="251">
        <f t="shared" si="18"/>
        <v>12</v>
      </c>
      <c r="D87" s="242">
        <f t="shared" si="19"/>
        <v>230394</v>
      </c>
      <c r="E87" s="243">
        <v>23002</v>
      </c>
      <c r="F87" s="243">
        <v>14835</v>
      </c>
      <c r="G87" s="244">
        <f t="shared" si="16"/>
        <v>238561</v>
      </c>
      <c r="H87" s="245">
        <f t="shared" si="17"/>
        <v>8167</v>
      </c>
      <c r="I87" s="2">
        <f t="shared" si="20"/>
        <v>234477.5</v>
      </c>
    </row>
    <row r="88" spans="2:9" x14ac:dyDescent="0.3">
      <c r="B88" s="241">
        <v>45650</v>
      </c>
      <c r="C88" s="251">
        <f t="shared" si="18"/>
        <v>12</v>
      </c>
      <c r="D88" s="242">
        <f t="shared" si="19"/>
        <v>238561</v>
      </c>
      <c r="E88" s="243">
        <v>16740</v>
      </c>
      <c r="F88" s="243">
        <v>12245</v>
      </c>
      <c r="G88" s="244">
        <f t="shared" si="16"/>
        <v>243056</v>
      </c>
      <c r="H88" s="245">
        <f t="shared" si="17"/>
        <v>4495</v>
      </c>
      <c r="I88" s="2">
        <f t="shared" si="20"/>
        <v>240808.5</v>
      </c>
    </row>
    <row r="89" spans="2:9" x14ac:dyDescent="0.3">
      <c r="B89" s="241">
        <v>45651</v>
      </c>
      <c r="C89" s="251">
        <f t="shared" si="18"/>
        <v>12</v>
      </c>
      <c r="D89" s="242">
        <f t="shared" si="19"/>
        <v>243056</v>
      </c>
      <c r="E89" s="243">
        <v>10416</v>
      </c>
      <c r="F89" s="243">
        <v>11346</v>
      </c>
      <c r="G89" s="244">
        <f t="shared" si="16"/>
        <v>242126</v>
      </c>
      <c r="H89" s="245">
        <f t="shared" si="17"/>
        <v>-930</v>
      </c>
      <c r="I89" s="2">
        <f t="shared" si="20"/>
        <v>242591</v>
      </c>
    </row>
    <row r="90" spans="2:9" x14ac:dyDescent="0.3">
      <c r="B90" s="241">
        <v>45652</v>
      </c>
      <c r="C90" s="251">
        <f t="shared" si="18"/>
        <v>12</v>
      </c>
      <c r="D90" s="242">
        <f t="shared" si="19"/>
        <v>242126</v>
      </c>
      <c r="E90" s="243">
        <v>13288</v>
      </c>
      <c r="F90" s="243">
        <v>10691</v>
      </c>
      <c r="G90" s="244">
        <f t="shared" si="16"/>
        <v>244723</v>
      </c>
      <c r="H90" s="245">
        <f t="shared" si="17"/>
        <v>2597</v>
      </c>
      <c r="I90" s="2">
        <f t="shared" si="20"/>
        <v>243424.5</v>
      </c>
    </row>
    <row r="91" spans="2:9" x14ac:dyDescent="0.3">
      <c r="B91" s="241">
        <v>45653</v>
      </c>
      <c r="C91" s="251">
        <f t="shared" si="18"/>
        <v>12</v>
      </c>
      <c r="D91" s="242">
        <f t="shared" si="19"/>
        <v>244723</v>
      </c>
      <c r="E91" s="243">
        <v>13144</v>
      </c>
      <c r="F91" s="243">
        <v>15097</v>
      </c>
      <c r="G91" s="244">
        <f t="shared" si="16"/>
        <v>242770</v>
      </c>
      <c r="H91" s="245">
        <f t="shared" si="17"/>
        <v>-1953</v>
      </c>
      <c r="I91" s="2">
        <f t="shared" si="20"/>
        <v>243746.5</v>
      </c>
    </row>
    <row r="92" spans="2:9" x14ac:dyDescent="0.3">
      <c r="B92" s="241">
        <v>45654</v>
      </c>
      <c r="C92" s="251">
        <f t="shared" si="18"/>
        <v>12</v>
      </c>
      <c r="D92" s="242">
        <f t="shared" si="19"/>
        <v>242770</v>
      </c>
      <c r="E92" s="243">
        <v>11408</v>
      </c>
      <c r="F92" s="243">
        <v>10168</v>
      </c>
      <c r="G92" s="244">
        <f t="shared" si="16"/>
        <v>244010</v>
      </c>
      <c r="H92" s="245">
        <f t="shared" si="17"/>
        <v>1240</v>
      </c>
      <c r="I92" s="2">
        <f t="shared" si="20"/>
        <v>243390</v>
      </c>
    </row>
    <row r="93" spans="2:9" x14ac:dyDescent="0.3">
      <c r="B93" s="241">
        <v>45655</v>
      </c>
      <c r="C93" s="251">
        <f t="shared" si="18"/>
        <v>12</v>
      </c>
      <c r="D93" s="242">
        <f t="shared" si="19"/>
        <v>244010</v>
      </c>
      <c r="E93" s="243">
        <v>6541</v>
      </c>
      <c r="F93" s="243">
        <v>620</v>
      </c>
      <c r="G93" s="244">
        <f t="shared" si="16"/>
        <v>249931</v>
      </c>
      <c r="H93" s="245">
        <f t="shared" si="17"/>
        <v>5921</v>
      </c>
      <c r="I93" s="2">
        <f t="shared" si="20"/>
        <v>246970.5</v>
      </c>
    </row>
    <row r="94" spans="2:9" x14ac:dyDescent="0.3">
      <c r="B94" s="241">
        <v>45656</v>
      </c>
      <c r="C94" s="251">
        <f t="shared" si="18"/>
        <v>12</v>
      </c>
      <c r="D94" s="242">
        <f t="shared" si="19"/>
        <v>249931</v>
      </c>
      <c r="E94" s="243">
        <v>4464</v>
      </c>
      <c r="F94" s="243">
        <v>6231</v>
      </c>
      <c r="G94" s="244">
        <f t="shared" si="16"/>
        <v>248164</v>
      </c>
      <c r="H94" s="245">
        <f t="shared" si="17"/>
        <v>-1767</v>
      </c>
      <c r="I94" s="2">
        <f t="shared" si="20"/>
        <v>249047.5</v>
      </c>
    </row>
    <row r="95" spans="2:9" x14ac:dyDescent="0.3">
      <c r="B95" s="241">
        <v>45657</v>
      </c>
      <c r="C95" s="251">
        <f t="shared" si="18"/>
        <v>12</v>
      </c>
      <c r="D95" s="242">
        <f t="shared" si="19"/>
        <v>248164</v>
      </c>
      <c r="E95" s="243">
        <v>4588</v>
      </c>
      <c r="F95" s="243">
        <v>6457</v>
      </c>
      <c r="G95" s="244">
        <f t="shared" si="16"/>
        <v>246295</v>
      </c>
      <c r="H95" s="245">
        <f t="shared" si="17"/>
        <v>-1869</v>
      </c>
      <c r="I95" s="2">
        <f t="shared" si="20"/>
        <v>247229.5</v>
      </c>
    </row>
    <row r="96" spans="2:9" x14ac:dyDescent="0.3">
      <c r="B96" s="241">
        <v>45658</v>
      </c>
      <c r="C96" s="251">
        <f t="shared" si="18"/>
        <v>1</v>
      </c>
      <c r="D96" s="242">
        <f t="shared" si="19"/>
        <v>246295</v>
      </c>
      <c r="E96" s="243">
        <v>4960</v>
      </c>
      <c r="F96" s="243">
        <v>10974</v>
      </c>
      <c r="G96" s="244">
        <f t="shared" si="16"/>
        <v>240281</v>
      </c>
      <c r="H96" s="245">
        <f t="shared" si="17"/>
        <v>-6014</v>
      </c>
      <c r="I96" s="2">
        <f t="shared" si="20"/>
        <v>243288</v>
      </c>
    </row>
    <row r="97" spans="2:9" x14ac:dyDescent="0.3">
      <c r="B97" s="241">
        <v>45659</v>
      </c>
      <c r="C97" s="251">
        <f t="shared" si="18"/>
        <v>1</v>
      </c>
      <c r="D97" s="242">
        <f t="shared" si="19"/>
        <v>240281</v>
      </c>
      <c r="E97" s="243">
        <v>9858</v>
      </c>
      <c r="F97" s="243">
        <v>5213</v>
      </c>
      <c r="G97" s="244">
        <f t="shared" si="16"/>
        <v>244926</v>
      </c>
      <c r="H97" s="245">
        <f t="shared" si="17"/>
        <v>4645</v>
      </c>
      <c r="I97" s="2">
        <f t="shared" si="20"/>
        <v>242603.5</v>
      </c>
    </row>
    <row r="98" spans="2:9" x14ac:dyDescent="0.3">
      <c r="B98" s="241">
        <v>45660</v>
      </c>
      <c r="C98" s="251">
        <f t="shared" si="18"/>
        <v>1</v>
      </c>
      <c r="D98" s="242">
        <f t="shared" si="19"/>
        <v>244926</v>
      </c>
      <c r="E98" s="243">
        <v>11636</v>
      </c>
      <c r="F98" s="243">
        <v>6354</v>
      </c>
      <c r="G98" s="244">
        <f t="shared" si="16"/>
        <v>250208</v>
      </c>
      <c r="H98" s="245">
        <f t="shared" si="17"/>
        <v>5282</v>
      </c>
      <c r="I98" s="2">
        <f t="shared" si="20"/>
        <v>247567</v>
      </c>
    </row>
    <row r="99" spans="2:9" x14ac:dyDescent="0.3">
      <c r="B99" s="241">
        <v>45661</v>
      </c>
      <c r="C99" s="251">
        <f t="shared" si="18"/>
        <v>1</v>
      </c>
      <c r="D99" s="242">
        <f t="shared" si="19"/>
        <v>250208</v>
      </c>
      <c r="E99" s="243">
        <v>6386</v>
      </c>
      <c r="F99" s="243">
        <v>12420</v>
      </c>
      <c r="G99" s="244">
        <f t="shared" si="16"/>
        <v>244174</v>
      </c>
      <c r="H99" s="245">
        <f t="shared" si="17"/>
        <v>-6034</v>
      </c>
      <c r="I99" s="2">
        <f t="shared" si="20"/>
        <v>247191</v>
      </c>
    </row>
    <row r="100" spans="2:9" x14ac:dyDescent="0.3">
      <c r="B100" s="241">
        <v>45662</v>
      </c>
      <c r="C100" s="251">
        <f t="shared" si="18"/>
        <v>1</v>
      </c>
      <c r="D100" s="242">
        <f t="shared" si="19"/>
        <v>244174</v>
      </c>
      <c r="E100" s="243">
        <v>4898</v>
      </c>
      <c r="F100" s="243">
        <v>4061</v>
      </c>
      <c r="G100" s="244">
        <f t="shared" si="16"/>
        <v>245011</v>
      </c>
      <c r="H100" s="245">
        <f t="shared" si="17"/>
        <v>837</v>
      </c>
      <c r="I100" s="2">
        <f t="shared" si="20"/>
        <v>244592.5</v>
      </c>
    </row>
    <row r="101" spans="2:9" x14ac:dyDescent="0.3">
      <c r="B101" s="241">
        <v>45663</v>
      </c>
      <c r="C101" s="251">
        <f t="shared" si="18"/>
        <v>1</v>
      </c>
      <c r="D101" s="242">
        <f t="shared" si="19"/>
        <v>245011</v>
      </c>
      <c r="E101" s="243">
        <v>7316</v>
      </c>
      <c r="F101" s="243">
        <v>5761</v>
      </c>
      <c r="G101" s="244">
        <f t="shared" si="16"/>
        <v>246566</v>
      </c>
      <c r="H101" s="245">
        <f t="shared" si="17"/>
        <v>1555</v>
      </c>
      <c r="I101" s="2">
        <f t="shared" si="20"/>
        <v>245788.5</v>
      </c>
    </row>
    <row r="102" spans="2:9" x14ac:dyDescent="0.3">
      <c r="B102" s="241">
        <v>45664</v>
      </c>
      <c r="C102" s="251">
        <f t="shared" si="18"/>
        <v>1</v>
      </c>
      <c r="D102" s="242">
        <f t="shared" si="19"/>
        <v>246566</v>
      </c>
      <c r="E102" s="243">
        <v>4340</v>
      </c>
      <c r="F102" s="243">
        <v>7983</v>
      </c>
      <c r="G102" s="244">
        <f t="shared" si="16"/>
        <v>242923</v>
      </c>
      <c r="H102" s="245">
        <f t="shared" si="17"/>
        <v>-3643</v>
      </c>
      <c r="I102" s="2">
        <f t="shared" si="20"/>
        <v>244744.5</v>
      </c>
    </row>
    <row r="103" spans="2:9" x14ac:dyDescent="0.3">
      <c r="B103" s="241">
        <v>45665</v>
      </c>
      <c r="C103" s="251">
        <f t="shared" si="18"/>
        <v>1</v>
      </c>
      <c r="D103" s="242">
        <f t="shared" si="19"/>
        <v>242923</v>
      </c>
      <c r="E103" s="243">
        <v>8990</v>
      </c>
      <c r="F103" s="243">
        <v>12710</v>
      </c>
      <c r="G103" s="244">
        <f t="shared" si="16"/>
        <v>239203</v>
      </c>
      <c r="H103" s="245">
        <f t="shared" si="17"/>
        <v>-3720</v>
      </c>
      <c r="I103" s="2">
        <f t="shared" si="20"/>
        <v>241063</v>
      </c>
    </row>
    <row r="104" spans="2:9" x14ac:dyDescent="0.3">
      <c r="B104" s="241">
        <v>45666</v>
      </c>
      <c r="C104" s="251">
        <f t="shared" si="18"/>
        <v>1</v>
      </c>
      <c r="D104" s="242">
        <f t="shared" si="19"/>
        <v>239203</v>
      </c>
      <c r="E104" s="243">
        <v>7688</v>
      </c>
      <c r="F104" s="243">
        <v>9796</v>
      </c>
      <c r="G104" s="244">
        <f t="shared" si="16"/>
        <v>237095</v>
      </c>
      <c r="H104" s="245">
        <f t="shared" si="17"/>
        <v>-2108</v>
      </c>
      <c r="I104" s="2">
        <f t="shared" si="20"/>
        <v>238149</v>
      </c>
    </row>
    <row r="105" spans="2:9" x14ac:dyDescent="0.3">
      <c r="B105" s="241">
        <v>45667</v>
      </c>
      <c r="C105" s="251">
        <f t="shared" si="18"/>
        <v>1</v>
      </c>
      <c r="D105" s="242">
        <f t="shared" si="19"/>
        <v>237095</v>
      </c>
      <c r="E105" s="243">
        <v>11129</v>
      </c>
      <c r="F105" s="243">
        <v>5456</v>
      </c>
      <c r="G105" s="244">
        <f t="shared" si="16"/>
        <v>242768</v>
      </c>
      <c r="H105" s="245">
        <f t="shared" si="17"/>
        <v>5673</v>
      </c>
      <c r="I105" s="2">
        <f t="shared" si="20"/>
        <v>239931.5</v>
      </c>
    </row>
    <row r="106" spans="2:9" x14ac:dyDescent="0.3">
      <c r="B106" s="241">
        <v>45668</v>
      </c>
      <c r="C106" s="251">
        <f t="shared" si="18"/>
        <v>1</v>
      </c>
      <c r="D106" s="242">
        <f t="shared" si="19"/>
        <v>242768</v>
      </c>
      <c r="E106" s="243">
        <v>13144</v>
      </c>
      <c r="F106" s="243">
        <v>6975</v>
      </c>
      <c r="G106" s="244">
        <f t="shared" si="16"/>
        <v>248937</v>
      </c>
      <c r="H106" s="245">
        <f t="shared" si="17"/>
        <v>6169</v>
      </c>
      <c r="I106" s="2">
        <f t="shared" si="20"/>
        <v>245852.5</v>
      </c>
    </row>
    <row r="107" spans="2:9" x14ac:dyDescent="0.3">
      <c r="B107" s="241">
        <v>45669</v>
      </c>
      <c r="C107" s="251">
        <f t="shared" si="18"/>
        <v>1</v>
      </c>
      <c r="D107" s="242">
        <f t="shared" si="19"/>
        <v>248937</v>
      </c>
      <c r="E107" s="243">
        <v>6820</v>
      </c>
      <c r="F107" s="243">
        <v>1953</v>
      </c>
      <c r="G107" s="244">
        <f t="shared" si="16"/>
        <v>253804</v>
      </c>
      <c r="H107" s="245">
        <f t="shared" si="17"/>
        <v>4867</v>
      </c>
      <c r="I107" s="2">
        <f t="shared" si="20"/>
        <v>251370.5</v>
      </c>
    </row>
    <row r="108" spans="2:9" x14ac:dyDescent="0.3">
      <c r="B108" s="241">
        <v>45670</v>
      </c>
      <c r="C108" s="251">
        <f t="shared" si="18"/>
        <v>1</v>
      </c>
      <c r="D108" s="242">
        <f t="shared" si="19"/>
        <v>253804</v>
      </c>
      <c r="E108" s="243">
        <v>9424</v>
      </c>
      <c r="F108" s="243">
        <v>12865</v>
      </c>
      <c r="G108" s="244">
        <f t="shared" si="16"/>
        <v>250363</v>
      </c>
      <c r="H108" s="245">
        <f t="shared" si="17"/>
        <v>-3441</v>
      </c>
      <c r="I108" s="2">
        <f t="shared" si="20"/>
        <v>252083.5</v>
      </c>
    </row>
    <row r="109" spans="2:9" x14ac:dyDescent="0.3">
      <c r="B109" s="241">
        <v>45671</v>
      </c>
      <c r="C109" s="251">
        <f t="shared" si="18"/>
        <v>1</v>
      </c>
      <c r="D109" s="242">
        <f t="shared" si="19"/>
        <v>250363</v>
      </c>
      <c r="E109" s="243">
        <v>5332</v>
      </c>
      <c r="F109" s="243">
        <v>5146</v>
      </c>
      <c r="G109" s="244">
        <f t="shared" si="16"/>
        <v>250549</v>
      </c>
      <c r="H109" s="245">
        <f t="shared" si="17"/>
        <v>186</v>
      </c>
      <c r="I109" s="2">
        <f t="shared" si="20"/>
        <v>250456</v>
      </c>
    </row>
    <row r="110" spans="2:9" x14ac:dyDescent="0.3">
      <c r="B110" s="241">
        <v>45672</v>
      </c>
      <c r="C110" s="251">
        <f t="shared" si="18"/>
        <v>1</v>
      </c>
      <c r="D110" s="242">
        <f t="shared" si="19"/>
        <v>250549</v>
      </c>
      <c r="E110" s="243">
        <v>8494</v>
      </c>
      <c r="F110" s="243">
        <v>9114</v>
      </c>
      <c r="G110" s="244">
        <f t="shared" si="16"/>
        <v>249929</v>
      </c>
      <c r="H110" s="245">
        <f t="shared" si="17"/>
        <v>-620</v>
      </c>
      <c r="I110" s="2">
        <f t="shared" si="20"/>
        <v>250239</v>
      </c>
    </row>
    <row r="111" spans="2:9" x14ac:dyDescent="0.3">
      <c r="B111" s="241">
        <v>45673</v>
      </c>
      <c r="C111" s="251">
        <f t="shared" si="18"/>
        <v>1</v>
      </c>
      <c r="D111" s="242">
        <f t="shared" si="19"/>
        <v>249929</v>
      </c>
      <c r="E111" s="243">
        <v>12152</v>
      </c>
      <c r="F111" s="243">
        <v>14818</v>
      </c>
      <c r="G111" s="244">
        <f t="shared" si="16"/>
        <v>247263</v>
      </c>
      <c r="H111" s="245">
        <f t="shared" si="17"/>
        <v>-2666</v>
      </c>
      <c r="I111" s="2">
        <f t="shared" si="20"/>
        <v>248596</v>
      </c>
    </row>
    <row r="112" spans="2:9" x14ac:dyDescent="0.3">
      <c r="B112" s="241">
        <v>45674</v>
      </c>
      <c r="C112" s="251">
        <f t="shared" si="18"/>
        <v>1</v>
      </c>
      <c r="D112" s="242">
        <f t="shared" si="19"/>
        <v>247263</v>
      </c>
      <c r="E112" s="243">
        <v>11532</v>
      </c>
      <c r="F112" s="243">
        <v>9031</v>
      </c>
      <c r="G112" s="244">
        <f t="shared" si="16"/>
        <v>249764</v>
      </c>
      <c r="H112" s="245">
        <f t="shared" si="17"/>
        <v>2501</v>
      </c>
      <c r="I112" s="2">
        <f t="shared" si="20"/>
        <v>248513.5</v>
      </c>
    </row>
    <row r="113" spans="2:9" x14ac:dyDescent="0.3">
      <c r="B113" s="241">
        <v>45675</v>
      </c>
      <c r="C113" s="251">
        <f t="shared" si="18"/>
        <v>1</v>
      </c>
      <c r="D113" s="242">
        <f t="shared" si="19"/>
        <v>249764</v>
      </c>
      <c r="E113" s="243">
        <v>7068</v>
      </c>
      <c r="F113" s="243">
        <v>8043</v>
      </c>
      <c r="G113" s="244">
        <f t="shared" si="16"/>
        <v>248789</v>
      </c>
      <c r="H113" s="245">
        <f t="shared" si="17"/>
        <v>-975</v>
      </c>
      <c r="I113" s="2">
        <f t="shared" si="20"/>
        <v>249276.5</v>
      </c>
    </row>
    <row r="114" spans="2:9" x14ac:dyDescent="0.3">
      <c r="B114" s="241">
        <v>45676</v>
      </c>
      <c r="C114" s="251">
        <f t="shared" si="18"/>
        <v>1</v>
      </c>
      <c r="D114" s="242">
        <f t="shared" si="19"/>
        <v>248789</v>
      </c>
      <c r="E114" s="243">
        <v>11408</v>
      </c>
      <c r="F114" s="243">
        <v>6235</v>
      </c>
      <c r="G114" s="244">
        <f t="shared" si="16"/>
        <v>253962</v>
      </c>
      <c r="H114" s="245">
        <f t="shared" si="17"/>
        <v>5173</v>
      </c>
      <c r="I114" s="2">
        <f t="shared" si="20"/>
        <v>251375.5</v>
      </c>
    </row>
    <row r="115" spans="2:9" x14ac:dyDescent="0.3">
      <c r="B115" s="241">
        <v>45677</v>
      </c>
      <c r="C115" s="251">
        <f t="shared" si="18"/>
        <v>1</v>
      </c>
      <c r="D115" s="242">
        <f t="shared" si="19"/>
        <v>253962</v>
      </c>
      <c r="E115" s="243">
        <v>7688</v>
      </c>
      <c r="F115" s="243">
        <v>8401</v>
      </c>
      <c r="G115" s="244">
        <f t="shared" si="16"/>
        <v>253249</v>
      </c>
      <c r="H115" s="245">
        <f t="shared" si="17"/>
        <v>-713</v>
      </c>
      <c r="I115" s="2">
        <f t="shared" si="20"/>
        <v>253605.5</v>
      </c>
    </row>
    <row r="116" spans="2:9" x14ac:dyDescent="0.3">
      <c r="B116" s="246">
        <v>45678</v>
      </c>
      <c r="C116" s="251">
        <f t="shared" si="18"/>
        <v>1</v>
      </c>
      <c r="D116" s="242">
        <f t="shared" si="19"/>
        <v>253249</v>
      </c>
      <c r="E116" s="247">
        <v>9300</v>
      </c>
      <c r="F116" s="247">
        <v>8486</v>
      </c>
      <c r="G116" s="244">
        <f t="shared" si="16"/>
        <v>254063</v>
      </c>
      <c r="H116" s="245">
        <f t="shared" si="17"/>
        <v>814</v>
      </c>
      <c r="I116" s="2">
        <f t="shared" si="20"/>
        <v>253656</v>
      </c>
    </row>
    <row r="117" spans="2:9" x14ac:dyDescent="0.3">
      <c r="B117" s="241">
        <v>45679</v>
      </c>
      <c r="C117" s="251">
        <f t="shared" si="18"/>
        <v>1</v>
      </c>
      <c r="D117" s="242">
        <f t="shared" si="19"/>
        <v>254063</v>
      </c>
      <c r="E117" s="243">
        <v>11512</v>
      </c>
      <c r="F117" s="243">
        <v>4650</v>
      </c>
      <c r="G117" s="244">
        <f t="shared" si="16"/>
        <v>260925</v>
      </c>
      <c r="H117" s="245">
        <f t="shared" si="17"/>
        <v>6862</v>
      </c>
      <c r="I117" s="2">
        <f t="shared" si="20"/>
        <v>257494</v>
      </c>
    </row>
    <row r="118" spans="2:9" x14ac:dyDescent="0.3">
      <c r="B118" s="241">
        <v>45680</v>
      </c>
      <c r="C118" s="251">
        <f t="shared" si="18"/>
        <v>1</v>
      </c>
      <c r="D118" s="242">
        <f t="shared" si="19"/>
        <v>260925</v>
      </c>
      <c r="E118" s="243">
        <v>8184</v>
      </c>
      <c r="F118" s="243">
        <v>7130</v>
      </c>
      <c r="G118" s="244">
        <f t="shared" si="16"/>
        <v>261979</v>
      </c>
      <c r="H118" s="245">
        <f t="shared" si="17"/>
        <v>1054</v>
      </c>
      <c r="I118" s="2">
        <f t="shared" si="20"/>
        <v>261452</v>
      </c>
    </row>
    <row r="119" spans="2:9" x14ac:dyDescent="0.3">
      <c r="B119" s="241">
        <v>45681</v>
      </c>
      <c r="C119" s="251">
        <f t="shared" si="18"/>
        <v>1</v>
      </c>
      <c r="D119" s="242">
        <f t="shared" si="19"/>
        <v>261979</v>
      </c>
      <c r="E119" s="243">
        <v>8038</v>
      </c>
      <c r="F119" s="243">
        <v>6232</v>
      </c>
      <c r="G119" s="244">
        <f t="shared" si="16"/>
        <v>263785</v>
      </c>
      <c r="H119" s="245">
        <f t="shared" si="17"/>
        <v>1806</v>
      </c>
      <c r="I119" s="2">
        <f t="shared" si="20"/>
        <v>262882</v>
      </c>
    </row>
    <row r="120" spans="2:9" x14ac:dyDescent="0.3">
      <c r="B120" s="241">
        <v>45682</v>
      </c>
      <c r="C120" s="251">
        <f t="shared" si="18"/>
        <v>1</v>
      </c>
      <c r="D120" s="242">
        <f t="shared" si="19"/>
        <v>263785</v>
      </c>
      <c r="E120" s="243">
        <v>9424</v>
      </c>
      <c r="F120" s="243">
        <v>13752</v>
      </c>
      <c r="G120" s="244">
        <f t="shared" si="16"/>
        <v>259457</v>
      </c>
      <c r="H120" s="245">
        <f t="shared" si="17"/>
        <v>-4328</v>
      </c>
      <c r="I120" s="2">
        <f t="shared" si="20"/>
        <v>261621</v>
      </c>
    </row>
    <row r="121" spans="2:9" x14ac:dyDescent="0.3">
      <c r="B121" s="241">
        <v>45683</v>
      </c>
      <c r="C121" s="251">
        <f t="shared" si="18"/>
        <v>1</v>
      </c>
      <c r="D121" s="242">
        <f t="shared" si="19"/>
        <v>259457</v>
      </c>
      <c r="E121" s="243">
        <v>7316</v>
      </c>
      <c r="F121" s="243">
        <v>7595</v>
      </c>
      <c r="G121" s="244">
        <f t="shared" si="16"/>
        <v>259178</v>
      </c>
      <c r="H121" s="245">
        <f t="shared" si="17"/>
        <v>-279</v>
      </c>
      <c r="I121" s="2">
        <f t="shared" si="20"/>
        <v>259317.5</v>
      </c>
    </row>
    <row r="122" spans="2:9" x14ac:dyDescent="0.3">
      <c r="B122" s="241">
        <v>45684</v>
      </c>
      <c r="C122" s="251">
        <f t="shared" si="18"/>
        <v>1</v>
      </c>
      <c r="D122" s="242">
        <f t="shared" si="19"/>
        <v>259178</v>
      </c>
      <c r="E122" s="243">
        <v>12121</v>
      </c>
      <c r="F122" s="243">
        <v>9249</v>
      </c>
      <c r="G122" s="244">
        <f t="shared" si="16"/>
        <v>262050</v>
      </c>
      <c r="H122" s="245">
        <f t="shared" si="17"/>
        <v>2872</v>
      </c>
      <c r="I122" s="2">
        <f t="shared" si="20"/>
        <v>260614</v>
      </c>
    </row>
    <row r="123" spans="2:9" x14ac:dyDescent="0.3">
      <c r="B123" s="241">
        <v>45685</v>
      </c>
      <c r="C123" s="251">
        <f t="shared" si="18"/>
        <v>1</v>
      </c>
      <c r="D123" s="242">
        <f t="shared" si="19"/>
        <v>262050</v>
      </c>
      <c r="E123" s="243">
        <v>6448</v>
      </c>
      <c r="F123" s="243">
        <v>6026</v>
      </c>
      <c r="G123" s="244">
        <f t="shared" si="16"/>
        <v>262472</v>
      </c>
      <c r="H123" s="245">
        <f t="shared" si="17"/>
        <v>422</v>
      </c>
      <c r="I123" s="2">
        <f t="shared" si="20"/>
        <v>262261</v>
      </c>
    </row>
    <row r="124" spans="2:9" x14ac:dyDescent="0.3">
      <c r="B124" s="241">
        <v>45686</v>
      </c>
      <c r="C124" s="251">
        <f t="shared" si="18"/>
        <v>1</v>
      </c>
      <c r="D124" s="242">
        <f t="shared" si="19"/>
        <v>262472</v>
      </c>
      <c r="E124" s="243">
        <v>620</v>
      </c>
      <c r="F124" s="243">
        <v>10013</v>
      </c>
      <c r="G124" s="244">
        <f t="shared" si="16"/>
        <v>253079</v>
      </c>
      <c r="H124" s="245">
        <f t="shared" si="17"/>
        <v>-9393</v>
      </c>
      <c r="I124" s="2">
        <f t="shared" si="20"/>
        <v>257775.5</v>
      </c>
    </row>
    <row r="125" spans="2:9" x14ac:dyDescent="0.3">
      <c r="B125" s="241">
        <v>45687</v>
      </c>
      <c r="C125" s="251">
        <f t="shared" si="18"/>
        <v>1</v>
      </c>
      <c r="D125" s="242">
        <f t="shared" si="19"/>
        <v>253079</v>
      </c>
      <c r="E125" s="243">
        <v>12276</v>
      </c>
      <c r="F125" s="243">
        <v>10206</v>
      </c>
      <c r="G125" s="244">
        <f t="shared" si="16"/>
        <v>255149</v>
      </c>
      <c r="H125" s="245">
        <f t="shared" si="17"/>
        <v>2070</v>
      </c>
      <c r="I125" s="2">
        <f t="shared" si="20"/>
        <v>254114</v>
      </c>
    </row>
    <row r="126" spans="2:9" x14ac:dyDescent="0.3">
      <c r="B126" s="241">
        <v>45688</v>
      </c>
      <c r="C126" s="251">
        <f t="shared" si="18"/>
        <v>1</v>
      </c>
      <c r="D126" s="242">
        <f t="shared" si="19"/>
        <v>255149</v>
      </c>
      <c r="E126" s="243">
        <v>9796</v>
      </c>
      <c r="F126" s="243">
        <v>9018</v>
      </c>
      <c r="G126" s="244">
        <f t="shared" si="16"/>
        <v>255927</v>
      </c>
      <c r="H126" s="245">
        <f t="shared" si="17"/>
        <v>778</v>
      </c>
      <c r="I126" s="2">
        <f t="shared" si="20"/>
        <v>255538</v>
      </c>
    </row>
    <row r="127" spans="2:9" x14ac:dyDescent="0.3">
      <c r="B127" s="248">
        <v>45689</v>
      </c>
      <c r="C127" s="251">
        <f t="shared" si="18"/>
        <v>2</v>
      </c>
      <c r="D127" s="242">
        <f t="shared" si="19"/>
        <v>255927</v>
      </c>
      <c r="E127" s="244">
        <v>5704</v>
      </c>
      <c r="F127" s="244">
        <v>2908</v>
      </c>
      <c r="G127" s="244">
        <f t="shared" si="16"/>
        <v>258723</v>
      </c>
      <c r="H127" s="245">
        <f>G127-D127</f>
        <v>2796</v>
      </c>
      <c r="I127" s="2">
        <f t="shared" si="20"/>
        <v>257325</v>
      </c>
    </row>
    <row r="128" spans="2:9" x14ac:dyDescent="0.3">
      <c r="B128" s="248">
        <v>45690</v>
      </c>
      <c r="C128" s="251">
        <f t="shared" si="18"/>
        <v>2</v>
      </c>
      <c r="D128" s="242">
        <f t="shared" si="19"/>
        <v>258723</v>
      </c>
      <c r="E128" s="244">
        <v>7192</v>
      </c>
      <c r="F128" s="244">
        <v>1860</v>
      </c>
      <c r="G128" s="244">
        <f t="shared" si="16"/>
        <v>264055</v>
      </c>
      <c r="H128" s="245">
        <f t="shared" ref="H128:H154" si="21">G128-D128</f>
        <v>5332</v>
      </c>
      <c r="I128" s="2">
        <f t="shared" si="20"/>
        <v>261389</v>
      </c>
    </row>
    <row r="129" spans="2:9" x14ac:dyDescent="0.3">
      <c r="B129" s="248">
        <v>45691</v>
      </c>
      <c r="C129" s="251">
        <f t="shared" si="18"/>
        <v>2</v>
      </c>
      <c r="D129" s="242">
        <f t="shared" si="19"/>
        <v>264055</v>
      </c>
      <c r="E129" s="244">
        <v>8897</v>
      </c>
      <c r="F129" s="244">
        <v>10274</v>
      </c>
      <c r="G129" s="244">
        <f t="shared" si="16"/>
        <v>262678</v>
      </c>
      <c r="H129" s="245">
        <f t="shared" si="21"/>
        <v>-1377</v>
      </c>
      <c r="I129" s="2">
        <f t="shared" si="20"/>
        <v>263366.5</v>
      </c>
    </row>
    <row r="130" spans="2:9" x14ac:dyDescent="0.3">
      <c r="B130" s="248">
        <v>45692</v>
      </c>
      <c r="C130" s="251">
        <f t="shared" si="18"/>
        <v>2</v>
      </c>
      <c r="D130" s="242">
        <f t="shared" si="19"/>
        <v>262678</v>
      </c>
      <c r="E130" s="244">
        <v>15128</v>
      </c>
      <c r="F130" s="244">
        <v>19536</v>
      </c>
      <c r="G130" s="244">
        <f t="shared" si="16"/>
        <v>258270</v>
      </c>
      <c r="H130" s="245">
        <f t="shared" si="21"/>
        <v>-4408</v>
      </c>
      <c r="I130" s="2">
        <f t="shared" si="20"/>
        <v>260474</v>
      </c>
    </row>
    <row r="131" spans="2:9" x14ac:dyDescent="0.3">
      <c r="B131" s="248">
        <v>45693</v>
      </c>
      <c r="C131" s="251">
        <f t="shared" si="18"/>
        <v>2</v>
      </c>
      <c r="D131" s="242">
        <f t="shared" si="19"/>
        <v>258270</v>
      </c>
      <c r="E131" s="244">
        <v>10168</v>
      </c>
      <c r="F131" s="244">
        <v>11378</v>
      </c>
      <c r="G131" s="244">
        <f t="shared" si="16"/>
        <v>257060</v>
      </c>
      <c r="H131" s="245">
        <f t="shared" si="21"/>
        <v>-1210</v>
      </c>
      <c r="I131" s="2">
        <f t="shared" si="20"/>
        <v>257665</v>
      </c>
    </row>
    <row r="132" spans="2:9" x14ac:dyDescent="0.3">
      <c r="B132" s="248">
        <v>45694</v>
      </c>
      <c r="C132" s="251">
        <f t="shared" si="18"/>
        <v>2</v>
      </c>
      <c r="D132" s="242">
        <f t="shared" si="19"/>
        <v>257060</v>
      </c>
      <c r="E132" s="244">
        <v>11166</v>
      </c>
      <c r="F132" s="244">
        <v>11439</v>
      </c>
      <c r="G132" s="244">
        <f t="shared" ref="G132:G154" si="22">D132+E132-F132</f>
        <v>256787</v>
      </c>
      <c r="H132" s="245">
        <f t="shared" si="21"/>
        <v>-273</v>
      </c>
      <c r="I132" s="2">
        <f t="shared" si="20"/>
        <v>256923.5</v>
      </c>
    </row>
    <row r="133" spans="2:9" x14ac:dyDescent="0.3">
      <c r="B133" s="248">
        <v>45695</v>
      </c>
      <c r="C133" s="251">
        <f t="shared" ref="C133:C154" si="23">MONTH(B133)</f>
        <v>2</v>
      </c>
      <c r="D133" s="242">
        <f t="shared" ref="D133:D154" si="24">G132</f>
        <v>256787</v>
      </c>
      <c r="E133" s="244">
        <v>8866</v>
      </c>
      <c r="F133" s="244">
        <v>6337</v>
      </c>
      <c r="G133" s="244">
        <f t="shared" si="22"/>
        <v>259316</v>
      </c>
      <c r="H133" s="245">
        <f t="shared" si="21"/>
        <v>2529</v>
      </c>
      <c r="I133" s="2">
        <f t="shared" ref="I133:I154" si="25">(D133+G133)/2</f>
        <v>258051.5</v>
      </c>
    </row>
    <row r="134" spans="2:9" x14ac:dyDescent="0.3">
      <c r="B134" s="248">
        <v>45696</v>
      </c>
      <c r="C134" s="251">
        <f t="shared" si="23"/>
        <v>2</v>
      </c>
      <c r="D134" s="242">
        <f t="shared" si="24"/>
        <v>259316</v>
      </c>
      <c r="E134" s="244">
        <v>10396</v>
      </c>
      <c r="F134" s="244">
        <v>5742</v>
      </c>
      <c r="G134" s="244">
        <f t="shared" si="22"/>
        <v>263970</v>
      </c>
      <c r="H134" s="245">
        <f t="shared" si="21"/>
        <v>4654</v>
      </c>
      <c r="I134" s="2">
        <f t="shared" si="25"/>
        <v>261643</v>
      </c>
    </row>
    <row r="135" spans="2:9" x14ac:dyDescent="0.3">
      <c r="B135" s="248">
        <v>45697</v>
      </c>
      <c r="C135" s="251">
        <f t="shared" si="23"/>
        <v>2</v>
      </c>
      <c r="D135" s="242">
        <f t="shared" si="24"/>
        <v>263970</v>
      </c>
      <c r="E135" s="244">
        <v>3968</v>
      </c>
      <c r="F135" s="244">
        <v>2790</v>
      </c>
      <c r="G135" s="244">
        <f t="shared" si="22"/>
        <v>265148</v>
      </c>
      <c r="H135" s="245">
        <f t="shared" si="21"/>
        <v>1178</v>
      </c>
      <c r="I135" s="2">
        <f t="shared" si="25"/>
        <v>264559</v>
      </c>
    </row>
    <row r="136" spans="2:9" x14ac:dyDescent="0.3">
      <c r="B136" s="248">
        <v>45698</v>
      </c>
      <c r="C136" s="251">
        <f t="shared" si="23"/>
        <v>2</v>
      </c>
      <c r="D136" s="242">
        <f t="shared" si="24"/>
        <v>265148</v>
      </c>
      <c r="E136" s="244">
        <v>10416</v>
      </c>
      <c r="F136" s="244">
        <v>10075</v>
      </c>
      <c r="G136" s="244">
        <f t="shared" si="22"/>
        <v>265489</v>
      </c>
      <c r="H136" s="245">
        <f t="shared" si="21"/>
        <v>341</v>
      </c>
      <c r="I136" s="2">
        <f t="shared" si="25"/>
        <v>265318.5</v>
      </c>
    </row>
    <row r="137" spans="2:9" x14ac:dyDescent="0.3">
      <c r="B137" s="248">
        <v>45699</v>
      </c>
      <c r="C137" s="251">
        <f t="shared" si="23"/>
        <v>2</v>
      </c>
      <c r="D137" s="242">
        <f t="shared" si="24"/>
        <v>265489</v>
      </c>
      <c r="E137" s="244">
        <v>15455</v>
      </c>
      <c r="F137" s="244">
        <v>17785</v>
      </c>
      <c r="G137" s="244">
        <f t="shared" si="22"/>
        <v>263159</v>
      </c>
      <c r="H137" s="245">
        <f t="shared" si="21"/>
        <v>-2330</v>
      </c>
      <c r="I137" s="2">
        <f t="shared" si="25"/>
        <v>264324</v>
      </c>
    </row>
    <row r="138" spans="2:9" x14ac:dyDescent="0.3">
      <c r="B138" s="248">
        <v>45700</v>
      </c>
      <c r="C138" s="251">
        <f t="shared" si="23"/>
        <v>2</v>
      </c>
      <c r="D138" s="242">
        <f t="shared" si="24"/>
        <v>263159</v>
      </c>
      <c r="E138" s="244">
        <v>17701</v>
      </c>
      <c r="F138" s="244">
        <v>15469</v>
      </c>
      <c r="G138" s="244">
        <f t="shared" si="22"/>
        <v>265391</v>
      </c>
      <c r="H138" s="245">
        <f t="shared" si="21"/>
        <v>2232</v>
      </c>
      <c r="I138" s="2">
        <f t="shared" si="25"/>
        <v>264275</v>
      </c>
    </row>
    <row r="139" spans="2:9" x14ac:dyDescent="0.3">
      <c r="B139" s="248">
        <v>45701</v>
      </c>
      <c r="C139" s="251">
        <f t="shared" si="23"/>
        <v>2</v>
      </c>
      <c r="D139" s="242">
        <f t="shared" si="24"/>
        <v>265391</v>
      </c>
      <c r="E139" s="244">
        <v>8680</v>
      </c>
      <c r="F139" s="244">
        <v>7171</v>
      </c>
      <c r="G139" s="244">
        <f t="shared" si="22"/>
        <v>266900</v>
      </c>
      <c r="H139" s="245">
        <f t="shared" si="21"/>
        <v>1509</v>
      </c>
      <c r="I139" s="2">
        <f t="shared" si="25"/>
        <v>266145.5</v>
      </c>
    </row>
    <row r="140" spans="2:9" x14ac:dyDescent="0.3">
      <c r="B140" s="248">
        <v>45702</v>
      </c>
      <c r="C140" s="251">
        <f t="shared" si="23"/>
        <v>2</v>
      </c>
      <c r="D140" s="242">
        <f t="shared" si="24"/>
        <v>266900</v>
      </c>
      <c r="E140" s="244">
        <v>9788</v>
      </c>
      <c r="F140" s="244">
        <v>17701</v>
      </c>
      <c r="G140" s="244">
        <f t="shared" si="22"/>
        <v>258987</v>
      </c>
      <c r="H140" s="245">
        <f t="shared" si="21"/>
        <v>-7913</v>
      </c>
      <c r="I140" s="2">
        <f t="shared" si="25"/>
        <v>262943.5</v>
      </c>
    </row>
    <row r="141" spans="2:9" x14ac:dyDescent="0.3">
      <c r="B141" s="248">
        <v>45703</v>
      </c>
      <c r="C141" s="251">
        <f t="shared" si="23"/>
        <v>2</v>
      </c>
      <c r="D141" s="242">
        <f t="shared" si="24"/>
        <v>258987</v>
      </c>
      <c r="E141" s="244">
        <v>11160</v>
      </c>
      <c r="F141" s="244">
        <v>16712</v>
      </c>
      <c r="G141" s="244">
        <f t="shared" si="22"/>
        <v>253435</v>
      </c>
      <c r="H141" s="245">
        <f t="shared" si="21"/>
        <v>-5552</v>
      </c>
      <c r="I141" s="2">
        <f t="shared" si="25"/>
        <v>256211</v>
      </c>
    </row>
    <row r="142" spans="2:9" x14ac:dyDescent="0.3">
      <c r="B142" s="248">
        <v>45704</v>
      </c>
      <c r="C142" s="251">
        <f t="shared" si="23"/>
        <v>2</v>
      </c>
      <c r="D142" s="242">
        <f t="shared" si="24"/>
        <v>253435</v>
      </c>
      <c r="E142" s="244">
        <v>10788</v>
      </c>
      <c r="F142" s="244">
        <v>16760</v>
      </c>
      <c r="G142" s="244">
        <f t="shared" si="22"/>
        <v>247463</v>
      </c>
      <c r="H142" s="245">
        <f t="shared" si="21"/>
        <v>-5972</v>
      </c>
      <c r="I142" s="2">
        <f t="shared" si="25"/>
        <v>250449</v>
      </c>
    </row>
    <row r="143" spans="2:9" x14ac:dyDescent="0.3">
      <c r="B143" s="248">
        <v>45705</v>
      </c>
      <c r="C143" s="251">
        <f t="shared" si="23"/>
        <v>2</v>
      </c>
      <c r="D143" s="242">
        <f t="shared" si="24"/>
        <v>247463</v>
      </c>
      <c r="E143" s="244">
        <v>13039</v>
      </c>
      <c r="F143" s="244">
        <v>10683</v>
      </c>
      <c r="G143" s="244">
        <f t="shared" si="22"/>
        <v>249819</v>
      </c>
      <c r="H143" s="245">
        <f t="shared" si="21"/>
        <v>2356</v>
      </c>
      <c r="I143" s="2">
        <f t="shared" si="25"/>
        <v>248641</v>
      </c>
    </row>
    <row r="144" spans="2:9" x14ac:dyDescent="0.3">
      <c r="B144" s="248">
        <v>45706</v>
      </c>
      <c r="C144" s="251">
        <f t="shared" si="23"/>
        <v>2</v>
      </c>
      <c r="D144" s="242">
        <f t="shared" si="24"/>
        <v>249819</v>
      </c>
      <c r="E144" s="244">
        <v>11035</v>
      </c>
      <c r="F144" s="244">
        <v>18011</v>
      </c>
      <c r="G144" s="244">
        <f t="shared" si="22"/>
        <v>242843</v>
      </c>
      <c r="H144" s="245">
        <f t="shared" si="21"/>
        <v>-6976</v>
      </c>
      <c r="I144" s="2">
        <f t="shared" si="25"/>
        <v>246331</v>
      </c>
    </row>
    <row r="145" spans="2:9" x14ac:dyDescent="0.3">
      <c r="B145" s="248">
        <v>45707</v>
      </c>
      <c r="C145" s="251">
        <f t="shared" si="23"/>
        <v>2</v>
      </c>
      <c r="D145" s="242">
        <f t="shared" si="24"/>
        <v>242843</v>
      </c>
      <c r="E145" s="244">
        <v>18476</v>
      </c>
      <c r="F145" s="244">
        <v>13120</v>
      </c>
      <c r="G145" s="244">
        <f t="shared" si="22"/>
        <v>248199</v>
      </c>
      <c r="H145" s="245">
        <f t="shared" si="21"/>
        <v>5356</v>
      </c>
      <c r="I145" s="2">
        <f t="shared" si="25"/>
        <v>245521</v>
      </c>
    </row>
    <row r="146" spans="2:9" x14ac:dyDescent="0.3">
      <c r="B146" s="248">
        <v>45708</v>
      </c>
      <c r="C146" s="251">
        <f t="shared" si="23"/>
        <v>2</v>
      </c>
      <c r="D146" s="242">
        <f t="shared" si="24"/>
        <v>248199</v>
      </c>
      <c r="E146" s="244">
        <v>19096</v>
      </c>
      <c r="F146" s="244">
        <v>13051</v>
      </c>
      <c r="G146" s="244">
        <f t="shared" si="22"/>
        <v>254244</v>
      </c>
      <c r="H146" s="245">
        <f t="shared" si="21"/>
        <v>6045</v>
      </c>
      <c r="I146" s="2">
        <f t="shared" si="25"/>
        <v>251221.5</v>
      </c>
    </row>
    <row r="147" spans="2:9" x14ac:dyDescent="0.3">
      <c r="B147" s="248">
        <v>45709</v>
      </c>
      <c r="C147" s="251">
        <f t="shared" si="23"/>
        <v>2</v>
      </c>
      <c r="D147" s="242">
        <f t="shared" si="24"/>
        <v>254244</v>
      </c>
      <c r="E147" s="244">
        <v>9889</v>
      </c>
      <c r="F147" s="244">
        <v>28103</v>
      </c>
      <c r="G147" s="244">
        <f t="shared" si="22"/>
        <v>236030</v>
      </c>
      <c r="H147" s="245">
        <f t="shared" si="21"/>
        <v>-18214</v>
      </c>
      <c r="I147" s="2">
        <f t="shared" si="25"/>
        <v>245137</v>
      </c>
    </row>
    <row r="148" spans="2:9" x14ac:dyDescent="0.3">
      <c r="B148" s="248">
        <v>45710</v>
      </c>
      <c r="C148" s="251">
        <f t="shared" si="23"/>
        <v>2</v>
      </c>
      <c r="D148" s="242">
        <f t="shared" si="24"/>
        <v>236030</v>
      </c>
      <c r="E148" s="244">
        <v>14570</v>
      </c>
      <c r="F148" s="244">
        <v>22630</v>
      </c>
      <c r="G148" s="244">
        <f t="shared" si="22"/>
        <v>227970</v>
      </c>
      <c r="H148" s="245">
        <f t="shared" si="21"/>
        <v>-8060</v>
      </c>
      <c r="I148" s="2">
        <f t="shared" si="25"/>
        <v>232000</v>
      </c>
    </row>
    <row r="149" spans="2:9" x14ac:dyDescent="0.3">
      <c r="B149" s="248">
        <v>45711</v>
      </c>
      <c r="C149" s="251">
        <f t="shared" si="23"/>
        <v>2</v>
      </c>
      <c r="D149" s="242">
        <f t="shared" si="24"/>
        <v>227970</v>
      </c>
      <c r="E149" s="244">
        <v>4216</v>
      </c>
      <c r="F149" s="244">
        <v>9486</v>
      </c>
      <c r="G149" s="244">
        <f t="shared" si="22"/>
        <v>222700</v>
      </c>
      <c r="H149" s="245">
        <f t="shared" si="21"/>
        <v>-5270</v>
      </c>
      <c r="I149" s="2">
        <f t="shared" si="25"/>
        <v>225335</v>
      </c>
    </row>
    <row r="150" spans="2:9" x14ac:dyDescent="0.3">
      <c r="B150" s="248">
        <v>45712</v>
      </c>
      <c r="C150" s="251">
        <f t="shared" si="23"/>
        <v>2</v>
      </c>
      <c r="D150" s="242">
        <f t="shared" si="24"/>
        <v>222700</v>
      </c>
      <c r="E150" s="244">
        <v>2976</v>
      </c>
      <c r="F150" s="244">
        <v>9271</v>
      </c>
      <c r="G150" s="244">
        <f t="shared" si="22"/>
        <v>216405</v>
      </c>
      <c r="H150" s="245">
        <f t="shared" si="21"/>
        <v>-6295</v>
      </c>
      <c r="I150" s="2">
        <f t="shared" si="25"/>
        <v>219552.5</v>
      </c>
    </row>
    <row r="151" spans="2:9" x14ac:dyDescent="0.3">
      <c r="B151" s="248">
        <v>45713</v>
      </c>
      <c r="C151" s="251">
        <f t="shared" si="23"/>
        <v>2</v>
      </c>
      <c r="D151" s="242">
        <f t="shared" si="24"/>
        <v>216405</v>
      </c>
      <c r="E151" s="244">
        <v>4371</v>
      </c>
      <c r="F151" s="244">
        <v>6405</v>
      </c>
      <c r="G151" s="244">
        <f t="shared" si="22"/>
        <v>214371</v>
      </c>
      <c r="H151" s="245">
        <f t="shared" si="21"/>
        <v>-2034</v>
      </c>
      <c r="I151" s="2">
        <f t="shared" si="25"/>
        <v>215388</v>
      </c>
    </row>
    <row r="152" spans="2:9" x14ac:dyDescent="0.3">
      <c r="B152" s="248">
        <v>45714</v>
      </c>
      <c r="C152" s="251">
        <f t="shared" si="23"/>
        <v>2</v>
      </c>
      <c r="D152" s="242">
        <f t="shared" si="24"/>
        <v>214371</v>
      </c>
      <c r="E152" s="244">
        <v>10044</v>
      </c>
      <c r="F152" s="244">
        <v>2666</v>
      </c>
      <c r="G152" s="244">
        <f t="shared" si="22"/>
        <v>221749</v>
      </c>
      <c r="H152" s="245">
        <f t="shared" si="21"/>
        <v>7378</v>
      </c>
      <c r="I152" s="2">
        <f t="shared" si="25"/>
        <v>218060</v>
      </c>
    </row>
    <row r="153" spans="2:9" x14ac:dyDescent="0.3">
      <c r="B153" s="248">
        <v>45715</v>
      </c>
      <c r="C153" s="251">
        <f t="shared" si="23"/>
        <v>2</v>
      </c>
      <c r="D153" s="242">
        <f t="shared" si="24"/>
        <v>221749</v>
      </c>
      <c r="E153" s="244">
        <v>8432</v>
      </c>
      <c r="F153" s="244">
        <v>2637</v>
      </c>
      <c r="G153" s="244">
        <f t="shared" si="22"/>
        <v>227544</v>
      </c>
      <c r="H153" s="245">
        <f t="shared" si="21"/>
        <v>5795</v>
      </c>
      <c r="I153" s="2">
        <f t="shared" si="25"/>
        <v>224646.5</v>
      </c>
    </row>
    <row r="154" spans="2:9" x14ac:dyDescent="0.3">
      <c r="B154" s="248">
        <v>45716</v>
      </c>
      <c r="C154" s="251">
        <f t="shared" si="23"/>
        <v>2</v>
      </c>
      <c r="D154" s="242">
        <f t="shared" si="24"/>
        <v>227544</v>
      </c>
      <c r="E154" s="244"/>
      <c r="F154" s="244"/>
      <c r="G154" s="244">
        <f t="shared" si="22"/>
        <v>227544</v>
      </c>
      <c r="H154" s="245">
        <f t="shared" si="21"/>
        <v>0</v>
      </c>
      <c r="I154" s="2">
        <f t="shared" si="25"/>
        <v>227544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A317-B169-47A6-B675-8679717BA007}">
  <dimension ref="A3:C10"/>
  <sheetViews>
    <sheetView workbookViewId="0">
      <selection activeCell="D13" sqref="D13"/>
    </sheetView>
  </sheetViews>
  <sheetFormatPr defaultRowHeight="14.4" x14ac:dyDescent="0.3"/>
  <sheetData>
    <row r="3" spans="1:3" x14ac:dyDescent="0.3">
      <c r="A3" t="s">
        <v>25</v>
      </c>
      <c r="B3" t="s">
        <v>22</v>
      </c>
      <c r="C3" t="s">
        <v>26</v>
      </c>
    </row>
    <row r="4" spans="1:3" x14ac:dyDescent="0.3">
      <c r="A4" t="s">
        <v>27</v>
      </c>
      <c r="B4" s="4">
        <v>0.25169999999999998</v>
      </c>
      <c r="C4" s="22">
        <f>[1]Group!$E$6</f>
        <v>0.2</v>
      </c>
    </row>
    <row r="5" spans="1:3" x14ac:dyDescent="0.3">
      <c r="A5" t="s">
        <v>28</v>
      </c>
      <c r="B5" s="4">
        <v>0.29120000000000001</v>
      </c>
      <c r="C5" s="22">
        <f>[1]Group!$F$6</f>
        <v>0.13314816430859411</v>
      </c>
    </row>
    <row r="6" spans="1:3" x14ac:dyDescent="0.3">
      <c r="A6" t="s">
        <v>29</v>
      </c>
      <c r="B6" s="4">
        <v>0.25170000000000003</v>
      </c>
      <c r="C6" s="22">
        <f>[1]Group!$G$6</f>
        <v>0.2</v>
      </c>
    </row>
    <row r="7" spans="1:3" x14ac:dyDescent="0.3">
      <c r="A7" t="s">
        <v>30</v>
      </c>
      <c r="B7" s="4">
        <v>0.17180000000000001</v>
      </c>
      <c r="C7" s="33">
        <f>[1]Group!$H$6</f>
        <v>0.13103112913022891</v>
      </c>
    </row>
    <row r="8" spans="1:3" x14ac:dyDescent="0.3">
      <c r="A8" t="s">
        <v>31</v>
      </c>
      <c r="B8" s="4">
        <v>0.17180000000000001</v>
      </c>
      <c r="C8" s="22">
        <f>[1]Group!$I$6</f>
        <v>9.0338275022126407E-2</v>
      </c>
    </row>
    <row r="9" spans="1:3" x14ac:dyDescent="0.3">
      <c r="A9" t="s">
        <v>32</v>
      </c>
      <c r="B9" s="4">
        <v>0.25170000000000003</v>
      </c>
      <c r="C9" s="22">
        <f>[1]Group!$J$6</f>
        <v>0.2</v>
      </c>
    </row>
    <row r="10" spans="1:3" x14ac:dyDescent="0.3">
      <c r="A10" t="s">
        <v>33</v>
      </c>
      <c r="B10" s="4">
        <v>0.25170000000000003</v>
      </c>
      <c r="C10" s="22">
        <f>[1]Group!$K$6</f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Inputs</vt:lpstr>
      <vt:lpstr>IRR</vt:lpstr>
      <vt:lpstr>Sensitivities</vt:lpstr>
      <vt:lpstr>Computations</vt:lpstr>
      <vt:lpstr>Opportunity Cost</vt:lpstr>
      <vt:lpstr>Project Capex</vt:lpstr>
      <vt:lpstr>Term Loan</vt:lpstr>
      <vt:lpstr>Project Expenses</vt:lpstr>
      <vt:lpstr>Project Cost Details</vt:lpstr>
      <vt:lpstr>Pre - operating expense</vt:lpstr>
      <vt:lpstr>HSTL </vt:lpstr>
      <vt:lpstr>Warehouse Inventory </vt:lpstr>
      <vt:lpstr>Radiant Reference</vt:lpstr>
      <vt:lpstr>Kothur Reference</vt:lpstr>
      <vt:lpstr>Sheet5</vt:lpstr>
      <vt:lpstr>Day wise Churning</vt:lpstr>
      <vt:lpstr>Tax and 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Bharat Gaidhane</dc:creator>
  <cp:lastModifiedBy>Nilesh Bharat Gaidhane</cp:lastModifiedBy>
  <cp:lastPrinted>2025-03-04T07:34:09Z</cp:lastPrinted>
  <dcterms:created xsi:type="dcterms:W3CDTF">2024-10-21T12:02:28Z</dcterms:created>
  <dcterms:modified xsi:type="dcterms:W3CDTF">2025-04-28T06:04:10Z</dcterms:modified>
</cp:coreProperties>
</file>