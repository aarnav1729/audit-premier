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pel-my.sharepoint.com/personal/naresh_m_premierenergies_com/Documents/Desktop/Desktop/Data - Tracker/claims tracker/"/>
    </mc:Choice>
  </mc:AlternateContent>
  <xr:revisionPtr revIDLastSave="313" documentId="8_{57F39204-C231-4E5B-B4EF-4829121B4FFA}" xr6:coauthVersionLast="47" xr6:coauthVersionMax="47" xr10:uidLastSave="{00D8775E-78FB-4703-BB54-276CDCA29ED8}"/>
  <bookViews>
    <workbookView xWindow="-110" yWindow="-110" windowWidth="19420" windowHeight="10300" activeTab="1" xr2:uid="{A30C3D6B-8AD8-4988-811F-E01E3EE5144C}"/>
  </bookViews>
  <sheets>
    <sheet name="Motor clams" sheetId="2" r:id="rId1"/>
    <sheet name="Claims Data" sheetId="1" r:id="rId2"/>
  </sheets>
  <definedNames>
    <definedName name="_xlnm._FilterDatabase" localSheetId="1" hidden="1">'Claims Data'!$A$1:$V$34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S30" i="1"/>
</calcChain>
</file>

<file path=xl/sharedStrings.xml><?xml version="1.0" encoding="utf-8"?>
<sst xmlns="http://schemas.openxmlformats.org/spreadsheetml/2006/main" count="483" uniqueCount="233">
  <si>
    <t>Claim Staus</t>
  </si>
  <si>
    <t>Assessed Amount</t>
  </si>
  <si>
    <t>Claimed Amount</t>
  </si>
  <si>
    <t>Reason For pending</t>
  </si>
  <si>
    <t xml:space="preserve">Responsible Person Contact Details </t>
  </si>
  <si>
    <t xml:space="preserve">Responsible Person Name </t>
  </si>
  <si>
    <t>Carrier / Vehicle Number</t>
  </si>
  <si>
    <t>Carrier Name</t>
  </si>
  <si>
    <t>Invoice Number</t>
  </si>
  <si>
    <t>Customer Name as per Invoice</t>
  </si>
  <si>
    <t>Date of Intimation received</t>
  </si>
  <si>
    <t>Date of Loss</t>
  </si>
  <si>
    <t xml:space="preserve">Name of warehouse/storage location </t>
  </si>
  <si>
    <t>Loss Location</t>
  </si>
  <si>
    <t>Surveyor</t>
  </si>
  <si>
    <t>Policy no</t>
  </si>
  <si>
    <t xml:space="preserve">Type of policy </t>
  </si>
  <si>
    <t xml:space="preserve">Entity </t>
  </si>
  <si>
    <t>Insurer</t>
  </si>
  <si>
    <t>Insurer Claim No</t>
  </si>
  <si>
    <t>Premier Energies Claim Reference Number</t>
  </si>
  <si>
    <t>2026-01-10-PEGEPL-STOP</t>
  </si>
  <si>
    <t>To be updated</t>
  </si>
  <si>
    <t>National</t>
  </si>
  <si>
    <t>Marine STOP</t>
  </si>
  <si>
    <t>550300212510000016</t>
  </si>
  <si>
    <t>Mc Larens</t>
  </si>
  <si>
    <t>BN PEAK POWER-1 PRIVATE LIMITED</t>
  </si>
  <si>
    <t>IN2636043792</t>
  </si>
  <si>
    <t>INLAND WORLD LOGISTICS</t>
  </si>
  <si>
    <t>MH14EM8497</t>
  </si>
  <si>
    <t>Siva Bala</t>
  </si>
  <si>
    <t>7904023016</t>
  </si>
  <si>
    <t>Initial surevoy done</t>
  </si>
  <si>
    <t>SNU Dadri - Modules damaged due to storm</t>
  </si>
  <si>
    <t xml:space="preserve"> Baljeet Singh - 9 solar modules and structure damaged</t>
  </si>
  <si>
    <t>Storm Damaged solar pump of Silk farm UP</t>
  </si>
  <si>
    <t>NTPC Claim</t>
  </si>
  <si>
    <t>Annaram claim</t>
  </si>
  <si>
    <t>MEDA - Cable Stolen</t>
  </si>
  <si>
    <t>AYANA RENEWABLE - Gujarat location</t>
  </si>
  <si>
    <t>Cell Damages - Accident at P2</t>
  </si>
  <si>
    <t xml:space="preserve">NTPC </t>
  </si>
  <si>
    <t>IRCON - Marine Damage</t>
  </si>
  <si>
    <t>Cell Damages - Accident at P4</t>
  </si>
  <si>
    <t>Madhav Infra - Accident Marine claim</t>
  </si>
  <si>
    <t>CGE RENEWABLES - Continium</t>
  </si>
  <si>
    <t>Solarcraft Power India - Blupine</t>
  </si>
  <si>
    <t>SNU - Dadri Damage claims</t>
  </si>
  <si>
    <t>DSNU - Dhulera</t>
  </si>
  <si>
    <t>Vashi Intergraded solutions -Channel sales</t>
  </si>
  <si>
    <t>Glass- Ongole Container Damaged</t>
  </si>
  <si>
    <t>Eastman - Cells Damaged</t>
  </si>
  <si>
    <t>Dalavaipuram -RJ02GB3966 - Continuum - 2</t>
  </si>
  <si>
    <t>Luminos - Cell Damaged</t>
  </si>
  <si>
    <t>Solidus - Punjab</t>
  </si>
  <si>
    <t>Backsheet - 2 Rools damaged</t>
  </si>
  <si>
    <t>PEDA - 13 Modules Damage</t>
  </si>
  <si>
    <t>MEGHA Washim Dispatch</t>
  </si>
  <si>
    <t>Pixon to Jalna Warehouse</t>
  </si>
  <si>
    <t>EVA FILM F406PS - WET Conditions</t>
  </si>
  <si>
    <t>Damaged Glass Pallets Found – CSG DMR 8872</t>
  </si>
  <si>
    <t xml:space="preserve">QUARTZ TUBE - DAMAGE </t>
  </si>
  <si>
    <t>BL NO. GLLVN0002733- GLASS PALLETS DAMAGE</t>
  </si>
  <si>
    <t>ICICI</t>
  </si>
  <si>
    <t>Bajaj</t>
  </si>
  <si>
    <t>PEL</t>
  </si>
  <si>
    <t>PEPPL</t>
  </si>
  <si>
    <t>PEIPL</t>
  </si>
  <si>
    <t>PEGEPL</t>
  </si>
  <si>
    <t>SFSP</t>
  </si>
  <si>
    <t>Burglary</t>
  </si>
  <si>
    <t>IAR</t>
  </si>
  <si>
    <t>Proclaim</t>
  </si>
  <si>
    <t>Intech</t>
  </si>
  <si>
    <t>SIB GUJ</t>
  </si>
  <si>
    <t>Adarsh Associated</t>
  </si>
  <si>
    <t>Harish Gupta</t>
  </si>
  <si>
    <t xml:space="preserve">Team Insurance Surveyors </t>
  </si>
  <si>
    <t>Seshibushan</t>
  </si>
  <si>
    <t xml:space="preserve">Rank Insurance </t>
  </si>
  <si>
    <t>Sun Glow</t>
  </si>
  <si>
    <t>3rd Eye</t>
  </si>
  <si>
    <t>Umamaheshwar</t>
  </si>
  <si>
    <t>Premier Energies Limited</t>
  </si>
  <si>
    <t>N Ramakreishna</t>
  </si>
  <si>
    <t xml:space="preserve">Kothur shifting  vehicle accident </t>
  </si>
  <si>
    <t>AP20TC0481</t>
  </si>
  <si>
    <t>NA</t>
  </si>
  <si>
    <t>IN2536022278</t>
  </si>
  <si>
    <t>IN2536052913</t>
  </si>
  <si>
    <t>IN2536052989</t>
  </si>
  <si>
    <t>IN2536026899</t>
  </si>
  <si>
    <t>IN2536027672</t>
  </si>
  <si>
    <t>IN2536054512</t>
  </si>
  <si>
    <t>IN2636050438</t>
  </si>
  <si>
    <t>IN2636051459</t>
  </si>
  <si>
    <t xml:space="preserve">0090055251 </t>
  </si>
  <si>
    <t>IN2636022349</t>
  </si>
  <si>
    <t>AL-PE02.02/2025</t>
  </si>
  <si>
    <t>IN2636022277</t>
  </si>
  <si>
    <t>IN2636052112</t>
  </si>
  <si>
    <t>IN2636022372</t>
  </si>
  <si>
    <t>IN2636040991</t>
  </si>
  <si>
    <t>IN2636041474</t>
  </si>
  <si>
    <t xml:space="preserve">2474662218900 </t>
  </si>
  <si>
    <t>MSBV250202</t>
  </si>
  <si>
    <t>INV-450-4</t>
  </si>
  <si>
    <t>E-BI37-002</t>
  </si>
  <si>
    <t>80939160</t>
  </si>
  <si>
    <t>PRC LOGISTICS</t>
  </si>
  <si>
    <t>ShreeShyam</t>
  </si>
  <si>
    <t>Premier Roadline</t>
  </si>
  <si>
    <t>DHTC INDIA</t>
  </si>
  <si>
    <t>Vision Roadlines</t>
  </si>
  <si>
    <t>RITCO</t>
  </si>
  <si>
    <t>CHETAN Roadlines</t>
  </si>
  <si>
    <t>ICSC</t>
  </si>
  <si>
    <t>Express Roadways</t>
  </si>
  <si>
    <t>JAJODIA ROAD LINES</t>
  </si>
  <si>
    <t>Deepak Agencies</t>
  </si>
  <si>
    <t>ISSGF India Pvt Ltd</t>
  </si>
  <si>
    <t>GJ08AU9293</t>
  </si>
  <si>
    <t>AP26Y3473</t>
  </si>
  <si>
    <t>MH46BF9598</t>
  </si>
  <si>
    <t>RJ14GP1850</t>
  </si>
  <si>
    <t>RJ11GC6786</t>
  </si>
  <si>
    <t>MH16DP7471</t>
  </si>
  <si>
    <t>GJ39T6190</t>
  </si>
  <si>
    <t>RJ14GJ5639</t>
  </si>
  <si>
    <t>MH23AU2233</t>
  </si>
  <si>
    <t>TN04AU4897</t>
  </si>
  <si>
    <t>HR38AJ9570</t>
  </si>
  <si>
    <t>RJ02GB3966</t>
  </si>
  <si>
    <t>HR55AR2278</t>
  </si>
  <si>
    <t>PB11BU4185</t>
  </si>
  <si>
    <t xml:space="preserve">GJ27TF1784 </t>
  </si>
  <si>
    <t>MH46CU3283</t>
  </si>
  <si>
    <t>TN04BC7992</t>
  </si>
  <si>
    <t xml:space="preserve">TN04AQ1299 </t>
  </si>
  <si>
    <t>Multiple</t>
  </si>
  <si>
    <t>Anjaneyulu</t>
  </si>
  <si>
    <t xml:space="preserve">Nana </t>
  </si>
  <si>
    <t>Virender</t>
  </si>
  <si>
    <t>Manas</t>
  </si>
  <si>
    <t>Narasimha</t>
  </si>
  <si>
    <t>Karuna</t>
  </si>
  <si>
    <t>Subhasish</t>
  </si>
  <si>
    <t>Surya Prakash</t>
  </si>
  <si>
    <t>Subham</t>
  </si>
  <si>
    <t>Shashank</t>
  </si>
  <si>
    <t>Siva bala</t>
  </si>
  <si>
    <t>Vinod</t>
  </si>
  <si>
    <t>Subashis</t>
  </si>
  <si>
    <t>Nouman</t>
  </si>
  <si>
    <t>Dadri - Noida</t>
  </si>
  <si>
    <t>Haryana</t>
  </si>
  <si>
    <t>Uttar Pradesh</t>
  </si>
  <si>
    <t>Nokh</t>
  </si>
  <si>
    <t>Annaram</t>
  </si>
  <si>
    <t>Maharashtra</t>
  </si>
  <si>
    <t>Vadodara</t>
  </si>
  <si>
    <t>Factory - P2</t>
  </si>
  <si>
    <t>Factory - P4</t>
  </si>
  <si>
    <t>Dhulera - Noida</t>
  </si>
  <si>
    <t>Kothur</t>
  </si>
  <si>
    <t>Claim settled</t>
  </si>
  <si>
    <t>Claim Settled</t>
  </si>
  <si>
    <t>Waiting for the payment</t>
  </si>
  <si>
    <t>E-Auction done - Assesment awaited (Revised Claim bill to be submitted)</t>
  </si>
  <si>
    <t>Assesment accepted - Payment awaited</t>
  </si>
  <si>
    <t>Originals sent courier - Waiting for assesment</t>
  </si>
  <si>
    <t>E-Auction done - Assesment &amp; Final EL test report awaited ((Revised Claim bill to be submitted))</t>
  </si>
  <si>
    <t>Assesment awaited</t>
  </si>
  <si>
    <t>All the documents shared with Surveyor</t>
  </si>
  <si>
    <t>Assesment received and accepted - payment awaited</t>
  </si>
  <si>
    <t>Final QA report awaited - Sriram</t>
  </si>
  <si>
    <t>Claim closed, there are no damages found</t>
  </si>
  <si>
    <t>Claim Closed - As claimed amount falling under Excess</t>
  </si>
  <si>
    <t>Initial survey done, DC &amp; MLC Submitted</t>
  </si>
  <si>
    <t>Initial survey done - LOR Awaited</t>
  </si>
  <si>
    <t>550300212590698852</t>
  </si>
  <si>
    <t xml:space="preserve">550300212310000091 </t>
  </si>
  <si>
    <t>550300212491399370</t>
  </si>
  <si>
    <t>550300212410000078</t>
  </si>
  <si>
    <t>550300212590538041/1</t>
  </si>
  <si>
    <t>'550300212590542748/1</t>
  </si>
  <si>
    <t>550300212510000007</t>
  </si>
  <si>
    <t>550300212590412646/1</t>
  </si>
  <si>
    <t>Solarcarft India</t>
  </si>
  <si>
    <t>'550300212510000007</t>
  </si>
  <si>
    <t>550300212591172728/1</t>
  </si>
  <si>
    <t>550300212590200017/1</t>
  </si>
  <si>
    <t>550300212590509205/1</t>
  </si>
  <si>
    <t>'550300212410000078</t>
  </si>
  <si>
    <t>550300212590559180/1</t>
  </si>
  <si>
    <t>550300212590575669/1</t>
  </si>
  <si>
    <t>550300112590257216/1</t>
  </si>
  <si>
    <t>550300112410000167</t>
  </si>
  <si>
    <t>New India</t>
  </si>
  <si>
    <t>F/08/2025-26</t>
  </si>
  <si>
    <t>0131001124P120927796</t>
  </si>
  <si>
    <t>SNU Dadri University</t>
  </si>
  <si>
    <t>Dhulera</t>
  </si>
  <si>
    <t>550300212510000012</t>
  </si>
  <si>
    <t>SB/SLA/NIC/SBO/SDB/0089</t>
  </si>
  <si>
    <t>Factory</t>
  </si>
  <si>
    <t>Bagawathi</t>
  </si>
  <si>
    <t>Maharastra Osmanabad</t>
  </si>
  <si>
    <t>P4 - Factory</t>
  </si>
  <si>
    <t>Not Applicable</t>
  </si>
  <si>
    <t>Remarks</t>
  </si>
  <si>
    <t>Open</t>
  </si>
  <si>
    <t xml:space="preserve">550300212510000007 </t>
  </si>
  <si>
    <t>Kommalapadu - AP</t>
  </si>
  <si>
    <t>VASHI INTEGRATED SOLUTIONS</t>
  </si>
  <si>
    <t>550300212491346333</t>
  </si>
  <si>
    <t>550300212310000091</t>
  </si>
  <si>
    <t>Tranist Damage</t>
  </si>
  <si>
    <t>Closed</t>
  </si>
  <si>
    <t>E-Auction Done - Won with H1 - Assesment awaited</t>
  </si>
  <si>
    <t>Benz 2112</t>
  </si>
  <si>
    <t>C-230025208188</t>
  </si>
  <si>
    <t>HDFC</t>
  </si>
  <si>
    <t>Motor</t>
  </si>
  <si>
    <t>2302 2075 2790 1200 000</t>
  </si>
  <si>
    <t>Hyderabad</t>
  </si>
  <si>
    <t xml:space="preserve">MD.AYJAZ AHAMED </t>
  </si>
  <si>
    <t>9010100519</t>
  </si>
  <si>
    <t>Kalyan</t>
  </si>
  <si>
    <t>Waiting for the final assesment</t>
  </si>
  <si>
    <t>Surveyor Requested for virtual survey on 7th Feb 2026 for more modules</t>
  </si>
  <si>
    <t>Surveyor Requested for Pictures for more modules on EL test – E-Auction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</si>
</sst>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Book Antiqua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0" fillId="0" borderId="1" xfId="0" quotePrefix="1" applyBorder="1" applyAlignment="1">
      <alignment vertical="top"/>
    </xf>
    <xf numFmtId="0" fontId="3" fillId="0" borderId="1" xfId="0" quotePrefix="1" applyFont="1" applyBorder="1" applyAlignment="1">
      <alignment vertical="top"/>
    </xf>
    <xf numFmtId="3" fontId="0" fillId="0" borderId="1" xfId="0" applyNumberForma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3" fontId="4" fillId="0" borderId="1" xfId="0" applyNumberFormat="1" applyFont="1" applyBorder="1"/>
    <xf numFmtId="3" fontId="3" fillId="0" borderId="1" xfId="0" applyNumberFormat="1" applyFont="1" applyBorder="1"/>
    <xf numFmtId="3" fontId="3" fillId="0" borderId="1" xfId="0" applyNumberFormat="1" applyFont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5" fillId="0" borderId="1" xfId="0" quotePrefix="1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vertical="top"/>
    </xf>
    <xf numFmtId="0" fontId="7" fillId="0" borderId="1" xfId="0" quotePrefix="1" applyFont="1" applyBorder="1"/>
    <xf numFmtId="0" fontId="8" fillId="0" borderId="1" xfId="0" applyFont="1" applyBorder="1" applyAlignment="1">
      <alignment vertical="top"/>
    </xf>
    <xf numFmtId="0" fontId="7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top"/>
    </xf>
    <xf numFmtId="3" fontId="7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3" fontId="9" fillId="0" borderId="1" xfId="0" applyNumberFormat="1" applyFont="1" applyBorder="1"/>
    <xf numFmtId="0" fontId="7" fillId="0" borderId="1" xfId="0" quotePrefix="1" applyFont="1" applyBorder="1" applyAlignment="1">
      <alignment vertical="top"/>
    </xf>
    <xf numFmtId="0" fontId="10" fillId="0" borderId="1" xfId="0" quotePrefix="1" applyFont="1" applyBorder="1"/>
    <xf numFmtId="14" fontId="8" fillId="0" borderId="1" xfId="0" applyNumberFormat="1" applyFont="1" applyBorder="1" applyAlignment="1">
      <alignment horizontal="center" vertical="top"/>
    </xf>
    <xf numFmtId="0" fontId="8" fillId="0" borderId="1" xfId="0" quotePrefix="1" applyFont="1" applyBorder="1" applyAlignment="1">
      <alignment vertical="top"/>
    </xf>
    <xf numFmtId="3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4" fontId="0" fillId="0" borderId="1" xfId="0" applyNumberFormat="1" applyBorder="1"/>
    <xf numFmtId="3" fontId="1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38FF-F870-4522-B0DC-1A70F68A5FDD}">
  <dimension ref="A1:P2"/>
  <sheetViews>
    <sheetView topLeftCell="L1" workbookViewId="0">
      <selection activeCell="L5" sqref="L5"/>
    </sheetView>
  </sheetViews>
  <sheetFormatPr defaultRowHeight="14.5" x14ac:dyDescent="0.35"/>
  <cols>
    <col min="1" max="1" width="33.6328125" bestFit="1" customWidth="1"/>
    <col min="2" max="2" width="13.6328125" bestFit="1" customWidth="1"/>
    <col min="3" max="3" width="6.26953125" bestFit="1" customWidth="1"/>
    <col min="4" max="4" width="5.453125" bestFit="1" customWidth="1"/>
    <col min="5" max="5" width="11.453125" bestFit="1" customWidth="1"/>
    <col min="6" max="6" width="7.6328125" bestFit="1" customWidth="1"/>
    <col min="7" max="7" width="7.54296875" bestFit="1" customWidth="1"/>
    <col min="8" max="8" width="11" bestFit="1" customWidth="1"/>
    <col min="9" max="9" width="10.08984375" bestFit="1" customWidth="1"/>
    <col min="10" max="10" width="21.453125" bestFit="1" customWidth="1"/>
    <col min="11" max="11" width="21.1796875" bestFit="1" customWidth="1"/>
    <col min="12" max="12" width="28.453125" bestFit="1" customWidth="1"/>
    <col min="13" max="13" width="13.54296875" bestFit="1" customWidth="1"/>
    <col min="14" max="14" width="14.26953125" bestFit="1" customWidth="1"/>
    <col min="15" max="15" width="9.90625" bestFit="1" customWidth="1"/>
    <col min="16" max="16" width="7.453125" bestFit="1" customWidth="1"/>
  </cols>
  <sheetData>
    <row r="1" spans="1:16" s="24" customFormat="1" ht="13" x14ac:dyDescent="0.3">
      <c r="A1" s="20" t="s">
        <v>20</v>
      </c>
      <c r="B1" s="21" t="s">
        <v>19</v>
      </c>
      <c r="C1" s="21" t="s">
        <v>18</v>
      </c>
      <c r="D1" s="22" t="s">
        <v>17</v>
      </c>
      <c r="E1" s="22" t="s">
        <v>16</v>
      </c>
      <c r="F1" s="22" t="s">
        <v>15</v>
      </c>
      <c r="G1" s="22" t="s">
        <v>14</v>
      </c>
      <c r="H1" s="21" t="s">
        <v>13</v>
      </c>
      <c r="I1" s="21" t="s">
        <v>11</v>
      </c>
      <c r="J1" s="21" t="s">
        <v>10</v>
      </c>
      <c r="K1" s="22" t="s">
        <v>5</v>
      </c>
      <c r="L1" s="22" t="s">
        <v>4</v>
      </c>
      <c r="M1" s="22" t="s">
        <v>2</v>
      </c>
      <c r="N1" s="22" t="s">
        <v>1</v>
      </c>
      <c r="O1" s="22" t="s">
        <v>0</v>
      </c>
      <c r="P1" s="22" t="s">
        <v>211</v>
      </c>
    </row>
    <row r="2" spans="1:16" x14ac:dyDescent="0.35">
      <c r="A2" s="1" t="s">
        <v>221</v>
      </c>
      <c r="B2" s="1" t="s">
        <v>222</v>
      </c>
      <c r="C2" s="1" t="s">
        <v>223</v>
      </c>
      <c r="D2" s="1" t="s">
        <v>68</v>
      </c>
      <c r="E2" s="1" t="s">
        <v>224</v>
      </c>
      <c r="F2" s="1" t="s">
        <v>225</v>
      </c>
      <c r="G2" s="1" t="s">
        <v>229</v>
      </c>
      <c r="H2" s="1" t="s">
        <v>226</v>
      </c>
      <c r="I2" s="45">
        <v>45958</v>
      </c>
      <c r="J2" s="45">
        <v>45959</v>
      </c>
      <c r="K2" s="1" t="s">
        <v>227</v>
      </c>
      <c r="L2" s="2" t="s">
        <v>228</v>
      </c>
      <c r="M2" s="46">
        <v>637647</v>
      </c>
      <c r="N2" s="1"/>
      <c r="O2" s="1" t="s">
        <v>212</v>
      </c>
      <c r="P2" s="1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59D4-5A80-42DF-A438-57B243A4BE62}">
  <sheetPr filterMode="1"/>
  <dimension ref="A1:V35"/>
  <sheetViews>
    <sheetView tabSelected="1" workbookViewId="0">
      <pane xSplit="3" ySplit="7" topLeftCell="P9" activePane="bottomRight" state="frozen"/>
      <selection pane="topRight" activeCell="D1" sqref="D1"/>
      <selection pane="bottomLeft" activeCell="A8" sqref="A8"/>
      <selection pane="bottomRight" activeCell="U1" sqref="U1:U1048576"/>
    </sheetView>
  </sheetViews>
  <sheetFormatPr defaultRowHeight="13" x14ac:dyDescent="0.3"/>
  <cols>
    <col min="1" max="1" width="45.26953125" style="24" bestFit="1" customWidth="1"/>
    <col min="2" max="2" width="20.6328125" style="24" customWidth="1"/>
    <col min="3" max="3" width="11.26953125" style="24" customWidth="1"/>
    <col min="4" max="4" width="10.54296875" style="24" customWidth="1"/>
    <col min="5" max="5" width="17.08984375" style="24" customWidth="1"/>
    <col min="6" max="6" width="19" style="24" customWidth="1"/>
    <col min="7" max="7" width="22.453125" style="24" customWidth="1"/>
    <col min="8" max="8" width="20.453125" style="24" hidden="1" customWidth="1"/>
    <col min="9" max="9" width="36.54296875" style="24" hidden="1" customWidth="1"/>
    <col min="10" max="10" width="15.36328125" style="44" hidden="1" customWidth="1"/>
    <col min="11" max="11" width="28.1796875" style="24" hidden="1" customWidth="1"/>
    <col min="12" max="12" width="31" style="24" hidden="1" customWidth="1"/>
    <col min="13" max="13" width="18.6328125" style="24" hidden="1" customWidth="1"/>
    <col min="14" max="14" width="23" style="24" bestFit="1" customWidth="1"/>
    <col min="15" max="15" width="26.1796875" style="24" bestFit="1" customWidth="1"/>
    <col min="16" max="16" width="27.7265625" style="24" bestFit="1" customWidth="1"/>
    <col min="17" max="17" width="35.90625" style="24" hidden="1" customWidth="1"/>
    <col min="18" max="18" width="21.90625" style="24" hidden="1" customWidth="1"/>
    <col min="19" max="19" width="19.453125" style="24" bestFit="1" customWidth="1"/>
    <col min="20" max="20" width="20.1796875" style="24" hidden="1" customWidth="1"/>
    <col min="21" max="21" width="10.90625" style="24" bestFit="1" customWidth="1"/>
    <col min="22" max="22" width="32.81640625" style="24" customWidth="1"/>
    <col min="23" max="16384" width="8.7265625" style="24"/>
  </cols>
  <sheetData>
    <row r="1" spans="1:22" x14ac:dyDescent="0.3">
      <c r="A1" s="20" t="s">
        <v>20</v>
      </c>
      <c r="B1" s="21" t="s">
        <v>19</v>
      </c>
      <c r="C1" s="21" t="s">
        <v>18</v>
      </c>
      <c r="D1" s="22" t="s">
        <v>17</v>
      </c>
      <c r="E1" s="22" t="s">
        <v>16</v>
      </c>
      <c r="F1" s="22" t="s">
        <v>15</v>
      </c>
      <c r="G1" s="22" t="s">
        <v>14</v>
      </c>
      <c r="H1" s="21" t="s">
        <v>13</v>
      </c>
      <c r="I1" s="21" t="s">
        <v>12</v>
      </c>
      <c r="J1" s="21" t="s">
        <v>11</v>
      </c>
      <c r="K1" s="21" t="s">
        <v>10</v>
      </c>
      <c r="L1" s="22" t="s">
        <v>9</v>
      </c>
      <c r="M1" s="22" t="s">
        <v>8</v>
      </c>
      <c r="N1" s="22" t="s">
        <v>7</v>
      </c>
      <c r="O1" s="22" t="s">
        <v>6</v>
      </c>
      <c r="P1" s="22" t="s">
        <v>5</v>
      </c>
      <c r="Q1" s="22" t="s">
        <v>4</v>
      </c>
      <c r="R1" s="22" t="s">
        <v>3</v>
      </c>
      <c r="S1" s="22" t="s">
        <v>2</v>
      </c>
      <c r="T1" s="22" t="s">
        <v>1</v>
      </c>
      <c r="U1" s="22" t="s">
        <v>0</v>
      </c>
      <c r="V1" s="23" t="s">
        <v>211</v>
      </c>
    </row>
    <row r="2" spans="1:22" hidden="1" x14ac:dyDescent="0.3">
      <c r="A2" s="25" t="s">
        <v>21</v>
      </c>
      <c r="B2" s="25" t="s">
        <v>22</v>
      </c>
      <c r="C2" s="25" t="s">
        <v>23</v>
      </c>
      <c r="D2" s="26" t="s">
        <v>69</v>
      </c>
      <c r="E2" s="25" t="s">
        <v>24</v>
      </c>
      <c r="F2" s="27" t="s">
        <v>25</v>
      </c>
      <c r="G2" s="28" t="s">
        <v>26</v>
      </c>
      <c r="H2" s="29" t="s">
        <v>208</v>
      </c>
      <c r="I2" s="25" t="s">
        <v>209</v>
      </c>
      <c r="J2" s="30">
        <v>46032</v>
      </c>
      <c r="K2" s="31">
        <v>46032</v>
      </c>
      <c r="L2" s="25" t="s">
        <v>27</v>
      </c>
      <c r="M2" s="25" t="s">
        <v>28</v>
      </c>
      <c r="N2" s="25" t="s">
        <v>29</v>
      </c>
      <c r="O2" s="25" t="s">
        <v>30</v>
      </c>
      <c r="P2" s="25" t="s">
        <v>31</v>
      </c>
      <c r="Q2" s="27" t="s">
        <v>32</v>
      </c>
      <c r="R2" s="25"/>
      <c r="S2" s="27">
        <v>6476123</v>
      </c>
      <c r="T2" s="25"/>
      <c r="U2" s="25" t="s">
        <v>212</v>
      </c>
      <c r="V2" s="25" t="s">
        <v>33</v>
      </c>
    </row>
    <row r="3" spans="1:22" customFormat="1" ht="14.5" x14ac:dyDescent="0.35">
      <c r="A3" s="3" t="s">
        <v>34</v>
      </c>
      <c r="B3" s="1"/>
      <c r="C3" s="5" t="s">
        <v>23</v>
      </c>
      <c r="D3" s="7" t="s">
        <v>66</v>
      </c>
      <c r="E3" s="1" t="s">
        <v>70</v>
      </c>
      <c r="F3" s="1"/>
      <c r="G3" s="7" t="s">
        <v>76</v>
      </c>
      <c r="H3" s="1" t="s">
        <v>155</v>
      </c>
      <c r="I3" s="1" t="s">
        <v>210</v>
      </c>
      <c r="J3" s="8">
        <v>45442</v>
      </c>
      <c r="K3" s="8">
        <v>45442</v>
      </c>
      <c r="L3" s="1" t="s">
        <v>84</v>
      </c>
      <c r="M3" s="5" t="s">
        <v>88</v>
      </c>
      <c r="N3" s="5" t="s">
        <v>88</v>
      </c>
      <c r="O3" s="5" t="s">
        <v>88</v>
      </c>
      <c r="P3" s="5" t="s">
        <v>141</v>
      </c>
      <c r="Q3" s="1"/>
      <c r="R3" s="1"/>
      <c r="S3" s="12">
        <v>14000000</v>
      </c>
      <c r="T3" s="12">
        <v>9262538</v>
      </c>
      <c r="U3" s="17" t="s">
        <v>219</v>
      </c>
      <c r="V3" s="17" t="s">
        <v>166</v>
      </c>
    </row>
    <row r="4" spans="1:22" customFormat="1" ht="14.5" x14ac:dyDescent="0.35">
      <c r="A4" s="18" t="s">
        <v>35</v>
      </c>
      <c r="B4" s="1"/>
      <c r="C4" s="5" t="s">
        <v>64</v>
      </c>
      <c r="D4" s="7" t="s">
        <v>66</v>
      </c>
      <c r="E4" s="1" t="s">
        <v>70</v>
      </c>
      <c r="F4" s="1"/>
      <c r="G4" s="7"/>
      <c r="H4" s="1" t="s">
        <v>156</v>
      </c>
      <c r="I4" s="1" t="s">
        <v>210</v>
      </c>
      <c r="J4" s="8">
        <v>45448</v>
      </c>
      <c r="K4" s="8">
        <v>45448</v>
      </c>
      <c r="L4" s="1"/>
      <c r="M4" s="5" t="s">
        <v>88</v>
      </c>
      <c r="N4" s="5" t="s">
        <v>88</v>
      </c>
      <c r="O4" s="5" t="s">
        <v>88</v>
      </c>
      <c r="P4" s="5" t="s">
        <v>142</v>
      </c>
      <c r="Q4" s="1"/>
      <c r="R4" s="1"/>
      <c r="S4" s="13">
        <v>173000</v>
      </c>
      <c r="T4" s="1">
        <v>109276</v>
      </c>
      <c r="U4" s="17" t="s">
        <v>219</v>
      </c>
      <c r="V4" s="17" t="s">
        <v>166</v>
      </c>
    </row>
    <row r="5" spans="1:22" customFormat="1" ht="14.5" x14ac:dyDescent="0.35">
      <c r="A5" s="18" t="s">
        <v>36</v>
      </c>
      <c r="B5" s="1"/>
      <c r="C5" s="5" t="s">
        <v>64</v>
      </c>
      <c r="D5" s="7" t="s">
        <v>66</v>
      </c>
      <c r="E5" s="1" t="s">
        <v>70</v>
      </c>
      <c r="F5" s="1"/>
      <c r="G5" s="7"/>
      <c r="H5" s="1" t="s">
        <v>157</v>
      </c>
      <c r="I5" s="1" t="s">
        <v>210</v>
      </c>
      <c r="J5" s="8">
        <v>45448</v>
      </c>
      <c r="K5" s="8">
        <v>45448</v>
      </c>
      <c r="L5" s="1"/>
      <c r="M5" s="5" t="s">
        <v>88</v>
      </c>
      <c r="N5" s="5" t="s">
        <v>88</v>
      </c>
      <c r="O5" s="5" t="s">
        <v>88</v>
      </c>
      <c r="P5" s="5" t="s">
        <v>143</v>
      </c>
      <c r="Q5" s="1"/>
      <c r="R5" s="1"/>
      <c r="S5" s="12">
        <v>95375</v>
      </c>
      <c r="T5" s="12">
        <v>72675</v>
      </c>
      <c r="U5" s="17" t="s">
        <v>219</v>
      </c>
      <c r="V5" s="17" t="s">
        <v>166</v>
      </c>
    </row>
    <row r="6" spans="1:22" customFormat="1" ht="14.5" x14ac:dyDescent="0.35">
      <c r="A6" s="3" t="s">
        <v>37</v>
      </c>
      <c r="B6" s="1"/>
      <c r="C6" s="5" t="s">
        <v>23</v>
      </c>
      <c r="D6" s="5" t="s">
        <v>67</v>
      </c>
      <c r="E6" s="1" t="s">
        <v>24</v>
      </c>
      <c r="F6" s="1"/>
      <c r="G6" s="5" t="s">
        <v>85</v>
      </c>
      <c r="H6" s="1" t="s">
        <v>158</v>
      </c>
      <c r="I6" s="1"/>
      <c r="J6" s="8">
        <v>45471</v>
      </c>
      <c r="K6" s="8">
        <v>45471</v>
      </c>
      <c r="L6" s="1"/>
      <c r="M6" s="10" t="s">
        <v>89</v>
      </c>
      <c r="N6" s="10" t="s">
        <v>110</v>
      </c>
      <c r="O6" s="10" t="s">
        <v>122</v>
      </c>
      <c r="P6" s="5" t="s">
        <v>144</v>
      </c>
      <c r="Q6" s="1"/>
      <c r="R6" s="1"/>
      <c r="S6" s="12">
        <v>7000000</v>
      </c>
      <c r="T6" s="12">
        <v>4989650</v>
      </c>
      <c r="U6" s="17" t="s">
        <v>219</v>
      </c>
      <c r="V6" s="17" t="s">
        <v>166</v>
      </c>
    </row>
    <row r="7" spans="1:22" customFormat="1" ht="14.5" x14ac:dyDescent="0.35">
      <c r="A7" s="3" t="s">
        <v>38</v>
      </c>
      <c r="B7" s="2" t="s">
        <v>216</v>
      </c>
      <c r="C7" s="5" t="s">
        <v>23</v>
      </c>
      <c r="D7" s="5" t="s">
        <v>68</v>
      </c>
      <c r="E7" s="1" t="s">
        <v>24</v>
      </c>
      <c r="F7" s="2" t="s">
        <v>217</v>
      </c>
      <c r="G7" s="5" t="s">
        <v>79</v>
      </c>
      <c r="H7" s="1" t="s">
        <v>159</v>
      </c>
      <c r="I7" s="1" t="s">
        <v>159</v>
      </c>
      <c r="J7" s="8">
        <v>45623</v>
      </c>
      <c r="K7" s="8">
        <v>45623</v>
      </c>
      <c r="L7" s="1" t="s">
        <v>66</v>
      </c>
      <c r="M7" s="5" t="s">
        <v>90</v>
      </c>
      <c r="N7" s="5" t="s">
        <v>111</v>
      </c>
      <c r="O7" s="5" t="s">
        <v>123</v>
      </c>
      <c r="P7" s="5" t="s">
        <v>145</v>
      </c>
      <c r="Q7" s="1"/>
      <c r="R7" s="1"/>
      <c r="S7" s="12">
        <v>3200000</v>
      </c>
      <c r="T7" s="5">
        <v>2210614</v>
      </c>
      <c r="U7" s="17" t="s">
        <v>219</v>
      </c>
      <c r="V7" s="17" t="s">
        <v>167</v>
      </c>
    </row>
    <row r="8" spans="1:22" customFormat="1" ht="14.5" x14ac:dyDescent="0.35">
      <c r="A8" s="3" t="s">
        <v>39</v>
      </c>
      <c r="B8" s="1"/>
      <c r="C8" s="5" t="s">
        <v>64</v>
      </c>
      <c r="D8" s="5" t="s">
        <v>66</v>
      </c>
      <c r="E8" s="1" t="s">
        <v>71</v>
      </c>
      <c r="F8" s="1"/>
      <c r="G8" s="5"/>
      <c r="H8" s="1" t="s">
        <v>160</v>
      </c>
      <c r="I8" s="1" t="s">
        <v>210</v>
      </c>
      <c r="J8" s="8">
        <v>45629</v>
      </c>
      <c r="K8" s="8">
        <v>45629</v>
      </c>
      <c r="L8" s="1"/>
      <c r="M8" s="5" t="s">
        <v>88</v>
      </c>
      <c r="N8" s="5" t="s">
        <v>88</v>
      </c>
      <c r="O8" s="5" t="s">
        <v>88</v>
      </c>
      <c r="P8" s="5" t="s">
        <v>146</v>
      </c>
      <c r="Q8" s="1"/>
      <c r="R8" s="1"/>
      <c r="S8" s="12">
        <v>250000</v>
      </c>
      <c r="T8" s="12">
        <v>152000</v>
      </c>
      <c r="U8" s="17" t="s">
        <v>219</v>
      </c>
      <c r="V8" s="17" t="s">
        <v>166</v>
      </c>
    </row>
    <row r="9" spans="1:22" hidden="1" x14ac:dyDescent="0.3">
      <c r="A9" s="28" t="s">
        <v>40</v>
      </c>
      <c r="B9" s="27" t="s">
        <v>183</v>
      </c>
      <c r="C9" s="26" t="s">
        <v>23</v>
      </c>
      <c r="D9" s="26" t="s">
        <v>67</v>
      </c>
      <c r="E9" s="25" t="s">
        <v>24</v>
      </c>
      <c r="F9" s="27" t="s">
        <v>182</v>
      </c>
      <c r="G9" s="26" t="s">
        <v>73</v>
      </c>
      <c r="H9" s="25" t="s">
        <v>161</v>
      </c>
      <c r="I9" s="25"/>
      <c r="J9" s="31">
        <v>45636</v>
      </c>
      <c r="K9" s="31">
        <v>45636</v>
      </c>
      <c r="L9" s="25"/>
      <c r="M9" s="26" t="s">
        <v>91</v>
      </c>
      <c r="N9" s="26" t="s">
        <v>112</v>
      </c>
      <c r="O9" s="26" t="s">
        <v>124</v>
      </c>
      <c r="P9" s="26" t="s">
        <v>147</v>
      </c>
      <c r="Q9" s="25"/>
      <c r="R9" s="25"/>
      <c r="S9" s="32">
        <v>5662818</v>
      </c>
      <c r="T9" s="32">
        <v>349000</v>
      </c>
      <c r="U9" s="33" t="s">
        <v>212</v>
      </c>
      <c r="V9" s="26" t="s">
        <v>168</v>
      </c>
    </row>
    <row r="10" spans="1:22" customFormat="1" ht="14.5" x14ac:dyDescent="0.35">
      <c r="A10" s="3" t="s">
        <v>41</v>
      </c>
      <c r="B10" s="1"/>
      <c r="C10" s="5" t="s">
        <v>65</v>
      </c>
      <c r="D10" s="5" t="s">
        <v>67</v>
      </c>
      <c r="E10" s="1" t="s">
        <v>72</v>
      </c>
      <c r="F10" s="1"/>
      <c r="G10" s="5" t="s">
        <v>74</v>
      </c>
      <c r="H10" s="1" t="s">
        <v>162</v>
      </c>
      <c r="I10" s="1" t="s">
        <v>210</v>
      </c>
      <c r="J10" s="8">
        <v>45653</v>
      </c>
      <c r="K10" s="8">
        <v>45653</v>
      </c>
      <c r="L10" s="1"/>
      <c r="M10" s="5" t="s">
        <v>88</v>
      </c>
      <c r="N10" s="5" t="s">
        <v>88</v>
      </c>
      <c r="O10" s="5" t="s">
        <v>88</v>
      </c>
      <c r="P10" s="5" t="s">
        <v>144</v>
      </c>
      <c r="Q10" s="1"/>
      <c r="R10" s="1"/>
      <c r="S10" s="14">
        <v>4700000</v>
      </c>
      <c r="T10" s="12">
        <f>500000+429835</f>
        <v>929835</v>
      </c>
      <c r="U10" s="17" t="s">
        <v>219</v>
      </c>
      <c r="V10" s="17" t="s">
        <v>166</v>
      </c>
    </row>
    <row r="11" spans="1:22" customFormat="1" ht="14.5" x14ac:dyDescent="0.35">
      <c r="A11" s="3" t="s">
        <v>42</v>
      </c>
      <c r="B11" s="1"/>
      <c r="C11" s="5" t="s">
        <v>23</v>
      </c>
      <c r="D11" s="5" t="s">
        <v>67</v>
      </c>
      <c r="E11" s="1" t="s">
        <v>24</v>
      </c>
      <c r="F11" s="1"/>
      <c r="G11" s="5" t="s">
        <v>73</v>
      </c>
      <c r="H11" s="1" t="s">
        <v>158</v>
      </c>
      <c r="I11" s="1"/>
      <c r="J11" s="8">
        <v>45661</v>
      </c>
      <c r="K11" s="8">
        <v>45661</v>
      </c>
      <c r="L11" s="1"/>
      <c r="M11" s="5" t="s">
        <v>92</v>
      </c>
      <c r="N11" s="5" t="s">
        <v>113</v>
      </c>
      <c r="O11" s="5" t="s">
        <v>125</v>
      </c>
      <c r="P11" s="5" t="s">
        <v>148</v>
      </c>
      <c r="Q11" s="1"/>
      <c r="R11" s="1"/>
      <c r="S11" s="14">
        <v>6956099</v>
      </c>
      <c r="T11" s="12">
        <v>4164712</v>
      </c>
      <c r="U11" s="17" t="s">
        <v>219</v>
      </c>
      <c r="V11" s="17" t="s">
        <v>166</v>
      </c>
    </row>
    <row r="12" spans="1:22" customFormat="1" ht="14.5" x14ac:dyDescent="0.35">
      <c r="A12" s="3" t="s">
        <v>43</v>
      </c>
      <c r="B12" s="1"/>
      <c r="C12" s="5" t="s">
        <v>23</v>
      </c>
      <c r="D12" s="5" t="s">
        <v>67</v>
      </c>
      <c r="E12" s="1" t="s">
        <v>24</v>
      </c>
      <c r="F12" s="1"/>
      <c r="G12" s="5" t="s">
        <v>73</v>
      </c>
      <c r="H12" s="1"/>
      <c r="I12" s="1"/>
      <c r="J12" s="8">
        <v>45696</v>
      </c>
      <c r="K12" s="8">
        <v>45696</v>
      </c>
      <c r="L12" s="1"/>
      <c r="M12" s="5" t="s">
        <v>93</v>
      </c>
      <c r="N12" s="5" t="s">
        <v>114</v>
      </c>
      <c r="O12" s="5" t="s">
        <v>126</v>
      </c>
      <c r="P12" s="5" t="s">
        <v>149</v>
      </c>
      <c r="Q12" s="1"/>
      <c r="R12" s="1"/>
      <c r="S12" s="14">
        <v>5842976</v>
      </c>
      <c r="T12" s="5">
        <v>4995769</v>
      </c>
      <c r="U12" s="17" t="s">
        <v>219</v>
      </c>
      <c r="V12" s="17" t="s">
        <v>166</v>
      </c>
    </row>
    <row r="13" spans="1:22" customFormat="1" ht="14.5" x14ac:dyDescent="0.35">
      <c r="A13" s="3" t="s">
        <v>44</v>
      </c>
      <c r="B13" s="1"/>
      <c r="C13" s="5" t="s">
        <v>23</v>
      </c>
      <c r="D13" s="5" t="s">
        <v>68</v>
      </c>
      <c r="E13" s="1" t="s">
        <v>72</v>
      </c>
      <c r="F13" s="1"/>
      <c r="G13" s="5" t="s">
        <v>74</v>
      </c>
      <c r="H13" s="1" t="s">
        <v>163</v>
      </c>
      <c r="I13" s="1" t="s">
        <v>210</v>
      </c>
      <c r="J13" s="8">
        <v>45721</v>
      </c>
      <c r="K13" s="8">
        <v>45721</v>
      </c>
      <c r="L13" s="1"/>
      <c r="M13" s="5" t="s">
        <v>88</v>
      </c>
      <c r="N13" s="5" t="s">
        <v>88</v>
      </c>
      <c r="O13" s="5" t="s">
        <v>88</v>
      </c>
      <c r="P13" s="5" t="s">
        <v>150</v>
      </c>
      <c r="Q13" s="1"/>
      <c r="R13" s="1"/>
      <c r="S13" s="14">
        <v>9400000</v>
      </c>
      <c r="T13" s="12">
        <v>2667049</v>
      </c>
      <c r="U13" s="17" t="s">
        <v>219</v>
      </c>
      <c r="V13" s="17" t="s">
        <v>166</v>
      </c>
    </row>
    <row r="14" spans="1:22" customFormat="1" ht="14.5" x14ac:dyDescent="0.35">
      <c r="A14" s="3" t="s">
        <v>41</v>
      </c>
      <c r="B14" s="1"/>
      <c r="C14" s="5" t="s">
        <v>65</v>
      </c>
      <c r="D14" s="5" t="s">
        <v>67</v>
      </c>
      <c r="E14" s="1" t="s">
        <v>72</v>
      </c>
      <c r="F14" s="1"/>
      <c r="G14" s="5" t="s">
        <v>74</v>
      </c>
      <c r="H14" s="1" t="s">
        <v>162</v>
      </c>
      <c r="I14" s="1" t="s">
        <v>210</v>
      </c>
      <c r="J14" s="8">
        <v>45721</v>
      </c>
      <c r="K14" s="8">
        <v>45721</v>
      </c>
      <c r="L14" s="1"/>
      <c r="M14" s="5" t="s">
        <v>88</v>
      </c>
      <c r="N14" s="5" t="s">
        <v>88</v>
      </c>
      <c r="O14" s="5" t="s">
        <v>88</v>
      </c>
      <c r="P14" s="5" t="s">
        <v>144</v>
      </c>
      <c r="Q14" s="1"/>
      <c r="R14" s="1"/>
      <c r="S14" s="14">
        <v>4700000</v>
      </c>
      <c r="T14" s="12">
        <v>930454</v>
      </c>
      <c r="U14" s="17" t="s">
        <v>219</v>
      </c>
      <c r="V14" s="17" t="s">
        <v>166</v>
      </c>
    </row>
    <row r="15" spans="1:22" customFormat="1" ht="14.5" x14ac:dyDescent="0.35">
      <c r="A15" s="3" t="s">
        <v>45</v>
      </c>
      <c r="B15" s="1"/>
      <c r="C15" s="5" t="s">
        <v>23</v>
      </c>
      <c r="D15" s="5" t="s">
        <v>68</v>
      </c>
      <c r="E15" s="1" t="s">
        <v>24</v>
      </c>
      <c r="F15" s="1"/>
      <c r="G15" s="5" t="s">
        <v>73</v>
      </c>
      <c r="H15" s="1"/>
      <c r="I15" s="1"/>
      <c r="J15" s="8">
        <v>45726</v>
      </c>
      <c r="K15" s="8">
        <v>45726</v>
      </c>
      <c r="L15" s="1"/>
      <c r="M15" s="5" t="s">
        <v>94</v>
      </c>
      <c r="N15" s="5" t="s">
        <v>115</v>
      </c>
      <c r="O15" s="5" t="s">
        <v>127</v>
      </c>
      <c r="P15" s="5" t="s">
        <v>151</v>
      </c>
      <c r="Q15" s="2" t="s">
        <v>32</v>
      </c>
      <c r="R15" s="1"/>
      <c r="S15" s="14">
        <v>5184737.5999999996</v>
      </c>
      <c r="T15" s="5">
        <v>3423121</v>
      </c>
      <c r="U15" s="17" t="s">
        <v>219</v>
      </c>
      <c r="V15" s="17" t="s">
        <v>166</v>
      </c>
    </row>
    <row r="16" spans="1:22" hidden="1" x14ac:dyDescent="0.3">
      <c r="A16" s="28" t="s">
        <v>46</v>
      </c>
      <c r="B16" s="27" t="s">
        <v>192</v>
      </c>
      <c r="C16" s="26" t="s">
        <v>23</v>
      </c>
      <c r="D16" s="26" t="s">
        <v>68</v>
      </c>
      <c r="E16" s="25" t="s">
        <v>24</v>
      </c>
      <c r="F16" s="27" t="s">
        <v>184</v>
      </c>
      <c r="G16" s="26" t="s">
        <v>75</v>
      </c>
      <c r="H16" s="25"/>
      <c r="I16" s="25"/>
      <c r="J16" s="31">
        <v>45785</v>
      </c>
      <c r="K16" s="31">
        <v>45785</v>
      </c>
      <c r="L16" s="25"/>
      <c r="M16" s="26" t="s">
        <v>95</v>
      </c>
      <c r="N16" s="26" t="s">
        <v>112</v>
      </c>
      <c r="O16" s="26" t="s">
        <v>128</v>
      </c>
      <c r="P16" s="26" t="s">
        <v>151</v>
      </c>
      <c r="Q16" s="27" t="s">
        <v>32</v>
      </c>
      <c r="R16" s="25"/>
      <c r="S16" s="34">
        <v>5715050.8799999999</v>
      </c>
      <c r="T16" s="32"/>
      <c r="U16" s="33" t="s">
        <v>212</v>
      </c>
      <c r="V16" s="26" t="s">
        <v>231</v>
      </c>
    </row>
    <row r="17" spans="1:22" ht="26" hidden="1" x14ac:dyDescent="0.3">
      <c r="A17" s="28" t="s">
        <v>47</v>
      </c>
      <c r="B17" s="27" t="s">
        <v>188</v>
      </c>
      <c r="C17" s="26" t="s">
        <v>23</v>
      </c>
      <c r="D17" s="26" t="s">
        <v>68</v>
      </c>
      <c r="E17" s="25" t="s">
        <v>24</v>
      </c>
      <c r="F17" s="27" t="s">
        <v>184</v>
      </c>
      <c r="G17" s="26" t="s">
        <v>26</v>
      </c>
      <c r="H17" s="25"/>
      <c r="I17" s="25"/>
      <c r="J17" s="31">
        <v>45826</v>
      </c>
      <c r="K17" s="31">
        <v>45826</v>
      </c>
      <c r="L17" s="25" t="s">
        <v>189</v>
      </c>
      <c r="M17" s="26" t="s">
        <v>96</v>
      </c>
      <c r="N17" s="26" t="s">
        <v>115</v>
      </c>
      <c r="O17" s="26" t="s">
        <v>129</v>
      </c>
      <c r="P17" s="26" t="s">
        <v>151</v>
      </c>
      <c r="Q17" s="27" t="s">
        <v>32</v>
      </c>
      <c r="R17" s="25"/>
      <c r="S17" s="34">
        <v>6103664.9000000004</v>
      </c>
      <c r="T17" s="32"/>
      <c r="U17" s="33" t="s">
        <v>212</v>
      </c>
      <c r="V17" s="33" t="s">
        <v>169</v>
      </c>
    </row>
    <row r="18" spans="1:22" hidden="1" x14ac:dyDescent="0.3">
      <c r="A18" s="28" t="s">
        <v>48</v>
      </c>
      <c r="B18" s="27" t="s">
        <v>197</v>
      </c>
      <c r="C18" s="26" t="s">
        <v>23</v>
      </c>
      <c r="D18" s="26" t="s">
        <v>66</v>
      </c>
      <c r="E18" s="25" t="s">
        <v>70</v>
      </c>
      <c r="F18" s="27" t="s">
        <v>198</v>
      </c>
      <c r="G18" s="26" t="s">
        <v>76</v>
      </c>
      <c r="H18" s="25" t="s">
        <v>155</v>
      </c>
      <c r="I18" s="25" t="s">
        <v>202</v>
      </c>
      <c r="J18" s="31">
        <v>45799</v>
      </c>
      <c r="K18" s="31">
        <v>45799</v>
      </c>
      <c r="L18" s="25"/>
      <c r="M18" s="26" t="s">
        <v>88</v>
      </c>
      <c r="N18" s="26" t="s">
        <v>88</v>
      </c>
      <c r="O18" s="26" t="s">
        <v>88</v>
      </c>
      <c r="P18" s="26" t="s">
        <v>141</v>
      </c>
      <c r="Q18" s="25"/>
      <c r="R18" s="25"/>
      <c r="S18" s="34">
        <v>3000000</v>
      </c>
      <c r="T18" s="32"/>
      <c r="U18" s="33" t="s">
        <v>212</v>
      </c>
      <c r="V18" s="33" t="s">
        <v>170</v>
      </c>
    </row>
    <row r="19" spans="1:22" ht="26" hidden="1" x14ac:dyDescent="0.3">
      <c r="A19" s="28" t="s">
        <v>49</v>
      </c>
      <c r="B19" s="25" t="s">
        <v>200</v>
      </c>
      <c r="C19" s="26" t="s">
        <v>199</v>
      </c>
      <c r="D19" s="26" t="s">
        <v>66</v>
      </c>
      <c r="E19" s="25" t="s">
        <v>70</v>
      </c>
      <c r="F19" s="27" t="s">
        <v>201</v>
      </c>
      <c r="G19" s="26" t="s">
        <v>77</v>
      </c>
      <c r="H19" s="25" t="s">
        <v>164</v>
      </c>
      <c r="I19" s="25" t="s">
        <v>203</v>
      </c>
      <c r="J19" s="31">
        <v>45798</v>
      </c>
      <c r="K19" s="31">
        <v>45798</v>
      </c>
      <c r="L19" s="25"/>
      <c r="M19" s="26" t="s">
        <v>88</v>
      </c>
      <c r="N19" s="26" t="s">
        <v>88</v>
      </c>
      <c r="O19" s="26" t="s">
        <v>88</v>
      </c>
      <c r="P19" s="26" t="s">
        <v>141</v>
      </c>
      <c r="Q19" s="25"/>
      <c r="R19" s="25"/>
      <c r="S19" s="34">
        <v>2400000</v>
      </c>
      <c r="T19" s="32"/>
      <c r="U19" s="33" t="s">
        <v>212</v>
      </c>
      <c r="V19" s="33" t="s">
        <v>171</v>
      </c>
    </row>
    <row r="20" spans="1:22" ht="39" hidden="1" x14ac:dyDescent="0.3">
      <c r="A20" s="28" t="s">
        <v>86</v>
      </c>
      <c r="B20" s="27" t="s">
        <v>193</v>
      </c>
      <c r="C20" s="26" t="s">
        <v>23</v>
      </c>
      <c r="D20" s="26" t="s">
        <v>68</v>
      </c>
      <c r="E20" s="25" t="s">
        <v>24</v>
      </c>
      <c r="F20" s="27" t="s">
        <v>184</v>
      </c>
      <c r="G20" s="26" t="s">
        <v>78</v>
      </c>
      <c r="H20" s="25" t="s">
        <v>165</v>
      </c>
      <c r="I20" s="25"/>
      <c r="J20" s="31">
        <v>45844</v>
      </c>
      <c r="K20" s="31">
        <v>45844</v>
      </c>
      <c r="L20" s="25"/>
      <c r="M20" s="35" t="s">
        <v>97</v>
      </c>
      <c r="N20" s="35" t="s">
        <v>116</v>
      </c>
      <c r="O20" s="26" t="s">
        <v>87</v>
      </c>
      <c r="P20" s="26" t="s">
        <v>151</v>
      </c>
      <c r="Q20" s="27" t="s">
        <v>32</v>
      </c>
      <c r="R20" s="25"/>
      <c r="S20" s="34">
        <v>4042294.6</v>
      </c>
      <c r="T20" s="32"/>
      <c r="U20" s="33" t="s">
        <v>212</v>
      </c>
      <c r="V20" s="33" t="s">
        <v>172</v>
      </c>
    </row>
    <row r="21" spans="1:22" ht="26" hidden="1" x14ac:dyDescent="0.3">
      <c r="A21" s="28" t="s">
        <v>50</v>
      </c>
      <c r="B21" s="27" t="s">
        <v>185</v>
      </c>
      <c r="C21" s="26" t="s">
        <v>23</v>
      </c>
      <c r="D21" s="26" t="s">
        <v>67</v>
      </c>
      <c r="E21" s="25" t="s">
        <v>24</v>
      </c>
      <c r="F21" s="27" t="s">
        <v>213</v>
      </c>
      <c r="G21" s="26" t="s">
        <v>79</v>
      </c>
      <c r="H21" s="25" t="s">
        <v>165</v>
      </c>
      <c r="I21" s="25"/>
      <c r="J21" s="31">
        <v>45848</v>
      </c>
      <c r="K21" s="31">
        <v>45848</v>
      </c>
      <c r="L21" s="25" t="s">
        <v>215</v>
      </c>
      <c r="M21" s="26" t="s">
        <v>98</v>
      </c>
      <c r="N21" s="35" t="s">
        <v>116</v>
      </c>
      <c r="O21" s="26" t="s">
        <v>130</v>
      </c>
      <c r="P21" s="26" t="s">
        <v>151</v>
      </c>
      <c r="Q21" s="27" t="s">
        <v>32</v>
      </c>
      <c r="R21" s="25"/>
      <c r="S21" s="34">
        <v>7201813.3600000003</v>
      </c>
      <c r="T21" s="32"/>
      <c r="U21" s="33" t="s">
        <v>212</v>
      </c>
      <c r="V21" s="33" t="s">
        <v>220</v>
      </c>
    </row>
    <row r="22" spans="1:22" hidden="1" x14ac:dyDescent="0.3">
      <c r="A22" s="28" t="s">
        <v>51</v>
      </c>
      <c r="B22" s="25" t="s">
        <v>205</v>
      </c>
      <c r="C22" s="26" t="s">
        <v>23</v>
      </c>
      <c r="D22" s="26" t="s">
        <v>66</v>
      </c>
      <c r="E22" s="25" t="s">
        <v>24</v>
      </c>
      <c r="F22" s="19" t="s">
        <v>204</v>
      </c>
      <c r="G22" s="26" t="s">
        <v>79</v>
      </c>
      <c r="H22" s="25" t="s">
        <v>214</v>
      </c>
      <c r="I22" s="25"/>
      <c r="J22" s="31">
        <v>45848</v>
      </c>
      <c r="K22" s="31">
        <v>45848</v>
      </c>
      <c r="L22" s="25" t="s">
        <v>66</v>
      </c>
      <c r="M22" s="26" t="s">
        <v>99</v>
      </c>
      <c r="N22" s="26" t="s">
        <v>117</v>
      </c>
      <c r="O22" s="26" t="s">
        <v>131</v>
      </c>
      <c r="P22" s="26" t="s">
        <v>152</v>
      </c>
      <c r="Q22" s="25"/>
      <c r="R22" s="25"/>
      <c r="S22" s="34">
        <v>971796.5</v>
      </c>
      <c r="T22" s="32"/>
      <c r="U22" s="33" t="s">
        <v>212</v>
      </c>
      <c r="V22" s="33" t="s">
        <v>173</v>
      </c>
    </row>
    <row r="23" spans="1:22" hidden="1" x14ac:dyDescent="0.3">
      <c r="A23" s="28" t="s">
        <v>52</v>
      </c>
      <c r="B23" s="25" t="s">
        <v>186</v>
      </c>
      <c r="C23" s="26" t="s">
        <v>23</v>
      </c>
      <c r="D23" s="26" t="s">
        <v>67</v>
      </c>
      <c r="E23" s="25" t="s">
        <v>24</v>
      </c>
      <c r="F23" s="36" t="s">
        <v>187</v>
      </c>
      <c r="G23" s="26" t="s">
        <v>26</v>
      </c>
      <c r="H23" s="25"/>
      <c r="I23" s="25"/>
      <c r="J23" s="31">
        <v>45848</v>
      </c>
      <c r="K23" s="31">
        <v>45848</v>
      </c>
      <c r="L23" s="25"/>
      <c r="M23" s="26" t="s">
        <v>100</v>
      </c>
      <c r="N23" s="26" t="s">
        <v>116</v>
      </c>
      <c r="O23" s="26" t="s">
        <v>132</v>
      </c>
      <c r="P23" s="26" t="s">
        <v>150</v>
      </c>
      <c r="Q23" s="25"/>
      <c r="R23" s="25"/>
      <c r="S23" s="34">
        <v>5700542.4000000004</v>
      </c>
      <c r="T23" s="32"/>
      <c r="U23" s="33" t="s">
        <v>212</v>
      </c>
      <c r="V23" s="33" t="s">
        <v>173</v>
      </c>
    </row>
    <row r="24" spans="1:22" hidden="1" x14ac:dyDescent="0.3">
      <c r="A24" s="28" t="s">
        <v>53</v>
      </c>
      <c r="B24" s="36" t="s">
        <v>195</v>
      </c>
      <c r="C24" s="26" t="s">
        <v>23</v>
      </c>
      <c r="D24" s="26" t="s">
        <v>68</v>
      </c>
      <c r="E24" s="25" t="s">
        <v>24</v>
      </c>
      <c r="F24" s="25" t="s">
        <v>194</v>
      </c>
      <c r="G24" s="26" t="s">
        <v>80</v>
      </c>
      <c r="H24" s="25"/>
      <c r="I24" s="25"/>
      <c r="J24" s="31">
        <v>45850</v>
      </c>
      <c r="K24" s="31">
        <v>45850</v>
      </c>
      <c r="L24" s="25"/>
      <c r="M24" s="26" t="s">
        <v>101</v>
      </c>
      <c r="N24" s="26" t="s">
        <v>118</v>
      </c>
      <c r="O24" s="26" t="s">
        <v>133</v>
      </c>
      <c r="P24" s="26" t="s">
        <v>151</v>
      </c>
      <c r="Q24" s="27" t="s">
        <v>32</v>
      </c>
      <c r="R24" s="25"/>
      <c r="S24" s="34">
        <v>5702968.3200000003</v>
      </c>
      <c r="T24" s="32"/>
      <c r="U24" s="33" t="s">
        <v>212</v>
      </c>
      <c r="V24" s="33" t="s">
        <v>174</v>
      </c>
    </row>
    <row r="25" spans="1:22" ht="26" hidden="1" x14ac:dyDescent="0.3">
      <c r="A25" s="28" t="s">
        <v>54</v>
      </c>
      <c r="B25" s="36" t="s">
        <v>196</v>
      </c>
      <c r="C25" s="26" t="s">
        <v>23</v>
      </c>
      <c r="D25" s="26" t="s">
        <v>67</v>
      </c>
      <c r="E25" s="25" t="s">
        <v>24</v>
      </c>
      <c r="F25" s="36" t="s">
        <v>187</v>
      </c>
      <c r="G25" s="26" t="s">
        <v>81</v>
      </c>
      <c r="H25" s="25"/>
      <c r="I25" s="25"/>
      <c r="J25" s="31">
        <v>45854</v>
      </c>
      <c r="K25" s="31">
        <v>45854</v>
      </c>
      <c r="L25" s="25"/>
      <c r="M25" s="26" t="s">
        <v>102</v>
      </c>
      <c r="N25" s="26" t="s">
        <v>119</v>
      </c>
      <c r="O25" s="26" t="s">
        <v>134</v>
      </c>
      <c r="P25" s="26" t="s">
        <v>153</v>
      </c>
      <c r="Q25" s="25"/>
      <c r="R25" s="25"/>
      <c r="S25" s="34">
        <v>4588752</v>
      </c>
      <c r="T25" s="32"/>
      <c r="U25" s="33" t="s">
        <v>212</v>
      </c>
      <c r="V25" s="33" t="s">
        <v>175</v>
      </c>
    </row>
    <row r="26" spans="1:22" hidden="1" x14ac:dyDescent="0.3">
      <c r="A26" s="28" t="s">
        <v>55</v>
      </c>
      <c r="B26" s="27" t="s">
        <v>181</v>
      </c>
      <c r="C26" s="26" t="s">
        <v>23</v>
      </c>
      <c r="D26" s="26" t="s">
        <v>69</v>
      </c>
      <c r="E26" s="25" t="s">
        <v>24</v>
      </c>
      <c r="F26" s="36" t="s">
        <v>25</v>
      </c>
      <c r="G26" s="26" t="s">
        <v>26</v>
      </c>
      <c r="H26" s="25"/>
      <c r="I26" s="25"/>
      <c r="J26" s="31">
        <v>45875</v>
      </c>
      <c r="K26" s="31">
        <v>45875</v>
      </c>
      <c r="L26" s="25"/>
      <c r="M26" s="26" t="s">
        <v>103</v>
      </c>
      <c r="N26" s="26" t="s">
        <v>115</v>
      </c>
      <c r="O26" s="26" t="s">
        <v>135</v>
      </c>
      <c r="P26" s="26" t="s">
        <v>151</v>
      </c>
      <c r="Q26" s="27" t="s">
        <v>32</v>
      </c>
      <c r="R26" s="25"/>
      <c r="S26" s="34">
        <v>5920454</v>
      </c>
      <c r="T26" s="32"/>
      <c r="U26" s="33" t="s">
        <v>212</v>
      </c>
      <c r="V26" s="33" t="s">
        <v>176</v>
      </c>
    </row>
    <row r="27" spans="1:22" customFormat="1" ht="29" x14ac:dyDescent="0.35">
      <c r="A27" s="6" t="s">
        <v>56</v>
      </c>
      <c r="B27" s="1"/>
      <c r="C27" s="6" t="s">
        <v>23</v>
      </c>
      <c r="D27" s="6" t="s">
        <v>67</v>
      </c>
      <c r="E27" s="1" t="s">
        <v>24</v>
      </c>
      <c r="F27" s="1"/>
      <c r="G27" s="6"/>
      <c r="H27" s="1"/>
      <c r="I27" s="1"/>
      <c r="J27" s="9">
        <v>45889</v>
      </c>
      <c r="K27" s="9">
        <v>45889</v>
      </c>
      <c r="L27" s="1"/>
      <c r="M27" s="6" t="s">
        <v>88</v>
      </c>
      <c r="N27" s="6"/>
      <c r="O27" s="6"/>
      <c r="P27" s="6" t="s">
        <v>152</v>
      </c>
      <c r="Q27" s="1"/>
      <c r="R27" s="1"/>
      <c r="S27" s="15">
        <v>0</v>
      </c>
      <c r="T27" s="16"/>
      <c r="U27" s="4" t="s">
        <v>219</v>
      </c>
      <c r="V27" s="4" t="s">
        <v>177</v>
      </c>
    </row>
    <row r="28" spans="1:22" customFormat="1" ht="29" x14ac:dyDescent="0.35">
      <c r="A28" s="6" t="s">
        <v>57</v>
      </c>
      <c r="B28" s="1"/>
      <c r="C28" s="6" t="s">
        <v>23</v>
      </c>
      <c r="D28" s="6" t="s">
        <v>67</v>
      </c>
      <c r="E28" s="1" t="s">
        <v>24</v>
      </c>
      <c r="F28" s="1"/>
      <c r="G28" s="6"/>
      <c r="H28" s="1"/>
      <c r="I28" s="1"/>
      <c r="J28" s="9">
        <v>45891</v>
      </c>
      <c r="K28" s="9">
        <v>45891</v>
      </c>
      <c r="L28" s="1"/>
      <c r="M28" s="6"/>
      <c r="N28" s="6"/>
      <c r="O28" s="6"/>
      <c r="P28" s="6" t="s">
        <v>154</v>
      </c>
      <c r="Q28" s="1"/>
      <c r="R28" s="1"/>
      <c r="S28" s="15">
        <v>0</v>
      </c>
      <c r="T28" s="16"/>
      <c r="U28" s="4" t="s">
        <v>219</v>
      </c>
      <c r="V28" s="4" t="s">
        <v>178</v>
      </c>
    </row>
    <row r="29" spans="1:22" customFormat="1" ht="29" x14ac:dyDescent="0.35">
      <c r="A29" s="6" t="s">
        <v>58</v>
      </c>
      <c r="B29" s="1"/>
      <c r="C29" s="6" t="s">
        <v>23</v>
      </c>
      <c r="D29" s="6" t="s">
        <v>69</v>
      </c>
      <c r="E29" s="1" t="s">
        <v>24</v>
      </c>
      <c r="F29" s="1"/>
      <c r="G29" s="6" t="s">
        <v>26</v>
      </c>
      <c r="H29" s="1"/>
      <c r="I29" s="1"/>
      <c r="J29" s="9">
        <v>45905</v>
      </c>
      <c r="K29" s="9">
        <v>45905</v>
      </c>
      <c r="L29" s="1"/>
      <c r="M29" s="6" t="s">
        <v>104</v>
      </c>
      <c r="N29" s="6" t="s">
        <v>116</v>
      </c>
      <c r="O29" s="6" t="s">
        <v>136</v>
      </c>
      <c r="P29" s="6" t="s">
        <v>151</v>
      </c>
      <c r="Q29" s="2" t="s">
        <v>32</v>
      </c>
      <c r="R29" s="1"/>
      <c r="S29" s="15">
        <v>0</v>
      </c>
      <c r="T29" s="16"/>
      <c r="U29" s="4" t="s">
        <v>219</v>
      </c>
      <c r="V29" s="4" t="s">
        <v>177</v>
      </c>
    </row>
    <row r="30" spans="1:22" ht="26" hidden="1" x14ac:dyDescent="0.3">
      <c r="A30" s="28" t="s">
        <v>59</v>
      </c>
      <c r="B30" s="25"/>
      <c r="C30" s="26" t="s">
        <v>23</v>
      </c>
      <c r="D30" s="26" t="s">
        <v>67</v>
      </c>
      <c r="E30" s="25" t="s">
        <v>24</v>
      </c>
      <c r="F30" s="36" t="s">
        <v>187</v>
      </c>
      <c r="G30" s="26" t="s">
        <v>82</v>
      </c>
      <c r="H30" s="25"/>
      <c r="I30" s="25"/>
      <c r="J30" s="31">
        <v>45912</v>
      </c>
      <c r="K30" s="31">
        <v>45912</v>
      </c>
      <c r="L30" s="25"/>
      <c r="M30" s="35" t="s">
        <v>105</v>
      </c>
      <c r="N30" s="26" t="s">
        <v>116</v>
      </c>
      <c r="O30" s="26" t="s">
        <v>137</v>
      </c>
      <c r="P30" s="26" t="s">
        <v>151</v>
      </c>
      <c r="Q30" s="27" t="s">
        <v>32</v>
      </c>
      <c r="R30" s="25"/>
      <c r="S30" s="34">
        <f>7848942/1.12</f>
        <v>7007983.9285714282</v>
      </c>
      <c r="T30" s="32"/>
      <c r="U30" s="33" t="s">
        <v>212</v>
      </c>
      <c r="V30" s="33" t="s">
        <v>232</v>
      </c>
    </row>
    <row r="31" spans="1:22" customFormat="1" ht="29" x14ac:dyDescent="0.35">
      <c r="A31" s="6" t="s">
        <v>60</v>
      </c>
      <c r="B31" s="1"/>
      <c r="C31" s="6" t="s">
        <v>23</v>
      </c>
      <c r="D31" s="6" t="s">
        <v>67</v>
      </c>
      <c r="E31" s="1" t="s">
        <v>24</v>
      </c>
      <c r="F31" s="1"/>
      <c r="G31" s="6" t="s">
        <v>83</v>
      </c>
      <c r="H31" s="1"/>
      <c r="I31" s="1"/>
      <c r="J31" s="9">
        <v>45984</v>
      </c>
      <c r="K31" s="9">
        <v>45984</v>
      </c>
      <c r="L31" s="1"/>
      <c r="M31" s="11" t="s">
        <v>106</v>
      </c>
      <c r="N31" s="6" t="s">
        <v>120</v>
      </c>
      <c r="O31" s="6"/>
      <c r="P31" s="6" t="s">
        <v>152</v>
      </c>
      <c r="Q31" s="1"/>
      <c r="R31" s="1"/>
      <c r="S31" s="15">
        <v>0</v>
      </c>
      <c r="T31" s="16"/>
      <c r="U31" s="4" t="s">
        <v>219</v>
      </c>
      <c r="V31" s="4" t="s">
        <v>177</v>
      </c>
    </row>
    <row r="32" spans="1:22" hidden="1" x14ac:dyDescent="0.3">
      <c r="A32" s="28" t="s">
        <v>61</v>
      </c>
      <c r="B32" s="27" t="s">
        <v>191</v>
      </c>
      <c r="C32" s="28" t="s">
        <v>23</v>
      </c>
      <c r="D32" s="26" t="s">
        <v>67</v>
      </c>
      <c r="E32" s="25" t="s">
        <v>24</v>
      </c>
      <c r="F32" s="25" t="s">
        <v>190</v>
      </c>
      <c r="G32" s="28" t="s">
        <v>74</v>
      </c>
      <c r="H32" s="25"/>
      <c r="I32" s="25"/>
      <c r="J32" s="37">
        <v>45971</v>
      </c>
      <c r="K32" s="37">
        <v>45971</v>
      </c>
      <c r="L32" s="25"/>
      <c r="M32" s="28" t="s">
        <v>107</v>
      </c>
      <c r="N32" s="28" t="s">
        <v>120</v>
      </c>
      <c r="O32" s="38" t="s">
        <v>138</v>
      </c>
      <c r="P32" s="28" t="s">
        <v>152</v>
      </c>
      <c r="Q32" s="25"/>
      <c r="R32" s="25"/>
      <c r="S32" s="34">
        <v>445038</v>
      </c>
      <c r="T32" s="39"/>
      <c r="U32" s="40" t="s">
        <v>212</v>
      </c>
      <c r="V32" s="40" t="s">
        <v>179</v>
      </c>
    </row>
    <row r="33" spans="1:22" hidden="1" x14ac:dyDescent="0.3">
      <c r="A33" s="28" t="s">
        <v>62</v>
      </c>
      <c r="B33" s="25"/>
      <c r="C33" s="28" t="s">
        <v>23</v>
      </c>
      <c r="D33" s="26" t="s">
        <v>67</v>
      </c>
      <c r="E33" s="25" t="s">
        <v>24</v>
      </c>
      <c r="F33" s="27" t="s">
        <v>213</v>
      </c>
      <c r="G33" s="28" t="s">
        <v>79</v>
      </c>
      <c r="H33" s="25" t="s">
        <v>218</v>
      </c>
      <c r="I33" s="25"/>
      <c r="J33" s="37">
        <v>46000</v>
      </c>
      <c r="K33" s="37">
        <v>46000</v>
      </c>
      <c r="L33" s="25" t="s">
        <v>67</v>
      </c>
      <c r="M33" s="41" t="s">
        <v>108</v>
      </c>
      <c r="N33" s="28" t="s">
        <v>120</v>
      </c>
      <c r="O33" s="38" t="s">
        <v>139</v>
      </c>
      <c r="P33" s="28" t="s">
        <v>152</v>
      </c>
      <c r="Q33" s="25"/>
      <c r="R33" s="25"/>
      <c r="S33" s="34">
        <v>140825</v>
      </c>
      <c r="T33" s="39"/>
      <c r="U33" s="40" t="s">
        <v>212</v>
      </c>
      <c r="V33" s="40" t="s">
        <v>179</v>
      </c>
    </row>
    <row r="34" spans="1:22" hidden="1" x14ac:dyDescent="0.3">
      <c r="A34" s="28" t="s">
        <v>63</v>
      </c>
      <c r="B34" s="25"/>
      <c r="C34" s="28" t="s">
        <v>23</v>
      </c>
      <c r="D34" s="26" t="s">
        <v>69</v>
      </c>
      <c r="E34" s="25" t="s">
        <v>24</v>
      </c>
      <c r="F34" s="36" t="s">
        <v>25</v>
      </c>
      <c r="G34" s="28" t="s">
        <v>73</v>
      </c>
      <c r="H34" s="25" t="s">
        <v>206</v>
      </c>
      <c r="I34" s="25" t="s">
        <v>207</v>
      </c>
      <c r="J34" s="37">
        <v>46020</v>
      </c>
      <c r="K34" s="37">
        <v>46020</v>
      </c>
      <c r="L34" s="25"/>
      <c r="M34" s="42" t="s">
        <v>109</v>
      </c>
      <c r="N34" s="41" t="s">
        <v>121</v>
      </c>
      <c r="O34" s="38" t="s">
        <v>140</v>
      </c>
      <c r="P34" s="28" t="s">
        <v>152</v>
      </c>
      <c r="Q34" s="25"/>
      <c r="R34" s="25"/>
      <c r="S34" s="34">
        <v>3726180</v>
      </c>
      <c r="T34" s="39"/>
      <c r="U34" s="40" t="s">
        <v>212</v>
      </c>
      <c r="V34" s="40" t="s">
        <v>180</v>
      </c>
    </row>
    <row r="35" spans="1:22" x14ac:dyDescent="0.3">
      <c r="A35" s="25"/>
      <c r="B35" s="25"/>
      <c r="C35" s="25"/>
      <c r="D35" s="25"/>
      <c r="E35" s="25"/>
      <c r="F35" s="25"/>
      <c r="G35" s="25"/>
      <c r="H35" s="25"/>
      <c r="I35" s="25"/>
      <c r="J35" s="43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</sheetData>
  <autoFilter ref="A1:V34" xr:uid="{874E59D4-5A80-42DF-A438-57B243A4BE62}">
    <filterColumn colId="20">
      <filters>
        <filter val="Closed"/>
      </filters>
    </filterColumn>
  </autoFilter>
  <dataValidations count="1">
    <dataValidation type="list" allowBlank="1" showInputMessage="1" showErrorMessage="1" sqref="D2:D51" xr:uid="{59B77C76-3E42-47AE-848A-0CEC5449C079}">
      <formula1>"Premier Energies Global Environment Pvt Ltd,Premier Energies International Pvt Ltd,Premier Energies Photovoltaic Pvt Ltd,Premier Photovoltaic Gajwel Private Limited,Premier Solar Power Tech Pvt Ltd,Premier Energes Limited,Others"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 clams</vt:lpstr>
      <vt:lpstr>Claims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R Vijayendra Rao</dc:creator>
  <cp:lastModifiedBy>Accounts</cp:lastModifiedBy>
  <dcterms:created xsi:type="dcterms:W3CDTF">2025-12-08T05:35:25Z</dcterms:created>
  <dcterms:modified xsi:type="dcterms:W3CDTF">2026-02-05T06:52:14Z</dcterms:modified>
</cp:coreProperties>
</file>